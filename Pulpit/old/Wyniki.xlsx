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 D\Desktop\"/>
    </mc:Choice>
  </mc:AlternateContent>
  <xr:revisionPtr revIDLastSave="0" documentId="13_ncr:1_{407C9567-E49F-4C1A-BADC-2EED5006CC63}" xr6:coauthVersionLast="47" xr6:coauthVersionMax="47" xr10:uidLastSave="{00000000-0000-0000-0000-000000000000}"/>
  <bookViews>
    <workbookView xWindow="-120" yWindow="-120" windowWidth="29040" windowHeight="15990" activeTab="4" xr2:uid="{4132883C-7B8F-4F5B-AD0D-E9AAD2C9CDAE}"/>
  </bookViews>
  <sheets>
    <sheet name="Mnist" sheetId="6" r:id="rId1"/>
    <sheet name="Mnist_full_output" sheetId="9" r:id="rId2"/>
    <sheet name="Iris" sheetId="5" r:id="rId3"/>
    <sheet name="Wine pres final" sheetId="3" r:id="rId4"/>
    <sheet name="Cancer doubles final2" sheetId="2" r:id="rId5"/>
    <sheet name="digits presorted" sheetId="7" r:id="rId6"/>
    <sheet name="Digits pres final" sheetId="4" r:id="rId7"/>
  </sheets>
  <definedNames>
    <definedName name="ExternalData_1" localSheetId="4" hidden="1">'Cancer doubles final2'!$A$1:$S$1662</definedName>
    <definedName name="ExternalData_1" localSheetId="6" hidden="1">'Digits pres final'!$A$1:$S$461</definedName>
    <definedName name="ExternalData_1" localSheetId="2" hidden="1">Iris!$A$1:$S$228</definedName>
    <definedName name="ExternalData_1" localSheetId="0" hidden="1">Mnist!$A$1:$T$10</definedName>
    <definedName name="ExternalData_1" localSheetId="1" hidden="1">Mnist_full_output!$A$1:$S$22</definedName>
    <definedName name="ExternalData_2" localSheetId="5" hidden="1">'digits presorted'!$A$1:$S$474</definedName>
    <definedName name="ExternalData_2" localSheetId="3" hidden="1">'Wine pres final'!$A$1:$S$604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8" i="2" l="1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7" i="2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Z466" i="3"/>
  <c r="Z467" i="3"/>
  <c r="Z468" i="3"/>
  <c r="Z469" i="3"/>
  <c r="Z470" i="3"/>
  <c r="Z471" i="3"/>
  <c r="Z472" i="3"/>
  <c r="Z473" i="3"/>
  <c r="Z474" i="3"/>
  <c r="Z475" i="3"/>
  <c r="Z476" i="3"/>
  <c r="Z477" i="3"/>
  <c r="Z478" i="3"/>
  <c r="Z479" i="3"/>
  <c r="Z480" i="3"/>
  <c r="Z481" i="3"/>
  <c r="Z482" i="3"/>
  <c r="Z483" i="3"/>
  <c r="Z484" i="3"/>
  <c r="Z485" i="3"/>
  <c r="Z486" i="3"/>
  <c r="Z487" i="3"/>
  <c r="Z488" i="3"/>
  <c r="Z489" i="3"/>
  <c r="Z490" i="3"/>
  <c r="Z491" i="3"/>
  <c r="Z492" i="3"/>
  <c r="Z493" i="3"/>
  <c r="Z494" i="3"/>
  <c r="Z495" i="3"/>
  <c r="Z496" i="3"/>
  <c r="Z497" i="3"/>
  <c r="Z498" i="3"/>
  <c r="Z499" i="3"/>
  <c r="Z500" i="3"/>
  <c r="Z501" i="3"/>
  <c r="Z502" i="3"/>
  <c r="Z503" i="3"/>
  <c r="Z504" i="3"/>
  <c r="Z505" i="3"/>
  <c r="Z506" i="3"/>
  <c r="Z507" i="3"/>
  <c r="Z508" i="3"/>
  <c r="Z509" i="3"/>
  <c r="Z510" i="3"/>
  <c r="Z511" i="3"/>
  <c r="Z512" i="3"/>
  <c r="Z513" i="3"/>
  <c r="Z514" i="3"/>
  <c r="Z515" i="3"/>
  <c r="Z516" i="3"/>
  <c r="Z517" i="3"/>
  <c r="Z518" i="3"/>
  <c r="Z519" i="3"/>
  <c r="Z520" i="3"/>
  <c r="Z521" i="3"/>
  <c r="Z522" i="3"/>
  <c r="Z523" i="3"/>
  <c r="Z524" i="3"/>
  <c r="Z525" i="3"/>
  <c r="Z526" i="3"/>
  <c r="Z527" i="3"/>
  <c r="Z528" i="3"/>
  <c r="Z529" i="3"/>
  <c r="Z530" i="3"/>
  <c r="Z531" i="3"/>
  <c r="Z532" i="3"/>
  <c r="Z533" i="3"/>
  <c r="Z534" i="3"/>
  <c r="Z535" i="3"/>
  <c r="Z536" i="3"/>
  <c r="Z537" i="3"/>
  <c r="Z538" i="3"/>
  <c r="Z539" i="3"/>
  <c r="Z540" i="3"/>
  <c r="Z541" i="3"/>
  <c r="Z542" i="3"/>
  <c r="Z543" i="3"/>
  <c r="Z544" i="3"/>
  <c r="Z545" i="3"/>
  <c r="Z546" i="3"/>
  <c r="Z547" i="3"/>
  <c r="Z548" i="3"/>
  <c r="Z549" i="3"/>
  <c r="Z550" i="3"/>
  <c r="Z551" i="3"/>
  <c r="Z552" i="3"/>
  <c r="Z553" i="3"/>
  <c r="Z554" i="3"/>
  <c r="Z555" i="3"/>
  <c r="Z556" i="3"/>
  <c r="Z557" i="3"/>
  <c r="Z558" i="3"/>
  <c r="Z559" i="3"/>
  <c r="Z560" i="3"/>
  <c r="Z561" i="3"/>
  <c r="Z562" i="3"/>
  <c r="Z563" i="3"/>
  <c r="Z564" i="3"/>
  <c r="Z565" i="3"/>
  <c r="Z566" i="3"/>
  <c r="Z567" i="3"/>
  <c r="Z568" i="3"/>
  <c r="Z569" i="3"/>
  <c r="Z570" i="3"/>
  <c r="Z571" i="3"/>
  <c r="Z572" i="3"/>
  <c r="Z573" i="3"/>
  <c r="Z574" i="3"/>
  <c r="Z575" i="3"/>
  <c r="Z576" i="3"/>
  <c r="Z577" i="3"/>
  <c r="Z578" i="3"/>
  <c r="Z579" i="3"/>
  <c r="Z580" i="3"/>
  <c r="Z581" i="3"/>
  <c r="Z582" i="3"/>
  <c r="Z583" i="3"/>
  <c r="Z584" i="3"/>
  <c r="Z585" i="3"/>
  <c r="Z586" i="3"/>
  <c r="Z587" i="3"/>
  <c r="Z588" i="3"/>
  <c r="Z589" i="3"/>
  <c r="Z590" i="3"/>
  <c r="Z591" i="3"/>
  <c r="Z592" i="3"/>
  <c r="Z593" i="3"/>
  <c r="Z594" i="3"/>
  <c r="Z595" i="3"/>
  <c r="Z596" i="3"/>
  <c r="Z597" i="3"/>
  <c r="Z598" i="3"/>
  <c r="Z599" i="3"/>
  <c r="Z600" i="3"/>
  <c r="Z601" i="3"/>
  <c r="Z602" i="3"/>
  <c r="Z603" i="3"/>
  <c r="Z604" i="3"/>
  <c r="Z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2" i="3"/>
  <c r="U1" i="4"/>
  <c r="U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0" i="4"/>
  <c r="U331" i="4"/>
  <c r="U332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2" i="4"/>
  <c r="U363" i="4"/>
  <c r="U364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0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U445" i="4"/>
  <c r="U446" i="4"/>
  <c r="U447" i="4"/>
  <c r="U448" i="4"/>
  <c r="U449" i="4"/>
  <c r="U450" i="4"/>
  <c r="U451" i="4"/>
  <c r="U452" i="4"/>
  <c r="U453" i="4"/>
  <c r="U454" i="4"/>
  <c r="U455" i="4"/>
  <c r="U456" i="4"/>
  <c r="U457" i="4"/>
  <c r="U458" i="4"/>
  <c r="U459" i="4"/>
  <c r="U460" i="4"/>
  <c r="W3" i="4"/>
  <c r="X3" i="4"/>
  <c r="Y3" i="4"/>
  <c r="Z3" i="4"/>
  <c r="W4" i="4"/>
  <c r="X4" i="4"/>
  <c r="Y4" i="4"/>
  <c r="Z4" i="4"/>
  <c r="W5" i="4"/>
  <c r="X5" i="4"/>
  <c r="Y5" i="4"/>
  <c r="Z5" i="4"/>
  <c r="W6" i="4"/>
  <c r="X6" i="4"/>
  <c r="Y6" i="4"/>
  <c r="Z6" i="4"/>
  <c r="W7" i="4"/>
  <c r="X7" i="4"/>
  <c r="Y7" i="4"/>
  <c r="Z7" i="4"/>
  <c r="W8" i="4"/>
  <c r="X8" i="4"/>
  <c r="Y8" i="4"/>
  <c r="Z8" i="4"/>
  <c r="W9" i="4"/>
  <c r="X9" i="4"/>
  <c r="Y9" i="4"/>
  <c r="Z9" i="4"/>
  <c r="W10" i="4"/>
  <c r="X10" i="4"/>
  <c r="Y10" i="4"/>
  <c r="Z10" i="4"/>
  <c r="W11" i="4"/>
  <c r="X11" i="4"/>
  <c r="Y11" i="4"/>
  <c r="Z11" i="4"/>
  <c r="W12" i="4"/>
  <c r="X12" i="4"/>
  <c r="Y12" i="4"/>
  <c r="Z12" i="4"/>
  <c r="W13" i="4"/>
  <c r="X13" i="4"/>
  <c r="Y13" i="4"/>
  <c r="Z13" i="4"/>
  <c r="W14" i="4"/>
  <c r="X14" i="4"/>
  <c r="Y14" i="4"/>
  <c r="Z14" i="4"/>
  <c r="W15" i="4"/>
  <c r="X15" i="4"/>
  <c r="Y15" i="4"/>
  <c r="Z15" i="4"/>
  <c r="W16" i="4"/>
  <c r="X16" i="4"/>
  <c r="Y16" i="4"/>
  <c r="Z16" i="4"/>
  <c r="W17" i="4"/>
  <c r="X17" i="4"/>
  <c r="Y17" i="4"/>
  <c r="Z17" i="4"/>
  <c r="W18" i="4"/>
  <c r="X18" i="4"/>
  <c r="Y18" i="4"/>
  <c r="Z18" i="4"/>
  <c r="W19" i="4"/>
  <c r="X19" i="4"/>
  <c r="Y19" i="4"/>
  <c r="Z19" i="4"/>
  <c r="W20" i="4"/>
  <c r="X20" i="4"/>
  <c r="Y20" i="4"/>
  <c r="Z20" i="4"/>
  <c r="W21" i="4"/>
  <c r="X21" i="4"/>
  <c r="Y21" i="4"/>
  <c r="Z21" i="4"/>
  <c r="W22" i="4"/>
  <c r="X22" i="4"/>
  <c r="Y22" i="4"/>
  <c r="Z22" i="4"/>
  <c r="W23" i="4"/>
  <c r="X23" i="4"/>
  <c r="Y23" i="4"/>
  <c r="Z23" i="4"/>
  <c r="W24" i="4"/>
  <c r="X24" i="4"/>
  <c r="Y24" i="4"/>
  <c r="Z24" i="4"/>
  <c r="W25" i="4"/>
  <c r="X25" i="4"/>
  <c r="Y25" i="4"/>
  <c r="Z25" i="4"/>
  <c r="W26" i="4"/>
  <c r="X26" i="4"/>
  <c r="Y26" i="4"/>
  <c r="Z26" i="4"/>
  <c r="W27" i="4"/>
  <c r="X27" i="4"/>
  <c r="Y27" i="4"/>
  <c r="Z27" i="4"/>
  <c r="W28" i="4"/>
  <c r="X28" i="4"/>
  <c r="Y28" i="4"/>
  <c r="Z28" i="4"/>
  <c r="W29" i="4"/>
  <c r="X29" i="4"/>
  <c r="Y29" i="4"/>
  <c r="Z29" i="4"/>
  <c r="W30" i="4"/>
  <c r="X30" i="4"/>
  <c r="Y30" i="4"/>
  <c r="Z30" i="4"/>
  <c r="W31" i="4"/>
  <c r="X31" i="4"/>
  <c r="Y31" i="4"/>
  <c r="Z31" i="4"/>
  <c r="W32" i="4"/>
  <c r="X32" i="4"/>
  <c r="Y32" i="4"/>
  <c r="Z32" i="4"/>
  <c r="W33" i="4"/>
  <c r="X33" i="4"/>
  <c r="Y33" i="4"/>
  <c r="Z33" i="4"/>
  <c r="W34" i="4"/>
  <c r="X34" i="4"/>
  <c r="Y34" i="4"/>
  <c r="Z34" i="4"/>
  <c r="W35" i="4"/>
  <c r="X35" i="4"/>
  <c r="Y35" i="4"/>
  <c r="Z35" i="4"/>
  <c r="W36" i="4"/>
  <c r="X36" i="4"/>
  <c r="Y36" i="4"/>
  <c r="Z36" i="4"/>
  <c r="W37" i="4"/>
  <c r="X37" i="4"/>
  <c r="Y37" i="4"/>
  <c r="Z37" i="4"/>
  <c r="W38" i="4"/>
  <c r="X38" i="4"/>
  <c r="Y38" i="4"/>
  <c r="Z38" i="4"/>
  <c r="W39" i="4"/>
  <c r="X39" i="4"/>
  <c r="Y39" i="4"/>
  <c r="Z39" i="4"/>
  <c r="W40" i="4"/>
  <c r="X40" i="4"/>
  <c r="Y40" i="4"/>
  <c r="Z40" i="4"/>
  <c r="W41" i="4"/>
  <c r="X41" i="4"/>
  <c r="Y41" i="4"/>
  <c r="Z41" i="4"/>
  <c r="W42" i="4"/>
  <c r="X42" i="4"/>
  <c r="Y42" i="4"/>
  <c r="Z42" i="4"/>
  <c r="W43" i="4"/>
  <c r="X43" i="4"/>
  <c r="Y43" i="4"/>
  <c r="Z43" i="4"/>
  <c r="W44" i="4"/>
  <c r="X44" i="4"/>
  <c r="Y44" i="4"/>
  <c r="Z44" i="4"/>
  <c r="W45" i="4"/>
  <c r="X45" i="4"/>
  <c r="Y45" i="4"/>
  <c r="Z45" i="4"/>
  <c r="W46" i="4"/>
  <c r="X46" i="4"/>
  <c r="Y46" i="4"/>
  <c r="Z46" i="4"/>
  <c r="W47" i="4"/>
  <c r="X47" i="4"/>
  <c r="Y47" i="4"/>
  <c r="Z47" i="4"/>
  <c r="W48" i="4"/>
  <c r="X48" i="4"/>
  <c r="Y48" i="4"/>
  <c r="Z48" i="4"/>
  <c r="W49" i="4"/>
  <c r="X49" i="4"/>
  <c r="Y49" i="4"/>
  <c r="Z49" i="4"/>
  <c r="W50" i="4"/>
  <c r="X50" i="4"/>
  <c r="Y50" i="4"/>
  <c r="Z50" i="4"/>
  <c r="W51" i="4"/>
  <c r="X51" i="4"/>
  <c r="Y51" i="4"/>
  <c r="Z51" i="4"/>
  <c r="W52" i="4"/>
  <c r="X52" i="4"/>
  <c r="Y52" i="4"/>
  <c r="Z52" i="4"/>
  <c r="W53" i="4"/>
  <c r="X53" i="4"/>
  <c r="Y53" i="4"/>
  <c r="Z53" i="4"/>
  <c r="W54" i="4"/>
  <c r="X54" i="4"/>
  <c r="Y54" i="4"/>
  <c r="Z54" i="4"/>
  <c r="W55" i="4"/>
  <c r="X55" i="4"/>
  <c r="Y55" i="4"/>
  <c r="Z55" i="4"/>
  <c r="W56" i="4"/>
  <c r="X56" i="4"/>
  <c r="Y56" i="4"/>
  <c r="Z56" i="4"/>
  <c r="W57" i="4"/>
  <c r="X57" i="4"/>
  <c r="Y57" i="4"/>
  <c r="Z57" i="4"/>
  <c r="W58" i="4"/>
  <c r="X58" i="4"/>
  <c r="Y58" i="4"/>
  <c r="Z58" i="4"/>
  <c r="W59" i="4"/>
  <c r="X59" i="4"/>
  <c r="Y59" i="4"/>
  <c r="Z59" i="4"/>
  <c r="W60" i="4"/>
  <c r="X60" i="4"/>
  <c r="Y60" i="4"/>
  <c r="Z60" i="4"/>
  <c r="W61" i="4"/>
  <c r="X61" i="4"/>
  <c r="Y61" i="4"/>
  <c r="Z61" i="4"/>
  <c r="W62" i="4"/>
  <c r="X62" i="4"/>
  <c r="Y62" i="4"/>
  <c r="Z62" i="4"/>
  <c r="W63" i="4"/>
  <c r="X63" i="4"/>
  <c r="Y63" i="4"/>
  <c r="Z63" i="4"/>
  <c r="W64" i="4"/>
  <c r="X64" i="4"/>
  <c r="Y64" i="4"/>
  <c r="Z64" i="4"/>
  <c r="W65" i="4"/>
  <c r="X65" i="4"/>
  <c r="Y65" i="4"/>
  <c r="Z65" i="4"/>
  <c r="W66" i="4"/>
  <c r="X66" i="4"/>
  <c r="Y66" i="4"/>
  <c r="Z66" i="4"/>
  <c r="W67" i="4"/>
  <c r="X67" i="4"/>
  <c r="Y67" i="4"/>
  <c r="Z67" i="4"/>
  <c r="W68" i="4"/>
  <c r="X68" i="4"/>
  <c r="Y68" i="4"/>
  <c r="Z68" i="4"/>
  <c r="W69" i="4"/>
  <c r="X69" i="4"/>
  <c r="Y69" i="4"/>
  <c r="Z69" i="4"/>
  <c r="W70" i="4"/>
  <c r="X70" i="4"/>
  <c r="Y70" i="4"/>
  <c r="Z70" i="4"/>
  <c r="W71" i="4"/>
  <c r="X71" i="4"/>
  <c r="Y71" i="4"/>
  <c r="Z71" i="4"/>
  <c r="W72" i="4"/>
  <c r="X72" i="4"/>
  <c r="Y72" i="4"/>
  <c r="Z72" i="4"/>
  <c r="W73" i="4"/>
  <c r="X73" i="4"/>
  <c r="Y73" i="4"/>
  <c r="Z73" i="4"/>
  <c r="W74" i="4"/>
  <c r="X74" i="4"/>
  <c r="Y74" i="4"/>
  <c r="Z74" i="4"/>
  <c r="W75" i="4"/>
  <c r="X75" i="4"/>
  <c r="Y75" i="4"/>
  <c r="Z75" i="4"/>
  <c r="W76" i="4"/>
  <c r="X76" i="4"/>
  <c r="Y76" i="4"/>
  <c r="Z76" i="4"/>
  <c r="W77" i="4"/>
  <c r="X77" i="4"/>
  <c r="Y77" i="4"/>
  <c r="Z77" i="4"/>
  <c r="W78" i="4"/>
  <c r="X78" i="4"/>
  <c r="Y78" i="4"/>
  <c r="Z78" i="4"/>
  <c r="W79" i="4"/>
  <c r="X79" i="4"/>
  <c r="Y79" i="4"/>
  <c r="Z79" i="4"/>
  <c r="W80" i="4"/>
  <c r="X80" i="4"/>
  <c r="Y80" i="4"/>
  <c r="Z80" i="4"/>
  <c r="W81" i="4"/>
  <c r="X81" i="4"/>
  <c r="Y81" i="4"/>
  <c r="Z81" i="4"/>
  <c r="W82" i="4"/>
  <c r="X82" i="4"/>
  <c r="Y82" i="4"/>
  <c r="Z82" i="4"/>
  <c r="W83" i="4"/>
  <c r="X83" i="4"/>
  <c r="Y83" i="4"/>
  <c r="Z83" i="4"/>
  <c r="W84" i="4"/>
  <c r="X84" i="4"/>
  <c r="Y84" i="4"/>
  <c r="Z84" i="4"/>
  <c r="W85" i="4"/>
  <c r="X85" i="4"/>
  <c r="Y85" i="4"/>
  <c r="Z85" i="4"/>
  <c r="W86" i="4"/>
  <c r="X86" i="4"/>
  <c r="Y86" i="4"/>
  <c r="Z86" i="4"/>
  <c r="W87" i="4"/>
  <c r="X87" i="4"/>
  <c r="Y87" i="4"/>
  <c r="Z87" i="4"/>
  <c r="W88" i="4"/>
  <c r="X88" i="4"/>
  <c r="Y88" i="4"/>
  <c r="Z88" i="4"/>
  <c r="W89" i="4"/>
  <c r="X89" i="4"/>
  <c r="Y89" i="4"/>
  <c r="Z89" i="4"/>
  <c r="W90" i="4"/>
  <c r="X90" i="4"/>
  <c r="Y90" i="4"/>
  <c r="Z90" i="4"/>
  <c r="W91" i="4"/>
  <c r="X91" i="4"/>
  <c r="Y91" i="4"/>
  <c r="Z91" i="4"/>
  <c r="W92" i="4"/>
  <c r="X92" i="4"/>
  <c r="Y92" i="4"/>
  <c r="Z92" i="4"/>
  <c r="W93" i="4"/>
  <c r="X93" i="4"/>
  <c r="Y93" i="4"/>
  <c r="Z93" i="4"/>
  <c r="W94" i="4"/>
  <c r="X94" i="4"/>
  <c r="Y94" i="4"/>
  <c r="Z94" i="4"/>
  <c r="W95" i="4"/>
  <c r="X95" i="4"/>
  <c r="Y95" i="4"/>
  <c r="Z95" i="4"/>
  <c r="W96" i="4"/>
  <c r="X96" i="4"/>
  <c r="Y96" i="4"/>
  <c r="Z96" i="4"/>
  <c r="W97" i="4"/>
  <c r="X97" i="4"/>
  <c r="Y97" i="4"/>
  <c r="Z97" i="4"/>
  <c r="W98" i="4"/>
  <c r="X98" i="4"/>
  <c r="Y98" i="4"/>
  <c r="Z98" i="4"/>
  <c r="W99" i="4"/>
  <c r="X99" i="4"/>
  <c r="Y99" i="4"/>
  <c r="Z99" i="4"/>
  <c r="W100" i="4"/>
  <c r="X100" i="4"/>
  <c r="Y100" i="4"/>
  <c r="Z100" i="4"/>
  <c r="W101" i="4"/>
  <c r="X101" i="4"/>
  <c r="Y101" i="4"/>
  <c r="Z101" i="4"/>
  <c r="W102" i="4"/>
  <c r="X102" i="4"/>
  <c r="Y102" i="4"/>
  <c r="Z102" i="4"/>
  <c r="W103" i="4"/>
  <c r="X103" i="4"/>
  <c r="Y103" i="4"/>
  <c r="Z103" i="4"/>
  <c r="W104" i="4"/>
  <c r="X104" i="4"/>
  <c r="Y104" i="4"/>
  <c r="Z104" i="4"/>
  <c r="W105" i="4"/>
  <c r="X105" i="4"/>
  <c r="Y105" i="4"/>
  <c r="Z105" i="4"/>
  <c r="W106" i="4"/>
  <c r="X106" i="4"/>
  <c r="Y106" i="4"/>
  <c r="Z106" i="4"/>
  <c r="W107" i="4"/>
  <c r="X107" i="4"/>
  <c r="Y107" i="4"/>
  <c r="Z107" i="4"/>
  <c r="W108" i="4"/>
  <c r="X108" i="4"/>
  <c r="Y108" i="4"/>
  <c r="Z108" i="4"/>
  <c r="W109" i="4"/>
  <c r="X109" i="4"/>
  <c r="Y109" i="4"/>
  <c r="Z109" i="4"/>
  <c r="W110" i="4"/>
  <c r="X110" i="4"/>
  <c r="Y110" i="4"/>
  <c r="Z110" i="4"/>
  <c r="W111" i="4"/>
  <c r="X111" i="4"/>
  <c r="Y111" i="4"/>
  <c r="Z111" i="4"/>
  <c r="W112" i="4"/>
  <c r="X112" i="4"/>
  <c r="Y112" i="4"/>
  <c r="Z112" i="4"/>
  <c r="W113" i="4"/>
  <c r="X113" i="4"/>
  <c r="Y113" i="4"/>
  <c r="Z113" i="4"/>
  <c r="W114" i="4"/>
  <c r="X114" i="4"/>
  <c r="Y114" i="4"/>
  <c r="Z114" i="4"/>
  <c r="W115" i="4"/>
  <c r="X115" i="4"/>
  <c r="Y115" i="4"/>
  <c r="Z115" i="4"/>
  <c r="W116" i="4"/>
  <c r="X116" i="4"/>
  <c r="Y116" i="4"/>
  <c r="Z116" i="4"/>
  <c r="W117" i="4"/>
  <c r="X117" i="4"/>
  <c r="Y117" i="4"/>
  <c r="Z117" i="4"/>
  <c r="W118" i="4"/>
  <c r="X118" i="4"/>
  <c r="Y118" i="4"/>
  <c r="Z118" i="4"/>
  <c r="W119" i="4"/>
  <c r="X119" i="4"/>
  <c r="Y119" i="4"/>
  <c r="Z119" i="4"/>
  <c r="W120" i="4"/>
  <c r="X120" i="4"/>
  <c r="Y120" i="4"/>
  <c r="Z120" i="4"/>
  <c r="W121" i="4"/>
  <c r="X121" i="4"/>
  <c r="Y121" i="4"/>
  <c r="Z121" i="4"/>
  <c r="W122" i="4"/>
  <c r="X122" i="4"/>
  <c r="Y122" i="4"/>
  <c r="Z122" i="4"/>
  <c r="W123" i="4"/>
  <c r="X123" i="4"/>
  <c r="Y123" i="4"/>
  <c r="Z123" i="4"/>
  <c r="W124" i="4"/>
  <c r="X124" i="4"/>
  <c r="Y124" i="4"/>
  <c r="Z124" i="4"/>
  <c r="W125" i="4"/>
  <c r="X125" i="4"/>
  <c r="Y125" i="4"/>
  <c r="Z125" i="4"/>
  <c r="W126" i="4"/>
  <c r="X126" i="4"/>
  <c r="Y126" i="4"/>
  <c r="Z126" i="4"/>
  <c r="W127" i="4"/>
  <c r="X127" i="4"/>
  <c r="Y127" i="4"/>
  <c r="Z127" i="4"/>
  <c r="W128" i="4"/>
  <c r="X128" i="4"/>
  <c r="Y128" i="4"/>
  <c r="Z128" i="4"/>
  <c r="W129" i="4"/>
  <c r="X129" i="4"/>
  <c r="Y129" i="4"/>
  <c r="Z129" i="4"/>
  <c r="W130" i="4"/>
  <c r="X130" i="4"/>
  <c r="Y130" i="4"/>
  <c r="Z130" i="4"/>
  <c r="W131" i="4"/>
  <c r="X131" i="4"/>
  <c r="Y131" i="4"/>
  <c r="Z131" i="4"/>
  <c r="W132" i="4"/>
  <c r="X132" i="4"/>
  <c r="Y132" i="4"/>
  <c r="Z132" i="4"/>
  <c r="W133" i="4"/>
  <c r="X133" i="4"/>
  <c r="Y133" i="4"/>
  <c r="Z133" i="4"/>
  <c r="W134" i="4"/>
  <c r="X134" i="4"/>
  <c r="Y134" i="4"/>
  <c r="Z134" i="4"/>
  <c r="W135" i="4"/>
  <c r="X135" i="4"/>
  <c r="Y135" i="4"/>
  <c r="Z135" i="4"/>
  <c r="W136" i="4"/>
  <c r="X136" i="4"/>
  <c r="Y136" i="4"/>
  <c r="Z136" i="4"/>
  <c r="W137" i="4"/>
  <c r="X137" i="4"/>
  <c r="Y137" i="4"/>
  <c r="Z137" i="4"/>
  <c r="W138" i="4"/>
  <c r="X138" i="4"/>
  <c r="Y138" i="4"/>
  <c r="Z138" i="4"/>
  <c r="W139" i="4"/>
  <c r="X139" i="4"/>
  <c r="Y139" i="4"/>
  <c r="Z139" i="4"/>
  <c r="W140" i="4"/>
  <c r="X140" i="4"/>
  <c r="Y140" i="4"/>
  <c r="Z140" i="4"/>
  <c r="W141" i="4"/>
  <c r="X141" i="4"/>
  <c r="Y141" i="4"/>
  <c r="Z141" i="4"/>
  <c r="W142" i="4"/>
  <c r="X142" i="4"/>
  <c r="Y142" i="4"/>
  <c r="Z142" i="4"/>
  <c r="W143" i="4"/>
  <c r="X143" i="4"/>
  <c r="Y143" i="4"/>
  <c r="Z143" i="4"/>
  <c r="W144" i="4"/>
  <c r="X144" i="4"/>
  <c r="Y144" i="4"/>
  <c r="Z144" i="4"/>
  <c r="W145" i="4"/>
  <c r="X145" i="4"/>
  <c r="Y145" i="4"/>
  <c r="Z145" i="4"/>
  <c r="W146" i="4"/>
  <c r="X146" i="4"/>
  <c r="Y146" i="4"/>
  <c r="Z146" i="4"/>
  <c r="W147" i="4"/>
  <c r="X147" i="4"/>
  <c r="Y147" i="4"/>
  <c r="Z147" i="4"/>
  <c r="W148" i="4"/>
  <c r="X148" i="4"/>
  <c r="Y148" i="4"/>
  <c r="Z148" i="4"/>
  <c r="W149" i="4"/>
  <c r="X149" i="4"/>
  <c r="Y149" i="4"/>
  <c r="Z149" i="4"/>
  <c r="W150" i="4"/>
  <c r="X150" i="4"/>
  <c r="Y150" i="4"/>
  <c r="Z150" i="4"/>
  <c r="W151" i="4"/>
  <c r="X151" i="4"/>
  <c r="Y151" i="4"/>
  <c r="Z151" i="4"/>
  <c r="W152" i="4"/>
  <c r="X152" i="4"/>
  <c r="Y152" i="4"/>
  <c r="Z152" i="4"/>
  <c r="W153" i="4"/>
  <c r="X153" i="4"/>
  <c r="Y153" i="4"/>
  <c r="Z153" i="4"/>
  <c r="W154" i="4"/>
  <c r="X154" i="4"/>
  <c r="Y154" i="4"/>
  <c r="Z154" i="4"/>
  <c r="W155" i="4"/>
  <c r="X155" i="4"/>
  <c r="Y155" i="4"/>
  <c r="Z155" i="4"/>
  <c r="W156" i="4"/>
  <c r="X156" i="4"/>
  <c r="Y156" i="4"/>
  <c r="Z156" i="4"/>
  <c r="W157" i="4"/>
  <c r="X157" i="4"/>
  <c r="Y157" i="4"/>
  <c r="Z157" i="4"/>
  <c r="W158" i="4"/>
  <c r="X158" i="4"/>
  <c r="Y158" i="4"/>
  <c r="Z158" i="4"/>
  <c r="W159" i="4"/>
  <c r="X159" i="4"/>
  <c r="Y159" i="4"/>
  <c r="Z159" i="4"/>
  <c r="W160" i="4"/>
  <c r="X160" i="4"/>
  <c r="Y160" i="4"/>
  <c r="Z160" i="4"/>
  <c r="W161" i="4"/>
  <c r="X161" i="4"/>
  <c r="Y161" i="4"/>
  <c r="Z161" i="4"/>
  <c r="W162" i="4"/>
  <c r="X162" i="4"/>
  <c r="Y162" i="4"/>
  <c r="Z162" i="4"/>
  <c r="W163" i="4"/>
  <c r="X163" i="4"/>
  <c r="Y163" i="4"/>
  <c r="Z163" i="4"/>
  <c r="W164" i="4"/>
  <c r="X164" i="4"/>
  <c r="Y164" i="4"/>
  <c r="Z164" i="4"/>
  <c r="W165" i="4"/>
  <c r="X165" i="4"/>
  <c r="Y165" i="4"/>
  <c r="Z165" i="4"/>
  <c r="W166" i="4"/>
  <c r="X166" i="4"/>
  <c r="Y166" i="4"/>
  <c r="Z166" i="4"/>
  <c r="W167" i="4"/>
  <c r="X167" i="4"/>
  <c r="Y167" i="4"/>
  <c r="Z167" i="4"/>
  <c r="W168" i="4"/>
  <c r="X168" i="4"/>
  <c r="Y168" i="4"/>
  <c r="Z168" i="4"/>
  <c r="W169" i="4"/>
  <c r="X169" i="4"/>
  <c r="Y169" i="4"/>
  <c r="Z169" i="4"/>
  <c r="W170" i="4"/>
  <c r="X170" i="4"/>
  <c r="Y170" i="4"/>
  <c r="Z170" i="4"/>
  <c r="W171" i="4"/>
  <c r="X171" i="4"/>
  <c r="Y171" i="4"/>
  <c r="Z171" i="4"/>
  <c r="W172" i="4"/>
  <c r="X172" i="4"/>
  <c r="Y172" i="4"/>
  <c r="Z172" i="4"/>
  <c r="W173" i="4"/>
  <c r="X173" i="4"/>
  <c r="Y173" i="4"/>
  <c r="Z173" i="4"/>
  <c r="W174" i="4"/>
  <c r="X174" i="4"/>
  <c r="Y174" i="4"/>
  <c r="Z174" i="4"/>
  <c r="W175" i="4"/>
  <c r="X175" i="4"/>
  <c r="Y175" i="4"/>
  <c r="Z175" i="4"/>
  <c r="W176" i="4"/>
  <c r="X176" i="4"/>
  <c r="Y176" i="4"/>
  <c r="Z176" i="4"/>
  <c r="W177" i="4"/>
  <c r="X177" i="4"/>
  <c r="Y177" i="4"/>
  <c r="Z177" i="4"/>
  <c r="W178" i="4"/>
  <c r="X178" i="4"/>
  <c r="Y178" i="4"/>
  <c r="Z178" i="4"/>
  <c r="W179" i="4"/>
  <c r="X179" i="4"/>
  <c r="Y179" i="4"/>
  <c r="Z179" i="4"/>
  <c r="W180" i="4"/>
  <c r="X180" i="4"/>
  <c r="Y180" i="4"/>
  <c r="Z180" i="4"/>
  <c r="W181" i="4"/>
  <c r="X181" i="4"/>
  <c r="Y181" i="4"/>
  <c r="Z181" i="4"/>
  <c r="W182" i="4"/>
  <c r="X182" i="4"/>
  <c r="Y182" i="4"/>
  <c r="Z182" i="4"/>
  <c r="W183" i="4"/>
  <c r="X183" i="4"/>
  <c r="Y183" i="4"/>
  <c r="Z183" i="4"/>
  <c r="W184" i="4"/>
  <c r="X184" i="4"/>
  <c r="Y184" i="4"/>
  <c r="Z184" i="4"/>
  <c r="W185" i="4"/>
  <c r="X185" i="4"/>
  <c r="Y185" i="4"/>
  <c r="Z185" i="4"/>
  <c r="W186" i="4"/>
  <c r="X186" i="4"/>
  <c r="Y186" i="4"/>
  <c r="Z186" i="4"/>
  <c r="W187" i="4"/>
  <c r="X187" i="4"/>
  <c r="Y187" i="4"/>
  <c r="Z187" i="4"/>
  <c r="W188" i="4"/>
  <c r="X188" i="4"/>
  <c r="Y188" i="4"/>
  <c r="Z188" i="4"/>
  <c r="W189" i="4"/>
  <c r="X189" i="4"/>
  <c r="Y189" i="4"/>
  <c r="Z189" i="4"/>
  <c r="W190" i="4"/>
  <c r="X190" i="4"/>
  <c r="Y190" i="4"/>
  <c r="Z190" i="4"/>
  <c r="W191" i="4"/>
  <c r="X191" i="4"/>
  <c r="Y191" i="4"/>
  <c r="Z191" i="4"/>
  <c r="W192" i="4"/>
  <c r="X192" i="4"/>
  <c r="Y192" i="4"/>
  <c r="Z192" i="4"/>
  <c r="W193" i="4"/>
  <c r="X193" i="4"/>
  <c r="Y193" i="4"/>
  <c r="Z193" i="4"/>
  <c r="W194" i="4"/>
  <c r="X194" i="4"/>
  <c r="Y194" i="4"/>
  <c r="Z194" i="4"/>
  <c r="W195" i="4"/>
  <c r="X195" i="4"/>
  <c r="Y195" i="4"/>
  <c r="Z195" i="4"/>
  <c r="W196" i="4"/>
  <c r="X196" i="4"/>
  <c r="Y196" i="4"/>
  <c r="Z196" i="4"/>
  <c r="W197" i="4"/>
  <c r="X197" i="4"/>
  <c r="Y197" i="4"/>
  <c r="Z197" i="4"/>
  <c r="W198" i="4"/>
  <c r="X198" i="4"/>
  <c r="Y198" i="4"/>
  <c r="Z198" i="4"/>
  <c r="W199" i="4"/>
  <c r="X199" i="4"/>
  <c r="Y199" i="4"/>
  <c r="Z199" i="4"/>
  <c r="W200" i="4"/>
  <c r="X200" i="4"/>
  <c r="Y200" i="4"/>
  <c r="Z200" i="4"/>
  <c r="W201" i="4"/>
  <c r="X201" i="4"/>
  <c r="Y201" i="4"/>
  <c r="Z201" i="4"/>
  <c r="W202" i="4"/>
  <c r="X202" i="4"/>
  <c r="Y202" i="4"/>
  <c r="Z202" i="4"/>
  <c r="W203" i="4"/>
  <c r="X203" i="4"/>
  <c r="Y203" i="4"/>
  <c r="Z203" i="4"/>
  <c r="W204" i="4"/>
  <c r="X204" i="4"/>
  <c r="Y204" i="4"/>
  <c r="Z204" i="4"/>
  <c r="W205" i="4"/>
  <c r="X205" i="4"/>
  <c r="Y205" i="4"/>
  <c r="Z205" i="4"/>
  <c r="W206" i="4"/>
  <c r="X206" i="4"/>
  <c r="Y206" i="4"/>
  <c r="Z206" i="4"/>
  <c r="W207" i="4"/>
  <c r="X207" i="4"/>
  <c r="Y207" i="4"/>
  <c r="Z207" i="4"/>
  <c r="W208" i="4"/>
  <c r="X208" i="4"/>
  <c r="Y208" i="4"/>
  <c r="Z208" i="4"/>
  <c r="W209" i="4"/>
  <c r="X209" i="4"/>
  <c r="Y209" i="4"/>
  <c r="Z209" i="4"/>
  <c r="W210" i="4"/>
  <c r="X210" i="4"/>
  <c r="Y210" i="4"/>
  <c r="Z210" i="4"/>
  <c r="W211" i="4"/>
  <c r="X211" i="4"/>
  <c r="Y211" i="4"/>
  <c r="Z211" i="4"/>
  <c r="W212" i="4"/>
  <c r="X212" i="4"/>
  <c r="Y212" i="4"/>
  <c r="Z212" i="4"/>
  <c r="W213" i="4"/>
  <c r="X213" i="4"/>
  <c r="Y213" i="4"/>
  <c r="Z213" i="4"/>
  <c r="W214" i="4"/>
  <c r="X214" i="4"/>
  <c r="Y214" i="4"/>
  <c r="Z214" i="4"/>
  <c r="W215" i="4"/>
  <c r="X215" i="4"/>
  <c r="Y215" i="4"/>
  <c r="Z215" i="4"/>
  <c r="W216" i="4"/>
  <c r="X216" i="4"/>
  <c r="Y216" i="4"/>
  <c r="Z216" i="4"/>
  <c r="W217" i="4"/>
  <c r="X217" i="4"/>
  <c r="Y217" i="4"/>
  <c r="Z217" i="4"/>
  <c r="W218" i="4"/>
  <c r="X218" i="4"/>
  <c r="Y218" i="4"/>
  <c r="Z218" i="4"/>
  <c r="W219" i="4"/>
  <c r="X219" i="4"/>
  <c r="Y219" i="4"/>
  <c r="Z219" i="4"/>
  <c r="W220" i="4"/>
  <c r="X220" i="4"/>
  <c r="Y220" i="4"/>
  <c r="Z220" i="4"/>
  <c r="W221" i="4"/>
  <c r="X221" i="4"/>
  <c r="Y221" i="4"/>
  <c r="Z221" i="4"/>
  <c r="W222" i="4"/>
  <c r="X222" i="4"/>
  <c r="Y222" i="4"/>
  <c r="Z222" i="4"/>
  <c r="W223" i="4"/>
  <c r="X223" i="4"/>
  <c r="Y223" i="4"/>
  <c r="Z223" i="4"/>
  <c r="W224" i="4"/>
  <c r="X224" i="4"/>
  <c r="Y224" i="4"/>
  <c r="Z224" i="4"/>
  <c r="W225" i="4"/>
  <c r="X225" i="4"/>
  <c r="Y225" i="4"/>
  <c r="Z225" i="4"/>
  <c r="W226" i="4"/>
  <c r="X226" i="4"/>
  <c r="Y226" i="4"/>
  <c r="Z226" i="4"/>
  <c r="W227" i="4"/>
  <c r="X227" i="4"/>
  <c r="Y227" i="4"/>
  <c r="Z227" i="4"/>
  <c r="W228" i="4"/>
  <c r="X228" i="4"/>
  <c r="Y228" i="4"/>
  <c r="Z228" i="4"/>
  <c r="W229" i="4"/>
  <c r="X229" i="4"/>
  <c r="Y229" i="4"/>
  <c r="Z229" i="4"/>
  <c r="W230" i="4"/>
  <c r="X230" i="4"/>
  <c r="Y230" i="4"/>
  <c r="Z230" i="4"/>
  <c r="W231" i="4"/>
  <c r="X231" i="4"/>
  <c r="Y231" i="4"/>
  <c r="Z231" i="4"/>
  <c r="W232" i="4"/>
  <c r="X232" i="4"/>
  <c r="Y232" i="4"/>
  <c r="Z232" i="4"/>
  <c r="W233" i="4"/>
  <c r="X233" i="4"/>
  <c r="Y233" i="4"/>
  <c r="Z233" i="4"/>
  <c r="W234" i="4"/>
  <c r="X234" i="4"/>
  <c r="Y234" i="4"/>
  <c r="Z234" i="4"/>
  <c r="W235" i="4"/>
  <c r="X235" i="4"/>
  <c r="Y235" i="4"/>
  <c r="Z235" i="4"/>
  <c r="W236" i="4"/>
  <c r="X236" i="4"/>
  <c r="Y236" i="4"/>
  <c r="Z236" i="4"/>
  <c r="W237" i="4"/>
  <c r="X237" i="4"/>
  <c r="Y237" i="4"/>
  <c r="Z237" i="4"/>
  <c r="W238" i="4"/>
  <c r="X238" i="4"/>
  <c r="Y238" i="4"/>
  <c r="Z238" i="4"/>
  <c r="W239" i="4"/>
  <c r="X239" i="4"/>
  <c r="Y239" i="4"/>
  <c r="Z239" i="4"/>
  <c r="W240" i="4"/>
  <c r="X240" i="4"/>
  <c r="Y240" i="4"/>
  <c r="Z240" i="4"/>
  <c r="W241" i="4"/>
  <c r="X241" i="4"/>
  <c r="Y241" i="4"/>
  <c r="Z241" i="4"/>
  <c r="W242" i="4"/>
  <c r="X242" i="4"/>
  <c r="Y242" i="4"/>
  <c r="Z242" i="4"/>
  <c r="W243" i="4"/>
  <c r="X243" i="4"/>
  <c r="Y243" i="4"/>
  <c r="Z243" i="4"/>
  <c r="W244" i="4"/>
  <c r="X244" i="4"/>
  <c r="Y244" i="4"/>
  <c r="Z244" i="4"/>
  <c r="W245" i="4"/>
  <c r="X245" i="4"/>
  <c r="Y245" i="4"/>
  <c r="Z245" i="4"/>
  <c r="W246" i="4"/>
  <c r="X246" i="4"/>
  <c r="Y246" i="4"/>
  <c r="Z246" i="4"/>
  <c r="W247" i="4"/>
  <c r="X247" i="4"/>
  <c r="Y247" i="4"/>
  <c r="Z247" i="4"/>
  <c r="W248" i="4"/>
  <c r="X248" i="4"/>
  <c r="Y248" i="4"/>
  <c r="Z248" i="4"/>
  <c r="W249" i="4"/>
  <c r="X249" i="4"/>
  <c r="Y249" i="4"/>
  <c r="Z249" i="4"/>
  <c r="W250" i="4"/>
  <c r="X250" i="4"/>
  <c r="Y250" i="4"/>
  <c r="Z250" i="4"/>
  <c r="W251" i="4"/>
  <c r="X251" i="4"/>
  <c r="Y251" i="4"/>
  <c r="Z251" i="4"/>
  <c r="W252" i="4"/>
  <c r="X252" i="4"/>
  <c r="Y252" i="4"/>
  <c r="Z252" i="4"/>
  <c r="W253" i="4"/>
  <c r="X253" i="4"/>
  <c r="Y253" i="4"/>
  <c r="Z253" i="4"/>
  <c r="W254" i="4"/>
  <c r="X254" i="4"/>
  <c r="Y254" i="4"/>
  <c r="Z254" i="4"/>
  <c r="W255" i="4"/>
  <c r="X255" i="4"/>
  <c r="Y255" i="4"/>
  <c r="Z255" i="4"/>
  <c r="W256" i="4"/>
  <c r="X256" i="4"/>
  <c r="Y256" i="4"/>
  <c r="Z256" i="4"/>
  <c r="W257" i="4"/>
  <c r="X257" i="4"/>
  <c r="Y257" i="4"/>
  <c r="Z257" i="4"/>
  <c r="W258" i="4"/>
  <c r="X258" i="4"/>
  <c r="Y258" i="4"/>
  <c r="Z258" i="4"/>
  <c r="W259" i="4"/>
  <c r="X259" i="4"/>
  <c r="Y259" i="4"/>
  <c r="Z259" i="4"/>
  <c r="W260" i="4"/>
  <c r="X260" i="4"/>
  <c r="Y260" i="4"/>
  <c r="Z260" i="4"/>
  <c r="W261" i="4"/>
  <c r="X261" i="4"/>
  <c r="Y261" i="4"/>
  <c r="Z261" i="4"/>
  <c r="W262" i="4"/>
  <c r="X262" i="4"/>
  <c r="Y262" i="4"/>
  <c r="Z262" i="4"/>
  <c r="W263" i="4"/>
  <c r="X263" i="4"/>
  <c r="Y263" i="4"/>
  <c r="Z263" i="4"/>
  <c r="W264" i="4"/>
  <c r="X264" i="4"/>
  <c r="Y264" i="4"/>
  <c r="Z264" i="4"/>
  <c r="W265" i="4"/>
  <c r="X265" i="4"/>
  <c r="Y265" i="4"/>
  <c r="Z265" i="4"/>
  <c r="W266" i="4"/>
  <c r="X266" i="4"/>
  <c r="Y266" i="4"/>
  <c r="Z266" i="4"/>
  <c r="W267" i="4"/>
  <c r="X267" i="4"/>
  <c r="Y267" i="4"/>
  <c r="Z267" i="4"/>
  <c r="W268" i="4"/>
  <c r="X268" i="4"/>
  <c r="Y268" i="4"/>
  <c r="Z268" i="4"/>
  <c r="W269" i="4"/>
  <c r="X269" i="4"/>
  <c r="Y269" i="4"/>
  <c r="Z269" i="4"/>
  <c r="W270" i="4"/>
  <c r="X270" i="4"/>
  <c r="Y270" i="4"/>
  <c r="Z270" i="4"/>
  <c r="W271" i="4"/>
  <c r="X271" i="4"/>
  <c r="Y271" i="4"/>
  <c r="Z271" i="4"/>
  <c r="W272" i="4"/>
  <c r="X272" i="4"/>
  <c r="Y272" i="4"/>
  <c r="Z272" i="4"/>
  <c r="W273" i="4"/>
  <c r="X273" i="4"/>
  <c r="Y273" i="4"/>
  <c r="Z273" i="4"/>
  <c r="W274" i="4"/>
  <c r="X274" i="4"/>
  <c r="Y274" i="4"/>
  <c r="Z274" i="4"/>
  <c r="W275" i="4"/>
  <c r="X275" i="4"/>
  <c r="Y275" i="4"/>
  <c r="Z275" i="4"/>
  <c r="W276" i="4"/>
  <c r="X276" i="4"/>
  <c r="Y276" i="4"/>
  <c r="Z276" i="4"/>
  <c r="W277" i="4"/>
  <c r="X277" i="4"/>
  <c r="Y277" i="4"/>
  <c r="Z277" i="4"/>
  <c r="W278" i="4"/>
  <c r="X278" i="4"/>
  <c r="Y278" i="4"/>
  <c r="Z278" i="4"/>
  <c r="W279" i="4"/>
  <c r="X279" i="4"/>
  <c r="Y279" i="4"/>
  <c r="Z279" i="4"/>
  <c r="W280" i="4"/>
  <c r="X280" i="4"/>
  <c r="Y280" i="4"/>
  <c r="Z280" i="4"/>
  <c r="W281" i="4"/>
  <c r="X281" i="4"/>
  <c r="Y281" i="4"/>
  <c r="Z281" i="4"/>
  <c r="W282" i="4"/>
  <c r="X282" i="4"/>
  <c r="Y282" i="4"/>
  <c r="Z282" i="4"/>
  <c r="W283" i="4"/>
  <c r="X283" i="4"/>
  <c r="Y283" i="4"/>
  <c r="Z283" i="4"/>
  <c r="W284" i="4"/>
  <c r="X284" i="4"/>
  <c r="Y284" i="4"/>
  <c r="Z284" i="4"/>
  <c r="W285" i="4"/>
  <c r="X285" i="4"/>
  <c r="Y285" i="4"/>
  <c r="Z285" i="4"/>
  <c r="W286" i="4"/>
  <c r="X286" i="4"/>
  <c r="Y286" i="4"/>
  <c r="Z286" i="4"/>
  <c r="W287" i="4"/>
  <c r="X287" i="4"/>
  <c r="Y287" i="4"/>
  <c r="Z287" i="4"/>
  <c r="W288" i="4"/>
  <c r="X288" i="4"/>
  <c r="Y288" i="4"/>
  <c r="Z288" i="4"/>
  <c r="W289" i="4"/>
  <c r="X289" i="4"/>
  <c r="Y289" i="4"/>
  <c r="Z289" i="4"/>
  <c r="W290" i="4"/>
  <c r="X290" i="4"/>
  <c r="Y290" i="4"/>
  <c r="Z290" i="4"/>
  <c r="W291" i="4"/>
  <c r="X291" i="4"/>
  <c r="Y291" i="4"/>
  <c r="Z291" i="4"/>
  <c r="W292" i="4"/>
  <c r="X292" i="4"/>
  <c r="Y292" i="4"/>
  <c r="Z292" i="4"/>
  <c r="W293" i="4"/>
  <c r="X293" i="4"/>
  <c r="Y293" i="4"/>
  <c r="Z293" i="4"/>
  <c r="W294" i="4"/>
  <c r="X294" i="4"/>
  <c r="Y294" i="4"/>
  <c r="Z294" i="4"/>
  <c r="W295" i="4"/>
  <c r="X295" i="4"/>
  <c r="Y295" i="4"/>
  <c r="Z295" i="4"/>
  <c r="W296" i="4"/>
  <c r="X296" i="4"/>
  <c r="Y296" i="4"/>
  <c r="Z296" i="4"/>
  <c r="W297" i="4"/>
  <c r="X297" i="4"/>
  <c r="Y297" i="4"/>
  <c r="Z297" i="4"/>
  <c r="W298" i="4"/>
  <c r="X298" i="4"/>
  <c r="Y298" i="4"/>
  <c r="Z298" i="4"/>
  <c r="W299" i="4"/>
  <c r="X299" i="4"/>
  <c r="Y299" i="4"/>
  <c r="Z299" i="4"/>
  <c r="W300" i="4"/>
  <c r="X300" i="4"/>
  <c r="Y300" i="4"/>
  <c r="Z300" i="4"/>
  <c r="W301" i="4"/>
  <c r="X301" i="4"/>
  <c r="Y301" i="4"/>
  <c r="Z301" i="4"/>
  <c r="W302" i="4"/>
  <c r="X302" i="4"/>
  <c r="Y302" i="4"/>
  <c r="Z302" i="4"/>
  <c r="W303" i="4"/>
  <c r="X303" i="4"/>
  <c r="Y303" i="4"/>
  <c r="Z303" i="4"/>
  <c r="W304" i="4"/>
  <c r="X304" i="4"/>
  <c r="Y304" i="4"/>
  <c r="Z304" i="4"/>
  <c r="W305" i="4"/>
  <c r="X305" i="4"/>
  <c r="Y305" i="4"/>
  <c r="Z305" i="4"/>
  <c r="W306" i="4"/>
  <c r="X306" i="4"/>
  <c r="Y306" i="4"/>
  <c r="Z306" i="4"/>
  <c r="W307" i="4"/>
  <c r="X307" i="4"/>
  <c r="Y307" i="4"/>
  <c r="Z307" i="4"/>
  <c r="W308" i="4"/>
  <c r="X308" i="4"/>
  <c r="Y308" i="4"/>
  <c r="Z308" i="4"/>
  <c r="W309" i="4"/>
  <c r="X309" i="4"/>
  <c r="Y309" i="4"/>
  <c r="Z309" i="4"/>
  <c r="W310" i="4"/>
  <c r="X310" i="4"/>
  <c r="Y310" i="4"/>
  <c r="Z310" i="4"/>
  <c r="W311" i="4"/>
  <c r="X311" i="4"/>
  <c r="Y311" i="4"/>
  <c r="Z311" i="4"/>
  <c r="W312" i="4"/>
  <c r="X312" i="4"/>
  <c r="Y312" i="4"/>
  <c r="Z312" i="4"/>
  <c r="W313" i="4"/>
  <c r="X313" i="4"/>
  <c r="Y313" i="4"/>
  <c r="Z313" i="4"/>
  <c r="W314" i="4"/>
  <c r="X314" i="4"/>
  <c r="Y314" i="4"/>
  <c r="Z314" i="4"/>
  <c r="W315" i="4"/>
  <c r="X315" i="4"/>
  <c r="Y315" i="4"/>
  <c r="Z315" i="4"/>
  <c r="W316" i="4"/>
  <c r="X316" i="4"/>
  <c r="Y316" i="4"/>
  <c r="Z316" i="4"/>
  <c r="W317" i="4"/>
  <c r="X317" i="4"/>
  <c r="Y317" i="4"/>
  <c r="Z317" i="4"/>
  <c r="W318" i="4"/>
  <c r="X318" i="4"/>
  <c r="Y318" i="4"/>
  <c r="Z318" i="4"/>
  <c r="W319" i="4"/>
  <c r="X319" i="4"/>
  <c r="Y319" i="4"/>
  <c r="Z319" i="4"/>
  <c r="W320" i="4"/>
  <c r="X320" i="4"/>
  <c r="Y320" i="4"/>
  <c r="Z320" i="4"/>
  <c r="W321" i="4"/>
  <c r="X321" i="4"/>
  <c r="Y321" i="4"/>
  <c r="Z321" i="4"/>
  <c r="W322" i="4"/>
  <c r="X322" i="4"/>
  <c r="Y322" i="4"/>
  <c r="Z322" i="4"/>
  <c r="W323" i="4"/>
  <c r="X323" i="4"/>
  <c r="Y323" i="4"/>
  <c r="Z323" i="4"/>
  <c r="W324" i="4"/>
  <c r="X324" i="4"/>
  <c r="Y324" i="4"/>
  <c r="Z324" i="4"/>
  <c r="W325" i="4"/>
  <c r="X325" i="4"/>
  <c r="Y325" i="4"/>
  <c r="Z325" i="4"/>
  <c r="W326" i="4"/>
  <c r="X326" i="4"/>
  <c r="Y326" i="4"/>
  <c r="Z326" i="4"/>
  <c r="W327" i="4"/>
  <c r="X327" i="4"/>
  <c r="Y327" i="4"/>
  <c r="Z327" i="4"/>
  <c r="W328" i="4"/>
  <c r="X328" i="4"/>
  <c r="Y328" i="4"/>
  <c r="Z328" i="4"/>
  <c r="W329" i="4"/>
  <c r="X329" i="4"/>
  <c r="Y329" i="4"/>
  <c r="Z329" i="4"/>
  <c r="W330" i="4"/>
  <c r="X330" i="4"/>
  <c r="Y330" i="4"/>
  <c r="Z330" i="4"/>
  <c r="W331" i="4"/>
  <c r="X331" i="4"/>
  <c r="Y331" i="4"/>
  <c r="Z331" i="4"/>
  <c r="W332" i="4"/>
  <c r="X332" i="4"/>
  <c r="Y332" i="4"/>
  <c r="Z332" i="4"/>
  <c r="W333" i="4"/>
  <c r="X333" i="4"/>
  <c r="Y333" i="4"/>
  <c r="Z333" i="4"/>
  <c r="W334" i="4"/>
  <c r="X334" i="4"/>
  <c r="Y334" i="4"/>
  <c r="Z334" i="4"/>
  <c r="W335" i="4"/>
  <c r="X335" i="4"/>
  <c r="Y335" i="4"/>
  <c r="Z335" i="4"/>
  <c r="W336" i="4"/>
  <c r="X336" i="4"/>
  <c r="Y336" i="4"/>
  <c r="Z336" i="4"/>
  <c r="W337" i="4"/>
  <c r="X337" i="4"/>
  <c r="Y337" i="4"/>
  <c r="Z337" i="4"/>
  <c r="W338" i="4"/>
  <c r="X338" i="4"/>
  <c r="Y338" i="4"/>
  <c r="Z338" i="4"/>
  <c r="W339" i="4"/>
  <c r="X339" i="4"/>
  <c r="Y339" i="4"/>
  <c r="Z339" i="4"/>
  <c r="W340" i="4"/>
  <c r="X340" i="4"/>
  <c r="Y340" i="4"/>
  <c r="Z340" i="4"/>
  <c r="W341" i="4"/>
  <c r="X341" i="4"/>
  <c r="Y341" i="4"/>
  <c r="Z341" i="4"/>
  <c r="W342" i="4"/>
  <c r="X342" i="4"/>
  <c r="Y342" i="4"/>
  <c r="Z342" i="4"/>
  <c r="W343" i="4"/>
  <c r="X343" i="4"/>
  <c r="Y343" i="4"/>
  <c r="Z343" i="4"/>
  <c r="W344" i="4"/>
  <c r="X344" i="4"/>
  <c r="Y344" i="4"/>
  <c r="Z344" i="4"/>
  <c r="W345" i="4"/>
  <c r="X345" i="4"/>
  <c r="Y345" i="4"/>
  <c r="Z345" i="4"/>
  <c r="W346" i="4"/>
  <c r="X346" i="4"/>
  <c r="Y346" i="4"/>
  <c r="Z346" i="4"/>
  <c r="W347" i="4"/>
  <c r="X347" i="4"/>
  <c r="Y347" i="4"/>
  <c r="Z347" i="4"/>
  <c r="W348" i="4"/>
  <c r="X348" i="4"/>
  <c r="Y348" i="4"/>
  <c r="Z348" i="4"/>
  <c r="W349" i="4"/>
  <c r="X349" i="4"/>
  <c r="Y349" i="4"/>
  <c r="Z349" i="4"/>
  <c r="W350" i="4"/>
  <c r="X350" i="4"/>
  <c r="Y350" i="4"/>
  <c r="Z350" i="4"/>
  <c r="W351" i="4"/>
  <c r="X351" i="4"/>
  <c r="Y351" i="4"/>
  <c r="Z351" i="4"/>
  <c r="W352" i="4"/>
  <c r="X352" i="4"/>
  <c r="Y352" i="4"/>
  <c r="Z352" i="4"/>
  <c r="W353" i="4"/>
  <c r="X353" i="4"/>
  <c r="Y353" i="4"/>
  <c r="Z353" i="4"/>
  <c r="W354" i="4"/>
  <c r="X354" i="4"/>
  <c r="Y354" i="4"/>
  <c r="Z354" i="4"/>
  <c r="W355" i="4"/>
  <c r="X355" i="4"/>
  <c r="Y355" i="4"/>
  <c r="Z355" i="4"/>
  <c r="W356" i="4"/>
  <c r="X356" i="4"/>
  <c r="Y356" i="4"/>
  <c r="Z356" i="4"/>
  <c r="W357" i="4"/>
  <c r="X357" i="4"/>
  <c r="Y357" i="4"/>
  <c r="Z357" i="4"/>
  <c r="W358" i="4"/>
  <c r="X358" i="4"/>
  <c r="Y358" i="4"/>
  <c r="Z358" i="4"/>
  <c r="W359" i="4"/>
  <c r="X359" i="4"/>
  <c r="Y359" i="4"/>
  <c r="Z359" i="4"/>
  <c r="W360" i="4"/>
  <c r="X360" i="4"/>
  <c r="Y360" i="4"/>
  <c r="Z360" i="4"/>
  <c r="W361" i="4"/>
  <c r="X361" i="4"/>
  <c r="Y361" i="4"/>
  <c r="Z361" i="4"/>
  <c r="W362" i="4"/>
  <c r="X362" i="4"/>
  <c r="Y362" i="4"/>
  <c r="Z362" i="4"/>
  <c r="W363" i="4"/>
  <c r="X363" i="4"/>
  <c r="Y363" i="4"/>
  <c r="Z363" i="4"/>
  <c r="W364" i="4"/>
  <c r="X364" i="4"/>
  <c r="Y364" i="4"/>
  <c r="Z364" i="4"/>
  <c r="W365" i="4"/>
  <c r="X365" i="4"/>
  <c r="Y365" i="4"/>
  <c r="Z365" i="4"/>
  <c r="W366" i="4"/>
  <c r="X366" i="4"/>
  <c r="Y366" i="4"/>
  <c r="Z366" i="4"/>
  <c r="W367" i="4"/>
  <c r="X367" i="4"/>
  <c r="Y367" i="4"/>
  <c r="Z367" i="4"/>
  <c r="W368" i="4"/>
  <c r="X368" i="4"/>
  <c r="Y368" i="4"/>
  <c r="Z368" i="4"/>
  <c r="W369" i="4"/>
  <c r="X369" i="4"/>
  <c r="Y369" i="4"/>
  <c r="Z369" i="4"/>
  <c r="W370" i="4"/>
  <c r="X370" i="4"/>
  <c r="Y370" i="4"/>
  <c r="Z370" i="4"/>
  <c r="W371" i="4"/>
  <c r="X371" i="4"/>
  <c r="Y371" i="4"/>
  <c r="Z371" i="4"/>
  <c r="W372" i="4"/>
  <c r="X372" i="4"/>
  <c r="Y372" i="4"/>
  <c r="Z372" i="4"/>
  <c r="W373" i="4"/>
  <c r="X373" i="4"/>
  <c r="Y373" i="4"/>
  <c r="Z373" i="4"/>
  <c r="W374" i="4"/>
  <c r="X374" i="4"/>
  <c r="Y374" i="4"/>
  <c r="Z374" i="4"/>
  <c r="W375" i="4"/>
  <c r="X375" i="4"/>
  <c r="Y375" i="4"/>
  <c r="Z375" i="4"/>
  <c r="W376" i="4"/>
  <c r="X376" i="4"/>
  <c r="Y376" i="4"/>
  <c r="Z376" i="4"/>
  <c r="W377" i="4"/>
  <c r="X377" i="4"/>
  <c r="Y377" i="4"/>
  <c r="Z377" i="4"/>
  <c r="W378" i="4"/>
  <c r="X378" i="4"/>
  <c r="Y378" i="4"/>
  <c r="Z378" i="4"/>
  <c r="W379" i="4"/>
  <c r="X379" i="4"/>
  <c r="Y379" i="4"/>
  <c r="Z379" i="4"/>
  <c r="W380" i="4"/>
  <c r="X380" i="4"/>
  <c r="Y380" i="4"/>
  <c r="Z380" i="4"/>
  <c r="W381" i="4"/>
  <c r="X381" i="4"/>
  <c r="Y381" i="4"/>
  <c r="Z381" i="4"/>
  <c r="W382" i="4"/>
  <c r="X382" i="4"/>
  <c r="Y382" i="4"/>
  <c r="Z382" i="4"/>
  <c r="W383" i="4"/>
  <c r="X383" i="4"/>
  <c r="Y383" i="4"/>
  <c r="Z383" i="4"/>
  <c r="W384" i="4"/>
  <c r="X384" i="4"/>
  <c r="Y384" i="4"/>
  <c r="Z384" i="4"/>
  <c r="W385" i="4"/>
  <c r="X385" i="4"/>
  <c r="Y385" i="4"/>
  <c r="Z385" i="4"/>
  <c r="W386" i="4"/>
  <c r="X386" i="4"/>
  <c r="Y386" i="4"/>
  <c r="Z386" i="4"/>
  <c r="W387" i="4"/>
  <c r="X387" i="4"/>
  <c r="Y387" i="4"/>
  <c r="Z387" i="4"/>
  <c r="W388" i="4"/>
  <c r="X388" i="4"/>
  <c r="Y388" i="4"/>
  <c r="Z388" i="4"/>
  <c r="W389" i="4"/>
  <c r="X389" i="4"/>
  <c r="Y389" i="4"/>
  <c r="Z389" i="4"/>
  <c r="W390" i="4"/>
  <c r="X390" i="4"/>
  <c r="Y390" i="4"/>
  <c r="Z390" i="4"/>
  <c r="W391" i="4"/>
  <c r="X391" i="4"/>
  <c r="Y391" i="4"/>
  <c r="Z391" i="4"/>
  <c r="W392" i="4"/>
  <c r="X392" i="4"/>
  <c r="Y392" i="4"/>
  <c r="Z392" i="4"/>
  <c r="W393" i="4"/>
  <c r="X393" i="4"/>
  <c r="Y393" i="4"/>
  <c r="Z393" i="4"/>
  <c r="W394" i="4"/>
  <c r="X394" i="4"/>
  <c r="Y394" i="4"/>
  <c r="Z394" i="4"/>
  <c r="W395" i="4"/>
  <c r="X395" i="4"/>
  <c r="Y395" i="4"/>
  <c r="Z395" i="4"/>
  <c r="W396" i="4"/>
  <c r="X396" i="4"/>
  <c r="Y396" i="4"/>
  <c r="Z396" i="4"/>
  <c r="W397" i="4"/>
  <c r="X397" i="4"/>
  <c r="Y397" i="4"/>
  <c r="Z397" i="4"/>
  <c r="W398" i="4"/>
  <c r="X398" i="4"/>
  <c r="Y398" i="4"/>
  <c r="Z398" i="4"/>
  <c r="W399" i="4"/>
  <c r="X399" i="4"/>
  <c r="Y399" i="4"/>
  <c r="Z399" i="4"/>
  <c r="W400" i="4"/>
  <c r="X400" i="4"/>
  <c r="Y400" i="4"/>
  <c r="Z400" i="4"/>
  <c r="W401" i="4"/>
  <c r="X401" i="4"/>
  <c r="Y401" i="4"/>
  <c r="Z401" i="4"/>
  <c r="W402" i="4"/>
  <c r="X402" i="4"/>
  <c r="Y402" i="4"/>
  <c r="Z402" i="4"/>
  <c r="W403" i="4"/>
  <c r="X403" i="4"/>
  <c r="Y403" i="4"/>
  <c r="Z403" i="4"/>
  <c r="W404" i="4"/>
  <c r="X404" i="4"/>
  <c r="Y404" i="4"/>
  <c r="Z404" i="4"/>
  <c r="W405" i="4"/>
  <c r="X405" i="4"/>
  <c r="Y405" i="4"/>
  <c r="Z405" i="4"/>
  <c r="W406" i="4"/>
  <c r="X406" i="4"/>
  <c r="Y406" i="4"/>
  <c r="Z406" i="4"/>
  <c r="W407" i="4"/>
  <c r="X407" i="4"/>
  <c r="Y407" i="4"/>
  <c r="Z407" i="4"/>
  <c r="W408" i="4"/>
  <c r="X408" i="4"/>
  <c r="Y408" i="4"/>
  <c r="Z408" i="4"/>
  <c r="W409" i="4"/>
  <c r="X409" i="4"/>
  <c r="Y409" i="4"/>
  <c r="Z409" i="4"/>
  <c r="W410" i="4"/>
  <c r="X410" i="4"/>
  <c r="Y410" i="4"/>
  <c r="Z410" i="4"/>
  <c r="W411" i="4"/>
  <c r="X411" i="4"/>
  <c r="Y411" i="4"/>
  <c r="Z411" i="4"/>
  <c r="W412" i="4"/>
  <c r="X412" i="4"/>
  <c r="Y412" i="4"/>
  <c r="Z412" i="4"/>
  <c r="W413" i="4"/>
  <c r="X413" i="4"/>
  <c r="Y413" i="4"/>
  <c r="Z413" i="4"/>
  <c r="W414" i="4"/>
  <c r="X414" i="4"/>
  <c r="Y414" i="4"/>
  <c r="Z414" i="4"/>
  <c r="W415" i="4"/>
  <c r="X415" i="4"/>
  <c r="Y415" i="4"/>
  <c r="Z415" i="4"/>
  <c r="W416" i="4"/>
  <c r="X416" i="4"/>
  <c r="Y416" i="4"/>
  <c r="Z416" i="4"/>
  <c r="W417" i="4"/>
  <c r="X417" i="4"/>
  <c r="Y417" i="4"/>
  <c r="Z417" i="4"/>
  <c r="W418" i="4"/>
  <c r="X418" i="4"/>
  <c r="Y418" i="4"/>
  <c r="Z418" i="4"/>
  <c r="W419" i="4"/>
  <c r="X419" i="4"/>
  <c r="Y419" i="4"/>
  <c r="Z419" i="4"/>
  <c r="W420" i="4"/>
  <c r="X420" i="4"/>
  <c r="Y420" i="4"/>
  <c r="Z420" i="4"/>
  <c r="W421" i="4"/>
  <c r="X421" i="4"/>
  <c r="Y421" i="4"/>
  <c r="Z421" i="4"/>
  <c r="W422" i="4"/>
  <c r="X422" i="4"/>
  <c r="Y422" i="4"/>
  <c r="Z422" i="4"/>
  <c r="W423" i="4"/>
  <c r="X423" i="4"/>
  <c r="Y423" i="4"/>
  <c r="Z423" i="4"/>
  <c r="W424" i="4"/>
  <c r="X424" i="4"/>
  <c r="Y424" i="4"/>
  <c r="Z424" i="4"/>
  <c r="W425" i="4"/>
  <c r="X425" i="4"/>
  <c r="Y425" i="4"/>
  <c r="Z425" i="4"/>
  <c r="W426" i="4"/>
  <c r="X426" i="4"/>
  <c r="Y426" i="4"/>
  <c r="Z426" i="4"/>
  <c r="W427" i="4"/>
  <c r="X427" i="4"/>
  <c r="Y427" i="4"/>
  <c r="Z427" i="4"/>
  <c r="W428" i="4"/>
  <c r="X428" i="4"/>
  <c r="Y428" i="4"/>
  <c r="Z428" i="4"/>
  <c r="W429" i="4"/>
  <c r="X429" i="4"/>
  <c r="Y429" i="4"/>
  <c r="Z429" i="4"/>
  <c r="W430" i="4"/>
  <c r="X430" i="4"/>
  <c r="Y430" i="4"/>
  <c r="Z430" i="4"/>
  <c r="W431" i="4"/>
  <c r="X431" i="4"/>
  <c r="Y431" i="4"/>
  <c r="Z431" i="4"/>
  <c r="W432" i="4"/>
  <c r="X432" i="4"/>
  <c r="Y432" i="4"/>
  <c r="Z432" i="4"/>
  <c r="W433" i="4"/>
  <c r="X433" i="4"/>
  <c r="Y433" i="4"/>
  <c r="Z433" i="4"/>
  <c r="W434" i="4"/>
  <c r="X434" i="4"/>
  <c r="Y434" i="4"/>
  <c r="Z434" i="4"/>
  <c r="W435" i="4"/>
  <c r="X435" i="4"/>
  <c r="Y435" i="4"/>
  <c r="Z435" i="4"/>
  <c r="W436" i="4"/>
  <c r="X436" i="4"/>
  <c r="Y436" i="4"/>
  <c r="Z436" i="4"/>
  <c r="W437" i="4"/>
  <c r="X437" i="4"/>
  <c r="Y437" i="4"/>
  <c r="Z437" i="4"/>
  <c r="W438" i="4"/>
  <c r="X438" i="4"/>
  <c r="Y438" i="4"/>
  <c r="Z438" i="4"/>
  <c r="W439" i="4"/>
  <c r="X439" i="4"/>
  <c r="Y439" i="4"/>
  <c r="Z439" i="4"/>
  <c r="W440" i="4"/>
  <c r="X440" i="4"/>
  <c r="Y440" i="4"/>
  <c r="Z440" i="4"/>
  <c r="W441" i="4"/>
  <c r="X441" i="4"/>
  <c r="Y441" i="4"/>
  <c r="Z441" i="4"/>
  <c r="W442" i="4"/>
  <c r="X442" i="4"/>
  <c r="Y442" i="4"/>
  <c r="Z442" i="4"/>
  <c r="W443" i="4"/>
  <c r="X443" i="4"/>
  <c r="Y443" i="4"/>
  <c r="Z443" i="4"/>
  <c r="W444" i="4"/>
  <c r="X444" i="4"/>
  <c r="Y444" i="4"/>
  <c r="Z444" i="4"/>
  <c r="W445" i="4"/>
  <c r="X445" i="4"/>
  <c r="Y445" i="4"/>
  <c r="Z445" i="4"/>
  <c r="W446" i="4"/>
  <c r="X446" i="4"/>
  <c r="Y446" i="4"/>
  <c r="Z446" i="4"/>
  <c r="W447" i="4"/>
  <c r="X447" i="4"/>
  <c r="Y447" i="4"/>
  <c r="Z447" i="4"/>
  <c r="W448" i="4"/>
  <c r="X448" i="4"/>
  <c r="Y448" i="4"/>
  <c r="Z448" i="4"/>
  <c r="W449" i="4"/>
  <c r="X449" i="4"/>
  <c r="Y449" i="4"/>
  <c r="Z449" i="4"/>
  <c r="W450" i="4"/>
  <c r="X450" i="4"/>
  <c r="Y450" i="4"/>
  <c r="Z450" i="4"/>
  <c r="W451" i="4"/>
  <c r="X451" i="4"/>
  <c r="Y451" i="4"/>
  <c r="Z451" i="4"/>
  <c r="W452" i="4"/>
  <c r="X452" i="4"/>
  <c r="Y452" i="4"/>
  <c r="Z452" i="4"/>
  <c r="W453" i="4"/>
  <c r="X453" i="4"/>
  <c r="Y453" i="4"/>
  <c r="Z453" i="4"/>
  <c r="W454" i="4"/>
  <c r="X454" i="4"/>
  <c r="Y454" i="4"/>
  <c r="Z454" i="4"/>
  <c r="W455" i="4"/>
  <c r="X455" i="4"/>
  <c r="Y455" i="4"/>
  <c r="Z455" i="4"/>
  <c r="W456" i="4"/>
  <c r="X456" i="4"/>
  <c r="Y456" i="4"/>
  <c r="Z456" i="4"/>
  <c r="W457" i="4"/>
  <c r="X457" i="4"/>
  <c r="Y457" i="4"/>
  <c r="Z457" i="4"/>
  <c r="W458" i="4"/>
  <c r="X458" i="4"/>
  <c r="Y458" i="4"/>
  <c r="Z458" i="4"/>
  <c r="W459" i="4"/>
  <c r="X459" i="4"/>
  <c r="Y459" i="4"/>
  <c r="Z459" i="4"/>
  <c r="W460" i="4"/>
  <c r="X460" i="4"/>
  <c r="Y460" i="4"/>
  <c r="Z460" i="4"/>
  <c r="W461" i="4"/>
  <c r="X461" i="4"/>
  <c r="Y461" i="4"/>
  <c r="Z461" i="4"/>
  <c r="W2" i="4"/>
  <c r="X2" i="4"/>
  <c r="Y2" i="4"/>
  <c r="Z2" i="4"/>
  <c r="AB3" i="3"/>
  <c r="AC3" i="3"/>
  <c r="AB4" i="3"/>
  <c r="AC4" i="3"/>
  <c r="AB5" i="3"/>
  <c r="AC5" i="3"/>
  <c r="AB6" i="3"/>
  <c r="AC6" i="3"/>
  <c r="AB7" i="3"/>
  <c r="AC7" i="3"/>
  <c r="AB8" i="3"/>
  <c r="AC8" i="3"/>
  <c r="AB9" i="3"/>
  <c r="AC9" i="3"/>
  <c r="AB10" i="3"/>
  <c r="AC10" i="3"/>
  <c r="AB11" i="3"/>
  <c r="AC11" i="3"/>
  <c r="AB12" i="3"/>
  <c r="AC12" i="3"/>
  <c r="AB13" i="3"/>
  <c r="AC13" i="3"/>
  <c r="AB14" i="3"/>
  <c r="AC14" i="3"/>
  <c r="AB15" i="3"/>
  <c r="AC15" i="3"/>
  <c r="AB16" i="3"/>
  <c r="AC16" i="3"/>
  <c r="AB17" i="3"/>
  <c r="AC17" i="3"/>
  <c r="AB18" i="3"/>
  <c r="AC18" i="3"/>
  <c r="AB19" i="3"/>
  <c r="AC19" i="3"/>
  <c r="AB20" i="3"/>
  <c r="AC20" i="3"/>
  <c r="AB21" i="3"/>
  <c r="AC21" i="3"/>
  <c r="AB22" i="3"/>
  <c r="AC22" i="3"/>
  <c r="AB23" i="3"/>
  <c r="AC23" i="3"/>
  <c r="AB24" i="3"/>
  <c r="AC24" i="3"/>
  <c r="AB25" i="3"/>
  <c r="AC25" i="3"/>
  <c r="AB26" i="3"/>
  <c r="AC26" i="3"/>
  <c r="AB27" i="3"/>
  <c r="AC27" i="3"/>
  <c r="AB28" i="3"/>
  <c r="AC28" i="3"/>
  <c r="AB29" i="3"/>
  <c r="AC29" i="3"/>
  <c r="AB30" i="3"/>
  <c r="AC30" i="3"/>
  <c r="AB31" i="3"/>
  <c r="AC31" i="3"/>
  <c r="AB32" i="3"/>
  <c r="AC32" i="3"/>
  <c r="AB33" i="3"/>
  <c r="AC33" i="3"/>
  <c r="AB34" i="3"/>
  <c r="AC34" i="3"/>
  <c r="AB35" i="3"/>
  <c r="AC35" i="3"/>
  <c r="AB36" i="3"/>
  <c r="AC36" i="3"/>
  <c r="AB37" i="3"/>
  <c r="AC37" i="3"/>
  <c r="AB38" i="3"/>
  <c r="AC38" i="3"/>
  <c r="AB39" i="3"/>
  <c r="AC39" i="3"/>
  <c r="AB40" i="3"/>
  <c r="AC40" i="3"/>
  <c r="AB41" i="3"/>
  <c r="AC41" i="3"/>
  <c r="AB42" i="3"/>
  <c r="AC42" i="3"/>
  <c r="AB43" i="3"/>
  <c r="AC43" i="3"/>
  <c r="AB44" i="3"/>
  <c r="AC44" i="3"/>
  <c r="AB45" i="3"/>
  <c r="AC45" i="3"/>
  <c r="AB46" i="3"/>
  <c r="AC46" i="3"/>
  <c r="AB47" i="3"/>
  <c r="AC47" i="3"/>
  <c r="AB48" i="3"/>
  <c r="AC48" i="3"/>
  <c r="AB49" i="3"/>
  <c r="AC49" i="3"/>
  <c r="AB50" i="3"/>
  <c r="AC50" i="3"/>
  <c r="AB51" i="3"/>
  <c r="AC51" i="3"/>
  <c r="AB52" i="3"/>
  <c r="AC52" i="3"/>
  <c r="AB53" i="3"/>
  <c r="AC53" i="3"/>
  <c r="AB54" i="3"/>
  <c r="AC54" i="3"/>
  <c r="AB55" i="3"/>
  <c r="AC55" i="3"/>
  <c r="AB56" i="3"/>
  <c r="AC56" i="3"/>
  <c r="AB57" i="3"/>
  <c r="AC57" i="3"/>
  <c r="AB58" i="3"/>
  <c r="AC58" i="3"/>
  <c r="AB59" i="3"/>
  <c r="AC59" i="3"/>
  <c r="AB60" i="3"/>
  <c r="AC60" i="3"/>
  <c r="AB61" i="3"/>
  <c r="AC61" i="3"/>
  <c r="AB62" i="3"/>
  <c r="AC62" i="3"/>
  <c r="AB63" i="3"/>
  <c r="AC63" i="3"/>
  <c r="AB64" i="3"/>
  <c r="AC64" i="3"/>
  <c r="AB65" i="3"/>
  <c r="AC65" i="3"/>
  <c r="AB66" i="3"/>
  <c r="AC66" i="3"/>
  <c r="AB67" i="3"/>
  <c r="AC67" i="3"/>
  <c r="AB68" i="3"/>
  <c r="AC68" i="3"/>
  <c r="AB69" i="3"/>
  <c r="AC69" i="3"/>
  <c r="AB70" i="3"/>
  <c r="AC70" i="3"/>
  <c r="AB71" i="3"/>
  <c r="AC71" i="3"/>
  <c r="AB72" i="3"/>
  <c r="AC72" i="3"/>
  <c r="AB73" i="3"/>
  <c r="AC73" i="3"/>
  <c r="AB74" i="3"/>
  <c r="AC74" i="3"/>
  <c r="AB75" i="3"/>
  <c r="AC75" i="3"/>
  <c r="AB76" i="3"/>
  <c r="AC76" i="3"/>
  <c r="AB77" i="3"/>
  <c r="AC77" i="3"/>
  <c r="AB78" i="3"/>
  <c r="AC78" i="3"/>
  <c r="AB79" i="3"/>
  <c r="AC79" i="3"/>
  <c r="AB80" i="3"/>
  <c r="AC80" i="3"/>
  <c r="AB81" i="3"/>
  <c r="AC81" i="3"/>
  <c r="AB82" i="3"/>
  <c r="AC82" i="3"/>
  <c r="AB83" i="3"/>
  <c r="AC83" i="3"/>
  <c r="AB84" i="3"/>
  <c r="AC84" i="3"/>
  <c r="AB85" i="3"/>
  <c r="AC85" i="3"/>
  <c r="AB86" i="3"/>
  <c r="AC86" i="3"/>
  <c r="AB87" i="3"/>
  <c r="AC87" i="3"/>
  <c r="AB88" i="3"/>
  <c r="AC88" i="3"/>
  <c r="AB89" i="3"/>
  <c r="AC89" i="3"/>
  <c r="AB90" i="3"/>
  <c r="AC90" i="3"/>
  <c r="AB91" i="3"/>
  <c r="AC91" i="3"/>
  <c r="AB92" i="3"/>
  <c r="AC92" i="3"/>
  <c r="AB93" i="3"/>
  <c r="AC93" i="3"/>
  <c r="AB94" i="3"/>
  <c r="AC94" i="3"/>
  <c r="AB95" i="3"/>
  <c r="AC95" i="3"/>
  <c r="AB96" i="3"/>
  <c r="AC96" i="3"/>
  <c r="AB97" i="3"/>
  <c r="AC97" i="3"/>
  <c r="AB98" i="3"/>
  <c r="AC98" i="3"/>
  <c r="AB99" i="3"/>
  <c r="AC99" i="3"/>
  <c r="AB100" i="3"/>
  <c r="AC100" i="3"/>
  <c r="AB101" i="3"/>
  <c r="AC101" i="3"/>
  <c r="AB102" i="3"/>
  <c r="AC102" i="3"/>
  <c r="AB103" i="3"/>
  <c r="AC103" i="3"/>
  <c r="AB104" i="3"/>
  <c r="AC104" i="3"/>
  <c r="AB105" i="3"/>
  <c r="AC105" i="3"/>
  <c r="AB106" i="3"/>
  <c r="AC106" i="3"/>
  <c r="AB107" i="3"/>
  <c r="AC107" i="3"/>
  <c r="AB108" i="3"/>
  <c r="AC108" i="3"/>
  <c r="AB109" i="3"/>
  <c r="AC109" i="3"/>
  <c r="AB110" i="3"/>
  <c r="AC110" i="3"/>
  <c r="AB111" i="3"/>
  <c r="AC111" i="3"/>
  <c r="AB112" i="3"/>
  <c r="AC112" i="3"/>
  <c r="AB113" i="3"/>
  <c r="AC113" i="3"/>
  <c r="AB114" i="3"/>
  <c r="AC114" i="3"/>
  <c r="AB115" i="3"/>
  <c r="AC115" i="3"/>
  <c r="AB116" i="3"/>
  <c r="AC116" i="3"/>
  <c r="AB117" i="3"/>
  <c r="AC117" i="3"/>
  <c r="AB118" i="3"/>
  <c r="AC118" i="3"/>
  <c r="AB119" i="3"/>
  <c r="AC119" i="3"/>
  <c r="AB120" i="3"/>
  <c r="AC120" i="3"/>
  <c r="AB121" i="3"/>
  <c r="AC121" i="3"/>
  <c r="AB122" i="3"/>
  <c r="AC122" i="3"/>
  <c r="AB123" i="3"/>
  <c r="AC123" i="3"/>
  <c r="AB124" i="3"/>
  <c r="AC124" i="3"/>
  <c r="AB125" i="3"/>
  <c r="AC125" i="3"/>
  <c r="AB126" i="3"/>
  <c r="AC126" i="3"/>
  <c r="AB127" i="3"/>
  <c r="AC127" i="3"/>
  <c r="AB128" i="3"/>
  <c r="AC128" i="3"/>
  <c r="AB129" i="3"/>
  <c r="AC129" i="3"/>
  <c r="AB130" i="3"/>
  <c r="AC130" i="3"/>
  <c r="AB131" i="3"/>
  <c r="AC131" i="3"/>
  <c r="AB132" i="3"/>
  <c r="AC132" i="3"/>
  <c r="AB133" i="3"/>
  <c r="AC133" i="3"/>
  <c r="AB134" i="3"/>
  <c r="AC134" i="3"/>
  <c r="AB135" i="3"/>
  <c r="AC135" i="3"/>
  <c r="AB136" i="3"/>
  <c r="AC136" i="3"/>
  <c r="AB137" i="3"/>
  <c r="AC137" i="3"/>
  <c r="AB138" i="3"/>
  <c r="AC138" i="3"/>
  <c r="AB139" i="3"/>
  <c r="AC139" i="3"/>
  <c r="AB140" i="3"/>
  <c r="AC140" i="3"/>
  <c r="AB141" i="3"/>
  <c r="AC141" i="3"/>
  <c r="AB142" i="3"/>
  <c r="AC142" i="3"/>
  <c r="AB143" i="3"/>
  <c r="AC143" i="3"/>
  <c r="AB144" i="3"/>
  <c r="AC144" i="3"/>
  <c r="AB145" i="3"/>
  <c r="AC145" i="3"/>
  <c r="AB146" i="3"/>
  <c r="AC146" i="3"/>
  <c r="AB147" i="3"/>
  <c r="AC147" i="3"/>
  <c r="AB148" i="3"/>
  <c r="AC148" i="3"/>
  <c r="AB149" i="3"/>
  <c r="AC149" i="3"/>
  <c r="AB150" i="3"/>
  <c r="AC150" i="3"/>
  <c r="AB151" i="3"/>
  <c r="AC151" i="3"/>
  <c r="AB152" i="3"/>
  <c r="AC152" i="3"/>
  <c r="AB153" i="3"/>
  <c r="AC153" i="3"/>
  <c r="AB154" i="3"/>
  <c r="AC154" i="3"/>
  <c r="AB155" i="3"/>
  <c r="AC155" i="3"/>
  <c r="AB156" i="3"/>
  <c r="AC156" i="3"/>
  <c r="AB157" i="3"/>
  <c r="AC157" i="3"/>
  <c r="AB158" i="3"/>
  <c r="AC158" i="3"/>
  <c r="AB159" i="3"/>
  <c r="AC159" i="3"/>
  <c r="AB160" i="3"/>
  <c r="AC160" i="3"/>
  <c r="AB161" i="3"/>
  <c r="AC161" i="3"/>
  <c r="AB162" i="3"/>
  <c r="AC162" i="3"/>
  <c r="AB163" i="3"/>
  <c r="AC163" i="3"/>
  <c r="AB164" i="3"/>
  <c r="AC164" i="3"/>
  <c r="AB165" i="3"/>
  <c r="AC165" i="3"/>
  <c r="AB166" i="3"/>
  <c r="AC166" i="3"/>
  <c r="AB167" i="3"/>
  <c r="AC167" i="3"/>
  <c r="AB168" i="3"/>
  <c r="AC168" i="3"/>
  <c r="AB169" i="3"/>
  <c r="AC169" i="3"/>
  <c r="AB170" i="3"/>
  <c r="AC170" i="3"/>
  <c r="AB171" i="3"/>
  <c r="AC171" i="3"/>
  <c r="AB172" i="3"/>
  <c r="AC172" i="3"/>
  <c r="AB173" i="3"/>
  <c r="AC173" i="3"/>
  <c r="AB174" i="3"/>
  <c r="AC174" i="3"/>
  <c r="AB175" i="3"/>
  <c r="AC175" i="3"/>
  <c r="AB176" i="3"/>
  <c r="AC176" i="3"/>
  <c r="AB177" i="3"/>
  <c r="AC177" i="3"/>
  <c r="AB178" i="3"/>
  <c r="AC178" i="3"/>
  <c r="AB179" i="3"/>
  <c r="AC179" i="3"/>
  <c r="AB180" i="3"/>
  <c r="AC180" i="3"/>
  <c r="AB181" i="3"/>
  <c r="AC181" i="3"/>
  <c r="AB182" i="3"/>
  <c r="AC182" i="3"/>
  <c r="AB183" i="3"/>
  <c r="AC183" i="3"/>
  <c r="AB184" i="3"/>
  <c r="AC184" i="3"/>
  <c r="AB185" i="3"/>
  <c r="AC185" i="3"/>
  <c r="AB186" i="3"/>
  <c r="AC186" i="3"/>
  <c r="AB187" i="3"/>
  <c r="AC187" i="3"/>
  <c r="AB188" i="3"/>
  <c r="AC188" i="3"/>
  <c r="AB189" i="3"/>
  <c r="AC189" i="3"/>
  <c r="AB190" i="3"/>
  <c r="AC190" i="3"/>
  <c r="AB191" i="3"/>
  <c r="AC191" i="3"/>
  <c r="AB192" i="3"/>
  <c r="AC192" i="3"/>
  <c r="AB193" i="3"/>
  <c r="AC193" i="3"/>
  <c r="AB194" i="3"/>
  <c r="AC194" i="3"/>
  <c r="AB195" i="3"/>
  <c r="AC195" i="3"/>
  <c r="AB196" i="3"/>
  <c r="AC196" i="3"/>
  <c r="AB197" i="3"/>
  <c r="AC197" i="3"/>
  <c r="AB198" i="3"/>
  <c r="AC198" i="3"/>
  <c r="AB199" i="3"/>
  <c r="AC199" i="3"/>
  <c r="AB200" i="3"/>
  <c r="AC200" i="3"/>
  <c r="AB201" i="3"/>
  <c r="AC201" i="3"/>
  <c r="AB202" i="3"/>
  <c r="AC202" i="3"/>
  <c r="AB203" i="3"/>
  <c r="AC203" i="3"/>
  <c r="AB204" i="3"/>
  <c r="AC204" i="3"/>
  <c r="AB205" i="3"/>
  <c r="AC205" i="3"/>
  <c r="AB206" i="3"/>
  <c r="AC206" i="3"/>
  <c r="AB207" i="3"/>
  <c r="AC207" i="3"/>
  <c r="AB208" i="3"/>
  <c r="AC208" i="3"/>
  <c r="AB209" i="3"/>
  <c r="AC209" i="3"/>
  <c r="AB210" i="3"/>
  <c r="AC210" i="3"/>
  <c r="AB211" i="3"/>
  <c r="AC211" i="3"/>
  <c r="AB212" i="3"/>
  <c r="AC212" i="3"/>
  <c r="AB213" i="3"/>
  <c r="AC213" i="3"/>
  <c r="AB214" i="3"/>
  <c r="AC214" i="3"/>
  <c r="AB215" i="3"/>
  <c r="AC215" i="3"/>
  <c r="AB216" i="3"/>
  <c r="AC216" i="3"/>
  <c r="AB217" i="3"/>
  <c r="AC217" i="3"/>
  <c r="AB218" i="3"/>
  <c r="AC218" i="3"/>
  <c r="AB219" i="3"/>
  <c r="AC219" i="3"/>
  <c r="AB220" i="3"/>
  <c r="AC220" i="3"/>
  <c r="AB221" i="3"/>
  <c r="AC221" i="3"/>
  <c r="AB222" i="3"/>
  <c r="AC222" i="3"/>
  <c r="AB223" i="3"/>
  <c r="AC223" i="3"/>
  <c r="AB224" i="3"/>
  <c r="AC224" i="3"/>
  <c r="AB225" i="3"/>
  <c r="AC225" i="3"/>
  <c r="AB226" i="3"/>
  <c r="AC226" i="3"/>
  <c r="AB227" i="3"/>
  <c r="AC227" i="3"/>
  <c r="AB228" i="3"/>
  <c r="AC228" i="3"/>
  <c r="AB229" i="3"/>
  <c r="AC229" i="3"/>
  <c r="AB230" i="3"/>
  <c r="AC230" i="3"/>
  <c r="AB231" i="3"/>
  <c r="AC231" i="3"/>
  <c r="AB232" i="3"/>
  <c r="AC232" i="3"/>
  <c r="AB233" i="3"/>
  <c r="AC233" i="3"/>
  <c r="AB234" i="3"/>
  <c r="AC234" i="3"/>
  <c r="AB235" i="3"/>
  <c r="AC235" i="3"/>
  <c r="AB236" i="3"/>
  <c r="AC236" i="3"/>
  <c r="AB237" i="3"/>
  <c r="AC237" i="3"/>
  <c r="AB238" i="3"/>
  <c r="AC238" i="3"/>
  <c r="AB239" i="3"/>
  <c r="AC239" i="3"/>
  <c r="AB240" i="3"/>
  <c r="AC240" i="3"/>
  <c r="AB241" i="3"/>
  <c r="AC241" i="3"/>
  <c r="AB242" i="3"/>
  <c r="AC242" i="3"/>
  <c r="AB243" i="3"/>
  <c r="AC243" i="3"/>
  <c r="AB244" i="3"/>
  <c r="AC244" i="3"/>
  <c r="AB245" i="3"/>
  <c r="AC245" i="3"/>
  <c r="AB246" i="3"/>
  <c r="AC246" i="3"/>
  <c r="AB247" i="3"/>
  <c r="AC247" i="3"/>
  <c r="AB248" i="3"/>
  <c r="AC248" i="3"/>
  <c r="AB249" i="3"/>
  <c r="AC249" i="3"/>
  <c r="AB250" i="3"/>
  <c r="AC250" i="3"/>
  <c r="AB251" i="3"/>
  <c r="AC251" i="3"/>
  <c r="AB252" i="3"/>
  <c r="AC252" i="3"/>
  <c r="AB253" i="3"/>
  <c r="AC253" i="3"/>
  <c r="AB254" i="3"/>
  <c r="AC254" i="3"/>
  <c r="AB255" i="3"/>
  <c r="AC255" i="3"/>
  <c r="AB256" i="3"/>
  <c r="AC256" i="3"/>
  <c r="AB257" i="3"/>
  <c r="AC257" i="3"/>
  <c r="AB258" i="3"/>
  <c r="AC258" i="3"/>
  <c r="AB259" i="3"/>
  <c r="AC259" i="3"/>
  <c r="AB260" i="3"/>
  <c r="AC260" i="3"/>
  <c r="AB261" i="3"/>
  <c r="AC261" i="3"/>
  <c r="AB262" i="3"/>
  <c r="AC262" i="3"/>
  <c r="AB263" i="3"/>
  <c r="AC263" i="3"/>
  <c r="AB264" i="3"/>
  <c r="AC264" i="3"/>
  <c r="AB265" i="3"/>
  <c r="AC265" i="3"/>
  <c r="AB266" i="3"/>
  <c r="AC266" i="3"/>
  <c r="AB267" i="3"/>
  <c r="AC267" i="3"/>
  <c r="AB268" i="3"/>
  <c r="AC268" i="3"/>
  <c r="AB269" i="3"/>
  <c r="AC269" i="3"/>
  <c r="AB270" i="3"/>
  <c r="AC270" i="3"/>
  <c r="AB271" i="3"/>
  <c r="AC271" i="3"/>
  <c r="AB272" i="3"/>
  <c r="AC272" i="3"/>
  <c r="AB273" i="3"/>
  <c r="AC273" i="3"/>
  <c r="AB274" i="3"/>
  <c r="AC274" i="3"/>
  <c r="AB275" i="3"/>
  <c r="AC275" i="3"/>
  <c r="AB276" i="3"/>
  <c r="AC276" i="3"/>
  <c r="AB277" i="3"/>
  <c r="AC277" i="3"/>
  <c r="AB278" i="3"/>
  <c r="AC278" i="3"/>
  <c r="AB279" i="3"/>
  <c r="AC279" i="3"/>
  <c r="AB280" i="3"/>
  <c r="AC280" i="3"/>
  <c r="AB281" i="3"/>
  <c r="AC281" i="3"/>
  <c r="AB282" i="3"/>
  <c r="AC282" i="3"/>
  <c r="AB283" i="3"/>
  <c r="AC283" i="3"/>
  <c r="AB284" i="3"/>
  <c r="AC284" i="3"/>
  <c r="AB285" i="3"/>
  <c r="AC285" i="3"/>
  <c r="AB286" i="3"/>
  <c r="AC286" i="3"/>
  <c r="AB287" i="3"/>
  <c r="AC287" i="3"/>
  <c r="AB288" i="3"/>
  <c r="AC288" i="3"/>
  <c r="AB289" i="3"/>
  <c r="AC289" i="3"/>
  <c r="AB290" i="3"/>
  <c r="AC290" i="3"/>
  <c r="AB291" i="3"/>
  <c r="AC291" i="3"/>
  <c r="AB292" i="3"/>
  <c r="AC292" i="3"/>
  <c r="AB293" i="3"/>
  <c r="AC293" i="3"/>
  <c r="AB294" i="3"/>
  <c r="AC294" i="3"/>
  <c r="AB295" i="3"/>
  <c r="AC295" i="3"/>
  <c r="AB296" i="3"/>
  <c r="AC296" i="3"/>
  <c r="AB297" i="3"/>
  <c r="AC297" i="3"/>
  <c r="AB298" i="3"/>
  <c r="AC298" i="3"/>
  <c r="AB299" i="3"/>
  <c r="AC299" i="3"/>
  <c r="AB300" i="3"/>
  <c r="AC300" i="3"/>
  <c r="AB301" i="3"/>
  <c r="AC301" i="3"/>
  <c r="AB302" i="3"/>
  <c r="AC302" i="3"/>
  <c r="AB303" i="3"/>
  <c r="AC303" i="3"/>
  <c r="AB304" i="3"/>
  <c r="AC304" i="3"/>
  <c r="AB305" i="3"/>
  <c r="AC305" i="3"/>
  <c r="AB306" i="3"/>
  <c r="AC306" i="3"/>
  <c r="AB307" i="3"/>
  <c r="AC307" i="3"/>
  <c r="AB308" i="3"/>
  <c r="AC308" i="3"/>
  <c r="AB309" i="3"/>
  <c r="AC309" i="3"/>
  <c r="AB310" i="3"/>
  <c r="AC310" i="3"/>
  <c r="AB311" i="3"/>
  <c r="AC311" i="3"/>
  <c r="AB312" i="3"/>
  <c r="AC312" i="3"/>
  <c r="AB313" i="3"/>
  <c r="AC313" i="3"/>
  <c r="AB314" i="3"/>
  <c r="AC314" i="3"/>
  <c r="AB315" i="3"/>
  <c r="AC315" i="3"/>
  <c r="AB316" i="3"/>
  <c r="AC316" i="3"/>
  <c r="AB317" i="3"/>
  <c r="AC317" i="3"/>
  <c r="AB318" i="3"/>
  <c r="AC318" i="3"/>
  <c r="AB319" i="3"/>
  <c r="AC319" i="3"/>
  <c r="AB320" i="3"/>
  <c r="AC320" i="3"/>
  <c r="AB321" i="3"/>
  <c r="AC321" i="3"/>
  <c r="AB322" i="3"/>
  <c r="AC322" i="3"/>
  <c r="AB323" i="3"/>
  <c r="AC323" i="3"/>
  <c r="AB324" i="3"/>
  <c r="AC324" i="3"/>
  <c r="AB325" i="3"/>
  <c r="AC325" i="3"/>
  <c r="AB326" i="3"/>
  <c r="AC326" i="3"/>
  <c r="AB327" i="3"/>
  <c r="AC327" i="3"/>
  <c r="AB328" i="3"/>
  <c r="AC328" i="3"/>
  <c r="AB329" i="3"/>
  <c r="AC329" i="3"/>
  <c r="AB330" i="3"/>
  <c r="AC330" i="3"/>
  <c r="AB331" i="3"/>
  <c r="AC331" i="3"/>
  <c r="AB332" i="3"/>
  <c r="AC332" i="3"/>
  <c r="AB333" i="3"/>
  <c r="AC333" i="3"/>
  <c r="AB334" i="3"/>
  <c r="AC334" i="3"/>
  <c r="AB335" i="3"/>
  <c r="AC335" i="3"/>
  <c r="AB336" i="3"/>
  <c r="AC336" i="3"/>
  <c r="AB337" i="3"/>
  <c r="AC337" i="3"/>
  <c r="AB338" i="3"/>
  <c r="AC338" i="3"/>
  <c r="AB339" i="3"/>
  <c r="AC339" i="3"/>
  <c r="AB340" i="3"/>
  <c r="AC340" i="3"/>
  <c r="AB341" i="3"/>
  <c r="AC341" i="3"/>
  <c r="AB342" i="3"/>
  <c r="AC342" i="3"/>
  <c r="AB343" i="3"/>
  <c r="AC343" i="3"/>
  <c r="AB344" i="3"/>
  <c r="AC344" i="3"/>
  <c r="AB345" i="3"/>
  <c r="AC345" i="3"/>
  <c r="AB346" i="3"/>
  <c r="AC346" i="3"/>
  <c r="AB347" i="3"/>
  <c r="AC347" i="3"/>
  <c r="AB348" i="3"/>
  <c r="AC348" i="3"/>
  <c r="AB349" i="3"/>
  <c r="AC349" i="3"/>
  <c r="AB350" i="3"/>
  <c r="AC350" i="3"/>
  <c r="AB351" i="3"/>
  <c r="AC351" i="3"/>
  <c r="AB352" i="3"/>
  <c r="AC352" i="3"/>
  <c r="AB353" i="3"/>
  <c r="AC353" i="3"/>
  <c r="AB354" i="3"/>
  <c r="AC354" i="3"/>
  <c r="AB355" i="3"/>
  <c r="AC355" i="3"/>
  <c r="AB356" i="3"/>
  <c r="AC356" i="3"/>
  <c r="AB357" i="3"/>
  <c r="AC357" i="3"/>
  <c r="AB358" i="3"/>
  <c r="AC358" i="3"/>
  <c r="AB359" i="3"/>
  <c r="AC359" i="3"/>
  <c r="AB360" i="3"/>
  <c r="AC360" i="3"/>
  <c r="AB361" i="3"/>
  <c r="AC361" i="3"/>
  <c r="AB362" i="3"/>
  <c r="AC362" i="3"/>
  <c r="AB363" i="3"/>
  <c r="AC363" i="3"/>
  <c r="AB364" i="3"/>
  <c r="AC364" i="3"/>
  <c r="AB365" i="3"/>
  <c r="AC365" i="3"/>
  <c r="AB366" i="3"/>
  <c r="AC366" i="3"/>
  <c r="AB367" i="3"/>
  <c r="AC367" i="3"/>
  <c r="AB368" i="3"/>
  <c r="AC368" i="3"/>
  <c r="AB369" i="3"/>
  <c r="AC369" i="3"/>
  <c r="AB370" i="3"/>
  <c r="AC370" i="3"/>
  <c r="AB371" i="3"/>
  <c r="AC371" i="3"/>
  <c r="AB372" i="3"/>
  <c r="AC372" i="3"/>
  <c r="AB373" i="3"/>
  <c r="AC373" i="3"/>
  <c r="AB374" i="3"/>
  <c r="AC374" i="3"/>
  <c r="AB375" i="3"/>
  <c r="AC375" i="3"/>
  <c r="AB376" i="3"/>
  <c r="AC376" i="3"/>
  <c r="AB377" i="3"/>
  <c r="AC377" i="3"/>
  <c r="AB378" i="3"/>
  <c r="AC378" i="3"/>
  <c r="AB379" i="3"/>
  <c r="AC379" i="3"/>
  <c r="AB380" i="3"/>
  <c r="AC380" i="3"/>
  <c r="AB381" i="3"/>
  <c r="AC381" i="3"/>
  <c r="AB382" i="3"/>
  <c r="AC382" i="3"/>
  <c r="AB383" i="3"/>
  <c r="AC383" i="3"/>
  <c r="AB384" i="3"/>
  <c r="AC384" i="3"/>
  <c r="AB385" i="3"/>
  <c r="AC385" i="3"/>
  <c r="AB386" i="3"/>
  <c r="AC386" i="3"/>
  <c r="AB387" i="3"/>
  <c r="AC387" i="3"/>
  <c r="AB388" i="3"/>
  <c r="AC388" i="3"/>
  <c r="AB389" i="3"/>
  <c r="AC389" i="3"/>
  <c r="AB390" i="3"/>
  <c r="AC390" i="3"/>
  <c r="AB391" i="3"/>
  <c r="AC391" i="3"/>
  <c r="AB392" i="3"/>
  <c r="AC392" i="3"/>
  <c r="AB393" i="3"/>
  <c r="AC393" i="3"/>
  <c r="AB394" i="3"/>
  <c r="AC394" i="3"/>
  <c r="AB395" i="3"/>
  <c r="AC395" i="3"/>
  <c r="AB396" i="3"/>
  <c r="AC396" i="3"/>
  <c r="AB397" i="3"/>
  <c r="AC397" i="3"/>
  <c r="AB398" i="3"/>
  <c r="AC398" i="3"/>
  <c r="AB399" i="3"/>
  <c r="AC399" i="3"/>
  <c r="AB400" i="3"/>
  <c r="AC400" i="3"/>
  <c r="AB401" i="3"/>
  <c r="AC401" i="3"/>
  <c r="AB402" i="3"/>
  <c r="AC402" i="3"/>
  <c r="AB403" i="3"/>
  <c r="AC403" i="3"/>
  <c r="AB404" i="3"/>
  <c r="AC404" i="3"/>
  <c r="AB405" i="3"/>
  <c r="AC405" i="3"/>
  <c r="AB406" i="3"/>
  <c r="AC406" i="3"/>
  <c r="AB407" i="3"/>
  <c r="AC407" i="3"/>
  <c r="AB408" i="3"/>
  <c r="AC408" i="3"/>
  <c r="AB409" i="3"/>
  <c r="AC409" i="3"/>
  <c r="AB410" i="3"/>
  <c r="AC410" i="3"/>
  <c r="AB411" i="3"/>
  <c r="AC411" i="3"/>
  <c r="AB412" i="3"/>
  <c r="AC412" i="3"/>
  <c r="AB413" i="3"/>
  <c r="AC413" i="3"/>
  <c r="AB414" i="3"/>
  <c r="AC414" i="3"/>
  <c r="AB415" i="3"/>
  <c r="AC415" i="3"/>
  <c r="AB416" i="3"/>
  <c r="AC416" i="3"/>
  <c r="AB417" i="3"/>
  <c r="AC417" i="3"/>
  <c r="AB418" i="3"/>
  <c r="AC418" i="3"/>
  <c r="AB419" i="3"/>
  <c r="AC419" i="3"/>
  <c r="AB420" i="3"/>
  <c r="AC420" i="3"/>
  <c r="AB421" i="3"/>
  <c r="AC421" i="3"/>
  <c r="AB422" i="3"/>
  <c r="AC422" i="3"/>
  <c r="AB423" i="3"/>
  <c r="AC423" i="3"/>
  <c r="AB424" i="3"/>
  <c r="AC424" i="3"/>
  <c r="AB425" i="3"/>
  <c r="AC425" i="3"/>
  <c r="AB426" i="3"/>
  <c r="AC426" i="3"/>
  <c r="AB427" i="3"/>
  <c r="AC427" i="3"/>
  <c r="AB428" i="3"/>
  <c r="AC428" i="3"/>
  <c r="AB429" i="3"/>
  <c r="AC429" i="3"/>
  <c r="AB430" i="3"/>
  <c r="AC430" i="3"/>
  <c r="AB431" i="3"/>
  <c r="AC431" i="3"/>
  <c r="AB432" i="3"/>
  <c r="AC432" i="3"/>
  <c r="AB433" i="3"/>
  <c r="AC433" i="3"/>
  <c r="AB434" i="3"/>
  <c r="AC434" i="3"/>
  <c r="AB435" i="3"/>
  <c r="AC435" i="3"/>
  <c r="AB436" i="3"/>
  <c r="AC436" i="3"/>
  <c r="AB437" i="3"/>
  <c r="AC437" i="3"/>
  <c r="AB438" i="3"/>
  <c r="AC438" i="3"/>
  <c r="AB439" i="3"/>
  <c r="AC439" i="3"/>
  <c r="AB440" i="3"/>
  <c r="AC440" i="3"/>
  <c r="AB441" i="3"/>
  <c r="AC441" i="3"/>
  <c r="AB442" i="3"/>
  <c r="AC442" i="3"/>
  <c r="AB443" i="3"/>
  <c r="AC443" i="3"/>
  <c r="AB444" i="3"/>
  <c r="AC444" i="3"/>
  <c r="AB445" i="3"/>
  <c r="AC445" i="3"/>
  <c r="AB446" i="3"/>
  <c r="AC446" i="3"/>
  <c r="AB447" i="3"/>
  <c r="AC447" i="3"/>
  <c r="AB448" i="3"/>
  <c r="AC448" i="3"/>
  <c r="AB449" i="3"/>
  <c r="AC449" i="3"/>
  <c r="AB450" i="3"/>
  <c r="AC450" i="3"/>
  <c r="AB451" i="3"/>
  <c r="AC451" i="3"/>
  <c r="AB452" i="3"/>
  <c r="AC452" i="3"/>
  <c r="AB453" i="3"/>
  <c r="AC453" i="3"/>
  <c r="AB454" i="3"/>
  <c r="AC454" i="3"/>
  <c r="AB455" i="3"/>
  <c r="AC455" i="3"/>
  <c r="AB456" i="3"/>
  <c r="AC456" i="3"/>
  <c r="AB457" i="3"/>
  <c r="AC457" i="3"/>
  <c r="AB458" i="3"/>
  <c r="AC458" i="3"/>
  <c r="AB459" i="3"/>
  <c r="AC459" i="3"/>
  <c r="AB460" i="3"/>
  <c r="AC460" i="3"/>
  <c r="AB461" i="3"/>
  <c r="AC461" i="3"/>
  <c r="AB462" i="3"/>
  <c r="AC462" i="3"/>
  <c r="AB463" i="3"/>
  <c r="AC463" i="3"/>
  <c r="AB464" i="3"/>
  <c r="AC464" i="3"/>
  <c r="AB465" i="3"/>
  <c r="AC465" i="3"/>
  <c r="AB466" i="3"/>
  <c r="AC466" i="3"/>
  <c r="AB467" i="3"/>
  <c r="AC467" i="3"/>
  <c r="AB468" i="3"/>
  <c r="AC468" i="3"/>
  <c r="AB469" i="3"/>
  <c r="AC469" i="3"/>
  <c r="AB470" i="3"/>
  <c r="AC470" i="3"/>
  <c r="AB471" i="3"/>
  <c r="AC471" i="3"/>
  <c r="AB472" i="3"/>
  <c r="AC472" i="3"/>
  <c r="AB473" i="3"/>
  <c r="AC473" i="3"/>
  <c r="AB474" i="3"/>
  <c r="AC474" i="3"/>
  <c r="AB475" i="3"/>
  <c r="AC475" i="3"/>
  <c r="AB476" i="3"/>
  <c r="AC476" i="3"/>
  <c r="AB477" i="3"/>
  <c r="AC477" i="3"/>
  <c r="AB478" i="3"/>
  <c r="AC478" i="3"/>
  <c r="AB479" i="3"/>
  <c r="AC479" i="3"/>
  <c r="AB480" i="3"/>
  <c r="AC480" i="3"/>
  <c r="AB481" i="3"/>
  <c r="AC481" i="3"/>
  <c r="AB482" i="3"/>
  <c r="AC482" i="3"/>
  <c r="AB483" i="3"/>
  <c r="AC483" i="3"/>
  <c r="AB484" i="3"/>
  <c r="AC484" i="3"/>
  <c r="AB485" i="3"/>
  <c r="AC485" i="3"/>
  <c r="AB486" i="3"/>
  <c r="AC486" i="3"/>
  <c r="AB487" i="3"/>
  <c r="AC487" i="3"/>
  <c r="AB488" i="3"/>
  <c r="AC488" i="3"/>
  <c r="AB489" i="3"/>
  <c r="AC489" i="3"/>
  <c r="AB490" i="3"/>
  <c r="AC490" i="3"/>
  <c r="AB491" i="3"/>
  <c r="AC491" i="3"/>
  <c r="AB492" i="3"/>
  <c r="AC492" i="3"/>
  <c r="AB493" i="3"/>
  <c r="AC493" i="3"/>
  <c r="AB494" i="3"/>
  <c r="AC494" i="3"/>
  <c r="AB495" i="3"/>
  <c r="AC495" i="3"/>
  <c r="AB496" i="3"/>
  <c r="AC496" i="3"/>
  <c r="AB497" i="3"/>
  <c r="AC497" i="3"/>
  <c r="AB498" i="3"/>
  <c r="AC498" i="3"/>
  <c r="AB499" i="3"/>
  <c r="AC499" i="3"/>
  <c r="AB500" i="3"/>
  <c r="AC500" i="3"/>
  <c r="AB501" i="3"/>
  <c r="AC501" i="3"/>
  <c r="AB502" i="3"/>
  <c r="AC502" i="3"/>
  <c r="AB503" i="3"/>
  <c r="AC503" i="3"/>
  <c r="AB504" i="3"/>
  <c r="AC504" i="3"/>
  <c r="AB505" i="3"/>
  <c r="AC505" i="3"/>
  <c r="AB506" i="3"/>
  <c r="AC506" i="3"/>
  <c r="AB507" i="3"/>
  <c r="AC507" i="3"/>
  <c r="AB508" i="3"/>
  <c r="AC508" i="3"/>
  <c r="AB509" i="3"/>
  <c r="AC509" i="3"/>
  <c r="AB510" i="3"/>
  <c r="AC510" i="3"/>
  <c r="AB511" i="3"/>
  <c r="AC511" i="3"/>
  <c r="AB512" i="3"/>
  <c r="AC512" i="3"/>
  <c r="AB513" i="3"/>
  <c r="AC513" i="3"/>
  <c r="AB514" i="3"/>
  <c r="AC514" i="3"/>
  <c r="AB515" i="3"/>
  <c r="AC515" i="3"/>
  <c r="AB516" i="3"/>
  <c r="AC516" i="3"/>
  <c r="AB517" i="3"/>
  <c r="AC517" i="3"/>
  <c r="AB518" i="3"/>
  <c r="AC518" i="3"/>
  <c r="AB519" i="3"/>
  <c r="AC519" i="3"/>
  <c r="AB520" i="3"/>
  <c r="AC520" i="3"/>
  <c r="AB521" i="3"/>
  <c r="AC521" i="3"/>
  <c r="AB522" i="3"/>
  <c r="AC522" i="3"/>
  <c r="AB523" i="3"/>
  <c r="AC523" i="3"/>
  <c r="AB524" i="3"/>
  <c r="AC524" i="3"/>
  <c r="AB525" i="3"/>
  <c r="AC525" i="3"/>
  <c r="AB526" i="3"/>
  <c r="AC526" i="3"/>
  <c r="AB527" i="3"/>
  <c r="AC527" i="3"/>
  <c r="AB528" i="3"/>
  <c r="AC528" i="3"/>
  <c r="AB529" i="3"/>
  <c r="AC529" i="3"/>
  <c r="AB530" i="3"/>
  <c r="AC530" i="3"/>
  <c r="AB531" i="3"/>
  <c r="AC531" i="3"/>
  <c r="AB532" i="3"/>
  <c r="AC532" i="3"/>
  <c r="AB533" i="3"/>
  <c r="AC533" i="3"/>
  <c r="AB534" i="3"/>
  <c r="AC534" i="3"/>
  <c r="AB535" i="3"/>
  <c r="AC535" i="3"/>
  <c r="AB536" i="3"/>
  <c r="AC536" i="3"/>
  <c r="AB537" i="3"/>
  <c r="AC537" i="3"/>
  <c r="AB538" i="3"/>
  <c r="AC538" i="3"/>
  <c r="AB539" i="3"/>
  <c r="AC539" i="3"/>
  <c r="AB540" i="3"/>
  <c r="AC540" i="3"/>
  <c r="AB541" i="3"/>
  <c r="AC541" i="3"/>
  <c r="AB542" i="3"/>
  <c r="AC542" i="3"/>
  <c r="AB543" i="3"/>
  <c r="AC543" i="3"/>
  <c r="AB544" i="3"/>
  <c r="AC544" i="3"/>
  <c r="AB545" i="3"/>
  <c r="AC545" i="3"/>
  <c r="AB546" i="3"/>
  <c r="AC546" i="3"/>
  <c r="AB547" i="3"/>
  <c r="AC547" i="3"/>
  <c r="AB548" i="3"/>
  <c r="AC548" i="3"/>
  <c r="AB549" i="3"/>
  <c r="AC549" i="3"/>
  <c r="AB550" i="3"/>
  <c r="AC550" i="3"/>
  <c r="AB551" i="3"/>
  <c r="AC551" i="3"/>
  <c r="AB552" i="3"/>
  <c r="AC552" i="3"/>
  <c r="AB553" i="3"/>
  <c r="AC553" i="3"/>
  <c r="AB554" i="3"/>
  <c r="AC554" i="3"/>
  <c r="AB555" i="3"/>
  <c r="AC555" i="3"/>
  <c r="AB556" i="3"/>
  <c r="AC556" i="3"/>
  <c r="AB557" i="3"/>
  <c r="AC557" i="3"/>
  <c r="AB558" i="3"/>
  <c r="AC558" i="3"/>
  <c r="AB559" i="3"/>
  <c r="AC559" i="3"/>
  <c r="AB560" i="3"/>
  <c r="AC560" i="3"/>
  <c r="AB561" i="3"/>
  <c r="AC561" i="3"/>
  <c r="AB562" i="3"/>
  <c r="AC562" i="3"/>
  <c r="AB563" i="3"/>
  <c r="AC563" i="3"/>
  <c r="AB564" i="3"/>
  <c r="AC564" i="3"/>
  <c r="AB565" i="3"/>
  <c r="AC565" i="3"/>
  <c r="AB566" i="3"/>
  <c r="AC566" i="3"/>
  <c r="AB567" i="3"/>
  <c r="AC567" i="3"/>
  <c r="AB568" i="3"/>
  <c r="AC568" i="3"/>
  <c r="AB569" i="3"/>
  <c r="AC569" i="3"/>
  <c r="AB570" i="3"/>
  <c r="AC570" i="3"/>
  <c r="AB571" i="3"/>
  <c r="AC571" i="3"/>
  <c r="AB572" i="3"/>
  <c r="AC572" i="3"/>
  <c r="AB573" i="3"/>
  <c r="AC573" i="3"/>
  <c r="AB574" i="3"/>
  <c r="AC574" i="3"/>
  <c r="AB575" i="3"/>
  <c r="AC575" i="3"/>
  <c r="AB576" i="3"/>
  <c r="AC576" i="3"/>
  <c r="AB577" i="3"/>
  <c r="AC577" i="3"/>
  <c r="AB578" i="3"/>
  <c r="AC578" i="3"/>
  <c r="AB579" i="3"/>
  <c r="AC579" i="3"/>
  <c r="AB580" i="3"/>
  <c r="AC580" i="3"/>
  <c r="AB581" i="3"/>
  <c r="AC581" i="3"/>
  <c r="AB582" i="3"/>
  <c r="AC582" i="3"/>
  <c r="AB583" i="3"/>
  <c r="AC583" i="3"/>
  <c r="AB584" i="3"/>
  <c r="AC584" i="3"/>
  <c r="AB585" i="3"/>
  <c r="AC585" i="3"/>
  <c r="AB586" i="3"/>
  <c r="AC586" i="3"/>
  <c r="AB587" i="3"/>
  <c r="AC587" i="3"/>
  <c r="AB588" i="3"/>
  <c r="AC588" i="3"/>
  <c r="AB589" i="3"/>
  <c r="AC589" i="3"/>
  <c r="AB590" i="3"/>
  <c r="AC590" i="3"/>
  <c r="AB591" i="3"/>
  <c r="AC591" i="3"/>
  <c r="AB592" i="3"/>
  <c r="AC592" i="3"/>
  <c r="AB593" i="3"/>
  <c r="AC593" i="3"/>
  <c r="AB594" i="3"/>
  <c r="AC594" i="3"/>
  <c r="AB595" i="3"/>
  <c r="AC595" i="3"/>
  <c r="AB596" i="3"/>
  <c r="AC596" i="3"/>
  <c r="AB597" i="3"/>
  <c r="AC597" i="3"/>
  <c r="AB598" i="3"/>
  <c r="AC598" i="3"/>
  <c r="AB599" i="3"/>
  <c r="AC599" i="3"/>
  <c r="AB600" i="3"/>
  <c r="AC600" i="3"/>
  <c r="AB601" i="3"/>
  <c r="AC601" i="3"/>
  <c r="AB602" i="3"/>
  <c r="AC602" i="3"/>
  <c r="AB603" i="3"/>
  <c r="AC603" i="3"/>
  <c r="AB604" i="3"/>
  <c r="AC604" i="3"/>
  <c r="AB2" i="3"/>
  <c r="AC2" i="3"/>
  <c r="W5" i="2"/>
  <c r="X5" i="2"/>
  <c r="Y5" i="2"/>
  <c r="Z5" i="2"/>
  <c r="W6" i="2"/>
  <c r="X6" i="2"/>
  <c r="Y6" i="2"/>
  <c r="Z6" i="2"/>
  <c r="W7" i="2"/>
  <c r="X7" i="2"/>
  <c r="Y7" i="2"/>
  <c r="Z7" i="2"/>
  <c r="W8" i="2"/>
  <c r="X8" i="2"/>
  <c r="Y8" i="2"/>
  <c r="Z8" i="2"/>
  <c r="W9" i="2"/>
  <c r="X9" i="2"/>
  <c r="Y9" i="2"/>
  <c r="Z9" i="2"/>
  <c r="W10" i="2"/>
  <c r="X10" i="2"/>
  <c r="Y10" i="2"/>
  <c r="Z10" i="2"/>
  <c r="W11" i="2"/>
  <c r="X11" i="2"/>
  <c r="Y11" i="2"/>
  <c r="Z11" i="2"/>
  <c r="W12" i="2"/>
  <c r="X12" i="2"/>
  <c r="Y12" i="2"/>
  <c r="Z12" i="2"/>
  <c r="W13" i="2"/>
  <c r="X13" i="2"/>
  <c r="Y13" i="2"/>
  <c r="Z13" i="2"/>
  <c r="W14" i="2"/>
  <c r="X14" i="2"/>
  <c r="Y14" i="2"/>
  <c r="Z14" i="2"/>
  <c r="W15" i="2"/>
  <c r="X15" i="2"/>
  <c r="Y15" i="2"/>
  <c r="Z15" i="2"/>
  <c r="W16" i="2"/>
  <c r="X16" i="2"/>
  <c r="Y16" i="2"/>
  <c r="Z16" i="2"/>
  <c r="X17" i="2"/>
  <c r="Y17" i="2"/>
  <c r="Z17" i="2"/>
  <c r="X18" i="2"/>
  <c r="Y18" i="2"/>
  <c r="Z18" i="2"/>
  <c r="X19" i="2"/>
  <c r="Y19" i="2"/>
  <c r="Z19" i="2"/>
  <c r="X20" i="2"/>
  <c r="Y20" i="2"/>
  <c r="Z20" i="2"/>
  <c r="X21" i="2"/>
  <c r="Y21" i="2"/>
  <c r="Z21" i="2"/>
  <c r="X22" i="2"/>
  <c r="Y22" i="2"/>
  <c r="Z22" i="2"/>
  <c r="X23" i="2"/>
  <c r="Y23" i="2"/>
  <c r="Z23" i="2"/>
  <c r="X24" i="2"/>
  <c r="Y24" i="2"/>
  <c r="Z24" i="2"/>
  <c r="X25" i="2"/>
  <c r="Y25" i="2"/>
  <c r="Z25" i="2"/>
  <c r="X26" i="2"/>
  <c r="Y26" i="2"/>
  <c r="Z26" i="2"/>
  <c r="X27" i="2"/>
  <c r="Y27" i="2"/>
  <c r="Z27" i="2"/>
  <c r="X28" i="2"/>
  <c r="Y28" i="2"/>
  <c r="Z28" i="2"/>
  <c r="X29" i="2"/>
  <c r="Y29" i="2"/>
  <c r="Z29" i="2"/>
  <c r="X30" i="2"/>
  <c r="Y30" i="2"/>
  <c r="Z30" i="2"/>
  <c r="X31" i="2"/>
  <c r="Y31" i="2"/>
  <c r="Z31" i="2"/>
  <c r="X32" i="2"/>
  <c r="Y32" i="2"/>
  <c r="Z32" i="2"/>
  <c r="X33" i="2"/>
  <c r="Y33" i="2"/>
  <c r="Z33" i="2"/>
  <c r="X34" i="2"/>
  <c r="Y34" i="2"/>
  <c r="Z34" i="2"/>
  <c r="X35" i="2"/>
  <c r="Y35" i="2"/>
  <c r="Z35" i="2"/>
  <c r="X36" i="2"/>
  <c r="Y36" i="2"/>
  <c r="Z36" i="2"/>
  <c r="X37" i="2"/>
  <c r="Y37" i="2"/>
  <c r="Z37" i="2"/>
  <c r="X38" i="2"/>
  <c r="Y38" i="2"/>
  <c r="Z38" i="2"/>
  <c r="X39" i="2"/>
  <c r="Y39" i="2"/>
  <c r="Z39" i="2"/>
  <c r="X40" i="2"/>
  <c r="Y40" i="2"/>
  <c r="Z40" i="2"/>
  <c r="X41" i="2"/>
  <c r="Y41" i="2"/>
  <c r="Z41" i="2"/>
  <c r="X42" i="2"/>
  <c r="Y42" i="2"/>
  <c r="Z42" i="2"/>
  <c r="X43" i="2"/>
  <c r="Y43" i="2"/>
  <c r="Z43" i="2"/>
  <c r="X44" i="2"/>
  <c r="Y44" i="2"/>
  <c r="Z44" i="2"/>
  <c r="X45" i="2"/>
  <c r="Y45" i="2"/>
  <c r="Z45" i="2"/>
  <c r="X46" i="2"/>
  <c r="Y46" i="2"/>
  <c r="Z46" i="2"/>
  <c r="X47" i="2"/>
  <c r="Y47" i="2"/>
  <c r="Z47" i="2"/>
  <c r="X48" i="2"/>
  <c r="Y48" i="2"/>
  <c r="Z48" i="2"/>
  <c r="X49" i="2"/>
  <c r="Y49" i="2"/>
  <c r="Z49" i="2"/>
  <c r="X50" i="2"/>
  <c r="Y50" i="2"/>
  <c r="Z50" i="2"/>
  <c r="X51" i="2"/>
  <c r="Y51" i="2"/>
  <c r="Z51" i="2"/>
  <c r="X52" i="2"/>
  <c r="Y52" i="2"/>
  <c r="Z52" i="2"/>
  <c r="X53" i="2"/>
  <c r="Y53" i="2"/>
  <c r="Z53" i="2"/>
  <c r="X54" i="2"/>
  <c r="Y54" i="2"/>
  <c r="Z54" i="2"/>
  <c r="X55" i="2"/>
  <c r="Y55" i="2"/>
  <c r="Z55" i="2"/>
  <c r="X56" i="2"/>
  <c r="Y56" i="2"/>
  <c r="Z56" i="2"/>
  <c r="X57" i="2"/>
  <c r="Y57" i="2"/>
  <c r="Z57" i="2"/>
  <c r="X58" i="2"/>
  <c r="Y58" i="2"/>
  <c r="Z58" i="2"/>
  <c r="X59" i="2"/>
  <c r="Y59" i="2"/>
  <c r="Z59" i="2"/>
  <c r="X60" i="2"/>
  <c r="Y60" i="2"/>
  <c r="Z60" i="2"/>
  <c r="X61" i="2"/>
  <c r="Y61" i="2"/>
  <c r="Z61" i="2"/>
  <c r="X62" i="2"/>
  <c r="Y62" i="2"/>
  <c r="Z62" i="2"/>
  <c r="X63" i="2"/>
  <c r="Y63" i="2"/>
  <c r="Z63" i="2"/>
  <c r="X64" i="2"/>
  <c r="Y64" i="2"/>
  <c r="Z64" i="2"/>
  <c r="X65" i="2"/>
  <c r="Y65" i="2"/>
  <c r="Z65" i="2"/>
  <c r="X66" i="2"/>
  <c r="Y66" i="2"/>
  <c r="Z66" i="2"/>
  <c r="X67" i="2"/>
  <c r="Y67" i="2"/>
  <c r="Z67" i="2"/>
  <c r="X68" i="2"/>
  <c r="Y68" i="2"/>
  <c r="Z68" i="2"/>
  <c r="X69" i="2"/>
  <c r="Y69" i="2"/>
  <c r="Z69" i="2"/>
  <c r="X70" i="2"/>
  <c r="Y70" i="2"/>
  <c r="Z70" i="2"/>
  <c r="X71" i="2"/>
  <c r="Y71" i="2"/>
  <c r="Z71" i="2"/>
  <c r="X72" i="2"/>
  <c r="Y72" i="2"/>
  <c r="Z72" i="2"/>
  <c r="X73" i="2"/>
  <c r="Y73" i="2"/>
  <c r="Z73" i="2"/>
  <c r="X74" i="2"/>
  <c r="Y74" i="2"/>
  <c r="Z74" i="2"/>
  <c r="X75" i="2"/>
  <c r="Y75" i="2"/>
  <c r="Z75" i="2"/>
  <c r="X76" i="2"/>
  <c r="Y76" i="2"/>
  <c r="Z76" i="2"/>
  <c r="X77" i="2"/>
  <c r="Y77" i="2"/>
  <c r="Z77" i="2"/>
  <c r="X78" i="2"/>
  <c r="Y78" i="2"/>
  <c r="Z78" i="2"/>
  <c r="X79" i="2"/>
  <c r="Y79" i="2"/>
  <c r="Z79" i="2"/>
  <c r="X80" i="2"/>
  <c r="Y80" i="2"/>
  <c r="Z80" i="2"/>
  <c r="X81" i="2"/>
  <c r="Y81" i="2"/>
  <c r="Z81" i="2"/>
  <c r="X82" i="2"/>
  <c r="Y82" i="2"/>
  <c r="Z82" i="2"/>
  <c r="X83" i="2"/>
  <c r="Y83" i="2"/>
  <c r="Z83" i="2"/>
  <c r="X84" i="2"/>
  <c r="Y84" i="2"/>
  <c r="Z84" i="2"/>
  <c r="X85" i="2"/>
  <c r="Y85" i="2"/>
  <c r="Z85" i="2"/>
  <c r="X86" i="2"/>
  <c r="Y86" i="2"/>
  <c r="Z86" i="2"/>
  <c r="X87" i="2"/>
  <c r="Y87" i="2"/>
  <c r="Z87" i="2"/>
  <c r="X88" i="2"/>
  <c r="Y88" i="2"/>
  <c r="Z88" i="2"/>
  <c r="X89" i="2"/>
  <c r="Y89" i="2"/>
  <c r="Z89" i="2"/>
  <c r="X90" i="2"/>
  <c r="Y90" i="2"/>
  <c r="Z90" i="2"/>
  <c r="X91" i="2"/>
  <c r="Y91" i="2"/>
  <c r="Z91" i="2"/>
  <c r="X92" i="2"/>
  <c r="Y92" i="2"/>
  <c r="Z92" i="2"/>
  <c r="X93" i="2"/>
  <c r="Y93" i="2"/>
  <c r="Z93" i="2"/>
  <c r="X94" i="2"/>
  <c r="Y94" i="2"/>
  <c r="Z94" i="2"/>
  <c r="X95" i="2"/>
  <c r="Y95" i="2"/>
  <c r="Z95" i="2"/>
  <c r="X96" i="2"/>
  <c r="Y96" i="2"/>
  <c r="Z96" i="2"/>
  <c r="X97" i="2"/>
  <c r="Y97" i="2"/>
  <c r="Z97" i="2"/>
  <c r="X98" i="2"/>
  <c r="Y98" i="2"/>
  <c r="Z98" i="2"/>
  <c r="X99" i="2"/>
  <c r="Y99" i="2"/>
  <c r="Z99" i="2"/>
  <c r="X100" i="2"/>
  <c r="Y100" i="2"/>
  <c r="Z100" i="2"/>
  <c r="X101" i="2"/>
  <c r="Y101" i="2"/>
  <c r="Z101" i="2"/>
  <c r="X102" i="2"/>
  <c r="Y102" i="2"/>
  <c r="Z102" i="2"/>
  <c r="X103" i="2"/>
  <c r="Y103" i="2"/>
  <c r="Z103" i="2"/>
  <c r="X104" i="2"/>
  <c r="Y104" i="2"/>
  <c r="Z104" i="2"/>
  <c r="X105" i="2"/>
  <c r="Y105" i="2"/>
  <c r="Z105" i="2"/>
  <c r="X106" i="2"/>
  <c r="Y106" i="2"/>
  <c r="Z106" i="2"/>
  <c r="X107" i="2"/>
  <c r="Y107" i="2"/>
  <c r="Z107" i="2"/>
  <c r="X108" i="2"/>
  <c r="Y108" i="2"/>
  <c r="Z108" i="2"/>
  <c r="X109" i="2"/>
  <c r="Y109" i="2"/>
  <c r="Z109" i="2"/>
  <c r="X110" i="2"/>
  <c r="Y110" i="2"/>
  <c r="Z110" i="2"/>
  <c r="X111" i="2"/>
  <c r="Y111" i="2"/>
  <c r="Z111" i="2"/>
  <c r="X112" i="2"/>
  <c r="Y112" i="2"/>
  <c r="Z112" i="2"/>
  <c r="X113" i="2"/>
  <c r="Y113" i="2"/>
  <c r="Z113" i="2"/>
  <c r="X114" i="2"/>
  <c r="Y114" i="2"/>
  <c r="Z114" i="2"/>
  <c r="X115" i="2"/>
  <c r="Y115" i="2"/>
  <c r="Z115" i="2"/>
  <c r="X116" i="2"/>
  <c r="Y116" i="2"/>
  <c r="Z116" i="2"/>
  <c r="X117" i="2"/>
  <c r="Y117" i="2"/>
  <c r="Z117" i="2"/>
  <c r="X118" i="2"/>
  <c r="Y118" i="2"/>
  <c r="Z118" i="2"/>
  <c r="X119" i="2"/>
  <c r="Y119" i="2"/>
  <c r="Z119" i="2"/>
  <c r="X120" i="2"/>
  <c r="Y120" i="2"/>
  <c r="Z120" i="2"/>
  <c r="X121" i="2"/>
  <c r="Y121" i="2"/>
  <c r="Z121" i="2"/>
  <c r="X122" i="2"/>
  <c r="Y122" i="2"/>
  <c r="Z122" i="2"/>
  <c r="X123" i="2"/>
  <c r="Y123" i="2"/>
  <c r="Z123" i="2"/>
  <c r="X124" i="2"/>
  <c r="Y124" i="2"/>
  <c r="Z124" i="2"/>
  <c r="X125" i="2"/>
  <c r="Y125" i="2"/>
  <c r="Z125" i="2"/>
  <c r="X126" i="2"/>
  <c r="Y126" i="2"/>
  <c r="Z126" i="2"/>
  <c r="X127" i="2"/>
  <c r="Y127" i="2"/>
  <c r="Z127" i="2"/>
  <c r="X128" i="2"/>
  <c r="Y128" i="2"/>
  <c r="Z128" i="2"/>
  <c r="X129" i="2"/>
  <c r="Y129" i="2"/>
  <c r="Z129" i="2"/>
  <c r="X130" i="2"/>
  <c r="Y130" i="2"/>
  <c r="Z130" i="2"/>
  <c r="X131" i="2"/>
  <c r="Y131" i="2"/>
  <c r="Z131" i="2"/>
  <c r="X132" i="2"/>
  <c r="Y132" i="2"/>
  <c r="Z132" i="2"/>
  <c r="X133" i="2"/>
  <c r="Y133" i="2"/>
  <c r="Z133" i="2"/>
  <c r="X134" i="2"/>
  <c r="Y134" i="2"/>
  <c r="Z134" i="2"/>
  <c r="X135" i="2"/>
  <c r="Y135" i="2"/>
  <c r="Z135" i="2"/>
  <c r="X136" i="2"/>
  <c r="Y136" i="2"/>
  <c r="Z136" i="2"/>
  <c r="X137" i="2"/>
  <c r="Y137" i="2"/>
  <c r="Z137" i="2"/>
  <c r="X138" i="2"/>
  <c r="Y138" i="2"/>
  <c r="Z138" i="2"/>
  <c r="X139" i="2"/>
  <c r="Y139" i="2"/>
  <c r="Z139" i="2"/>
  <c r="X140" i="2"/>
  <c r="Y140" i="2"/>
  <c r="Z140" i="2"/>
  <c r="X141" i="2"/>
  <c r="Y141" i="2"/>
  <c r="Z141" i="2"/>
  <c r="X142" i="2"/>
  <c r="Y142" i="2"/>
  <c r="Z142" i="2"/>
  <c r="X143" i="2"/>
  <c r="Y143" i="2"/>
  <c r="Z143" i="2"/>
  <c r="X144" i="2"/>
  <c r="Y144" i="2"/>
  <c r="Z144" i="2"/>
  <c r="X145" i="2"/>
  <c r="Y145" i="2"/>
  <c r="Z145" i="2"/>
  <c r="X146" i="2"/>
  <c r="Y146" i="2"/>
  <c r="Z146" i="2"/>
  <c r="X147" i="2"/>
  <c r="Y147" i="2"/>
  <c r="Z147" i="2"/>
  <c r="X148" i="2"/>
  <c r="Y148" i="2"/>
  <c r="Z148" i="2"/>
  <c r="X149" i="2"/>
  <c r="Y149" i="2"/>
  <c r="Z149" i="2"/>
  <c r="X150" i="2"/>
  <c r="Y150" i="2"/>
  <c r="Z150" i="2"/>
  <c r="X151" i="2"/>
  <c r="Y151" i="2"/>
  <c r="Z151" i="2"/>
  <c r="X152" i="2"/>
  <c r="Y152" i="2"/>
  <c r="Z152" i="2"/>
  <c r="X153" i="2"/>
  <c r="Y153" i="2"/>
  <c r="Z153" i="2"/>
  <c r="X154" i="2"/>
  <c r="Y154" i="2"/>
  <c r="Z154" i="2"/>
  <c r="X155" i="2"/>
  <c r="Y155" i="2"/>
  <c r="Z155" i="2"/>
  <c r="X156" i="2"/>
  <c r="Y156" i="2"/>
  <c r="Z156" i="2"/>
  <c r="X157" i="2"/>
  <c r="Y157" i="2"/>
  <c r="Z157" i="2"/>
  <c r="X158" i="2"/>
  <c r="Y158" i="2"/>
  <c r="Z158" i="2"/>
  <c r="X159" i="2"/>
  <c r="Y159" i="2"/>
  <c r="Z159" i="2"/>
  <c r="X160" i="2"/>
  <c r="Y160" i="2"/>
  <c r="Z160" i="2"/>
  <c r="X161" i="2"/>
  <c r="Y161" i="2"/>
  <c r="Z161" i="2"/>
  <c r="X162" i="2"/>
  <c r="Y162" i="2"/>
  <c r="Z162" i="2"/>
  <c r="X163" i="2"/>
  <c r="Y163" i="2"/>
  <c r="Z163" i="2"/>
  <c r="X164" i="2"/>
  <c r="Y164" i="2"/>
  <c r="Z164" i="2"/>
  <c r="X165" i="2"/>
  <c r="Y165" i="2"/>
  <c r="Z165" i="2"/>
  <c r="X166" i="2"/>
  <c r="Y166" i="2"/>
  <c r="Z166" i="2"/>
  <c r="X167" i="2"/>
  <c r="Y167" i="2"/>
  <c r="Z167" i="2"/>
  <c r="X168" i="2"/>
  <c r="Y168" i="2"/>
  <c r="Z168" i="2"/>
  <c r="X169" i="2"/>
  <c r="Y169" i="2"/>
  <c r="Z169" i="2"/>
  <c r="X170" i="2"/>
  <c r="Y170" i="2"/>
  <c r="Z170" i="2"/>
  <c r="X171" i="2"/>
  <c r="Y171" i="2"/>
  <c r="Z171" i="2"/>
  <c r="X172" i="2"/>
  <c r="Y172" i="2"/>
  <c r="Z172" i="2"/>
  <c r="X173" i="2"/>
  <c r="Y173" i="2"/>
  <c r="Z173" i="2"/>
  <c r="X174" i="2"/>
  <c r="Y174" i="2"/>
  <c r="Z174" i="2"/>
  <c r="X175" i="2"/>
  <c r="Y175" i="2"/>
  <c r="Z175" i="2"/>
  <c r="X176" i="2"/>
  <c r="Y176" i="2"/>
  <c r="Z176" i="2"/>
  <c r="X177" i="2"/>
  <c r="Y177" i="2"/>
  <c r="Z177" i="2"/>
  <c r="X178" i="2"/>
  <c r="Y178" i="2"/>
  <c r="Z178" i="2"/>
  <c r="X179" i="2"/>
  <c r="Y179" i="2"/>
  <c r="Z179" i="2"/>
  <c r="X180" i="2"/>
  <c r="Y180" i="2"/>
  <c r="Z180" i="2"/>
  <c r="X181" i="2"/>
  <c r="Y181" i="2"/>
  <c r="Z181" i="2"/>
  <c r="X182" i="2"/>
  <c r="Y182" i="2"/>
  <c r="Z182" i="2"/>
  <c r="X183" i="2"/>
  <c r="Y183" i="2"/>
  <c r="Z183" i="2"/>
  <c r="X184" i="2"/>
  <c r="Y184" i="2"/>
  <c r="Z184" i="2"/>
  <c r="X185" i="2"/>
  <c r="Y185" i="2"/>
  <c r="Z185" i="2"/>
  <c r="X186" i="2"/>
  <c r="Y186" i="2"/>
  <c r="Z186" i="2"/>
  <c r="X187" i="2"/>
  <c r="Y187" i="2"/>
  <c r="Z187" i="2"/>
  <c r="X188" i="2"/>
  <c r="Y188" i="2"/>
  <c r="Z188" i="2"/>
  <c r="X189" i="2"/>
  <c r="Y189" i="2"/>
  <c r="Z189" i="2"/>
  <c r="X190" i="2"/>
  <c r="Y190" i="2"/>
  <c r="Z190" i="2"/>
  <c r="X191" i="2"/>
  <c r="Y191" i="2"/>
  <c r="Z191" i="2"/>
  <c r="X192" i="2"/>
  <c r="Y192" i="2"/>
  <c r="Z192" i="2"/>
  <c r="X193" i="2"/>
  <c r="Y193" i="2"/>
  <c r="Z193" i="2"/>
  <c r="X194" i="2"/>
  <c r="Y194" i="2"/>
  <c r="Z194" i="2"/>
  <c r="X195" i="2"/>
  <c r="Y195" i="2"/>
  <c r="Z195" i="2"/>
  <c r="X196" i="2"/>
  <c r="Y196" i="2"/>
  <c r="Z196" i="2"/>
  <c r="X197" i="2"/>
  <c r="Y197" i="2"/>
  <c r="Z197" i="2"/>
  <c r="X198" i="2"/>
  <c r="Y198" i="2"/>
  <c r="Z198" i="2"/>
  <c r="X199" i="2"/>
  <c r="Y199" i="2"/>
  <c r="Z199" i="2"/>
  <c r="X200" i="2"/>
  <c r="Y200" i="2"/>
  <c r="Z200" i="2"/>
  <c r="X201" i="2"/>
  <c r="Y201" i="2"/>
  <c r="Z201" i="2"/>
  <c r="X202" i="2"/>
  <c r="Y202" i="2"/>
  <c r="Z202" i="2"/>
  <c r="X203" i="2"/>
  <c r="Y203" i="2"/>
  <c r="Z203" i="2"/>
  <c r="X204" i="2"/>
  <c r="Y204" i="2"/>
  <c r="Z204" i="2"/>
  <c r="X205" i="2"/>
  <c r="Y205" i="2"/>
  <c r="Z205" i="2"/>
  <c r="X206" i="2"/>
  <c r="Y206" i="2"/>
  <c r="Z206" i="2"/>
  <c r="X207" i="2"/>
  <c r="Y207" i="2"/>
  <c r="Z207" i="2"/>
  <c r="X208" i="2"/>
  <c r="Y208" i="2"/>
  <c r="Z208" i="2"/>
  <c r="X209" i="2"/>
  <c r="Y209" i="2"/>
  <c r="Z209" i="2"/>
  <c r="X210" i="2"/>
  <c r="Y210" i="2"/>
  <c r="Z210" i="2"/>
  <c r="X211" i="2"/>
  <c r="Y211" i="2"/>
  <c r="Z211" i="2"/>
  <c r="X212" i="2"/>
  <c r="Y212" i="2"/>
  <c r="Z212" i="2"/>
  <c r="X213" i="2"/>
  <c r="Y213" i="2"/>
  <c r="Z213" i="2"/>
  <c r="X214" i="2"/>
  <c r="Y214" i="2"/>
  <c r="Z214" i="2"/>
  <c r="X215" i="2"/>
  <c r="Y215" i="2"/>
  <c r="Z215" i="2"/>
  <c r="X216" i="2"/>
  <c r="Y216" i="2"/>
  <c r="Z216" i="2"/>
  <c r="X217" i="2"/>
  <c r="Y217" i="2"/>
  <c r="Z217" i="2"/>
  <c r="X218" i="2"/>
  <c r="Y218" i="2"/>
  <c r="Z218" i="2"/>
  <c r="X219" i="2"/>
  <c r="Y219" i="2"/>
  <c r="Z219" i="2"/>
  <c r="X220" i="2"/>
  <c r="Y220" i="2"/>
  <c r="Z220" i="2"/>
  <c r="X221" i="2"/>
  <c r="Y221" i="2"/>
  <c r="Z221" i="2"/>
  <c r="X222" i="2"/>
  <c r="Y222" i="2"/>
  <c r="Z222" i="2"/>
  <c r="X223" i="2"/>
  <c r="Y223" i="2"/>
  <c r="Z223" i="2"/>
  <c r="X224" i="2"/>
  <c r="Y224" i="2"/>
  <c r="Z224" i="2"/>
  <c r="X225" i="2"/>
  <c r="Y225" i="2"/>
  <c r="Z225" i="2"/>
  <c r="X226" i="2"/>
  <c r="Y226" i="2"/>
  <c r="Z226" i="2"/>
  <c r="X227" i="2"/>
  <c r="Y227" i="2"/>
  <c r="Z227" i="2"/>
  <c r="X228" i="2"/>
  <c r="Y228" i="2"/>
  <c r="Z228" i="2"/>
  <c r="X229" i="2"/>
  <c r="Y229" i="2"/>
  <c r="Z229" i="2"/>
  <c r="X230" i="2"/>
  <c r="Y230" i="2"/>
  <c r="Z230" i="2"/>
  <c r="X231" i="2"/>
  <c r="Y231" i="2"/>
  <c r="Z231" i="2"/>
  <c r="X232" i="2"/>
  <c r="Y232" i="2"/>
  <c r="Z232" i="2"/>
  <c r="X233" i="2"/>
  <c r="Y233" i="2"/>
  <c r="Z233" i="2"/>
  <c r="X234" i="2"/>
  <c r="Y234" i="2"/>
  <c r="Z234" i="2"/>
  <c r="X235" i="2"/>
  <c r="Y235" i="2"/>
  <c r="Z235" i="2"/>
  <c r="X236" i="2"/>
  <c r="Y236" i="2"/>
  <c r="Z236" i="2"/>
  <c r="X237" i="2"/>
  <c r="Y237" i="2"/>
  <c r="Z237" i="2"/>
  <c r="X238" i="2"/>
  <c r="Y238" i="2"/>
  <c r="Z238" i="2"/>
  <c r="X239" i="2"/>
  <c r="Y239" i="2"/>
  <c r="Z239" i="2"/>
  <c r="X240" i="2"/>
  <c r="Y240" i="2"/>
  <c r="Z240" i="2"/>
  <c r="X241" i="2"/>
  <c r="Y241" i="2"/>
  <c r="Z241" i="2"/>
  <c r="X242" i="2"/>
  <c r="Y242" i="2"/>
  <c r="Z242" i="2"/>
  <c r="X243" i="2"/>
  <c r="Y243" i="2"/>
  <c r="Z243" i="2"/>
  <c r="X244" i="2"/>
  <c r="Y244" i="2"/>
  <c r="Z244" i="2"/>
  <c r="X245" i="2"/>
  <c r="Y245" i="2"/>
  <c r="Z245" i="2"/>
  <c r="X246" i="2"/>
  <c r="Y246" i="2"/>
  <c r="Z246" i="2"/>
  <c r="X247" i="2"/>
  <c r="Y247" i="2"/>
  <c r="Z247" i="2"/>
  <c r="X248" i="2"/>
  <c r="Y248" i="2"/>
  <c r="Z248" i="2"/>
  <c r="X249" i="2"/>
  <c r="Y249" i="2"/>
  <c r="Z249" i="2"/>
  <c r="X250" i="2"/>
  <c r="Y250" i="2"/>
  <c r="Z250" i="2"/>
  <c r="X251" i="2"/>
  <c r="Y251" i="2"/>
  <c r="Z251" i="2"/>
  <c r="X252" i="2"/>
  <c r="Y252" i="2"/>
  <c r="Z252" i="2"/>
  <c r="X253" i="2"/>
  <c r="Y253" i="2"/>
  <c r="Z253" i="2"/>
  <c r="X254" i="2"/>
  <c r="Y254" i="2"/>
  <c r="Z254" i="2"/>
  <c r="X255" i="2"/>
  <c r="Y255" i="2"/>
  <c r="Z255" i="2"/>
  <c r="X256" i="2"/>
  <c r="Y256" i="2"/>
  <c r="Z256" i="2"/>
  <c r="X257" i="2"/>
  <c r="Y257" i="2"/>
  <c r="Z257" i="2"/>
  <c r="X258" i="2"/>
  <c r="Y258" i="2"/>
  <c r="Z258" i="2"/>
  <c r="X259" i="2"/>
  <c r="Y259" i="2"/>
  <c r="Z259" i="2"/>
  <c r="X260" i="2"/>
  <c r="Y260" i="2"/>
  <c r="Z260" i="2"/>
  <c r="X261" i="2"/>
  <c r="Y261" i="2"/>
  <c r="Z261" i="2"/>
  <c r="X262" i="2"/>
  <c r="Y262" i="2"/>
  <c r="Z262" i="2"/>
  <c r="X263" i="2"/>
  <c r="Y263" i="2"/>
  <c r="Z263" i="2"/>
  <c r="X264" i="2"/>
  <c r="Y264" i="2"/>
  <c r="Z264" i="2"/>
  <c r="X265" i="2"/>
  <c r="Y265" i="2"/>
  <c r="Z265" i="2"/>
  <c r="X266" i="2"/>
  <c r="Y266" i="2"/>
  <c r="Z266" i="2"/>
  <c r="X267" i="2"/>
  <c r="Y267" i="2"/>
  <c r="Z267" i="2"/>
  <c r="X268" i="2"/>
  <c r="Y268" i="2"/>
  <c r="Z268" i="2"/>
  <c r="X269" i="2"/>
  <c r="Y269" i="2"/>
  <c r="Z269" i="2"/>
  <c r="X270" i="2"/>
  <c r="Y270" i="2"/>
  <c r="Z270" i="2"/>
  <c r="X271" i="2"/>
  <c r="Y271" i="2"/>
  <c r="Z271" i="2"/>
  <c r="X272" i="2"/>
  <c r="Y272" i="2"/>
  <c r="Z272" i="2"/>
  <c r="X273" i="2"/>
  <c r="Y273" i="2"/>
  <c r="Z273" i="2"/>
  <c r="X274" i="2"/>
  <c r="Y274" i="2"/>
  <c r="Z274" i="2"/>
  <c r="X275" i="2"/>
  <c r="Y275" i="2"/>
  <c r="Z275" i="2"/>
  <c r="X276" i="2"/>
  <c r="Y276" i="2"/>
  <c r="Z276" i="2"/>
  <c r="X277" i="2"/>
  <c r="Y277" i="2"/>
  <c r="Z277" i="2"/>
  <c r="X278" i="2"/>
  <c r="Y278" i="2"/>
  <c r="Z278" i="2"/>
  <c r="X279" i="2"/>
  <c r="Y279" i="2"/>
  <c r="Z279" i="2"/>
  <c r="X280" i="2"/>
  <c r="Y280" i="2"/>
  <c r="Z280" i="2"/>
  <c r="X281" i="2"/>
  <c r="Y281" i="2"/>
  <c r="Z281" i="2"/>
  <c r="X282" i="2"/>
  <c r="Y282" i="2"/>
  <c r="Z282" i="2"/>
  <c r="X283" i="2"/>
  <c r="Y283" i="2"/>
  <c r="Z283" i="2"/>
  <c r="X284" i="2"/>
  <c r="Y284" i="2"/>
  <c r="Z284" i="2"/>
  <c r="X285" i="2"/>
  <c r="Y285" i="2"/>
  <c r="Z285" i="2"/>
  <c r="X286" i="2"/>
  <c r="Y286" i="2"/>
  <c r="Z286" i="2"/>
  <c r="X287" i="2"/>
  <c r="Y287" i="2"/>
  <c r="Z287" i="2"/>
  <c r="X288" i="2"/>
  <c r="Y288" i="2"/>
  <c r="Z288" i="2"/>
  <c r="X289" i="2"/>
  <c r="Y289" i="2"/>
  <c r="Z289" i="2"/>
  <c r="X290" i="2"/>
  <c r="Y290" i="2"/>
  <c r="Z290" i="2"/>
  <c r="X291" i="2"/>
  <c r="Y291" i="2"/>
  <c r="Z291" i="2"/>
  <c r="X292" i="2"/>
  <c r="Y292" i="2"/>
  <c r="Z292" i="2"/>
  <c r="X293" i="2"/>
  <c r="Y293" i="2"/>
  <c r="Z293" i="2"/>
  <c r="X294" i="2"/>
  <c r="Y294" i="2"/>
  <c r="Z294" i="2"/>
  <c r="X295" i="2"/>
  <c r="Y295" i="2"/>
  <c r="Z295" i="2"/>
  <c r="X296" i="2"/>
  <c r="Y296" i="2"/>
  <c r="Z296" i="2"/>
  <c r="X297" i="2"/>
  <c r="Y297" i="2"/>
  <c r="Z297" i="2"/>
  <c r="X298" i="2"/>
  <c r="Y298" i="2"/>
  <c r="Z298" i="2"/>
  <c r="X299" i="2"/>
  <c r="Y299" i="2"/>
  <c r="Z299" i="2"/>
  <c r="X300" i="2"/>
  <c r="Y300" i="2"/>
  <c r="Z300" i="2"/>
  <c r="X301" i="2"/>
  <c r="Y301" i="2"/>
  <c r="Z301" i="2"/>
  <c r="X302" i="2"/>
  <c r="Y302" i="2"/>
  <c r="Z302" i="2"/>
  <c r="X303" i="2"/>
  <c r="Y303" i="2"/>
  <c r="Z303" i="2"/>
  <c r="X304" i="2"/>
  <c r="Y304" i="2"/>
  <c r="Z304" i="2"/>
  <c r="X305" i="2"/>
  <c r="Y305" i="2"/>
  <c r="Z305" i="2"/>
  <c r="X306" i="2"/>
  <c r="Y306" i="2"/>
  <c r="Z306" i="2"/>
  <c r="X307" i="2"/>
  <c r="Y307" i="2"/>
  <c r="Z307" i="2"/>
  <c r="X308" i="2"/>
  <c r="Y308" i="2"/>
  <c r="Z308" i="2"/>
  <c r="X309" i="2"/>
  <c r="Y309" i="2"/>
  <c r="Z309" i="2"/>
  <c r="X310" i="2"/>
  <c r="Y310" i="2"/>
  <c r="Z310" i="2"/>
  <c r="X311" i="2"/>
  <c r="Y311" i="2"/>
  <c r="Z311" i="2"/>
  <c r="X312" i="2"/>
  <c r="Y312" i="2"/>
  <c r="Z312" i="2"/>
  <c r="X313" i="2"/>
  <c r="Y313" i="2"/>
  <c r="Z313" i="2"/>
  <c r="X314" i="2"/>
  <c r="Y314" i="2"/>
  <c r="Z314" i="2"/>
  <c r="X315" i="2"/>
  <c r="Y315" i="2"/>
  <c r="Z315" i="2"/>
  <c r="X316" i="2"/>
  <c r="Y316" i="2"/>
  <c r="Z316" i="2"/>
  <c r="X317" i="2"/>
  <c r="Y317" i="2"/>
  <c r="Z317" i="2"/>
  <c r="X318" i="2"/>
  <c r="Y318" i="2"/>
  <c r="Z318" i="2"/>
  <c r="X319" i="2"/>
  <c r="Y319" i="2"/>
  <c r="Z319" i="2"/>
  <c r="X320" i="2"/>
  <c r="Y320" i="2"/>
  <c r="Z320" i="2"/>
  <c r="X321" i="2"/>
  <c r="Y321" i="2"/>
  <c r="Z321" i="2"/>
  <c r="X322" i="2"/>
  <c r="Y322" i="2"/>
  <c r="Z322" i="2"/>
  <c r="X323" i="2"/>
  <c r="Y323" i="2"/>
  <c r="Z323" i="2"/>
  <c r="X324" i="2"/>
  <c r="Y324" i="2"/>
  <c r="Z324" i="2"/>
  <c r="X325" i="2"/>
  <c r="Y325" i="2"/>
  <c r="Z325" i="2"/>
  <c r="X326" i="2"/>
  <c r="Y326" i="2"/>
  <c r="Z326" i="2"/>
  <c r="X327" i="2"/>
  <c r="Y327" i="2"/>
  <c r="Z327" i="2"/>
  <c r="X328" i="2"/>
  <c r="Y328" i="2"/>
  <c r="Z328" i="2"/>
  <c r="X329" i="2"/>
  <c r="Y329" i="2"/>
  <c r="Z329" i="2"/>
  <c r="X330" i="2"/>
  <c r="Y330" i="2"/>
  <c r="Z330" i="2"/>
  <c r="X331" i="2"/>
  <c r="Y331" i="2"/>
  <c r="Z331" i="2"/>
  <c r="X332" i="2"/>
  <c r="Y332" i="2"/>
  <c r="Z332" i="2"/>
  <c r="X333" i="2"/>
  <c r="Y333" i="2"/>
  <c r="Z333" i="2"/>
  <c r="X334" i="2"/>
  <c r="Y334" i="2"/>
  <c r="Z334" i="2"/>
  <c r="X335" i="2"/>
  <c r="Y335" i="2"/>
  <c r="Z335" i="2"/>
  <c r="X336" i="2"/>
  <c r="Y336" i="2"/>
  <c r="Z336" i="2"/>
  <c r="X337" i="2"/>
  <c r="Y337" i="2"/>
  <c r="Z337" i="2"/>
  <c r="X338" i="2"/>
  <c r="Y338" i="2"/>
  <c r="Z338" i="2"/>
  <c r="X339" i="2"/>
  <c r="Y339" i="2"/>
  <c r="Z339" i="2"/>
  <c r="X340" i="2"/>
  <c r="Y340" i="2"/>
  <c r="Z340" i="2"/>
  <c r="X341" i="2"/>
  <c r="Y341" i="2"/>
  <c r="Z341" i="2"/>
  <c r="X342" i="2"/>
  <c r="Y342" i="2"/>
  <c r="Z342" i="2"/>
  <c r="X343" i="2"/>
  <c r="Y343" i="2"/>
  <c r="Z343" i="2"/>
  <c r="X344" i="2"/>
  <c r="Y344" i="2"/>
  <c r="Z344" i="2"/>
  <c r="X345" i="2"/>
  <c r="Y345" i="2"/>
  <c r="Z345" i="2"/>
  <c r="X346" i="2"/>
  <c r="Y346" i="2"/>
  <c r="Z346" i="2"/>
  <c r="X347" i="2"/>
  <c r="Y347" i="2"/>
  <c r="Z347" i="2"/>
  <c r="X348" i="2"/>
  <c r="Y348" i="2"/>
  <c r="Z348" i="2"/>
  <c r="X349" i="2"/>
  <c r="Y349" i="2"/>
  <c r="Z349" i="2"/>
  <c r="X350" i="2"/>
  <c r="Y350" i="2"/>
  <c r="Z350" i="2"/>
  <c r="X351" i="2"/>
  <c r="Y351" i="2"/>
  <c r="Z351" i="2"/>
  <c r="X352" i="2"/>
  <c r="Y352" i="2"/>
  <c r="Z352" i="2"/>
  <c r="X353" i="2"/>
  <c r="Y353" i="2"/>
  <c r="Z353" i="2"/>
  <c r="X354" i="2"/>
  <c r="Y354" i="2"/>
  <c r="Z354" i="2"/>
  <c r="X355" i="2"/>
  <c r="Y355" i="2"/>
  <c r="Z355" i="2"/>
  <c r="X356" i="2"/>
  <c r="Y356" i="2"/>
  <c r="Z356" i="2"/>
  <c r="X357" i="2"/>
  <c r="Y357" i="2"/>
  <c r="Z357" i="2"/>
  <c r="X358" i="2"/>
  <c r="Y358" i="2"/>
  <c r="Z358" i="2"/>
  <c r="X359" i="2"/>
  <c r="Y359" i="2"/>
  <c r="Z359" i="2"/>
  <c r="X360" i="2"/>
  <c r="Y360" i="2"/>
  <c r="Z360" i="2"/>
  <c r="X361" i="2"/>
  <c r="Y361" i="2"/>
  <c r="Z361" i="2"/>
  <c r="X362" i="2"/>
  <c r="Y362" i="2"/>
  <c r="Z362" i="2"/>
  <c r="X363" i="2"/>
  <c r="Y363" i="2"/>
  <c r="Z363" i="2"/>
  <c r="X364" i="2"/>
  <c r="Y364" i="2"/>
  <c r="Z364" i="2"/>
  <c r="X365" i="2"/>
  <c r="Y365" i="2"/>
  <c r="Z365" i="2"/>
  <c r="X366" i="2"/>
  <c r="Y366" i="2"/>
  <c r="Z366" i="2"/>
  <c r="X367" i="2"/>
  <c r="Y367" i="2"/>
  <c r="Z367" i="2"/>
  <c r="X368" i="2"/>
  <c r="Y368" i="2"/>
  <c r="Z368" i="2"/>
  <c r="X369" i="2"/>
  <c r="Y369" i="2"/>
  <c r="Z369" i="2"/>
  <c r="X370" i="2"/>
  <c r="Y370" i="2"/>
  <c r="Z370" i="2"/>
  <c r="X371" i="2"/>
  <c r="Y371" i="2"/>
  <c r="Z371" i="2"/>
  <c r="X372" i="2"/>
  <c r="Y372" i="2"/>
  <c r="Z372" i="2"/>
  <c r="X373" i="2"/>
  <c r="Y373" i="2"/>
  <c r="Z373" i="2"/>
  <c r="X374" i="2"/>
  <c r="Y374" i="2"/>
  <c r="Z374" i="2"/>
  <c r="X375" i="2"/>
  <c r="Y375" i="2"/>
  <c r="Z375" i="2"/>
  <c r="X376" i="2"/>
  <c r="Y376" i="2"/>
  <c r="Z376" i="2"/>
  <c r="X377" i="2"/>
  <c r="Y377" i="2"/>
  <c r="Z377" i="2"/>
  <c r="X378" i="2"/>
  <c r="Y378" i="2"/>
  <c r="Z378" i="2"/>
  <c r="X379" i="2"/>
  <c r="Y379" i="2"/>
  <c r="Z379" i="2"/>
  <c r="X380" i="2"/>
  <c r="Y380" i="2"/>
  <c r="Z380" i="2"/>
  <c r="X381" i="2"/>
  <c r="Y381" i="2"/>
  <c r="Z381" i="2"/>
  <c r="X382" i="2"/>
  <c r="Y382" i="2"/>
  <c r="Z382" i="2"/>
  <c r="X383" i="2"/>
  <c r="Y383" i="2"/>
  <c r="Z383" i="2"/>
  <c r="X384" i="2"/>
  <c r="Y384" i="2"/>
  <c r="Z384" i="2"/>
  <c r="X385" i="2"/>
  <c r="Y385" i="2"/>
  <c r="Z385" i="2"/>
  <c r="X386" i="2"/>
  <c r="Y386" i="2"/>
  <c r="Z386" i="2"/>
  <c r="X387" i="2"/>
  <c r="Y387" i="2"/>
  <c r="Z387" i="2"/>
  <c r="X388" i="2"/>
  <c r="Y388" i="2"/>
  <c r="Z388" i="2"/>
  <c r="X389" i="2"/>
  <c r="Y389" i="2"/>
  <c r="Z389" i="2"/>
  <c r="X390" i="2"/>
  <c r="Y390" i="2"/>
  <c r="Z390" i="2"/>
  <c r="X391" i="2"/>
  <c r="Y391" i="2"/>
  <c r="Z391" i="2"/>
  <c r="X392" i="2"/>
  <c r="Y392" i="2"/>
  <c r="Z392" i="2"/>
  <c r="X393" i="2"/>
  <c r="Y393" i="2"/>
  <c r="Z393" i="2"/>
  <c r="X394" i="2"/>
  <c r="Y394" i="2"/>
  <c r="Z394" i="2"/>
  <c r="X395" i="2"/>
  <c r="Y395" i="2"/>
  <c r="Z395" i="2"/>
  <c r="X396" i="2"/>
  <c r="Y396" i="2"/>
  <c r="Z396" i="2"/>
  <c r="X397" i="2"/>
  <c r="Y397" i="2"/>
  <c r="Z397" i="2"/>
  <c r="X398" i="2"/>
  <c r="Y398" i="2"/>
  <c r="Z398" i="2"/>
  <c r="X399" i="2"/>
  <c r="Y399" i="2"/>
  <c r="Z399" i="2"/>
  <c r="X400" i="2"/>
  <c r="Y400" i="2"/>
  <c r="Z400" i="2"/>
  <c r="X401" i="2"/>
  <c r="Y401" i="2"/>
  <c r="Z401" i="2"/>
  <c r="X402" i="2"/>
  <c r="Y402" i="2"/>
  <c r="Z402" i="2"/>
  <c r="X403" i="2"/>
  <c r="Y403" i="2"/>
  <c r="Z403" i="2"/>
  <c r="X404" i="2"/>
  <c r="Y404" i="2"/>
  <c r="Z404" i="2"/>
  <c r="X405" i="2"/>
  <c r="Y405" i="2"/>
  <c r="Z405" i="2"/>
  <c r="X406" i="2"/>
  <c r="Y406" i="2"/>
  <c r="Z406" i="2"/>
  <c r="X407" i="2"/>
  <c r="Y407" i="2"/>
  <c r="Z407" i="2"/>
  <c r="X408" i="2"/>
  <c r="Y408" i="2"/>
  <c r="Z408" i="2"/>
  <c r="X409" i="2"/>
  <c r="Y409" i="2"/>
  <c r="Z409" i="2"/>
  <c r="X410" i="2"/>
  <c r="Y410" i="2"/>
  <c r="Z410" i="2"/>
  <c r="X411" i="2"/>
  <c r="Y411" i="2"/>
  <c r="Z411" i="2"/>
  <c r="X412" i="2"/>
  <c r="Y412" i="2"/>
  <c r="Z412" i="2"/>
  <c r="X413" i="2"/>
  <c r="Y413" i="2"/>
  <c r="Z413" i="2"/>
  <c r="X414" i="2"/>
  <c r="Y414" i="2"/>
  <c r="Z414" i="2"/>
  <c r="X415" i="2"/>
  <c r="Y415" i="2"/>
  <c r="Z415" i="2"/>
  <c r="X416" i="2"/>
  <c r="Y416" i="2"/>
  <c r="Z416" i="2"/>
  <c r="X417" i="2"/>
  <c r="Y417" i="2"/>
  <c r="Z417" i="2"/>
  <c r="X418" i="2"/>
  <c r="Y418" i="2"/>
  <c r="Z418" i="2"/>
  <c r="X419" i="2"/>
  <c r="Y419" i="2"/>
  <c r="Z419" i="2"/>
  <c r="X420" i="2"/>
  <c r="Y420" i="2"/>
  <c r="Z420" i="2"/>
  <c r="X421" i="2"/>
  <c r="Y421" i="2"/>
  <c r="Z421" i="2"/>
  <c r="X422" i="2"/>
  <c r="Y422" i="2"/>
  <c r="Z422" i="2"/>
  <c r="X423" i="2"/>
  <c r="Y423" i="2"/>
  <c r="Z423" i="2"/>
  <c r="X424" i="2"/>
  <c r="Y424" i="2"/>
  <c r="Z424" i="2"/>
  <c r="X425" i="2"/>
  <c r="Y425" i="2"/>
  <c r="Z425" i="2"/>
  <c r="X426" i="2"/>
  <c r="Y426" i="2"/>
  <c r="Z426" i="2"/>
  <c r="X427" i="2"/>
  <c r="Y427" i="2"/>
  <c r="Z427" i="2"/>
  <c r="X428" i="2"/>
  <c r="Y428" i="2"/>
  <c r="Z428" i="2"/>
  <c r="X429" i="2"/>
  <c r="Y429" i="2"/>
  <c r="Z429" i="2"/>
  <c r="X430" i="2"/>
  <c r="Y430" i="2"/>
  <c r="Z430" i="2"/>
  <c r="X431" i="2"/>
  <c r="Y431" i="2"/>
  <c r="Z431" i="2"/>
  <c r="X432" i="2"/>
  <c r="Y432" i="2"/>
  <c r="Z432" i="2"/>
  <c r="X433" i="2"/>
  <c r="Y433" i="2"/>
  <c r="Z433" i="2"/>
  <c r="X434" i="2"/>
  <c r="Y434" i="2"/>
  <c r="Z434" i="2"/>
  <c r="X435" i="2"/>
  <c r="Y435" i="2"/>
  <c r="Z435" i="2"/>
  <c r="X436" i="2"/>
  <c r="Y436" i="2"/>
  <c r="Z436" i="2"/>
  <c r="X437" i="2"/>
  <c r="Y437" i="2"/>
  <c r="Z437" i="2"/>
  <c r="X438" i="2"/>
  <c r="Y438" i="2"/>
  <c r="Z438" i="2"/>
  <c r="X439" i="2"/>
  <c r="Y439" i="2"/>
  <c r="Z439" i="2"/>
  <c r="X440" i="2"/>
  <c r="Y440" i="2"/>
  <c r="Z440" i="2"/>
  <c r="X441" i="2"/>
  <c r="Y441" i="2"/>
  <c r="Z441" i="2"/>
  <c r="X442" i="2"/>
  <c r="Y442" i="2"/>
  <c r="Z442" i="2"/>
  <c r="X443" i="2"/>
  <c r="Y443" i="2"/>
  <c r="Z443" i="2"/>
  <c r="X444" i="2"/>
  <c r="Y444" i="2"/>
  <c r="Z444" i="2"/>
  <c r="X445" i="2"/>
  <c r="Y445" i="2"/>
  <c r="Z445" i="2"/>
  <c r="X446" i="2"/>
  <c r="Y446" i="2"/>
  <c r="Z446" i="2"/>
  <c r="X447" i="2"/>
  <c r="Y447" i="2"/>
  <c r="Z447" i="2"/>
  <c r="X448" i="2"/>
  <c r="Y448" i="2"/>
  <c r="Z448" i="2"/>
  <c r="X449" i="2"/>
  <c r="Y449" i="2"/>
  <c r="Z449" i="2"/>
  <c r="X450" i="2"/>
  <c r="Y450" i="2"/>
  <c r="Z450" i="2"/>
  <c r="X451" i="2"/>
  <c r="Y451" i="2"/>
  <c r="Z451" i="2"/>
  <c r="X452" i="2"/>
  <c r="Y452" i="2"/>
  <c r="Z452" i="2"/>
  <c r="X453" i="2"/>
  <c r="Y453" i="2"/>
  <c r="Z453" i="2"/>
  <c r="X454" i="2"/>
  <c r="Y454" i="2"/>
  <c r="Z454" i="2"/>
  <c r="X455" i="2"/>
  <c r="Y455" i="2"/>
  <c r="Z455" i="2"/>
  <c r="X456" i="2"/>
  <c r="Y456" i="2"/>
  <c r="Z456" i="2"/>
  <c r="X457" i="2"/>
  <c r="Y457" i="2"/>
  <c r="Z457" i="2"/>
  <c r="X458" i="2"/>
  <c r="Y458" i="2"/>
  <c r="Z458" i="2"/>
  <c r="X459" i="2"/>
  <c r="Y459" i="2"/>
  <c r="Z459" i="2"/>
  <c r="X460" i="2"/>
  <c r="Y460" i="2"/>
  <c r="Z460" i="2"/>
  <c r="X461" i="2"/>
  <c r="Y461" i="2"/>
  <c r="Z461" i="2"/>
  <c r="X462" i="2"/>
  <c r="Y462" i="2"/>
  <c r="Z462" i="2"/>
  <c r="X463" i="2"/>
  <c r="Y463" i="2"/>
  <c r="Z463" i="2"/>
  <c r="X464" i="2"/>
  <c r="Y464" i="2"/>
  <c r="Z464" i="2"/>
  <c r="X465" i="2"/>
  <c r="Y465" i="2"/>
  <c r="Z465" i="2"/>
  <c r="X466" i="2"/>
  <c r="Y466" i="2"/>
  <c r="Z466" i="2"/>
  <c r="X467" i="2"/>
  <c r="Y467" i="2"/>
  <c r="Z467" i="2"/>
  <c r="X468" i="2"/>
  <c r="Y468" i="2"/>
  <c r="Z468" i="2"/>
  <c r="X469" i="2"/>
  <c r="Y469" i="2"/>
  <c r="Z469" i="2"/>
  <c r="X470" i="2"/>
  <c r="Y470" i="2"/>
  <c r="Z470" i="2"/>
  <c r="X471" i="2"/>
  <c r="Y471" i="2"/>
  <c r="Z471" i="2"/>
  <c r="X472" i="2"/>
  <c r="Y472" i="2"/>
  <c r="Z472" i="2"/>
  <c r="X473" i="2"/>
  <c r="Y473" i="2"/>
  <c r="Z473" i="2"/>
  <c r="X474" i="2"/>
  <c r="Y474" i="2"/>
  <c r="Z474" i="2"/>
  <c r="X475" i="2"/>
  <c r="Y475" i="2"/>
  <c r="Z475" i="2"/>
  <c r="X476" i="2"/>
  <c r="Y476" i="2"/>
  <c r="Z476" i="2"/>
  <c r="X477" i="2"/>
  <c r="Y477" i="2"/>
  <c r="Z477" i="2"/>
  <c r="X478" i="2"/>
  <c r="Y478" i="2"/>
  <c r="Z478" i="2"/>
  <c r="X479" i="2"/>
  <c r="Y479" i="2"/>
  <c r="Z479" i="2"/>
  <c r="X480" i="2"/>
  <c r="Y480" i="2"/>
  <c r="Z480" i="2"/>
  <c r="X481" i="2"/>
  <c r="Y481" i="2"/>
  <c r="Z481" i="2"/>
  <c r="X482" i="2"/>
  <c r="Y482" i="2"/>
  <c r="Z482" i="2"/>
  <c r="X483" i="2"/>
  <c r="Y483" i="2"/>
  <c r="Z483" i="2"/>
  <c r="X484" i="2"/>
  <c r="Y484" i="2"/>
  <c r="Z484" i="2"/>
  <c r="X485" i="2"/>
  <c r="Y485" i="2"/>
  <c r="Z485" i="2"/>
  <c r="X486" i="2"/>
  <c r="Y486" i="2"/>
  <c r="Z486" i="2"/>
  <c r="X487" i="2"/>
  <c r="Y487" i="2"/>
  <c r="Z487" i="2"/>
  <c r="X488" i="2"/>
  <c r="Y488" i="2"/>
  <c r="Z488" i="2"/>
  <c r="X489" i="2"/>
  <c r="Y489" i="2"/>
  <c r="Z489" i="2"/>
  <c r="X490" i="2"/>
  <c r="Y490" i="2"/>
  <c r="Z490" i="2"/>
  <c r="X491" i="2"/>
  <c r="Y491" i="2"/>
  <c r="Z491" i="2"/>
  <c r="X492" i="2"/>
  <c r="Y492" i="2"/>
  <c r="Z492" i="2"/>
  <c r="X493" i="2"/>
  <c r="Y493" i="2"/>
  <c r="Z493" i="2"/>
  <c r="X494" i="2"/>
  <c r="Y494" i="2"/>
  <c r="Z494" i="2"/>
  <c r="X495" i="2"/>
  <c r="Y495" i="2"/>
  <c r="Z495" i="2"/>
  <c r="X496" i="2"/>
  <c r="Y496" i="2"/>
  <c r="Z496" i="2"/>
  <c r="X497" i="2"/>
  <c r="Y497" i="2"/>
  <c r="Z497" i="2"/>
  <c r="X498" i="2"/>
  <c r="Y498" i="2"/>
  <c r="Z498" i="2"/>
  <c r="X499" i="2"/>
  <c r="Y499" i="2"/>
  <c r="Z499" i="2"/>
  <c r="X500" i="2"/>
  <c r="Y500" i="2"/>
  <c r="Z500" i="2"/>
  <c r="X501" i="2"/>
  <c r="Y501" i="2"/>
  <c r="Z501" i="2"/>
  <c r="X502" i="2"/>
  <c r="Y502" i="2"/>
  <c r="Z502" i="2"/>
  <c r="X503" i="2"/>
  <c r="Y503" i="2"/>
  <c r="Z503" i="2"/>
  <c r="X504" i="2"/>
  <c r="Y504" i="2"/>
  <c r="Z504" i="2"/>
  <c r="X505" i="2"/>
  <c r="Y505" i="2"/>
  <c r="Z505" i="2"/>
  <c r="X506" i="2"/>
  <c r="Y506" i="2"/>
  <c r="Z506" i="2"/>
  <c r="X507" i="2"/>
  <c r="Y507" i="2"/>
  <c r="Z507" i="2"/>
  <c r="X508" i="2"/>
  <c r="Y508" i="2"/>
  <c r="Z508" i="2"/>
  <c r="X509" i="2"/>
  <c r="Y509" i="2"/>
  <c r="Z509" i="2"/>
  <c r="X510" i="2"/>
  <c r="Y510" i="2"/>
  <c r="Z510" i="2"/>
  <c r="X511" i="2"/>
  <c r="Y511" i="2"/>
  <c r="Z511" i="2"/>
  <c r="X512" i="2"/>
  <c r="Y512" i="2"/>
  <c r="Z512" i="2"/>
  <c r="X513" i="2"/>
  <c r="Y513" i="2"/>
  <c r="Z513" i="2"/>
  <c r="X514" i="2"/>
  <c r="Y514" i="2"/>
  <c r="Z514" i="2"/>
  <c r="X515" i="2"/>
  <c r="Y515" i="2"/>
  <c r="Z515" i="2"/>
  <c r="X516" i="2"/>
  <c r="Y516" i="2"/>
  <c r="Z516" i="2"/>
  <c r="X517" i="2"/>
  <c r="Y517" i="2"/>
  <c r="Z517" i="2"/>
  <c r="X518" i="2"/>
  <c r="Y518" i="2"/>
  <c r="Z518" i="2"/>
  <c r="X519" i="2"/>
  <c r="Y519" i="2"/>
  <c r="Z519" i="2"/>
  <c r="X520" i="2"/>
  <c r="Y520" i="2"/>
  <c r="Z520" i="2"/>
  <c r="X521" i="2"/>
  <c r="Y521" i="2"/>
  <c r="Z521" i="2"/>
  <c r="X522" i="2"/>
  <c r="Y522" i="2"/>
  <c r="Z522" i="2"/>
  <c r="X523" i="2"/>
  <c r="Y523" i="2"/>
  <c r="Z523" i="2"/>
  <c r="X524" i="2"/>
  <c r="Y524" i="2"/>
  <c r="Z524" i="2"/>
  <c r="X525" i="2"/>
  <c r="Y525" i="2"/>
  <c r="Z525" i="2"/>
  <c r="X526" i="2"/>
  <c r="Y526" i="2"/>
  <c r="Z526" i="2"/>
  <c r="X527" i="2"/>
  <c r="Y527" i="2"/>
  <c r="Z527" i="2"/>
  <c r="X528" i="2"/>
  <c r="Y528" i="2"/>
  <c r="Z528" i="2"/>
  <c r="X529" i="2"/>
  <c r="Y529" i="2"/>
  <c r="Z529" i="2"/>
  <c r="X530" i="2"/>
  <c r="Y530" i="2"/>
  <c r="Z530" i="2"/>
  <c r="X531" i="2"/>
  <c r="Y531" i="2"/>
  <c r="Z531" i="2"/>
  <c r="X532" i="2"/>
  <c r="Y532" i="2"/>
  <c r="Z532" i="2"/>
  <c r="X533" i="2"/>
  <c r="Y533" i="2"/>
  <c r="Z533" i="2"/>
  <c r="X534" i="2"/>
  <c r="Y534" i="2"/>
  <c r="Z534" i="2"/>
  <c r="X535" i="2"/>
  <c r="Y535" i="2"/>
  <c r="Z535" i="2"/>
  <c r="X536" i="2"/>
  <c r="Y536" i="2"/>
  <c r="Z536" i="2"/>
  <c r="X537" i="2"/>
  <c r="Y537" i="2"/>
  <c r="Z537" i="2"/>
  <c r="X538" i="2"/>
  <c r="Y538" i="2"/>
  <c r="Z538" i="2"/>
  <c r="X539" i="2"/>
  <c r="Y539" i="2"/>
  <c r="Z539" i="2"/>
  <c r="X540" i="2"/>
  <c r="Y540" i="2"/>
  <c r="Z540" i="2"/>
  <c r="X541" i="2"/>
  <c r="Y541" i="2"/>
  <c r="Z541" i="2"/>
  <c r="X542" i="2"/>
  <c r="Y542" i="2"/>
  <c r="Z542" i="2"/>
  <c r="X543" i="2"/>
  <c r="Y543" i="2"/>
  <c r="Z543" i="2"/>
  <c r="X544" i="2"/>
  <c r="Y544" i="2"/>
  <c r="Z544" i="2"/>
  <c r="X545" i="2"/>
  <c r="Y545" i="2"/>
  <c r="Z545" i="2"/>
  <c r="X546" i="2"/>
  <c r="Y546" i="2"/>
  <c r="Z546" i="2"/>
  <c r="X547" i="2"/>
  <c r="Y547" i="2"/>
  <c r="Z547" i="2"/>
  <c r="X548" i="2"/>
  <c r="Y548" i="2"/>
  <c r="Z548" i="2"/>
  <c r="X549" i="2"/>
  <c r="Y549" i="2"/>
  <c r="Z549" i="2"/>
  <c r="X550" i="2"/>
  <c r="Y550" i="2"/>
  <c r="Z550" i="2"/>
  <c r="X551" i="2"/>
  <c r="Y551" i="2"/>
  <c r="Z551" i="2"/>
  <c r="X552" i="2"/>
  <c r="Y552" i="2"/>
  <c r="Z552" i="2"/>
  <c r="X553" i="2"/>
  <c r="Y553" i="2"/>
  <c r="Z553" i="2"/>
  <c r="X554" i="2"/>
  <c r="Y554" i="2"/>
  <c r="Z554" i="2"/>
  <c r="X555" i="2"/>
  <c r="Y555" i="2"/>
  <c r="Z555" i="2"/>
  <c r="X556" i="2"/>
  <c r="Y556" i="2"/>
  <c r="Z556" i="2"/>
  <c r="X557" i="2"/>
  <c r="Y557" i="2"/>
  <c r="Z557" i="2"/>
  <c r="X558" i="2"/>
  <c r="Y558" i="2"/>
  <c r="Z558" i="2"/>
  <c r="X559" i="2"/>
  <c r="Y559" i="2"/>
  <c r="Z559" i="2"/>
  <c r="X560" i="2"/>
  <c r="Y560" i="2"/>
  <c r="Z560" i="2"/>
  <c r="X561" i="2"/>
  <c r="Y561" i="2"/>
  <c r="Z561" i="2"/>
  <c r="X562" i="2"/>
  <c r="Y562" i="2"/>
  <c r="Z562" i="2"/>
  <c r="X563" i="2"/>
  <c r="Y563" i="2"/>
  <c r="Z563" i="2"/>
  <c r="X564" i="2"/>
  <c r="Y564" i="2"/>
  <c r="Z564" i="2"/>
  <c r="X565" i="2"/>
  <c r="Y565" i="2"/>
  <c r="Z565" i="2"/>
  <c r="X566" i="2"/>
  <c r="Y566" i="2"/>
  <c r="Z566" i="2"/>
  <c r="X567" i="2"/>
  <c r="Y567" i="2"/>
  <c r="Z567" i="2"/>
  <c r="X568" i="2"/>
  <c r="Y568" i="2"/>
  <c r="Z568" i="2"/>
  <c r="X569" i="2"/>
  <c r="Y569" i="2"/>
  <c r="Z569" i="2"/>
  <c r="X570" i="2"/>
  <c r="Y570" i="2"/>
  <c r="Z570" i="2"/>
  <c r="X571" i="2"/>
  <c r="Y571" i="2"/>
  <c r="Z571" i="2"/>
  <c r="X572" i="2"/>
  <c r="Y572" i="2"/>
  <c r="Z572" i="2"/>
  <c r="X573" i="2"/>
  <c r="Y573" i="2"/>
  <c r="Z573" i="2"/>
  <c r="X574" i="2"/>
  <c r="Y574" i="2"/>
  <c r="Z574" i="2"/>
  <c r="X575" i="2"/>
  <c r="Y575" i="2"/>
  <c r="Z575" i="2"/>
  <c r="X576" i="2"/>
  <c r="Y576" i="2"/>
  <c r="Z576" i="2"/>
  <c r="X577" i="2"/>
  <c r="Y577" i="2"/>
  <c r="Z577" i="2"/>
  <c r="X578" i="2"/>
  <c r="Y578" i="2"/>
  <c r="Z578" i="2"/>
  <c r="X579" i="2"/>
  <c r="Y579" i="2"/>
  <c r="Z579" i="2"/>
  <c r="X580" i="2"/>
  <c r="Y580" i="2"/>
  <c r="Z580" i="2"/>
  <c r="X581" i="2"/>
  <c r="Y581" i="2"/>
  <c r="Z581" i="2"/>
  <c r="X582" i="2"/>
  <c r="Y582" i="2"/>
  <c r="Z582" i="2"/>
  <c r="X583" i="2"/>
  <c r="Y583" i="2"/>
  <c r="Z583" i="2"/>
  <c r="X584" i="2"/>
  <c r="Y584" i="2"/>
  <c r="Z584" i="2"/>
  <c r="X585" i="2"/>
  <c r="Y585" i="2"/>
  <c r="Z585" i="2"/>
  <c r="X586" i="2"/>
  <c r="Y586" i="2"/>
  <c r="Z586" i="2"/>
  <c r="X587" i="2"/>
  <c r="Y587" i="2"/>
  <c r="Z587" i="2"/>
  <c r="X588" i="2"/>
  <c r="Y588" i="2"/>
  <c r="Z588" i="2"/>
  <c r="X589" i="2"/>
  <c r="Y589" i="2"/>
  <c r="Z589" i="2"/>
  <c r="X590" i="2"/>
  <c r="Y590" i="2"/>
  <c r="Z590" i="2"/>
  <c r="X591" i="2"/>
  <c r="Y591" i="2"/>
  <c r="Z591" i="2"/>
  <c r="X592" i="2"/>
  <c r="Y592" i="2"/>
  <c r="Z592" i="2"/>
  <c r="X593" i="2"/>
  <c r="Y593" i="2"/>
  <c r="Z593" i="2"/>
  <c r="X594" i="2"/>
  <c r="Y594" i="2"/>
  <c r="Z594" i="2"/>
  <c r="X595" i="2"/>
  <c r="Y595" i="2"/>
  <c r="Z595" i="2"/>
  <c r="X596" i="2"/>
  <c r="Y596" i="2"/>
  <c r="Z596" i="2"/>
  <c r="X597" i="2"/>
  <c r="Y597" i="2"/>
  <c r="Z597" i="2"/>
  <c r="X598" i="2"/>
  <c r="Y598" i="2"/>
  <c r="Z598" i="2"/>
  <c r="X599" i="2"/>
  <c r="Y599" i="2"/>
  <c r="Z599" i="2"/>
  <c r="X600" i="2"/>
  <c r="Y600" i="2"/>
  <c r="Z600" i="2"/>
  <c r="X601" i="2"/>
  <c r="Y601" i="2"/>
  <c r="Z601" i="2"/>
  <c r="X602" i="2"/>
  <c r="Y602" i="2"/>
  <c r="Z602" i="2"/>
  <c r="X603" i="2"/>
  <c r="Y603" i="2"/>
  <c r="Z603" i="2"/>
  <c r="X604" i="2"/>
  <c r="Y604" i="2"/>
  <c r="Z604" i="2"/>
  <c r="X605" i="2"/>
  <c r="Y605" i="2"/>
  <c r="Z605" i="2"/>
  <c r="X606" i="2"/>
  <c r="Y606" i="2"/>
  <c r="Z606" i="2"/>
  <c r="X607" i="2"/>
  <c r="Y607" i="2"/>
  <c r="Z607" i="2"/>
  <c r="X608" i="2"/>
  <c r="Y608" i="2"/>
  <c r="Z608" i="2"/>
  <c r="X609" i="2"/>
  <c r="Y609" i="2"/>
  <c r="Z609" i="2"/>
  <c r="X610" i="2"/>
  <c r="Y610" i="2"/>
  <c r="Z610" i="2"/>
  <c r="X611" i="2"/>
  <c r="Y611" i="2"/>
  <c r="Z611" i="2"/>
  <c r="X612" i="2"/>
  <c r="Y612" i="2"/>
  <c r="Z612" i="2"/>
  <c r="X613" i="2"/>
  <c r="Y613" i="2"/>
  <c r="Z613" i="2"/>
  <c r="X614" i="2"/>
  <c r="Y614" i="2"/>
  <c r="Z614" i="2"/>
  <c r="X615" i="2"/>
  <c r="Y615" i="2"/>
  <c r="Z615" i="2"/>
  <c r="X616" i="2"/>
  <c r="Y616" i="2"/>
  <c r="Z616" i="2"/>
  <c r="X617" i="2"/>
  <c r="Y617" i="2"/>
  <c r="Z617" i="2"/>
  <c r="X618" i="2"/>
  <c r="Y618" i="2"/>
  <c r="Z618" i="2"/>
  <c r="X619" i="2"/>
  <c r="Y619" i="2"/>
  <c r="Z619" i="2"/>
  <c r="X620" i="2"/>
  <c r="Y620" i="2"/>
  <c r="Z620" i="2"/>
  <c r="X621" i="2"/>
  <c r="Y621" i="2"/>
  <c r="Z621" i="2"/>
  <c r="X622" i="2"/>
  <c r="Y622" i="2"/>
  <c r="Z622" i="2"/>
  <c r="X623" i="2"/>
  <c r="Y623" i="2"/>
  <c r="Z623" i="2"/>
  <c r="X624" i="2"/>
  <c r="Y624" i="2"/>
  <c r="Z624" i="2"/>
  <c r="X625" i="2"/>
  <c r="Y625" i="2"/>
  <c r="Z625" i="2"/>
  <c r="X626" i="2"/>
  <c r="Y626" i="2"/>
  <c r="Z626" i="2"/>
  <c r="X627" i="2"/>
  <c r="Y627" i="2"/>
  <c r="Z627" i="2"/>
  <c r="X628" i="2"/>
  <c r="Y628" i="2"/>
  <c r="Z628" i="2"/>
  <c r="X629" i="2"/>
  <c r="Y629" i="2"/>
  <c r="Z629" i="2"/>
  <c r="X630" i="2"/>
  <c r="Y630" i="2"/>
  <c r="Z630" i="2"/>
  <c r="X631" i="2"/>
  <c r="Y631" i="2"/>
  <c r="Z631" i="2"/>
  <c r="X632" i="2"/>
  <c r="Y632" i="2"/>
  <c r="Z632" i="2"/>
  <c r="X633" i="2"/>
  <c r="Y633" i="2"/>
  <c r="Z633" i="2"/>
  <c r="X634" i="2"/>
  <c r="Y634" i="2"/>
  <c r="Z634" i="2"/>
  <c r="X635" i="2"/>
  <c r="Y635" i="2"/>
  <c r="Z635" i="2"/>
  <c r="X636" i="2"/>
  <c r="Y636" i="2"/>
  <c r="Z636" i="2"/>
  <c r="X637" i="2"/>
  <c r="Y637" i="2"/>
  <c r="Z637" i="2"/>
  <c r="X638" i="2"/>
  <c r="Y638" i="2"/>
  <c r="Z638" i="2"/>
  <c r="X639" i="2"/>
  <c r="Y639" i="2"/>
  <c r="Z639" i="2"/>
  <c r="X640" i="2"/>
  <c r="Y640" i="2"/>
  <c r="Z640" i="2"/>
  <c r="X641" i="2"/>
  <c r="Y641" i="2"/>
  <c r="Z641" i="2"/>
  <c r="X642" i="2"/>
  <c r="Y642" i="2"/>
  <c r="Z642" i="2"/>
  <c r="X643" i="2"/>
  <c r="Y643" i="2"/>
  <c r="Z643" i="2"/>
  <c r="X644" i="2"/>
  <c r="Y644" i="2"/>
  <c r="Z644" i="2"/>
  <c r="X645" i="2"/>
  <c r="Y645" i="2"/>
  <c r="Z645" i="2"/>
  <c r="X646" i="2"/>
  <c r="Y646" i="2"/>
  <c r="Z646" i="2"/>
  <c r="X647" i="2"/>
  <c r="Y647" i="2"/>
  <c r="Z647" i="2"/>
  <c r="X648" i="2"/>
  <c r="Y648" i="2"/>
  <c r="Z648" i="2"/>
  <c r="X649" i="2"/>
  <c r="Y649" i="2"/>
  <c r="Z649" i="2"/>
  <c r="X650" i="2"/>
  <c r="Y650" i="2"/>
  <c r="Z650" i="2"/>
  <c r="X651" i="2"/>
  <c r="Y651" i="2"/>
  <c r="Z651" i="2"/>
  <c r="X652" i="2"/>
  <c r="Y652" i="2"/>
  <c r="Z652" i="2"/>
  <c r="X653" i="2"/>
  <c r="Y653" i="2"/>
  <c r="Z653" i="2"/>
  <c r="X654" i="2"/>
  <c r="Y654" i="2"/>
  <c r="Z654" i="2"/>
  <c r="X655" i="2"/>
  <c r="Y655" i="2"/>
  <c r="Z655" i="2"/>
  <c r="X656" i="2"/>
  <c r="Y656" i="2"/>
  <c r="Z656" i="2"/>
  <c r="X657" i="2"/>
  <c r="Y657" i="2"/>
  <c r="Z657" i="2"/>
  <c r="X658" i="2"/>
  <c r="Y658" i="2"/>
  <c r="Z658" i="2"/>
  <c r="X659" i="2"/>
  <c r="Y659" i="2"/>
  <c r="Z659" i="2"/>
  <c r="X660" i="2"/>
  <c r="Y660" i="2"/>
  <c r="Z660" i="2"/>
  <c r="X661" i="2"/>
  <c r="Y661" i="2"/>
  <c r="Z661" i="2"/>
  <c r="X662" i="2"/>
  <c r="Y662" i="2"/>
  <c r="Z662" i="2"/>
  <c r="X663" i="2"/>
  <c r="Y663" i="2"/>
  <c r="Z663" i="2"/>
  <c r="X664" i="2"/>
  <c r="Y664" i="2"/>
  <c r="Z664" i="2"/>
  <c r="X665" i="2"/>
  <c r="Y665" i="2"/>
  <c r="Z665" i="2"/>
  <c r="X666" i="2"/>
  <c r="Y666" i="2"/>
  <c r="Z666" i="2"/>
  <c r="X667" i="2"/>
  <c r="Y667" i="2"/>
  <c r="Z667" i="2"/>
  <c r="X668" i="2"/>
  <c r="Y668" i="2"/>
  <c r="Z668" i="2"/>
  <c r="X669" i="2"/>
  <c r="Y669" i="2"/>
  <c r="Z669" i="2"/>
  <c r="X670" i="2"/>
  <c r="Y670" i="2"/>
  <c r="Z670" i="2"/>
  <c r="X671" i="2"/>
  <c r="Y671" i="2"/>
  <c r="Z671" i="2"/>
  <c r="X672" i="2"/>
  <c r="Y672" i="2"/>
  <c r="Z672" i="2"/>
  <c r="X673" i="2"/>
  <c r="Y673" i="2"/>
  <c r="Z673" i="2"/>
  <c r="X674" i="2"/>
  <c r="Y674" i="2"/>
  <c r="Z674" i="2"/>
  <c r="X675" i="2"/>
  <c r="Y675" i="2"/>
  <c r="Z675" i="2"/>
  <c r="X676" i="2"/>
  <c r="Y676" i="2"/>
  <c r="Z676" i="2"/>
  <c r="X677" i="2"/>
  <c r="Y677" i="2"/>
  <c r="Z677" i="2"/>
  <c r="X678" i="2"/>
  <c r="Y678" i="2"/>
  <c r="Z678" i="2"/>
  <c r="X679" i="2"/>
  <c r="Y679" i="2"/>
  <c r="Z679" i="2"/>
  <c r="X680" i="2"/>
  <c r="Y680" i="2"/>
  <c r="Z680" i="2"/>
  <c r="X681" i="2"/>
  <c r="Y681" i="2"/>
  <c r="Z681" i="2"/>
  <c r="X682" i="2"/>
  <c r="Y682" i="2"/>
  <c r="Z682" i="2"/>
  <c r="X683" i="2"/>
  <c r="Y683" i="2"/>
  <c r="Z683" i="2"/>
  <c r="X684" i="2"/>
  <c r="Y684" i="2"/>
  <c r="Z684" i="2"/>
  <c r="X685" i="2"/>
  <c r="Y685" i="2"/>
  <c r="Z685" i="2"/>
  <c r="X686" i="2"/>
  <c r="Y686" i="2"/>
  <c r="Z686" i="2"/>
  <c r="X687" i="2"/>
  <c r="Y687" i="2"/>
  <c r="Z687" i="2"/>
  <c r="X688" i="2"/>
  <c r="Y688" i="2"/>
  <c r="Z688" i="2"/>
  <c r="X689" i="2"/>
  <c r="Y689" i="2"/>
  <c r="Z689" i="2"/>
  <c r="X690" i="2"/>
  <c r="Y690" i="2"/>
  <c r="Z690" i="2"/>
  <c r="X691" i="2"/>
  <c r="Y691" i="2"/>
  <c r="Z691" i="2"/>
  <c r="X692" i="2"/>
  <c r="Y692" i="2"/>
  <c r="Z692" i="2"/>
  <c r="X693" i="2"/>
  <c r="Y693" i="2"/>
  <c r="Z693" i="2"/>
  <c r="X694" i="2"/>
  <c r="Y694" i="2"/>
  <c r="Z694" i="2"/>
  <c r="X695" i="2"/>
  <c r="Y695" i="2"/>
  <c r="Z695" i="2"/>
  <c r="X696" i="2"/>
  <c r="Y696" i="2"/>
  <c r="Z696" i="2"/>
  <c r="X697" i="2"/>
  <c r="Y697" i="2"/>
  <c r="Z697" i="2"/>
  <c r="X698" i="2"/>
  <c r="Y698" i="2"/>
  <c r="Z698" i="2"/>
  <c r="X699" i="2"/>
  <c r="Y699" i="2"/>
  <c r="Z699" i="2"/>
  <c r="X700" i="2"/>
  <c r="Y700" i="2"/>
  <c r="Z700" i="2"/>
  <c r="X701" i="2"/>
  <c r="Y701" i="2"/>
  <c r="Z701" i="2"/>
  <c r="X702" i="2"/>
  <c r="Y702" i="2"/>
  <c r="Z702" i="2"/>
  <c r="X703" i="2"/>
  <c r="Y703" i="2"/>
  <c r="Z703" i="2"/>
  <c r="X704" i="2"/>
  <c r="Y704" i="2"/>
  <c r="Z704" i="2"/>
  <c r="X705" i="2"/>
  <c r="Y705" i="2"/>
  <c r="Z705" i="2"/>
  <c r="X706" i="2"/>
  <c r="Y706" i="2"/>
  <c r="Z706" i="2"/>
  <c r="X707" i="2"/>
  <c r="Y707" i="2"/>
  <c r="Z707" i="2"/>
  <c r="X708" i="2"/>
  <c r="Y708" i="2"/>
  <c r="Z708" i="2"/>
  <c r="X709" i="2"/>
  <c r="Y709" i="2"/>
  <c r="Z709" i="2"/>
  <c r="X710" i="2"/>
  <c r="Y710" i="2"/>
  <c r="Z710" i="2"/>
  <c r="X711" i="2"/>
  <c r="Y711" i="2"/>
  <c r="Z711" i="2"/>
  <c r="X712" i="2"/>
  <c r="Y712" i="2"/>
  <c r="Z712" i="2"/>
  <c r="X713" i="2"/>
  <c r="Y713" i="2"/>
  <c r="Z713" i="2"/>
  <c r="X714" i="2"/>
  <c r="Y714" i="2"/>
  <c r="Z714" i="2"/>
  <c r="X715" i="2"/>
  <c r="Y715" i="2"/>
  <c r="Z715" i="2"/>
  <c r="X716" i="2"/>
  <c r="Y716" i="2"/>
  <c r="Z716" i="2"/>
  <c r="X717" i="2"/>
  <c r="Y717" i="2"/>
  <c r="Z717" i="2"/>
  <c r="X718" i="2"/>
  <c r="Y718" i="2"/>
  <c r="Z718" i="2"/>
  <c r="X719" i="2"/>
  <c r="Y719" i="2"/>
  <c r="Z719" i="2"/>
  <c r="X720" i="2"/>
  <c r="Y720" i="2"/>
  <c r="Z720" i="2"/>
  <c r="X721" i="2"/>
  <c r="Y721" i="2"/>
  <c r="Z721" i="2"/>
  <c r="X722" i="2"/>
  <c r="Y722" i="2"/>
  <c r="Z722" i="2"/>
  <c r="X723" i="2"/>
  <c r="Y723" i="2"/>
  <c r="Z723" i="2"/>
  <c r="X724" i="2"/>
  <c r="Y724" i="2"/>
  <c r="Z724" i="2"/>
  <c r="X725" i="2"/>
  <c r="Y725" i="2"/>
  <c r="Z725" i="2"/>
  <c r="X726" i="2"/>
  <c r="Y726" i="2"/>
  <c r="Z726" i="2"/>
  <c r="X727" i="2"/>
  <c r="Y727" i="2"/>
  <c r="Z727" i="2"/>
  <c r="X728" i="2"/>
  <c r="Y728" i="2"/>
  <c r="Z728" i="2"/>
  <c r="X729" i="2"/>
  <c r="Y729" i="2"/>
  <c r="Z729" i="2"/>
  <c r="X730" i="2"/>
  <c r="Y730" i="2"/>
  <c r="Z730" i="2"/>
  <c r="X731" i="2"/>
  <c r="Y731" i="2"/>
  <c r="Z731" i="2"/>
  <c r="X732" i="2"/>
  <c r="Y732" i="2"/>
  <c r="Z732" i="2"/>
  <c r="X733" i="2"/>
  <c r="Y733" i="2"/>
  <c r="Z733" i="2"/>
  <c r="X734" i="2"/>
  <c r="Y734" i="2"/>
  <c r="Z734" i="2"/>
  <c r="X735" i="2"/>
  <c r="Y735" i="2"/>
  <c r="Z735" i="2"/>
  <c r="X736" i="2"/>
  <c r="Y736" i="2"/>
  <c r="Z736" i="2"/>
  <c r="X737" i="2"/>
  <c r="Y737" i="2"/>
  <c r="Z737" i="2"/>
  <c r="X738" i="2"/>
  <c r="Y738" i="2"/>
  <c r="Z738" i="2"/>
  <c r="X739" i="2"/>
  <c r="Y739" i="2"/>
  <c r="Z739" i="2"/>
  <c r="X740" i="2"/>
  <c r="Y740" i="2"/>
  <c r="Z740" i="2"/>
  <c r="X741" i="2"/>
  <c r="Y741" i="2"/>
  <c r="Z741" i="2"/>
  <c r="X742" i="2"/>
  <c r="Y742" i="2"/>
  <c r="Z742" i="2"/>
  <c r="X743" i="2"/>
  <c r="Y743" i="2"/>
  <c r="Z743" i="2"/>
  <c r="X744" i="2"/>
  <c r="Y744" i="2"/>
  <c r="Z744" i="2"/>
  <c r="X745" i="2"/>
  <c r="Y745" i="2"/>
  <c r="Z745" i="2"/>
  <c r="X746" i="2"/>
  <c r="Y746" i="2"/>
  <c r="Z746" i="2"/>
  <c r="X747" i="2"/>
  <c r="Y747" i="2"/>
  <c r="Z747" i="2"/>
  <c r="X748" i="2"/>
  <c r="Y748" i="2"/>
  <c r="Z748" i="2"/>
  <c r="X749" i="2"/>
  <c r="Y749" i="2"/>
  <c r="Z749" i="2"/>
  <c r="X750" i="2"/>
  <c r="Y750" i="2"/>
  <c r="Z750" i="2"/>
  <c r="X751" i="2"/>
  <c r="Y751" i="2"/>
  <c r="Z751" i="2"/>
  <c r="X752" i="2"/>
  <c r="Y752" i="2"/>
  <c r="Z752" i="2"/>
  <c r="X753" i="2"/>
  <c r="Y753" i="2"/>
  <c r="Z753" i="2"/>
  <c r="X754" i="2"/>
  <c r="Y754" i="2"/>
  <c r="Z754" i="2"/>
  <c r="X755" i="2"/>
  <c r="Y755" i="2"/>
  <c r="Z755" i="2"/>
  <c r="X756" i="2"/>
  <c r="Y756" i="2"/>
  <c r="Z756" i="2"/>
  <c r="X757" i="2"/>
  <c r="Y757" i="2"/>
  <c r="Z757" i="2"/>
  <c r="X758" i="2"/>
  <c r="Y758" i="2"/>
  <c r="Z758" i="2"/>
  <c r="X759" i="2"/>
  <c r="Y759" i="2"/>
  <c r="Z759" i="2"/>
  <c r="X760" i="2"/>
  <c r="Y760" i="2"/>
  <c r="Z760" i="2"/>
  <c r="X761" i="2"/>
  <c r="Y761" i="2"/>
  <c r="Z761" i="2"/>
  <c r="X762" i="2"/>
  <c r="Y762" i="2"/>
  <c r="Z762" i="2"/>
  <c r="X763" i="2"/>
  <c r="Y763" i="2"/>
  <c r="Z763" i="2"/>
  <c r="X764" i="2"/>
  <c r="Y764" i="2"/>
  <c r="Z764" i="2"/>
  <c r="X765" i="2"/>
  <c r="Y765" i="2"/>
  <c r="Z765" i="2"/>
  <c r="X766" i="2"/>
  <c r="Y766" i="2"/>
  <c r="Z766" i="2"/>
  <c r="X767" i="2"/>
  <c r="Y767" i="2"/>
  <c r="Z767" i="2"/>
  <c r="X768" i="2"/>
  <c r="Y768" i="2"/>
  <c r="Z768" i="2"/>
  <c r="X769" i="2"/>
  <c r="Y769" i="2"/>
  <c r="Z769" i="2"/>
  <c r="X770" i="2"/>
  <c r="Y770" i="2"/>
  <c r="Z770" i="2"/>
  <c r="X771" i="2"/>
  <c r="Y771" i="2"/>
  <c r="Z771" i="2"/>
  <c r="X772" i="2"/>
  <c r="Y772" i="2"/>
  <c r="Z772" i="2"/>
  <c r="X773" i="2"/>
  <c r="Y773" i="2"/>
  <c r="Z773" i="2"/>
  <c r="X774" i="2"/>
  <c r="Y774" i="2"/>
  <c r="Z774" i="2"/>
  <c r="X775" i="2"/>
  <c r="Y775" i="2"/>
  <c r="Z775" i="2"/>
  <c r="X776" i="2"/>
  <c r="Y776" i="2"/>
  <c r="Z776" i="2"/>
  <c r="X777" i="2"/>
  <c r="Y777" i="2"/>
  <c r="Z777" i="2"/>
  <c r="X778" i="2"/>
  <c r="Y778" i="2"/>
  <c r="Z778" i="2"/>
  <c r="X779" i="2"/>
  <c r="Y779" i="2"/>
  <c r="Z779" i="2"/>
  <c r="X780" i="2"/>
  <c r="Y780" i="2"/>
  <c r="Z780" i="2"/>
  <c r="X781" i="2"/>
  <c r="Y781" i="2"/>
  <c r="Z781" i="2"/>
  <c r="X782" i="2"/>
  <c r="Y782" i="2"/>
  <c r="Z782" i="2"/>
  <c r="X783" i="2"/>
  <c r="Y783" i="2"/>
  <c r="Z783" i="2"/>
  <c r="X784" i="2"/>
  <c r="Y784" i="2"/>
  <c r="Z784" i="2"/>
  <c r="X785" i="2"/>
  <c r="Y785" i="2"/>
  <c r="Z785" i="2"/>
  <c r="X786" i="2"/>
  <c r="Y786" i="2"/>
  <c r="Z786" i="2"/>
  <c r="X787" i="2"/>
  <c r="Y787" i="2"/>
  <c r="Z787" i="2"/>
  <c r="X788" i="2"/>
  <c r="Y788" i="2"/>
  <c r="Z788" i="2"/>
  <c r="X789" i="2"/>
  <c r="Y789" i="2"/>
  <c r="Z789" i="2"/>
  <c r="X790" i="2"/>
  <c r="Y790" i="2"/>
  <c r="Z790" i="2"/>
  <c r="X791" i="2"/>
  <c r="Y791" i="2"/>
  <c r="Z791" i="2"/>
  <c r="X792" i="2"/>
  <c r="Y792" i="2"/>
  <c r="Z792" i="2"/>
  <c r="X793" i="2"/>
  <c r="Y793" i="2"/>
  <c r="Z793" i="2"/>
  <c r="X794" i="2"/>
  <c r="Y794" i="2"/>
  <c r="Z794" i="2"/>
  <c r="X795" i="2"/>
  <c r="Y795" i="2"/>
  <c r="Z795" i="2"/>
  <c r="X796" i="2"/>
  <c r="Y796" i="2"/>
  <c r="Z796" i="2"/>
  <c r="X797" i="2"/>
  <c r="Y797" i="2"/>
  <c r="Z797" i="2"/>
  <c r="X798" i="2"/>
  <c r="Y798" i="2"/>
  <c r="Z798" i="2"/>
  <c r="X799" i="2"/>
  <c r="Y799" i="2"/>
  <c r="Z799" i="2"/>
  <c r="X800" i="2"/>
  <c r="Y800" i="2"/>
  <c r="Z800" i="2"/>
  <c r="X801" i="2"/>
  <c r="Y801" i="2"/>
  <c r="Z801" i="2"/>
  <c r="X802" i="2"/>
  <c r="Y802" i="2"/>
  <c r="Z802" i="2"/>
  <c r="X803" i="2"/>
  <c r="Y803" i="2"/>
  <c r="Z803" i="2"/>
  <c r="X804" i="2"/>
  <c r="Y804" i="2"/>
  <c r="Z804" i="2"/>
  <c r="X805" i="2"/>
  <c r="Y805" i="2"/>
  <c r="Z805" i="2"/>
  <c r="X806" i="2"/>
  <c r="Y806" i="2"/>
  <c r="Z806" i="2"/>
  <c r="X807" i="2"/>
  <c r="Y807" i="2"/>
  <c r="Z807" i="2"/>
  <c r="X808" i="2"/>
  <c r="Y808" i="2"/>
  <c r="Z808" i="2"/>
  <c r="X809" i="2"/>
  <c r="Y809" i="2"/>
  <c r="Z809" i="2"/>
  <c r="X810" i="2"/>
  <c r="Y810" i="2"/>
  <c r="Z810" i="2"/>
  <c r="X811" i="2"/>
  <c r="Y811" i="2"/>
  <c r="Z811" i="2"/>
  <c r="X812" i="2"/>
  <c r="Y812" i="2"/>
  <c r="Z812" i="2"/>
  <c r="X813" i="2"/>
  <c r="Y813" i="2"/>
  <c r="Z813" i="2"/>
  <c r="X814" i="2"/>
  <c r="Y814" i="2"/>
  <c r="Z814" i="2"/>
  <c r="X815" i="2"/>
  <c r="Y815" i="2"/>
  <c r="Z815" i="2"/>
  <c r="X816" i="2"/>
  <c r="Y816" i="2"/>
  <c r="Z816" i="2"/>
  <c r="X817" i="2"/>
  <c r="Y817" i="2"/>
  <c r="Z817" i="2"/>
  <c r="X818" i="2"/>
  <c r="Y818" i="2"/>
  <c r="Z818" i="2"/>
  <c r="X819" i="2"/>
  <c r="Y819" i="2"/>
  <c r="Z819" i="2"/>
  <c r="X820" i="2"/>
  <c r="Y820" i="2"/>
  <c r="Z820" i="2"/>
  <c r="X821" i="2"/>
  <c r="Y821" i="2"/>
  <c r="Z821" i="2"/>
  <c r="X822" i="2"/>
  <c r="Y822" i="2"/>
  <c r="Z822" i="2"/>
  <c r="X823" i="2"/>
  <c r="Y823" i="2"/>
  <c r="Z823" i="2"/>
  <c r="X824" i="2"/>
  <c r="Y824" i="2"/>
  <c r="Z824" i="2"/>
  <c r="X825" i="2"/>
  <c r="Y825" i="2"/>
  <c r="Z825" i="2"/>
  <c r="X826" i="2"/>
  <c r="Y826" i="2"/>
  <c r="Z826" i="2"/>
  <c r="X827" i="2"/>
  <c r="Y827" i="2"/>
  <c r="Z827" i="2"/>
  <c r="X828" i="2"/>
  <c r="Y828" i="2"/>
  <c r="Z828" i="2"/>
  <c r="X829" i="2"/>
  <c r="Y829" i="2"/>
  <c r="Z829" i="2"/>
  <c r="X830" i="2"/>
  <c r="Y830" i="2"/>
  <c r="Z830" i="2"/>
  <c r="X831" i="2"/>
  <c r="Y831" i="2"/>
  <c r="Z831" i="2"/>
  <c r="X832" i="2"/>
  <c r="Y832" i="2"/>
  <c r="Z832" i="2"/>
  <c r="X833" i="2"/>
  <c r="Y833" i="2"/>
  <c r="Z833" i="2"/>
  <c r="X834" i="2"/>
  <c r="Y834" i="2"/>
  <c r="Z834" i="2"/>
  <c r="X835" i="2"/>
  <c r="Y835" i="2"/>
  <c r="Z835" i="2"/>
  <c r="X836" i="2"/>
  <c r="Y836" i="2"/>
  <c r="Z836" i="2"/>
  <c r="X837" i="2"/>
  <c r="Y837" i="2"/>
  <c r="Z837" i="2"/>
  <c r="X838" i="2"/>
  <c r="Y838" i="2"/>
  <c r="Z838" i="2"/>
  <c r="X839" i="2"/>
  <c r="Y839" i="2"/>
  <c r="Z839" i="2"/>
  <c r="X840" i="2"/>
  <c r="Y840" i="2"/>
  <c r="Z840" i="2"/>
  <c r="X841" i="2"/>
  <c r="Y841" i="2"/>
  <c r="Z841" i="2"/>
  <c r="X842" i="2"/>
  <c r="Y842" i="2"/>
  <c r="Z842" i="2"/>
  <c r="X843" i="2"/>
  <c r="Y843" i="2"/>
  <c r="Z843" i="2"/>
  <c r="X844" i="2"/>
  <c r="Y844" i="2"/>
  <c r="Z844" i="2"/>
  <c r="X845" i="2"/>
  <c r="Y845" i="2"/>
  <c r="Z845" i="2"/>
  <c r="X846" i="2"/>
  <c r="Y846" i="2"/>
  <c r="Z846" i="2"/>
  <c r="X847" i="2"/>
  <c r="Y847" i="2"/>
  <c r="Z847" i="2"/>
  <c r="X848" i="2"/>
  <c r="Y848" i="2"/>
  <c r="Z848" i="2"/>
  <c r="X849" i="2"/>
  <c r="Y849" i="2"/>
  <c r="Z849" i="2"/>
  <c r="X850" i="2"/>
  <c r="Y850" i="2"/>
  <c r="Z850" i="2"/>
  <c r="X851" i="2"/>
  <c r="Y851" i="2"/>
  <c r="Z851" i="2"/>
  <c r="X852" i="2"/>
  <c r="Y852" i="2"/>
  <c r="Z852" i="2"/>
  <c r="X853" i="2"/>
  <c r="Y853" i="2"/>
  <c r="Z853" i="2"/>
  <c r="X854" i="2"/>
  <c r="Y854" i="2"/>
  <c r="Z854" i="2"/>
  <c r="X855" i="2"/>
  <c r="Y855" i="2"/>
  <c r="Z855" i="2"/>
  <c r="X856" i="2"/>
  <c r="Y856" i="2"/>
  <c r="Z856" i="2"/>
  <c r="X857" i="2"/>
  <c r="Y857" i="2"/>
  <c r="Z857" i="2"/>
  <c r="X858" i="2"/>
  <c r="Y858" i="2"/>
  <c r="Z858" i="2"/>
  <c r="X859" i="2"/>
  <c r="Y859" i="2"/>
  <c r="Z859" i="2"/>
  <c r="X860" i="2"/>
  <c r="Y860" i="2"/>
  <c r="Z860" i="2"/>
  <c r="X861" i="2"/>
  <c r="Y861" i="2"/>
  <c r="Z861" i="2"/>
  <c r="X862" i="2"/>
  <c r="Y862" i="2"/>
  <c r="Z862" i="2"/>
  <c r="X863" i="2"/>
  <c r="Y863" i="2"/>
  <c r="Z863" i="2"/>
  <c r="X864" i="2"/>
  <c r="Y864" i="2"/>
  <c r="Z864" i="2"/>
  <c r="X865" i="2"/>
  <c r="Y865" i="2"/>
  <c r="Z865" i="2"/>
  <c r="X866" i="2"/>
  <c r="Y866" i="2"/>
  <c r="Z866" i="2"/>
  <c r="X867" i="2"/>
  <c r="Y867" i="2"/>
  <c r="Z867" i="2"/>
  <c r="X868" i="2"/>
  <c r="Y868" i="2"/>
  <c r="Z868" i="2"/>
  <c r="X869" i="2"/>
  <c r="Y869" i="2"/>
  <c r="Z869" i="2"/>
  <c r="X870" i="2"/>
  <c r="Y870" i="2"/>
  <c r="Z870" i="2"/>
  <c r="X871" i="2"/>
  <c r="Y871" i="2"/>
  <c r="Z871" i="2"/>
  <c r="X872" i="2"/>
  <c r="Y872" i="2"/>
  <c r="Z872" i="2"/>
  <c r="X873" i="2"/>
  <c r="Y873" i="2"/>
  <c r="Z873" i="2"/>
  <c r="X874" i="2"/>
  <c r="Y874" i="2"/>
  <c r="Z874" i="2"/>
  <c r="X875" i="2"/>
  <c r="Y875" i="2"/>
  <c r="Z875" i="2"/>
  <c r="X876" i="2"/>
  <c r="Y876" i="2"/>
  <c r="Z876" i="2"/>
  <c r="X877" i="2"/>
  <c r="Y877" i="2"/>
  <c r="Z877" i="2"/>
  <c r="X878" i="2"/>
  <c r="Y878" i="2"/>
  <c r="Z878" i="2"/>
  <c r="X879" i="2"/>
  <c r="Y879" i="2"/>
  <c r="Z879" i="2"/>
  <c r="X880" i="2"/>
  <c r="Y880" i="2"/>
  <c r="Z880" i="2"/>
  <c r="X881" i="2"/>
  <c r="Y881" i="2"/>
  <c r="Z881" i="2"/>
  <c r="X882" i="2"/>
  <c r="Y882" i="2"/>
  <c r="Z882" i="2"/>
  <c r="X883" i="2"/>
  <c r="Y883" i="2"/>
  <c r="Z883" i="2"/>
  <c r="X884" i="2"/>
  <c r="Y884" i="2"/>
  <c r="Z884" i="2"/>
  <c r="X885" i="2"/>
  <c r="Y885" i="2"/>
  <c r="Z885" i="2"/>
  <c r="X886" i="2"/>
  <c r="Y886" i="2"/>
  <c r="Z886" i="2"/>
  <c r="X887" i="2"/>
  <c r="Y887" i="2"/>
  <c r="Z887" i="2"/>
  <c r="X888" i="2"/>
  <c r="Y888" i="2"/>
  <c r="Z888" i="2"/>
  <c r="X889" i="2"/>
  <c r="Y889" i="2"/>
  <c r="Z889" i="2"/>
  <c r="X890" i="2"/>
  <c r="Y890" i="2"/>
  <c r="Z890" i="2"/>
  <c r="X891" i="2"/>
  <c r="Y891" i="2"/>
  <c r="Z891" i="2"/>
  <c r="X892" i="2"/>
  <c r="Y892" i="2"/>
  <c r="Z892" i="2"/>
  <c r="X893" i="2"/>
  <c r="Y893" i="2"/>
  <c r="Z893" i="2"/>
  <c r="X894" i="2"/>
  <c r="Y894" i="2"/>
  <c r="Z894" i="2"/>
  <c r="X895" i="2"/>
  <c r="Y895" i="2"/>
  <c r="Z895" i="2"/>
  <c r="X896" i="2"/>
  <c r="Y896" i="2"/>
  <c r="Z896" i="2"/>
  <c r="X897" i="2"/>
  <c r="Y897" i="2"/>
  <c r="Z897" i="2"/>
  <c r="X898" i="2"/>
  <c r="Y898" i="2"/>
  <c r="Z898" i="2"/>
  <c r="X899" i="2"/>
  <c r="Y899" i="2"/>
  <c r="Z899" i="2"/>
  <c r="X900" i="2"/>
  <c r="Y900" i="2"/>
  <c r="Z900" i="2"/>
  <c r="X901" i="2"/>
  <c r="Y901" i="2"/>
  <c r="Z901" i="2"/>
  <c r="X902" i="2"/>
  <c r="Y902" i="2"/>
  <c r="Z902" i="2"/>
  <c r="X903" i="2"/>
  <c r="Y903" i="2"/>
  <c r="Z903" i="2"/>
  <c r="X904" i="2"/>
  <c r="Y904" i="2"/>
  <c r="Z904" i="2"/>
  <c r="X905" i="2"/>
  <c r="Y905" i="2"/>
  <c r="Z905" i="2"/>
  <c r="X906" i="2"/>
  <c r="Y906" i="2"/>
  <c r="Z906" i="2"/>
  <c r="X907" i="2"/>
  <c r="Y907" i="2"/>
  <c r="Z907" i="2"/>
  <c r="X908" i="2"/>
  <c r="Y908" i="2"/>
  <c r="Z908" i="2"/>
  <c r="X909" i="2"/>
  <c r="Y909" i="2"/>
  <c r="Z909" i="2"/>
  <c r="X910" i="2"/>
  <c r="Y910" i="2"/>
  <c r="Z910" i="2"/>
  <c r="X911" i="2"/>
  <c r="Y911" i="2"/>
  <c r="Z911" i="2"/>
  <c r="X912" i="2"/>
  <c r="Y912" i="2"/>
  <c r="Z912" i="2"/>
  <c r="X913" i="2"/>
  <c r="Y913" i="2"/>
  <c r="Z913" i="2"/>
  <c r="X914" i="2"/>
  <c r="Y914" i="2"/>
  <c r="Z914" i="2"/>
  <c r="X915" i="2"/>
  <c r="Y915" i="2"/>
  <c r="Z915" i="2"/>
  <c r="X916" i="2"/>
  <c r="Y916" i="2"/>
  <c r="Z916" i="2"/>
  <c r="X917" i="2"/>
  <c r="Y917" i="2"/>
  <c r="Z917" i="2"/>
  <c r="X918" i="2"/>
  <c r="Y918" i="2"/>
  <c r="Z918" i="2"/>
  <c r="X919" i="2"/>
  <c r="Y919" i="2"/>
  <c r="Z919" i="2"/>
  <c r="X920" i="2"/>
  <c r="Y920" i="2"/>
  <c r="Z920" i="2"/>
  <c r="X921" i="2"/>
  <c r="Y921" i="2"/>
  <c r="Z921" i="2"/>
  <c r="X922" i="2"/>
  <c r="Y922" i="2"/>
  <c r="Z922" i="2"/>
  <c r="X923" i="2"/>
  <c r="Y923" i="2"/>
  <c r="Z923" i="2"/>
  <c r="X924" i="2"/>
  <c r="Y924" i="2"/>
  <c r="Z924" i="2"/>
  <c r="X925" i="2"/>
  <c r="Y925" i="2"/>
  <c r="Z925" i="2"/>
  <c r="X926" i="2"/>
  <c r="Y926" i="2"/>
  <c r="Z926" i="2"/>
  <c r="X927" i="2"/>
  <c r="Y927" i="2"/>
  <c r="Z927" i="2"/>
  <c r="X928" i="2"/>
  <c r="Y928" i="2"/>
  <c r="Z928" i="2"/>
  <c r="X929" i="2"/>
  <c r="Y929" i="2"/>
  <c r="Z929" i="2"/>
  <c r="X930" i="2"/>
  <c r="Y930" i="2"/>
  <c r="Z930" i="2"/>
  <c r="X931" i="2"/>
  <c r="Y931" i="2"/>
  <c r="Z931" i="2"/>
  <c r="X932" i="2"/>
  <c r="Y932" i="2"/>
  <c r="Z932" i="2"/>
  <c r="X933" i="2"/>
  <c r="Y933" i="2"/>
  <c r="Z933" i="2"/>
  <c r="X934" i="2"/>
  <c r="Y934" i="2"/>
  <c r="Z934" i="2"/>
  <c r="X935" i="2"/>
  <c r="Y935" i="2"/>
  <c r="Z935" i="2"/>
  <c r="X936" i="2"/>
  <c r="Y936" i="2"/>
  <c r="Z936" i="2"/>
  <c r="X937" i="2"/>
  <c r="Y937" i="2"/>
  <c r="Z937" i="2"/>
  <c r="X938" i="2"/>
  <c r="Y938" i="2"/>
  <c r="Z938" i="2"/>
  <c r="X939" i="2"/>
  <c r="Y939" i="2"/>
  <c r="Z939" i="2"/>
  <c r="X940" i="2"/>
  <c r="Y940" i="2"/>
  <c r="Z940" i="2"/>
  <c r="X941" i="2"/>
  <c r="Y941" i="2"/>
  <c r="Z941" i="2"/>
  <c r="X942" i="2"/>
  <c r="Y942" i="2"/>
  <c r="Z942" i="2"/>
  <c r="X943" i="2"/>
  <c r="Y943" i="2"/>
  <c r="Z943" i="2"/>
  <c r="X944" i="2"/>
  <c r="Y944" i="2"/>
  <c r="Z944" i="2"/>
  <c r="X945" i="2"/>
  <c r="Y945" i="2"/>
  <c r="Z945" i="2"/>
  <c r="X946" i="2"/>
  <c r="Y946" i="2"/>
  <c r="Z946" i="2"/>
  <c r="X947" i="2"/>
  <c r="Y947" i="2"/>
  <c r="Z947" i="2"/>
  <c r="X948" i="2"/>
  <c r="Y948" i="2"/>
  <c r="Z948" i="2"/>
  <c r="X949" i="2"/>
  <c r="Y949" i="2"/>
  <c r="Z949" i="2"/>
  <c r="X950" i="2"/>
  <c r="Y950" i="2"/>
  <c r="Z950" i="2"/>
  <c r="X951" i="2"/>
  <c r="Y951" i="2"/>
  <c r="Z951" i="2"/>
  <c r="X952" i="2"/>
  <c r="Y952" i="2"/>
  <c r="Z952" i="2"/>
  <c r="X953" i="2"/>
  <c r="Y953" i="2"/>
  <c r="Z953" i="2"/>
  <c r="X954" i="2"/>
  <c r="Y954" i="2"/>
  <c r="Z954" i="2"/>
  <c r="X955" i="2"/>
  <c r="Y955" i="2"/>
  <c r="Z955" i="2"/>
  <c r="X956" i="2"/>
  <c r="Y956" i="2"/>
  <c r="Z956" i="2"/>
  <c r="X957" i="2"/>
  <c r="Y957" i="2"/>
  <c r="Z957" i="2"/>
  <c r="X958" i="2"/>
  <c r="Y958" i="2"/>
  <c r="Z958" i="2"/>
  <c r="X959" i="2"/>
  <c r="Y959" i="2"/>
  <c r="Z959" i="2"/>
  <c r="X960" i="2"/>
  <c r="Y960" i="2"/>
  <c r="Z960" i="2"/>
  <c r="X961" i="2"/>
  <c r="Y961" i="2"/>
  <c r="Z961" i="2"/>
  <c r="X962" i="2"/>
  <c r="Y962" i="2"/>
  <c r="Z962" i="2"/>
  <c r="X963" i="2"/>
  <c r="Y963" i="2"/>
  <c r="Z963" i="2"/>
  <c r="X964" i="2"/>
  <c r="Y964" i="2"/>
  <c r="Z964" i="2"/>
  <c r="X965" i="2"/>
  <c r="Y965" i="2"/>
  <c r="Z965" i="2"/>
  <c r="X966" i="2"/>
  <c r="Y966" i="2"/>
  <c r="Z966" i="2"/>
  <c r="X967" i="2"/>
  <c r="Y967" i="2"/>
  <c r="Z967" i="2"/>
  <c r="X968" i="2"/>
  <c r="Y968" i="2"/>
  <c r="Z968" i="2"/>
  <c r="X969" i="2"/>
  <c r="Y969" i="2"/>
  <c r="Z969" i="2"/>
  <c r="X970" i="2"/>
  <c r="Y970" i="2"/>
  <c r="Z970" i="2"/>
  <c r="X971" i="2"/>
  <c r="Y971" i="2"/>
  <c r="Z971" i="2"/>
  <c r="X972" i="2"/>
  <c r="Y972" i="2"/>
  <c r="Z972" i="2"/>
  <c r="X973" i="2"/>
  <c r="Y973" i="2"/>
  <c r="Z973" i="2"/>
  <c r="X974" i="2"/>
  <c r="Y974" i="2"/>
  <c r="Z974" i="2"/>
  <c r="X975" i="2"/>
  <c r="Y975" i="2"/>
  <c r="Z975" i="2"/>
  <c r="X976" i="2"/>
  <c r="Y976" i="2"/>
  <c r="Z976" i="2"/>
  <c r="X977" i="2"/>
  <c r="Y977" i="2"/>
  <c r="Z977" i="2"/>
  <c r="X978" i="2"/>
  <c r="Y978" i="2"/>
  <c r="Z978" i="2"/>
  <c r="X979" i="2"/>
  <c r="Y979" i="2"/>
  <c r="Z979" i="2"/>
  <c r="X980" i="2"/>
  <c r="Y980" i="2"/>
  <c r="Z980" i="2"/>
  <c r="X981" i="2"/>
  <c r="Y981" i="2"/>
  <c r="Z981" i="2"/>
  <c r="X982" i="2"/>
  <c r="Y982" i="2"/>
  <c r="Z982" i="2"/>
  <c r="X983" i="2"/>
  <c r="Y983" i="2"/>
  <c r="Z983" i="2"/>
  <c r="X984" i="2"/>
  <c r="Y984" i="2"/>
  <c r="Z984" i="2"/>
  <c r="X985" i="2"/>
  <c r="Y985" i="2"/>
  <c r="Z985" i="2"/>
  <c r="X986" i="2"/>
  <c r="Y986" i="2"/>
  <c r="Z986" i="2"/>
  <c r="X987" i="2"/>
  <c r="Y987" i="2"/>
  <c r="Z987" i="2"/>
  <c r="X988" i="2"/>
  <c r="Y988" i="2"/>
  <c r="Z988" i="2"/>
  <c r="X989" i="2"/>
  <c r="Y989" i="2"/>
  <c r="Z989" i="2"/>
  <c r="X990" i="2"/>
  <c r="Y990" i="2"/>
  <c r="Z990" i="2"/>
  <c r="X991" i="2"/>
  <c r="Y991" i="2"/>
  <c r="Z991" i="2"/>
  <c r="X992" i="2"/>
  <c r="Y992" i="2"/>
  <c r="Z992" i="2"/>
  <c r="X993" i="2"/>
  <c r="Y993" i="2"/>
  <c r="Z993" i="2"/>
  <c r="X994" i="2"/>
  <c r="Y994" i="2"/>
  <c r="Z994" i="2"/>
  <c r="X995" i="2"/>
  <c r="Y995" i="2"/>
  <c r="Z995" i="2"/>
  <c r="X996" i="2"/>
  <c r="Y996" i="2"/>
  <c r="Z996" i="2"/>
  <c r="X997" i="2"/>
  <c r="Y997" i="2"/>
  <c r="Z997" i="2"/>
  <c r="X998" i="2"/>
  <c r="Y998" i="2"/>
  <c r="Z998" i="2"/>
  <c r="X999" i="2"/>
  <c r="Y999" i="2"/>
  <c r="Z999" i="2"/>
  <c r="X1000" i="2"/>
  <c r="Y1000" i="2"/>
  <c r="Z1000" i="2"/>
  <c r="X1001" i="2"/>
  <c r="Y1001" i="2"/>
  <c r="Z1001" i="2"/>
  <c r="X1002" i="2"/>
  <c r="Y1002" i="2"/>
  <c r="Z1002" i="2"/>
  <c r="X1003" i="2"/>
  <c r="Y1003" i="2"/>
  <c r="Z1003" i="2"/>
  <c r="X1004" i="2"/>
  <c r="Y1004" i="2"/>
  <c r="Z1004" i="2"/>
  <c r="X1005" i="2"/>
  <c r="Y1005" i="2"/>
  <c r="Z1005" i="2"/>
  <c r="X1006" i="2"/>
  <c r="Y1006" i="2"/>
  <c r="Z1006" i="2"/>
  <c r="X1007" i="2"/>
  <c r="Y1007" i="2"/>
  <c r="Z1007" i="2"/>
  <c r="X1008" i="2"/>
  <c r="Y1008" i="2"/>
  <c r="Z1008" i="2"/>
  <c r="X1009" i="2"/>
  <c r="Y1009" i="2"/>
  <c r="Z1009" i="2"/>
  <c r="X1010" i="2"/>
  <c r="Y1010" i="2"/>
  <c r="Z1010" i="2"/>
  <c r="X1011" i="2"/>
  <c r="Y1011" i="2"/>
  <c r="Z1011" i="2"/>
  <c r="X1012" i="2"/>
  <c r="Y1012" i="2"/>
  <c r="Z1012" i="2"/>
  <c r="X1013" i="2"/>
  <c r="Y1013" i="2"/>
  <c r="Z1013" i="2"/>
  <c r="X1014" i="2"/>
  <c r="Y1014" i="2"/>
  <c r="Z1014" i="2"/>
  <c r="X1015" i="2"/>
  <c r="Y1015" i="2"/>
  <c r="Z1015" i="2"/>
  <c r="X1016" i="2"/>
  <c r="Y1016" i="2"/>
  <c r="Z1016" i="2"/>
  <c r="X1017" i="2"/>
  <c r="Y1017" i="2"/>
  <c r="Z1017" i="2"/>
  <c r="X1018" i="2"/>
  <c r="Y1018" i="2"/>
  <c r="Z1018" i="2"/>
  <c r="X1019" i="2"/>
  <c r="Y1019" i="2"/>
  <c r="Z1019" i="2"/>
  <c r="X1020" i="2"/>
  <c r="Y1020" i="2"/>
  <c r="Z1020" i="2"/>
  <c r="X1021" i="2"/>
  <c r="Y1021" i="2"/>
  <c r="Z1021" i="2"/>
  <c r="X1022" i="2"/>
  <c r="Y1022" i="2"/>
  <c r="Z1022" i="2"/>
  <c r="X1023" i="2"/>
  <c r="Y1023" i="2"/>
  <c r="Z1023" i="2"/>
  <c r="X1024" i="2"/>
  <c r="Y1024" i="2"/>
  <c r="Z1024" i="2"/>
  <c r="X1025" i="2"/>
  <c r="Y1025" i="2"/>
  <c r="Z1025" i="2"/>
  <c r="X1026" i="2"/>
  <c r="Y1026" i="2"/>
  <c r="Z1026" i="2"/>
  <c r="X1027" i="2"/>
  <c r="Y1027" i="2"/>
  <c r="Z1027" i="2"/>
  <c r="X1028" i="2"/>
  <c r="Y1028" i="2"/>
  <c r="Z1028" i="2"/>
  <c r="X1029" i="2"/>
  <c r="Y1029" i="2"/>
  <c r="Z1029" i="2"/>
  <c r="X1030" i="2"/>
  <c r="Y1030" i="2"/>
  <c r="Z1030" i="2"/>
  <c r="X1031" i="2"/>
  <c r="Y1031" i="2"/>
  <c r="Z1031" i="2"/>
  <c r="X1032" i="2"/>
  <c r="Y1032" i="2"/>
  <c r="Z1032" i="2"/>
  <c r="X1033" i="2"/>
  <c r="Y1033" i="2"/>
  <c r="Z1033" i="2"/>
  <c r="X1034" i="2"/>
  <c r="Y1034" i="2"/>
  <c r="Z1034" i="2"/>
  <c r="X1035" i="2"/>
  <c r="Y1035" i="2"/>
  <c r="Z1035" i="2"/>
  <c r="X1036" i="2"/>
  <c r="Y1036" i="2"/>
  <c r="Z1036" i="2"/>
  <c r="X1037" i="2"/>
  <c r="Y1037" i="2"/>
  <c r="Z1037" i="2"/>
  <c r="X1038" i="2"/>
  <c r="Y1038" i="2"/>
  <c r="Z1038" i="2"/>
  <c r="X1039" i="2"/>
  <c r="Y1039" i="2"/>
  <c r="Z1039" i="2"/>
  <c r="X1040" i="2"/>
  <c r="Y1040" i="2"/>
  <c r="Z1040" i="2"/>
  <c r="X1041" i="2"/>
  <c r="Y1041" i="2"/>
  <c r="Z1041" i="2"/>
  <c r="X1042" i="2"/>
  <c r="Y1042" i="2"/>
  <c r="Z1042" i="2"/>
  <c r="X1043" i="2"/>
  <c r="Y1043" i="2"/>
  <c r="Z1043" i="2"/>
  <c r="X1044" i="2"/>
  <c r="Y1044" i="2"/>
  <c r="Z1044" i="2"/>
  <c r="X1045" i="2"/>
  <c r="Y1045" i="2"/>
  <c r="Z1045" i="2"/>
  <c r="X1046" i="2"/>
  <c r="Y1046" i="2"/>
  <c r="Z1046" i="2"/>
  <c r="X1047" i="2"/>
  <c r="Y1047" i="2"/>
  <c r="Z1047" i="2"/>
  <c r="X1048" i="2"/>
  <c r="Y1048" i="2"/>
  <c r="Z1048" i="2"/>
  <c r="X1049" i="2"/>
  <c r="Y1049" i="2"/>
  <c r="Z1049" i="2"/>
  <c r="X1050" i="2"/>
  <c r="Y1050" i="2"/>
  <c r="Z1050" i="2"/>
  <c r="X1051" i="2"/>
  <c r="Y1051" i="2"/>
  <c r="Z1051" i="2"/>
  <c r="X1052" i="2"/>
  <c r="Y1052" i="2"/>
  <c r="Z1052" i="2"/>
  <c r="X1053" i="2"/>
  <c r="Y1053" i="2"/>
  <c r="Z1053" i="2"/>
  <c r="X1054" i="2"/>
  <c r="Y1054" i="2"/>
  <c r="Z1054" i="2"/>
  <c r="X1055" i="2"/>
  <c r="Y1055" i="2"/>
  <c r="Z1055" i="2"/>
  <c r="X1056" i="2"/>
  <c r="Y1056" i="2"/>
  <c r="Z1056" i="2"/>
  <c r="X1057" i="2"/>
  <c r="Y1057" i="2"/>
  <c r="Z1057" i="2"/>
  <c r="X1058" i="2"/>
  <c r="Y1058" i="2"/>
  <c r="Z1058" i="2"/>
  <c r="X1059" i="2"/>
  <c r="Y1059" i="2"/>
  <c r="Z1059" i="2"/>
  <c r="X1060" i="2"/>
  <c r="Y1060" i="2"/>
  <c r="Z1060" i="2"/>
  <c r="X1061" i="2"/>
  <c r="Y1061" i="2"/>
  <c r="Z1061" i="2"/>
  <c r="X1062" i="2"/>
  <c r="Y1062" i="2"/>
  <c r="Z1062" i="2"/>
  <c r="X1063" i="2"/>
  <c r="Y1063" i="2"/>
  <c r="Z1063" i="2"/>
  <c r="X1064" i="2"/>
  <c r="Y1064" i="2"/>
  <c r="Z1064" i="2"/>
  <c r="X1065" i="2"/>
  <c r="Y1065" i="2"/>
  <c r="Z1065" i="2"/>
  <c r="X1066" i="2"/>
  <c r="Y1066" i="2"/>
  <c r="Z1066" i="2"/>
  <c r="X1067" i="2"/>
  <c r="Y1067" i="2"/>
  <c r="Z1067" i="2"/>
  <c r="X1068" i="2"/>
  <c r="Y1068" i="2"/>
  <c r="Z1068" i="2"/>
  <c r="X1069" i="2"/>
  <c r="Y1069" i="2"/>
  <c r="Z1069" i="2"/>
  <c r="X1070" i="2"/>
  <c r="Y1070" i="2"/>
  <c r="Z1070" i="2"/>
  <c r="X1071" i="2"/>
  <c r="Y1071" i="2"/>
  <c r="Z1071" i="2"/>
  <c r="X1072" i="2"/>
  <c r="Y1072" i="2"/>
  <c r="Z1072" i="2"/>
  <c r="X1073" i="2"/>
  <c r="Y1073" i="2"/>
  <c r="Z1073" i="2"/>
  <c r="X1074" i="2"/>
  <c r="Y1074" i="2"/>
  <c r="Z1074" i="2"/>
  <c r="X1075" i="2"/>
  <c r="Y1075" i="2"/>
  <c r="Z1075" i="2"/>
  <c r="X1076" i="2"/>
  <c r="Y1076" i="2"/>
  <c r="Z1076" i="2"/>
  <c r="X1077" i="2"/>
  <c r="Y1077" i="2"/>
  <c r="Z1077" i="2"/>
  <c r="X1078" i="2"/>
  <c r="Y1078" i="2"/>
  <c r="Z1078" i="2"/>
  <c r="X1079" i="2"/>
  <c r="Y1079" i="2"/>
  <c r="Z1079" i="2"/>
  <c r="X1080" i="2"/>
  <c r="Y1080" i="2"/>
  <c r="Z1080" i="2"/>
  <c r="X1081" i="2"/>
  <c r="Y1081" i="2"/>
  <c r="Z1081" i="2"/>
  <c r="X1082" i="2"/>
  <c r="Y1082" i="2"/>
  <c r="Z1082" i="2"/>
  <c r="X1083" i="2"/>
  <c r="Y1083" i="2"/>
  <c r="Z1083" i="2"/>
  <c r="X1084" i="2"/>
  <c r="Y1084" i="2"/>
  <c r="Z1084" i="2"/>
  <c r="X1085" i="2"/>
  <c r="Y1085" i="2"/>
  <c r="Z1085" i="2"/>
  <c r="X1086" i="2"/>
  <c r="Y1086" i="2"/>
  <c r="Z1086" i="2"/>
  <c r="X1087" i="2"/>
  <c r="Y1087" i="2"/>
  <c r="Z1087" i="2"/>
  <c r="X1088" i="2"/>
  <c r="Y1088" i="2"/>
  <c r="Z1088" i="2"/>
  <c r="X1089" i="2"/>
  <c r="Y1089" i="2"/>
  <c r="Z1089" i="2"/>
  <c r="X1090" i="2"/>
  <c r="Y1090" i="2"/>
  <c r="Z1090" i="2"/>
  <c r="X1091" i="2"/>
  <c r="Y1091" i="2"/>
  <c r="Z1091" i="2"/>
  <c r="X1092" i="2"/>
  <c r="Y1092" i="2"/>
  <c r="Z1092" i="2"/>
  <c r="X1093" i="2"/>
  <c r="Y1093" i="2"/>
  <c r="Z1093" i="2"/>
  <c r="X1094" i="2"/>
  <c r="Y1094" i="2"/>
  <c r="Z1094" i="2"/>
  <c r="X1095" i="2"/>
  <c r="Y1095" i="2"/>
  <c r="Z1095" i="2"/>
  <c r="X1096" i="2"/>
  <c r="Y1096" i="2"/>
  <c r="Z1096" i="2"/>
  <c r="X1097" i="2"/>
  <c r="Y1097" i="2"/>
  <c r="Z1097" i="2"/>
  <c r="X1098" i="2"/>
  <c r="Y1098" i="2"/>
  <c r="Z1098" i="2"/>
  <c r="X1099" i="2"/>
  <c r="Y1099" i="2"/>
  <c r="Z1099" i="2"/>
  <c r="X1100" i="2"/>
  <c r="Y1100" i="2"/>
  <c r="Z1100" i="2"/>
  <c r="X1101" i="2"/>
  <c r="Y1101" i="2"/>
  <c r="Z1101" i="2"/>
  <c r="X1102" i="2"/>
  <c r="Y1102" i="2"/>
  <c r="Z1102" i="2"/>
  <c r="X1103" i="2"/>
  <c r="Y1103" i="2"/>
  <c r="Z1103" i="2"/>
  <c r="X1104" i="2"/>
  <c r="Y1104" i="2"/>
  <c r="Z1104" i="2"/>
  <c r="X1105" i="2"/>
  <c r="Y1105" i="2"/>
  <c r="Z1105" i="2"/>
  <c r="X1106" i="2"/>
  <c r="Y1106" i="2"/>
  <c r="Z1106" i="2"/>
  <c r="X1107" i="2"/>
  <c r="Y1107" i="2"/>
  <c r="Z1107" i="2"/>
  <c r="X1108" i="2"/>
  <c r="Y1108" i="2"/>
  <c r="Z1108" i="2"/>
  <c r="X1109" i="2"/>
  <c r="Y1109" i="2"/>
  <c r="Z1109" i="2"/>
  <c r="X1110" i="2"/>
  <c r="Y1110" i="2"/>
  <c r="Z1110" i="2"/>
  <c r="X1111" i="2"/>
  <c r="Y1111" i="2"/>
  <c r="Z1111" i="2"/>
  <c r="X1112" i="2"/>
  <c r="Y1112" i="2"/>
  <c r="Z1112" i="2"/>
  <c r="X1113" i="2"/>
  <c r="Y1113" i="2"/>
  <c r="Z1113" i="2"/>
  <c r="X1114" i="2"/>
  <c r="Y1114" i="2"/>
  <c r="Z1114" i="2"/>
  <c r="X1115" i="2"/>
  <c r="Y1115" i="2"/>
  <c r="Z1115" i="2"/>
  <c r="X1116" i="2"/>
  <c r="Y1116" i="2"/>
  <c r="Z1116" i="2"/>
  <c r="X1117" i="2"/>
  <c r="Y1117" i="2"/>
  <c r="Z1117" i="2"/>
  <c r="X1118" i="2"/>
  <c r="Y1118" i="2"/>
  <c r="Z1118" i="2"/>
  <c r="X1119" i="2"/>
  <c r="Y1119" i="2"/>
  <c r="Z1119" i="2"/>
  <c r="X1120" i="2"/>
  <c r="Y1120" i="2"/>
  <c r="Z1120" i="2"/>
  <c r="X1121" i="2"/>
  <c r="Y1121" i="2"/>
  <c r="Z1121" i="2"/>
  <c r="X1122" i="2"/>
  <c r="Y1122" i="2"/>
  <c r="Z1122" i="2"/>
  <c r="X1123" i="2"/>
  <c r="Y1123" i="2"/>
  <c r="Z1123" i="2"/>
  <c r="X1124" i="2"/>
  <c r="Y1124" i="2"/>
  <c r="Z1124" i="2"/>
  <c r="X1125" i="2"/>
  <c r="Y1125" i="2"/>
  <c r="Z1125" i="2"/>
  <c r="X1126" i="2"/>
  <c r="Y1126" i="2"/>
  <c r="Z1126" i="2"/>
  <c r="X1127" i="2"/>
  <c r="Y1127" i="2"/>
  <c r="Z1127" i="2"/>
  <c r="X1128" i="2"/>
  <c r="Y1128" i="2"/>
  <c r="Z1128" i="2"/>
  <c r="X1129" i="2"/>
  <c r="Y1129" i="2"/>
  <c r="Z1129" i="2"/>
  <c r="X1130" i="2"/>
  <c r="Y1130" i="2"/>
  <c r="Z1130" i="2"/>
  <c r="X1131" i="2"/>
  <c r="Y1131" i="2"/>
  <c r="Z1131" i="2"/>
  <c r="X1132" i="2"/>
  <c r="Y1132" i="2"/>
  <c r="Z1132" i="2"/>
  <c r="X1133" i="2"/>
  <c r="Y1133" i="2"/>
  <c r="Z1133" i="2"/>
  <c r="X1134" i="2"/>
  <c r="Y1134" i="2"/>
  <c r="Z1134" i="2"/>
  <c r="X1135" i="2"/>
  <c r="Y1135" i="2"/>
  <c r="Z1135" i="2"/>
  <c r="X1136" i="2"/>
  <c r="Y1136" i="2"/>
  <c r="Z1136" i="2"/>
  <c r="X1137" i="2"/>
  <c r="Y1137" i="2"/>
  <c r="Z1137" i="2"/>
  <c r="X1138" i="2"/>
  <c r="Y1138" i="2"/>
  <c r="Z1138" i="2"/>
  <c r="X1139" i="2"/>
  <c r="Y1139" i="2"/>
  <c r="Z1139" i="2"/>
  <c r="X1140" i="2"/>
  <c r="Y1140" i="2"/>
  <c r="Z1140" i="2"/>
  <c r="X1141" i="2"/>
  <c r="Y1141" i="2"/>
  <c r="Z1141" i="2"/>
  <c r="X1142" i="2"/>
  <c r="Y1142" i="2"/>
  <c r="Z1142" i="2"/>
  <c r="X1143" i="2"/>
  <c r="Y1143" i="2"/>
  <c r="Z1143" i="2"/>
  <c r="X1144" i="2"/>
  <c r="Y1144" i="2"/>
  <c r="Z1144" i="2"/>
  <c r="X1145" i="2"/>
  <c r="Y1145" i="2"/>
  <c r="Z1145" i="2"/>
  <c r="X1146" i="2"/>
  <c r="Y1146" i="2"/>
  <c r="Z1146" i="2"/>
  <c r="X1147" i="2"/>
  <c r="Y1147" i="2"/>
  <c r="Z1147" i="2"/>
  <c r="X1148" i="2"/>
  <c r="Y1148" i="2"/>
  <c r="Z1148" i="2"/>
  <c r="X1149" i="2"/>
  <c r="Y1149" i="2"/>
  <c r="Z1149" i="2"/>
  <c r="X1150" i="2"/>
  <c r="Y1150" i="2"/>
  <c r="Z1150" i="2"/>
  <c r="X1151" i="2"/>
  <c r="Y1151" i="2"/>
  <c r="Z1151" i="2"/>
  <c r="X1152" i="2"/>
  <c r="Y1152" i="2"/>
  <c r="Z1152" i="2"/>
  <c r="X1153" i="2"/>
  <c r="Y1153" i="2"/>
  <c r="Z1153" i="2"/>
  <c r="X1154" i="2"/>
  <c r="Y1154" i="2"/>
  <c r="Z1154" i="2"/>
  <c r="X1155" i="2"/>
  <c r="Y1155" i="2"/>
  <c r="Z1155" i="2"/>
  <c r="X1156" i="2"/>
  <c r="Y1156" i="2"/>
  <c r="Z1156" i="2"/>
  <c r="X1157" i="2"/>
  <c r="Y1157" i="2"/>
  <c r="Z1157" i="2"/>
  <c r="X1158" i="2"/>
  <c r="Y1158" i="2"/>
  <c r="Z1158" i="2"/>
  <c r="X1159" i="2"/>
  <c r="Y1159" i="2"/>
  <c r="Z1159" i="2"/>
  <c r="X1160" i="2"/>
  <c r="Y1160" i="2"/>
  <c r="Z1160" i="2"/>
  <c r="X1161" i="2"/>
  <c r="Y1161" i="2"/>
  <c r="Z1161" i="2"/>
  <c r="X1162" i="2"/>
  <c r="Y1162" i="2"/>
  <c r="Z1162" i="2"/>
  <c r="X1163" i="2"/>
  <c r="Y1163" i="2"/>
  <c r="Z1163" i="2"/>
  <c r="X1164" i="2"/>
  <c r="Y1164" i="2"/>
  <c r="Z1164" i="2"/>
  <c r="X1165" i="2"/>
  <c r="Y1165" i="2"/>
  <c r="Z1165" i="2"/>
  <c r="X1166" i="2"/>
  <c r="Y1166" i="2"/>
  <c r="Z1166" i="2"/>
  <c r="X1167" i="2"/>
  <c r="Y1167" i="2"/>
  <c r="Z1167" i="2"/>
  <c r="X1168" i="2"/>
  <c r="Y1168" i="2"/>
  <c r="Z1168" i="2"/>
  <c r="X1169" i="2"/>
  <c r="Y1169" i="2"/>
  <c r="Z1169" i="2"/>
  <c r="X1170" i="2"/>
  <c r="Y1170" i="2"/>
  <c r="Z1170" i="2"/>
  <c r="X1171" i="2"/>
  <c r="Y1171" i="2"/>
  <c r="Z1171" i="2"/>
  <c r="X1172" i="2"/>
  <c r="Y1172" i="2"/>
  <c r="Z1172" i="2"/>
  <c r="X1173" i="2"/>
  <c r="Y1173" i="2"/>
  <c r="Z1173" i="2"/>
  <c r="X1174" i="2"/>
  <c r="Y1174" i="2"/>
  <c r="Z1174" i="2"/>
  <c r="X1175" i="2"/>
  <c r="Y1175" i="2"/>
  <c r="Z1175" i="2"/>
  <c r="X1176" i="2"/>
  <c r="Y1176" i="2"/>
  <c r="Z1176" i="2"/>
  <c r="X1177" i="2"/>
  <c r="Y1177" i="2"/>
  <c r="Z1177" i="2"/>
  <c r="X1178" i="2"/>
  <c r="Y1178" i="2"/>
  <c r="Z1178" i="2"/>
  <c r="X1179" i="2"/>
  <c r="Y1179" i="2"/>
  <c r="Z1179" i="2"/>
  <c r="X1180" i="2"/>
  <c r="Y1180" i="2"/>
  <c r="Z1180" i="2"/>
  <c r="X1181" i="2"/>
  <c r="Y1181" i="2"/>
  <c r="Z1181" i="2"/>
  <c r="X1182" i="2"/>
  <c r="Y1182" i="2"/>
  <c r="Z1182" i="2"/>
  <c r="X1183" i="2"/>
  <c r="Y1183" i="2"/>
  <c r="Z1183" i="2"/>
  <c r="X1184" i="2"/>
  <c r="Y1184" i="2"/>
  <c r="Z1184" i="2"/>
  <c r="X1185" i="2"/>
  <c r="Y1185" i="2"/>
  <c r="Z1185" i="2"/>
  <c r="X1186" i="2"/>
  <c r="Y1186" i="2"/>
  <c r="Z1186" i="2"/>
  <c r="X1187" i="2"/>
  <c r="Y1187" i="2"/>
  <c r="Z1187" i="2"/>
  <c r="X1188" i="2"/>
  <c r="Y1188" i="2"/>
  <c r="Z1188" i="2"/>
  <c r="X1189" i="2"/>
  <c r="Y1189" i="2"/>
  <c r="Z1189" i="2"/>
  <c r="X1190" i="2"/>
  <c r="Y1190" i="2"/>
  <c r="Z1190" i="2"/>
  <c r="X1191" i="2"/>
  <c r="Y1191" i="2"/>
  <c r="Z1191" i="2"/>
  <c r="X1192" i="2"/>
  <c r="Y1192" i="2"/>
  <c r="Z1192" i="2"/>
  <c r="X1193" i="2"/>
  <c r="Y1193" i="2"/>
  <c r="Z1193" i="2"/>
  <c r="X1194" i="2"/>
  <c r="Y1194" i="2"/>
  <c r="Z1194" i="2"/>
  <c r="X1195" i="2"/>
  <c r="Y1195" i="2"/>
  <c r="Z1195" i="2"/>
  <c r="X1196" i="2"/>
  <c r="Y1196" i="2"/>
  <c r="Z1196" i="2"/>
  <c r="X1197" i="2"/>
  <c r="Y1197" i="2"/>
  <c r="Z1197" i="2"/>
  <c r="X1198" i="2"/>
  <c r="Y1198" i="2"/>
  <c r="Z1198" i="2"/>
  <c r="X1199" i="2"/>
  <c r="Y1199" i="2"/>
  <c r="Z1199" i="2"/>
  <c r="X1200" i="2"/>
  <c r="Y1200" i="2"/>
  <c r="Z1200" i="2"/>
  <c r="X1201" i="2"/>
  <c r="Y1201" i="2"/>
  <c r="Z1201" i="2"/>
  <c r="X1202" i="2"/>
  <c r="Y1202" i="2"/>
  <c r="Z1202" i="2"/>
  <c r="X1203" i="2"/>
  <c r="Y1203" i="2"/>
  <c r="Z1203" i="2"/>
  <c r="X1204" i="2"/>
  <c r="Y1204" i="2"/>
  <c r="Z1204" i="2"/>
  <c r="X1205" i="2"/>
  <c r="Y1205" i="2"/>
  <c r="Z1205" i="2"/>
  <c r="X1206" i="2"/>
  <c r="Y1206" i="2"/>
  <c r="Z1206" i="2"/>
  <c r="X1207" i="2"/>
  <c r="Y1207" i="2"/>
  <c r="Z1207" i="2"/>
  <c r="X1208" i="2"/>
  <c r="Y1208" i="2"/>
  <c r="Z1208" i="2"/>
  <c r="X1209" i="2"/>
  <c r="Y1209" i="2"/>
  <c r="Z1209" i="2"/>
  <c r="X1210" i="2"/>
  <c r="Y1210" i="2"/>
  <c r="Z1210" i="2"/>
  <c r="X1211" i="2"/>
  <c r="Y1211" i="2"/>
  <c r="Z1211" i="2"/>
  <c r="X1212" i="2"/>
  <c r="Y1212" i="2"/>
  <c r="Z1212" i="2"/>
  <c r="X1213" i="2"/>
  <c r="Y1213" i="2"/>
  <c r="Z1213" i="2"/>
  <c r="X1214" i="2"/>
  <c r="Y1214" i="2"/>
  <c r="Z1214" i="2"/>
  <c r="X1215" i="2"/>
  <c r="Y1215" i="2"/>
  <c r="Z1215" i="2"/>
  <c r="X1216" i="2"/>
  <c r="Y1216" i="2"/>
  <c r="Z1216" i="2"/>
  <c r="X1217" i="2"/>
  <c r="Y1217" i="2"/>
  <c r="Z1217" i="2"/>
  <c r="X1218" i="2"/>
  <c r="Y1218" i="2"/>
  <c r="Z1218" i="2"/>
  <c r="X1219" i="2"/>
  <c r="Y1219" i="2"/>
  <c r="Z1219" i="2"/>
  <c r="X1220" i="2"/>
  <c r="Y1220" i="2"/>
  <c r="Z1220" i="2"/>
  <c r="X1221" i="2"/>
  <c r="Y1221" i="2"/>
  <c r="Z1221" i="2"/>
  <c r="X1222" i="2"/>
  <c r="Y1222" i="2"/>
  <c r="Z1222" i="2"/>
  <c r="X1223" i="2"/>
  <c r="Y1223" i="2"/>
  <c r="Z1223" i="2"/>
  <c r="X1224" i="2"/>
  <c r="Y1224" i="2"/>
  <c r="Z1224" i="2"/>
  <c r="X1225" i="2"/>
  <c r="Y1225" i="2"/>
  <c r="Z1225" i="2"/>
  <c r="X1226" i="2"/>
  <c r="Y1226" i="2"/>
  <c r="Z1226" i="2"/>
  <c r="X1227" i="2"/>
  <c r="Y1227" i="2"/>
  <c r="Z1227" i="2"/>
  <c r="X1228" i="2"/>
  <c r="Y1228" i="2"/>
  <c r="Z1228" i="2"/>
  <c r="X1229" i="2"/>
  <c r="Y1229" i="2"/>
  <c r="Z1229" i="2"/>
  <c r="X1230" i="2"/>
  <c r="Y1230" i="2"/>
  <c r="Z1230" i="2"/>
  <c r="X1231" i="2"/>
  <c r="Y1231" i="2"/>
  <c r="Z1231" i="2"/>
  <c r="X1232" i="2"/>
  <c r="Y1232" i="2"/>
  <c r="Z1232" i="2"/>
  <c r="X1233" i="2"/>
  <c r="Y1233" i="2"/>
  <c r="Z1233" i="2"/>
  <c r="X1234" i="2"/>
  <c r="Y1234" i="2"/>
  <c r="Z1234" i="2"/>
  <c r="X1235" i="2"/>
  <c r="Y1235" i="2"/>
  <c r="Z1235" i="2"/>
  <c r="X1236" i="2"/>
  <c r="Y1236" i="2"/>
  <c r="Z1236" i="2"/>
  <c r="X1237" i="2"/>
  <c r="Y1237" i="2"/>
  <c r="Z1237" i="2"/>
  <c r="X1238" i="2"/>
  <c r="Y1238" i="2"/>
  <c r="Z1238" i="2"/>
  <c r="X1239" i="2"/>
  <c r="Y1239" i="2"/>
  <c r="Z1239" i="2"/>
  <c r="X1240" i="2"/>
  <c r="Y1240" i="2"/>
  <c r="Z1240" i="2"/>
  <c r="X1241" i="2"/>
  <c r="Y1241" i="2"/>
  <c r="Z1241" i="2"/>
  <c r="X1242" i="2"/>
  <c r="Y1242" i="2"/>
  <c r="Z1242" i="2"/>
  <c r="X1243" i="2"/>
  <c r="Y1243" i="2"/>
  <c r="Z1243" i="2"/>
  <c r="X1244" i="2"/>
  <c r="Y1244" i="2"/>
  <c r="Z1244" i="2"/>
  <c r="X1245" i="2"/>
  <c r="Y1245" i="2"/>
  <c r="Z1245" i="2"/>
  <c r="X1246" i="2"/>
  <c r="Y1246" i="2"/>
  <c r="Z1246" i="2"/>
  <c r="X1247" i="2"/>
  <c r="Y1247" i="2"/>
  <c r="Z1247" i="2"/>
  <c r="X1248" i="2"/>
  <c r="Y1248" i="2"/>
  <c r="Z1248" i="2"/>
  <c r="X1249" i="2"/>
  <c r="Y1249" i="2"/>
  <c r="Z1249" i="2"/>
  <c r="X1250" i="2"/>
  <c r="Y1250" i="2"/>
  <c r="Z1250" i="2"/>
  <c r="X1251" i="2"/>
  <c r="Y1251" i="2"/>
  <c r="Z1251" i="2"/>
  <c r="X1252" i="2"/>
  <c r="Y1252" i="2"/>
  <c r="Z1252" i="2"/>
  <c r="X1253" i="2"/>
  <c r="Y1253" i="2"/>
  <c r="Z1253" i="2"/>
  <c r="X1254" i="2"/>
  <c r="Y1254" i="2"/>
  <c r="Z1254" i="2"/>
  <c r="X1255" i="2"/>
  <c r="Y1255" i="2"/>
  <c r="Z1255" i="2"/>
  <c r="X1256" i="2"/>
  <c r="Y1256" i="2"/>
  <c r="Z1256" i="2"/>
  <c r="X1257" i="2"/>
  <c r="Y1257" i="2"/>
  <c r="Z1257" i="2"/>
  <c r="X1258" i="2"/>
  <c r="Y1258" i="2"/>
  <c r="Z1258" i="2"/>
  <c r="X1259" i="2"/>
  <c r="Y1259" i="2"/>
  <c r="Z1259" i="2"/>
  <c r="X1260" i="2"/>
  <c r="Y1260" i="2"/>
  <c r="Z1260" i="2"/>
  <c r="X1261" i="2"/>
  <c r="Y1261" i="2"/>
  <c r="Z1261" i="2"/>
  <c r="X1262" i="2"/>
  <c r="Y1262" i="2"/>
  <c r="Z1262" i="2"/>
  <c r="X1263" i="2"/>
  <c r="Y1263" i="2"/>
  <c r="Z1263" i="2"/>
  <c r="X1264" i="2"/>
  <c r="Y1264" i="2"/>
  <c r="Z1264" i="2"/>
  <c r="X1265" i="2"/>
  <c r="Y1265" i="2"/>
  <c r="Z1265" i="2"/>
  <c r="X1266" i="2"/>
  <c r="Y1266" i="2"/>
  <c r="Z1266" i="2"/>
  <c r="X1267" i="2"/>
  <c r="Y1267" i="2"/>
  <c r="Z1267" i="2"/>
  <c r="X1268" i="2"/>
  <c r="Y1268" i="2"/>
  <c r="Z1268" i="2"/>
  <c r="X1269" i="2"/>
  <c r="Y1269" i="2"/>
  <c r="Z1269" i="2"/>
  <c r="X1270" i="2"/>
  <c r="Y1270" i="2"/>
  <c r="Z1270" i="2"/>
  <c r="X1271" i="2"/>
  <c r="Y1271" i="2"/>
  <c r="Z1271" i="2"/>
  <c r="X1272" i="2"/>
  <c r="Y1272" i="2"/>
  <c r="Z1272" i="2"/>
  <c r="X1273" i="2"/>
  <c r="Y1273" i="2"/>
  <c r="Z1273" i="2"/>
  <c r="X1274" i="2"/>
  <c r="Y1274" i="2"/>
  <c r="Z1274" i="2"/>
  <c r="X1275" i="2"/>
  <c r="Y1275" i="2"/>
  <c r="Z1275" i="2"/>
  <c r="X1276" i="2"/>
  <c r="Y1276" i="2"/>
  <c r="Z1276" i="2"/>
  <c r="X1277" i="2"/>
  <c r="Y1277" i="2"/>
  <c r="Z1277" i="2"/>
  <c r="X1278" i="2"/>
  <c r="Y1278" i="2"/>
  <c r="Z1278" i="2"/>
  <c r="X1279" i="2"/>
  <c r="Y1279" i="2"/>
  <c r="Z1279" i="2"/>
  <c r="X1280" i="2"/>
  <c r="Y1280" i="2"/>
  <c r="Z1280" i="2"/>
  <c r="X1281" i="2"/>
  <c r="Y1281" i="2"/>
  <c r="Z1281" i="2"/>
  <c r="X1282" i="2"/>
  <c r="Y1282" i="2"/>
  <c r="Z1282" i="2"/>
  <c r="X1283" i="2"/>
  <c r="Y1283" i="2"/>
  <c r="Z1283" i="2"/>
  <c r="X1284" i="2"/>
  <c r="Y1284" i="2"/>
  <c r="Z1284" i="2"/>
  <c r="X1285" i="2"/>
  <c r="Y1285" i="2"/>
  <c r="Z1285" i="2"/>
  <c r="X1286" i="2"/>
  <c r="Y1286" i="2"/>
  <c r="Z1286" i="2"/>
  <c r="X1287" i="2"/>
  <c r="Y1287" i="2"/>
  <c r="Z1287" i="2"/>
  <c r="X1288" i="2"/>
  <c r="Y1288" i="2"/>
  <c r="Z1288" i="2"/>
  <c r="X1289" i="2"/>
  <c r="Y1289" i="2"/>
  <c r="Z1289" i="2"/>
  <c r="X1290" i="2"/>
  <c r="Y1290" i="2"/>
  <c r="Z1290" i="2"/>
  <c r="X1291" i="2"/>
  <c r="Y1291" i="2"/>
  <c r="Z1291" i="2"/>
  <c r="X1292" i="2"/>
  <c r="Y1292" i="2"/>
  <c r="Z1292" i="2"/>
  <c r="X1293" i="2"/>
  <c r="Y1293" i="2"/>
  <c r="Z1293" i="2"/>
  <c r="X1294" i="2"/>
  <c r="Y1294" i="2"/>
  <c r="Z1294" i="2"/>
  <c r="X1295" i="2"/>
  <c r="Y1295" i="2"/>
  <c r="Z1295" i="2"/>
  <c r="X1296" i="2"/>
  <c r="Y1296" i="2"/>
  <c r="Z1296" i="2"/>
  <c r="X1297" i="2"/>
  <c r="Y1297" i="2"/>
  <c r="Z1297" i="2"/>
  <c r="X1298" i="2"/>
  <c r="Y1298" i="2"/>
  <c r="Z1298" i="2"/>
  <c r="X1299" i="2"/>
  <c r="Y1299" i="2"/>
  <c r="Z1299" i="2"/>
  <c r="X1300" i="2"/>
  <c r="Y1300" i="2"/>
  <c r="Z1300" i="2"/>
  <c r="X1301" i="2"/>
  <c r="Y1301" i="2"/>
  <c r="Z1301" i="2"/>
  <c r="X1302" i="2"/>
  <c r="Y1302" i="2"/>
  <c r="Z1302" i="2"/>
  <c r="X1303" i="2"/>
  <c r="Y1303" i="2"/>
  <c r="Z1303" i="2"/>
  <c r="X1304" i="2"/>
  <c r="Y1304" i="2"/>
  <c r="Z1304" i="2"/>
  <c r="X1305" i="2"/>
  <c r="Y1305" i="2"/>
  <c r="Z1305" i="2"/>
  <c r="X1306" i="2"/>
  <c r="Y1306" i="2"/>
  <c r="Z1306" i="2"/>
  <c r="X1307" i="2"/>
  <c r="Y1307" i="2"/>
  <c r="Z1307" i="2"/>
  <c r="X1308" i="2"/>
  <c r="Y1308" i="2"/>
  <c r="Z1308" i="2"/>
  <c r="X1309" i="2"/>
  <c r="Y1309" i="2"/>
  <c r="Z1309" i="2"/>
  <c r="X1310" i="2"/>
  <c r="Y1310" i="2"/>
  <c r="Z1310" i="2"/>
  <c r="X1311" i="2"/>
  <c r="Y1311" i="2"/>
  <c r="Z1311" i="2"/>
  <c r="X1312" i="2"/>
  <c r="Y1312" i="2"/>
  <c r="Z1312" i="2"/>
  <c r="X1313" i="2"/>
  <c r="Y1313" i="2"/>
  <c r="Z1313" i="2"/>
  <c r="X1314" i="2"/>
  <c r="Y1314" i="2"/>
  <c r="Z1314" i="2"/>
  <c r="X1315" i="2"/>
  <c r="Y1315" i="2"/>
  <c r="Z1315" i="2"/>
  <c r="X1316" i="2"/>
  <c r="Y1316" i="2"/>
  <c r="Z1316" i="2"/>
  <c r="X1317" i="2"/>
  <c r="Y1317" i="2"/>
  <c r="Z1317" i="2"/>
  <c r="X1318" i="2"/>
  <c r="Y1318" i="2"/>
  <c r="Z1318" i="2"/>
  <c r="X1319" i="2"/>
  <c r="Y1319" i="2"/>
  <c r="Z1319" i="2"/>
  <c r="X1320" i="2"/>
  <c r="Y1320" i="2"/>
  <c r="Z1320" i="2"/>
  <c r="X1321" i="2"/>
  <c r="Y1321" i="2"/>
  <c r="Z1321" i="2"/>
  <c r="X1322" i="2"/>
  <c r="Y1322" i="2"/>
  <c r="Z1322" i="2"/>
  <c r="X1323" i="2"/>
  <c r="Y1323" i="2"/>
  <c r="Z1323" i="2"/>
  <c r="X1324" i="2"/>
  <c r="Y1324" i="2"/>
  <c r="Z1324" i="2"/>
  <c r="X1325" i="2"/>
  <c r="Y1325" i="2"/>
  <c r="Z1325" i="2"/>
  <c r="X1326" i="2"/>
  <c r="Y1326" i="2"/>
  <c r="Z1326" i="2"/>
  <c r="X1327" i="2"/>
  <c r="Y1327" i="2"/>
  <c r="Z1327" i="2"/>
  <c r="X1328" i="2"/>
  <c r="Y1328" i="2"/>
  <c r="Z1328" i="2"/>
  <c r="X1329" i="2"/>
  <c r="Y1329" i="2"/>
  <c r="Z1329" i="2"/>
  <c r="X1330" i="2"/>
  <c r="Y1330" i="2"/>
  <c r="Z1330" i="2"/>
  <c r="X1331" i="2"/>
  <c r="Y1331" i="2"/>
  <c r="Z1331" i="2"/>
  <c r="X1332" i="2"/>
  <c r="Y1332" i="2"/>
  <c r="Z1332" i="2"/>
  <c r="X1333" i="2"/>
  <c r="Y1333" i="2"/>
  <c r="Z1333" i="2"/>
  <c r="X1334" i="2"/>
  <c r="Y1334" i="2"/>
  <c r="Z1334" i="2"/>
  <c r="X1335" i="2"/>
  <c r="Y1335" i="2"/>
  <c r="Z1335" i="2"/>
  <c r="X1336" i="2"/>
  <c r="Y1336" i="2"/>
  <c r="Z1336" i="2"/>
  <c r="X1337" i="2"/>
  <c r="Y1337" i="2"/>
  <c r="Z1337" i="2"/>
  <c r="X1338" i="2"/>
  <c r="Y1338" i="2"/>
  <c r="Z1338" i="2"/>
  <c r="X1339" i="2"/>
  <c r="Y1339" i="2"/>
  <c r="Z1339" i="2"/>
  <c r="X1340" i="2"/>
  <c r="Y1340" i="2"/>
  <c r="Z1340" i="2"/>
  <c r="X1341" i="2"/>
  <c r="Y1341" i="2"/>
  <c r="Z1341" i="2"/>
  <c r="X1342" i="2"/>
  <c r="Y1342" i="2"/>
  <c r="Z1342" i="2"/>
  <c r="X1343" i="2"/>
  <c r="Y1343" i="2"/>
  <c r="Z1343" i="2"/>
  <c r="X1344" i="2"/>
  <c r="Y1344" i="2"/>
  <c r="Z1344" i="2"/>
  <c r="X1345" i="2"/>
  <c r="Y1345" i="2"/>
  <c r="Z1345" i="2"/>
  <c r="X1346" i="2"/>
  <c r="Y1346" i="2"/>
  <c r="Z1346" i="2"/>
  <c r="X1347" i="2"/>
  <c r="Y1347" i="2"/>
  <c r="Z1347" i="2"/>
  <c r="X1348" i="2"/>
  <c r="Y1348" i="2"/>
  <c r="Z1348" i="2"/>
  <c r="X1349" i="2"/>
  <c r="Y1349" i="2"/>
  <c r="Z1349" i="2"/>
  <c r="X1350" i="2"/>
  <c r="Y1350" i="2"/>
  <c r="Z1350" i="2"/>
  <c r="X1351" i="2"/>
  <c r="Y1351" i="2"/>
  <c r="Z1351" i="2"/>
  <c r="X1352" i="2"/>
  <c r="Y1352" i="2"/>
  <c r="Z1352" i="2"/>
  <c r="X1353" i="2"/>
  <c r="Y1353" i="2"/>
  <c r="Z1353" i="2"/>
  <c r="X1354" i="2"/>
  <c r="Y1354" i="2"/>
  <c r="Z1354" i="2"/>
  <c r="X1355" i="2"/>
  <c r="Y1355" i="2"/>
  <c r="Z1355" i="2"/>
  <c r="X1356" i="2"/>
  <c r="Y1356" i="2"/>
  <c r="Z1356" i="2"/>
  <c r="X1357" i="2"/>
  <c r="Y1357" i="2"/>
  <c r="Z1357" i="2"/>
  <c r="X1358" i="2"/>
  <c r="Y1358" i="2"/>
  <c r="Z1358" i="2"/>
  <c r="X1359" i="2"/>
  <c r="Y1359" i="2"/>
  <c r="Z1359" i="2"/>
  <c r="X1360" i="2"/>
  <c r="Y1360" i="2"/>
  <c r="Z1360" i="2"/>
  <c r="X1361" i="2"/>
  <c r="Y1361" i="2"/>
  <c r="Z1361" i="2"/>
  <c r="X1362" i="2"/>
  <c r="Y1362" i="2"/>
  <c r="Z1362" i="2"/>
  <c r="X1363" i="2"/>
  <c r="Y1363" i="2"/>
  <c r="Z1363" i="2"/>
  <c r="X1364" i="2"/>
  <c r="Y1364" i="2"/>
  <c r="Z1364" i="2"/>
  <c r="X1365" i="2"/>
  <c r="Y1365" i="2"/>
  <c r="Z1365" i="2"/>
  <c r="X1366" i="2"/>
  <c r="Y1366" i="2"/>
  <c r="Z1366" i="2"/>
  <c r="X1367" i="2"/>
  <c r="Y1367" i="2"/>
  <c r="Z1367" i="2"/>
  <c r="X1368" i="2"/>
  <c r="Y1368" i="2"/>
  <c r="Z1368" i="2"/>
  <c r="X1369" i="2"/>
  <c r="Y1369" i="2"/>
  <c r="Z1369" i="2"/>
  <c r="X1370" i="2"/>
  <c r="Y1370" i="2"/>
  <c r="Z1370" i="2"/>
  <c r="X1371" i="2"/>
  <c r="Y1371" i="2"/>
  <c r="Z1371" i="2"/>
  <c r="X1372" i="2"/>
  <c r="Y1372" i="2"/>
  <c r="Z1372" i="2"/>
  <c r="X1373" i="2"/>
  <c r="Y1373" i="2"/>
  <c r="Z1373" i="2"/>
  <c r="X1374" i="2"/>
  <c r="Y1374" i="2"/>
  <c r="Z1374" i="2"/>
  <c r="X1375" i="2"/>
  <c r="Y1375" i="2"/>
  <c r="Z1375" i="2"/>
  <c r="X1376" i="2"/>
  <c r="Y1376" i="2"/>
  <c r="Z1376" i="2"/>
  <c r="X1377" i="2"/>
  <c r="Y1377" i="2"/>
  <c r="Z1377" i="2"/>
  <c r="X1378" i="2"/>
  <c r="Y1378" i="2"/>
  <c r="Z1378" i="2"/>
  <c r="X1379" i="2"/>
  <c r="Y1379" i="2"/>
  <c r="Z1379" i="2"/>
  <c r="X1380" i="2"/>
  <c r="Y1380" i="2"/>
  <c r="Z1380" i="2"/>
  <c r="X1381" i="2"/>
  <c r="Y1381" i="2"/>
  <c r="Z1381" i="2"/>
  <c r="X1382" i="2"/>
  <c r="Y1382" i="2"/>
  <c r="Z1382" i="2"/>
  <c r="X1383" i="2"/>
  <c r="Y1383" i="2"/>
  <c r="Z1383" i="2"/>
  <c r="X1384" i="2"/>
  <c r="Y1384" i="2"/>
  <c r="Z1384" i="2"/>
  <c r="X1385" i="2"/>
  <c r="Y1385" i="2"/>
  <c r="Z1385" i="2"/>
  <c r="X1386" i="2"/>
  <c r="Y1386" i="2"/>
  <c r="Z1386" i="2"/>
  <c r="X1387" i="2"/>
  <c r="Y1387" i="2"/>
  <c r="Z1387" i="2"/>
  <c r="X1388" i="2"/>
  <c r="Y1388" i="2"/>
  <c r="Z1388" i="2"/>
  <c r="X1389" i="2"/>
  <c r="Y1389" i="2"/>
  <c r="Z1389" i="2"/>
  <c r="X1390" i="2"/>
  <c r="Y1390" i="2"/>
  <c r="Z1390" i="2"/>
  <c r="X1391" i="2"/>
  <c r="Y1391" i="2"/>
  <c r="Z1391" i="2"/>
  <c r="X1392" i="2"/>
  <c r="Y1392" i="2"/>
  <c r="Z1392" i="2"/>
  <c r="X1393" i="2"/>
  <c r="Y1393" i="2"/>
  <c r="Z1393" i="2"/>
  <c r="X1394" i="2"/>
  <c r="Y1394" i="2"/>
  <c r="Z1394" i="2"/>
  <c r="X1395" i="2"/>
  <c r="Y1395" i="2"/>
  <c r="Z1395" i="2"/>
  <c r="X1396" i="2"/>
  <c r="Y1396" i="2"/>
  <c r="Z1396" i="2"/>
  <c r="X1397" i="2"/>
  <c r="Y1397" i="2"/>
  <c r="Z1397" i="2"/>
  <c r="X1398" i="2"/>
  <c r="Y1398" i="2"/>
  <c r="Z1398" i="2"/>
  <c r="X1399" i="2"/>
  <c r="Y1399" i="2"/>
  <c r="Z1399" i="2"/>
  <c r="X1400" i="2"/>
  <c r="Y1400" i="2"/>
  <c r="Z1400" i="2"/>
  <c r="X1401" i="2"/>
  <c r="Y1401" i="2"/>
  <c r="Z1401" i="2"/>
  <c r="X1402" i="2"/>
  <c r="Y1402" i="2"/>
  <c r="Z1402" i="2"/>
  <c r="X1403" i="2"/>
  <c r="Y1403" i="2"/>
  <c r="Z1403" i="2"/>
  <c r="X1404" i="2"/>
  <c r="Y1404" i="2"/>
  <c r="Z1404" i="2"/>
  <c r="X1405" i="2"/>
  <c r="Y1405" i="2"/>
  <c r="Z1405" i="2"/>
  <c r="X1406" i="2"/>
  <c r="Y1406" i="2"/>
  <c r="Z1406" i="2"/>
  <c r="X1407" i="2"/>
  <c r="Y1407" i="2"/>
  <c r="Z1407" i="2"/>
  <c r="X1408" i="2"/>
  <c r="Y1408" i="2"/>
  <c r="Z1408" i="2"/>
  <c r="X1409" i="2"/>
  <c r="Y1409" i="2"/>
  <c r="Z1409" i="2"/>
  <c r="X1410" i="2"/>
  <c r="Y1410" i="2"/>
  <c r="Z1410" i="2"/>
  <c r="X1411" i="2"/>
  <c r="Y1411" i="2"/>
  <c r="Z1411" i="2"/>
  <c r="X1412" i="2"/>
  <c r="Y1412" i="2"/>
  <c r="Z1412" i="2"/>
  <c r="X1413" i="2"/>
  <c r="Y1413" i="2"/>
  <c r="Z1413" i="2"/>
  <c r="X1414" i="2"/>
  <c r="Y1414" i="2"/>
  <c r="Z1414" i="2"/>
  <c r="X1415" i="2"/>
  <c r="Y1415" i="2"/>
  <c r="Z1415" i="2"/>
  <c r="X1416" i="2"/>
  <c r="Y1416" i="2"/>
  <c r="Z1416" i="2"/>
  <c r="X1417" i="2"/>
  <c r="Y1417" i="2"/>
  <c r="Z1417" i="2"/>
  <c r="X1418" i="2"/>
  <c r="Y1418" i="2"/>
  <c r="Z1418" i="2"/>
  <c r="X1419" i="2"/>
  <c r="Y1419" i="2"/>
  <c r="Z1419" i="2"/>
  <c r="X1420" i="2"/>
  <c r="Y1420" i="2"/>
  <c r="Z1420" i="2"/>
  <c r="X1421" i="2"/>
  <c r="Y1421" i="2"/>
  <c r="Z1421" i="2"/>
  <c r="X1422" i="2"/>
  <c r="Y1422" i="2"/>
  <c r="Z1422" i="2"/>
  <c r="X1423" i="2"/>
  <c r="Y1423" i="2"/>
  <c r="Z1423" i="2"/>
  <c r="X1424" i="2"/>
  <c r="Y1424" i="2"/>
  <c r="Z1424" i="2"/>
  <c r="X1425" i="2"/>
  <c r="Y1425" i="2"/>
  <c r="Z1425" i="2"/>
  <c r="X1426" i="2"/>
  <c r="Y1426" i="2"/>
  <c r="Z1426" i="2"/>
  <c r="X1427" i="2"/>
  <c r="Y1427" i="2"/>
  <c r="Z1427" i="2"/>
  <c r="X1428" i="2"/>
  <c r="Y1428" i="2"/>
  <c r="Z1428" i="2"/>
  <c r="X1429" i="2"/>
  <c r="Y1429" i="2"/>
  <c r="Z1429" i="2"/>
  <c r="X1430" i="2"/>
  <c r="Y1430" i="2"/>
  <c r="Z1430" i="2"/>
  <c r="X1431" i="2"/>
  <c r="Y1431" i="2"/>
  <c r="Z1431" i="2"/>
  <c r="X1432" i="2"/>
  <c r="Y1432" i="2"/>
  <c r="Z1432" i="2"/>
  <c r="X1433" i="2"/>
  <c r="Y1433" i="2"/>
  <c r="Z1433" i="2"/>
  <c r="X1434" i="2"/>
  <c r="Y1434" i="2"/>
  <c r="Z1434" i="2"/>
  <c r="X1435" i="2"/>
  <c r="Y1435" i="2"/>
  <c r="Z1435" i="2"/>
  <c r="X1436" i="2"/>
  <c r="Y1436" i="2"/>
  <c r="Z1436" i="2"/>
  <c r="X1437" i="2"/>
  <c r="Y1437" i="2"/>
  <c r="Z1437" i="2"/>
  <c r="X1438" i="2"/>
  <c r="Y1438" i="2"/>
  <c r="Z1438" i="2"/>
  <c r="X1439" i="2"/>
  <c r="Y1439" i="2"/>
  <c r="Z1439" i="2"/>
  <c r="X1440" i="2"/>
  <c r="Y1440" i="2"/>
  <c r="Z1440" i="2"/>
  <c r="X1441" i="2"/>
  <c r="Y1441" i="2"/>
  <c r="Z1441" i="2"/>
  <c r="X1442" i="2"/>
  <c r="Y1442" i="2"/>
  <c r="Z1442" i="2"/>
  <c r="X1443" i="2"/>
  <c r="Y1443" i="2"/>
  <c r="Z1443" i="2"/>
  <c r="X1444" i="2"/>
  <c r="Y1444" i="2"/>
  <c r="Z1444" i="2"/>
  <c r="X1445" i="2"/>
  <c r="Y1445" i="2"/>
  <c r="Z1445" i="2"/>
  <c r="X1446" i="2"/>
  <c r="Y1446" i="2"/>
  <c r="Z1446" i="2"/>
  <c r="X1447" i="2"/>
  <c r="Y1447" i="2"/>
  <c r="Z1447" i="2"/>
  <c r="X1448" i="2"/>
  <c r="Y1448" i="2"/>
  <c r="Z1448" i="2"/>
  <c r="X1449" i="2"/>
  <c r="Y1449" i="2"/>
  <c r="Z1449" i="2"/>
  <c r="X1450" i="2"/>
  <c r="Y1450" i="2"/>
  <c r="Z1450" i="2"/>
  <c r="X1451" i="2"/>
  <c r="Y1451" i="2"/>
  <c r="Z1451" i="2"/>
  <c r="X1452" i="2"/>
  <c r="Y1452" i="2"/>
  <c r="Z1452" i="2"/>
  <c r="X1453" i="2"/>
  <c r="Y1453" i="2"/>
  <c r="Z1453" i="2"/>
  <c r="X1454" i="2"/>
  <c r="Y1454" i="2"/>
  <c r="Z1454" i="2"/>
  <c r="X1455" i="2"/>
  <c r="Y1455" i="2"/>
  <c r="Z1455" i="2"/>
  <c r="X1456" i="2"/>
  <c r="Y1456" i="2"/>
  <c r="Z1456" i="2"/>
  <c r="X1457" i="2"/>
  <c r="Y1457" i="2"/>
  <c r="Z1457" i="2"/>
  <c r="X1458" i="2"/>
  <c r="Y1458" i="2"/>
  <c r="Z1458" i="2"/>
  <c r="X1459" i="2"/>
  <c r="Y1459" i="2"/>
  <c r="Z1459" i="2"/>
  <c r="X1460" i="2"/>
  <c r="Y1460" i="2"/>
  <c r="Z1460" i="2"/>
  <c r="X1461" i="2"/>
  <c r="Y1461" i="2"/>
  <c r="Z1461" i="2"/>
  <c r="X1462" i="2"/>
  <c r="Y1462" i="2"/>
  <c r="Z1462" i="2"/>
  <c r="X1463" i="2"/>
  <c r="Y1463" i="2"/>
  <c r="Z1463" i="2"/>
  <c r="X1464" i="2"/>
  <c r="Y1464" i="2"/>
  <c r="Z1464" i="2"/>
  <c r="X1465" i="2"/>
  <c r="Y1465" i="2"/>
  <c r="Z1465" i="2"/>
  <c r="X1466" i="2"/>
  <c r="Y1466" i="2"/>
  <c r="Z1466" i="2"/>
  <c r="X1467" i="2"/>
  <c r="Y1467" i="2"/>
  <c r="Z1467" i="2"/>
  <c r="X1468" i="2"/>
  <c r="Y1468" i="2"/>
  <c r="Z1468" i="2"/>
  <c r="X1469" i="2"/>
  <c r="Y1469" i="2"/>
  <c r="Z1469" i="2"/>
  <c r="X1470" i="2"/>
  <c r="Y1470" i="2"/>
  <c r="Z1470" i="2"/>
  <c r="X1471" i="2"/>
  <c r="Y1471" i="2"/>
  <c r="Z1471" i="2"/>
  <c r="X1472" i="2"/>
  <c r="Y1472" i="2"/>
  <c r="Z1472" i="2"/>
  <c r="X1473" i="2"/>
  <c r="Y1473" i="2"/>
  <c r="Z1473" i="2"/>
  <c r="X1474" i="2"/>
  <c r="Y1474" i="2"/>
  <c r="Z1474" i="2"/>
  <c r="X1475" i="2"/>
  <c r="Y1475" i="2"/>
  <c r="Z1475" i="2"/>
  <c r="X1476" i="2"/>
  <c r="Y1476" i="2"/>
  <c r="Z1476" i="2"/>
  <c r="X1477" i="2"/>
  <c r="Y1477" i="2"/>
  <c r="Z1477" i="2"/>
  <c r="X1478" i="2"/>
  <c r="Y1478" i="2"/>
  <c r="Z1478" i="2"/>
  <c r="X1479" i="2"/>
  <c r="Y1479" i="2"/>
  <c r="Z1479" i="2"/>
  <c r="X1480" i="2"/>
  <c r="Y1480" i="2"/>
  <c r="Z1480" i="2"/>
  <c r="X1481" i="2"/>
  <c r="Y1481" i="2"/>
  <c r="Z1481" i="2"/>
  <c r="X1482" i="2"/>
  <c r="Y1482" i="2"/>
  <c r="Z1482" i="2"/>
  <c r="X1483" i="2"/>
  <c r="Y1483" i="2"/>
  <c r="Z1483" i="2"/>
  <c r="X1484" i="2"/>
  <c r="Y1484" i="2"/>
  <c r="Z1484" i="2"/>
  <c r="X1485" i="2"/>
  <c r="Y1485" i="2"/>
  <c r="Z1485" i="2"/>
  <c r="X1486" i="2"/>
  <c r="Y1486" i="2"/>
  <c r="Z1486" i="2"/>
  <c r="X1487" i="2"/>
  <c r="Y1487" i="2"/>
  <c r="Z1487" i="2"/>
  <c r="X1488" i="2"/>
  <c r="Y1488" i="2"/>
  <c r="Z1488" i="2"/>
  <c r="X1489" i="2"/>
  <c r="Y1489" i="2"/>
  <c r="Z1489" i="2"/>
  <c r="X1490" i="2"/>
  <c r="Y1490" i="2"/>
  <c r="Z1490" i="2"/>
  <c r="X1491" i="2"/>
  <c r="Y1491" i="2"/>
  <c r="Z1491" i="2"/>
  <c r="X1492" i="2"/>
  <c r="Y1492" i="2"/>
  <c r="Z1492" i="2"/>
  <c r="X1493" i="2"/>
  <c r="Y1493" i="2"/>
  <c r="Z1493" i="2"/>
  <c r="X1494" i="2"/>
  <c r="Y1494" i="2"/>
  <c r="Z1494" i="2"/>
  <c r="X1495" i="2"/>
  <c r="Y1495" i="2"/>
  <c r="Z1495" i="2"/>
  <c r="X1496" i="2"/>
  <c r="Y1496" i="2"/>
  <c r="Z1496" i="2"/>
  <c r="X1497" i="2"/>
  <c r="Y1497" i="2"/>
  <c r="Z1497" i="2"/>
  <c r="X1498" i="2"/>
  <c r="Y1498" i="2"/>
  <c r="Z1498" i="2"/>
  <c r="X1499" i="2"/>
  <c r="Y1499" i="2"/>
  <c r="Z1499" i="2"/>
  <c r="X1500" i="2"/>
  <c r="Y1500" i="2"/>
  <c r="Z1500" i="2"/>
  <c r="X1501" i="2"/>
  <c r="Y1501" i="2"/>
  <c r="Z1501" i="2"/>
  <c r="X1502" i="2"/>
  <c r="Y1502" i="2"/>
  <c r="Z1502" i="2"/>
  <c r="X1503" i="2"/>
  <c r="Y1503" i="2"/>
  <c r="Z1503" i="2"/>
  <c r="X1504" i="2"/>
  <c r="Y1504" i="2"/>
  <c r="Z1504" i="2"/>
  <c r="X1505" i="2"/>
  <c r="Y1505" i="2"/>
  <c r="Z1505" i="2"/>
  <c r="X1506" i="2"/>
  <c r="Y1506" i="2"/>
  <c r="Z1506" i="2"/>
  <c r="X1507" i="2"/>
  <c r="Y1507" i="2"/>
  <c r="Z1507" i="2"/>
  <c r="X1508" i="2"/>
  <c r="Y1508" i="2"/>
  <c r="Z1508" i="2"/>
  <c r="X1509" i="2"/>
  <c r="Y1509" i="2"/>
  <c r="Z1509" i="2"/>
  <c r="X1510" i="2"/>
  <c r="Y1510" i="2"/>
  <c r="Z1510" i="2"/>
  <c r="X1511" i="2"/>
  <c r="Y1511" i="2"/>
  <c r="Z1511" i="2"/>
  <c r="X1512" i="2"/>
  <c r="Y1512" i="2"/>
  <c r="Z1512" i="2"/>
  <c r="X1513" i="2"/>
  <c r="Y1513" i="2"/>
  <c r="Z1513" i="2"/>
  <c r="X1514" i="2"/>
  <c r="Y1514" i="2"/>
  <c r="Z1514" i="2"/>
  <c r="X1515" i="2"/>
  <c r="Y1515" i="2"/>
  <c r="Z1515" i="2"/>
  <c r="X1516" i="2"/>
  <c r="Y1516" i="2"/>
  <c r="Z1516" i="2"/>
  <c r="X1517" i="2"/>
  <c r="Y1517" i="2"/>
  <c r="Z1517" i="2"/>
  <c r="X1518" i="2"/>
  <c r="Y1518" i="2"/>
  <c r="Z1518" i="2"/>
  <c r="X1519" i="2"/>
  <c r="Y1519" i="2"/>
  <c r="Z1519" i="2"/>
  <c r="X1520" i="2"/>
  <c r="Y1520" i="2"/>
  <c r="Z1520" i="2"/>
  <c r="X1521" i="2"/>
  <c r="Y1521" i="2"/>
  <c r="Z1521" i="2"/>
  <c r="X1522" i="2"/>
  <c r="Y1522" i="2"/>
  <c r="Z1522" i="2"/>
  <c r="X1523" i="2"/>
  <c r="Y1523" i="2"/>
  <c r="Z1523" i="2"/>
  <c r="X1524" i="2"/>
  <c r="Y1524" i="2"/>
  <c r="Z1524" i="2"/>
  <c r="X1525" i="2"/>
  <c r="Y1525" i="2"/>
  <c r="Z1525" i="2"/>
  <c r="X1526" i="2"/>
  <c r="Y1526" i="2"/>
  <c r="Z1526" i="2"/>
  <c r="X1527" i="2"/>
  <c r="Y1527" i="2"/>
  <c r="Z1527" i="2"/>
  <c r="X1528" i="2"/>
  <c r="Y1528" i="2"/>
  <c r="Z1528" i="2"/>
  <c r="X1529" i="2"/>
  <c r="Y1529" i="2"/>
  <c r="Z1529" i="2"/>
  <c r="X1530" i="2"/>
  <c r="Y1530" i="2"/>
  <c r="Z1530" i="2"/>
  <c r="X1531" i="2"/>
  <c r="Y1531" i="2"/>
  <c r="Z1531" i="2"/>
  <c r="X1532" i="2"/>
  <c r="Y1532" i="2"/>
  <c r="Z1532" i="2"/>
  <c r="X1533" i="2"/>
  <c r="Y1533" i="2"/>
  <c r="Z1533" i="2"/>
  <c r="X1534" i="2"/>
  <c r="Y1534" i="2"/>
  <c r="Z1534" i="2"/>
  <c r="X1535" i="2"/>
  <c r="Y1535" i="2"/>
  <c r="Z1535" i="2"/>
  <c r="X1536" i="2"/>
  <c r="Y1536" i="2"/>
  <c r="Z1536" i="2"/>
  <c r="X1537" i="2"/>
  <c r="Y1537" i="2"/>
  <c r="Z1537" i="2"/>
  <c r="X1538" i="2"/>
  <c r="Y1538" i="2"/>
  <c r="Z1538" i="2"/>
  <c r="X1539" i="2"/>
  <c r="Y1539" i="2"/>
  <c r="Z1539" i="2"/>
  <c r="X1540" i="2"/>
  <c r="Y1540" i="2"/>
  <c r="Z1540" i="2"/>
  <c r="X1541" i="2"/>
  <c r="Y1541" i="2"/>
  <c r="Z1541" i="2"/>
  <c r="X1542" i="2"/>
  <c r="Y1542" i="2"/>
  <c r="Z1542" i="2"/>
  <c r="X1543" i="2"/>
  <c r="Y1543" i="2"/>
  <c r="Z1543" i="2"/>
  <c r="X1544" i="2"/>
  <c r="Y1544" i="2"/>
  <c r="Z1544" i="2"/>
  <c r="X1545" i="2"/>
  <c r="Y1545" i="2"/>
  <c r="Z1545" i="2"/>
  <c r="X1546" i="2"/>
  <c r="Y1546" i="2"/>
  <c r="Z1546" i="2"/>
  <c r="X1547" i="2"/>
  <c r="Y1547" i="2"/>
  <c r="Z1547" i="2"/>
  <c r="X1548" i="2"/>
  <c r="Y1548" i="2"/>
  <c r="Z1548" i="2"/>
  <c r="X1549" i="2"/>
  <c r="Y1549" i="2"/>
  <c r="Z1549" i="2"/>
  <c r="X1550" i="2"/>
  <c r="Y1550" i="2"/>
  <c r="Z1550" i="2"/>
  <c r="X1551" i="2"/>
  <c r="Y1551" i="2"/>
  <c r="Z1551" i="2"/>
  <c r="X1552" i="2"/>
  <c r="Y1552" i="2"/>
  <c r="Z1552" i="2"/>
  <c r="X1553" i="2"/>
  <c r="Y1553" i="2"/>
  <c r="Z1553" i="2"/>
  <c r="X1554" i="2"/>
  <c r="Y1554" i="2"/>
  <c r="Z1554" i="2"/>
  <c r="X1555" i="2"/>
  <c r="Y1555" i="2"/>
  <c r="Z1555" i="2"/>
  <c r="X1556" i="2"/>
  <c r="Y1556" i="2"/>
  <c r="Z1556" i="2"/>
  <c r="X1557" i="2"/>
  <c r="Y1557" i="2"/>
  <c r="Z1557" i="2"/>
  <c r="X1558" i="2"/>
  <c r="Y1558" i="2"/>
  <c r="Z1558" i="2"/>
  <c r="X1559" i="2"/>
  <c r="Y1559" i="2"/>
  <c r="Z1559" i="2"/>
  <c r="X1560" i="2"/>
  <c r="Y1560" i="2"/>
  <c r="Z1560" i="2"/>
  <c r="X1561" i="2"/>
  <c r="Y1561" i="2"/>
  <c r="Z1561" i="2"/>
  <c r="X1562" i="2"/>
  <c r="Y1562" i="2"/>
  <c r="Z1562" i="2"/>
  <c r="X1563" i="2"/>
  <c r="Y1563" i="2"/>
  <c r="Z1563" i="2"/>
  <c r="X1564" i="2"/>
  <c r="Y1564" i="2"/>
  <c r="Z1564" i="2"/>
  <c r="X1565" i="2"/>
  <c r="Y1565" i="2"/>
  <c r="Z1565" i="2"/>
  <c r="X1566" i="2"/>
  <c r="Y1566" i="2"/>
  <c r="Z1566" i="2"/>
  <c r="X1567" i="2"/>
  <c r="Y1567" i="2"/>
  <c r="Z1567" i="2"/>
  <c r="X1568" i="2"/>
  <c r="Y1568" i="2"/>
  <c r="Z1568" i="2"/>
  <c r="X1569" i="2"/>
  <c r="Y1569" i="2"/>
  <c r="Z1569" i="2"/>
  <c r="X1570" i="2"/>
  <c r="Y1570" i="2"/>
  <c r="Z1570" i="2"/>
  <c r="X1571" i="2"/>
  <c r="Y1571" i="2"/>
  <c r="Z1571" i="2"/>
  <c r="X1572" i="2"/>
  <c r="Y1572" i="2"/>
  <c r="Z1572" i="2"/>
  <c r="X1573" i="2"/>
  <c r="Y1573" i="2"/>
  <c r="Z1573" i="2"/>
  <c r="X1574" i="2"/>
  <c r="Y1574" i="2"/>
  <c r="Z1574" i="2"/>
  <c r="X1575" i="2"/>
  <c r="Y1575" i="2"/>
  <c r="Z1575" i="2"/>
  <c r="X1576" i="2"/>
  <c r="Y1576" i="2"/>
  <c r="Z1576" i="2"/>
  <c r="X1577" i="2"/>
  <c r="Y1577" i="2"/>
  <c r="Z1577" i="2"/>
  <c r="X1578" i="2"/>
  <c r="Y1578" i="2"/>
  <c r="Z1578" i="2"/>
  <c r="X1579" i="2"/>
  <c r="Y1579" i="2"/>
  <c r="Z1579" i="2"/>
  <c r="X1580" i="2"/>
  <c r="Y1580" i="2"/>
  <c r="Z1580" i="2"/>
  <c r="X1581" i="2"/>
  <c r="Y1581" i="2"/>
  <c r="Z1581" i="2"/>
  <c r="X1582" i="2"/>
  <c r="Y1582" i="2"/>
  <c r="Z1582" i="2"/>
  <c r="X1583" i="2"/>
  <c r="Y1583" i="2"/>
  <c r="Z1583" i="2"/>
  <c r="X1584" i="2"/>
  <c r="Y1584" i="2"/>
  <c r="Z1584" i="2"/>
  <c r="X1585" i="2"/>
  <c r="Y1585" i="2"/>
  <c r="Z1585" i="2"/>
  <c r="X1586" i="2"/>
  <c r="Y1586" i="2"/>
  <c r="Z1586" i="2"/>
  <c r="X1587" i="2"/>
  <c r="Y1587" i="2"/>
  <c r="Z1587" i="2"/>
  <c r="X1588" i="2"/>
  <c r="Y1588" i="2"/>
  <c r="Z1588" i="2"/>
  <c r="X1589" i="2"/>
  <c r="Y1589" i="2"/>
  <c r="Z1589" i="2"/>
  <c r="X1590" i="2"/>
  <c r="Y1590" i="2"/>
  <c r="Z1590" i="2"/>
  <c r="X1591" i="2"/>
  <c r="Y1591" i="2"/>
  <c r="Z1591" i="2"/>
  <c r="X1592" i="2"/>
  <c r="Y1592" i="2"/>
  <c r="Z1592" i="2"/>
  <c r="X1593" i="2"/>
  <c r="Y1593" i="2"/>
  <c r="Z1593" i="2"/>
  <c r="X1594" i="2"/>
  <c r="Y1594" i="2"/>
  <c r="Z1594" i="2"/>
  <c r="X1595" i="2"/>
  <c r="Y1595" i="2"/>
  <c r="Z1595" i="2"/>
  <c r="X1596" i="2"/>
  <c r="Y1596" i="2"/>
  <c r="Z1596" i="2"/>
  <c r="X1597" i="2"/>
  <c r="Y1597" i="2"/>
  <c r="Z1597" i="2"/>
  <c r="X1598" i="2"/>
  <c r="Y1598" i="2"/>
  <c r="Z1598" i="2"/>
  <c r="X1599" i="2"/>
  <c r="Y1599" i="2"/>
  <c r="Z1599" i="2"/>
  <c r="X1600" i="2"/>
  <c r="Y1600" i="2"/>
  <c r="Z1600" i="2"/>
  <c r="X1601" i="2"/>
  <c r="Y1601" i="2"/>
  <c r="Z1601" i="2"/>
  <c r="X1602" i="2"/>
  <c r="Y1602" i="2"/>
  <c r="Z1602" i="2"/>
  <c r="X1603" i="2"/>
  <c r="Y1603" i="2"/>
  <c r="Z1603" i="2"/>
  <c r="X1604" i="2"/>
  <c r="Y1604" i="2"/>
  <c r="Z1604" i="2"/>
  <c r="X1605" i="2"/>
  <c r="Y1605" i="2"/>
  <c r="Z1605" i="2"/>
  <c r="X1606" i="2"/>
  <c r="Y1606" i="2"/>
  <c r="Z1606" i="2"/>
  <c r="X1607" i="2"/>
  <c r="Y1607" i="2"/>
  <c r="Z1607" i="2"/>
  <c r="X1608" i="2"/>
  <c r="Y1608" i="2"/>
  <c r="Z1608" i="2"/>
  <c r="X1609" i="2"/>
  <c r="Y1609" i="2"/>
  <c r="Z1609" i="2"/>
  <c r="X1610" i="2"/>
  <c r="Y1610" i="2"/>
  <c r="Z1610" i="2"/>
  <c r="X1611" i="2"/>
  <c r="Y1611" i="2"/>
  <c r="Z1611" i="2"/>
  <c r="X1612" i="2"/>
  <c r="Y1612" i="2"/>
  <c r="Z1612" i="2"/>
  <c r="X1613" i="2"/>
  <c r="Y1613" i="2"/>
  <c r="Z1613" i="2"/>
  <c r="X1614" i="2"/>
  <c r="Y1614" i="2"/>
  <c r="Z1614" i="2"/>
  <c r="X1615" i="2"/>
  <c r="Y1615" i="2"/>
  <c r="Z1615" i="2"/>
  <c r="X1616" i="2"/>
  <c r="Y1616" i="2"/>
  <c r="Z1616" i="2"/>
  <c r="X1617" i="2"/>
  <c r="Y1617" i="2"/>
  <c r="Z1617" i="2"/>
  <c r="X1618" i="2"/>
  <c r="Y1618" i="2"/>
  <c r="Z1618" i="2"/>
  <c r="X1619" i="2"/>
  <c r="Y1619" i="2"/>
  <c r="Z1619" i="2"/>
  <c r="X1620" i="2"/>
  <c r="Y1620" i="2"/>
  <c r="Z1620" i="2"/>
  <c r="X1621" i="2"/>
  <c r="Y1621" i="2"/>
  <c r="Z1621" i="2"/>
  <c r="X1622" i="2"/>
  <c r="Y1622" i="2"/>
  <c r="Z1622" i="2"/>
  <c r="X1623" i="2"/>
  <c r="Y1623" i="2"/>
  <c r="Z1623" i="2"/>
  <c r="X1624" i="2"/>
  <c r="Y1624" i="2"/>
  <c r="Z1624" i="2"/>
  <c r="X1625" i="2"/>
  <c r="Y1625" i="2"/>
  <c r="Z1625" i="2"/>
  <c r="X1626" i="2"/>
  <c r="Y1626" i="2"/>
  <c r="Z1626" i="2"/>
  <c r="X1627" i="2"/>
  <c r="Y1627" i="2"/>
  <c r="Z1627" i="2"/>
  <c r="X1628" i="2"/>
  <c r="Y1628" i="2"/>
  <c r="Z1628" i="2"/>
  <c r="X1629" i="2"/>
  <c r="Y1629" i="2"/>
  <c r="Z1629" i="2"/>
  <c r="X1630" i="2"/>
  <c r="Y1630" i="2"/>
  <c r="Z1630" i="2"/>
  <c r="X1631" i="2"/>
  <c r="Y1631" i="2"/>
  <c r="Z1631" i="2"/>
  <c r="X1632" i="2"/>
  <c r="Y1632" i="2"/>
  <c r="Z1632" i="2"/>
  <c r="X1633" i="2"/>
  <c r="Y1633" i="2"/>
  <c r="Z1633" i="2"/>
  <c r="X1634" i="2"/>
  <c r="Y1634" i="2"/>
  <c r="Z1634" i="2"/>
  <c r="X1635" i="2"/>
  <c r="Y1635" i="2"/>
  <c r="Z1635" i="2"/>
  <c r="X1636" i="2"/>
  <c r="Y1636" i="2"/>
  <c r="Z1636" i="2"/>
  <c r="X1637" i="2"/>
  <c r="Y1637" i="2"/>
  <c r="Z1637" i="2"/>
  <c r="X1638" i="2"/>
  <c r="Y1638" i="2"/>
  <c r="Z1638" i="2"/>
  <c r="X1639" i="2"/>
  <c r="Y1639" i="2"/>
  <c r="Z1639" i="2"/>
  <c r="X1640" i="2"/>
  <c r="Y1640" i="2"/>
  <c r="Z1640" i="2"/>
  <c r="X1641" i="2"/>
  <c r="Y1641" i="2"/>
  <c r="Z1641" i="2"/>
  <c r="X1642" i="2"/>
  <c r="Y1642" i="2"/>
  <c r="Z1642" i="2"/>
  <c r="X1643" i="2"/>
  <c r="Y1643" i="2"/>
  <c r="Z1643" i="2"/>
  <c r="X1644" i="2"/>
  <c r="Y1644" i="2"/>
  <c r="Z1644" i="2"/>
  <c r="X1645" i="2"/>
  <c r="Y1645" i="2"/>
  <c r="Z1645" i="2"/>
  <c r="X1646" i="2"/>
  <c r="Y1646" i="2"/>
  <c r="Z1646" i="2"/>
  <c r="X1647" i="2"/>
  <c r="Y1647" i="2"/>
  <c r="Z1647" i="2"/>
  <c r="X1648" i="2"/>
  <c r="Y1648" i="2"/>
  <c r="Z1648" i="2"/>
  <c r="X1649" i="2"/>
  <c r="Y1649" i="2"/>
  <c r="Z1649" i="2"/>
  <c r="X1650" i="2"/>
  <c r="Y1650" i="2"/>
  <c r="Z1650" i="2"/>
  <c r="X1651" i="2"/>
  <c r="Y1651" i="2"/>
  <c r="Z1651" i="2"/>
  <c r="X1652" i="2"/>
  <c r="Y1652" i="2"/>
  <c r="Z1652" i="2"/>
  <c r="X1653" i="2"/>
  <c r="Y1653" i="2"/>
  <c r="Z1653" i="2"/>
  <c r="X1654" i="2"/>
  <c r="Y1654" i="2"/>
  <c r="Z1654" i="2"/>
  <c r="X1655" i="2"/>
  <c r="Y1655" i="2"/>
  <c r="Z1655" i="2"/>
  <c r="X1656" i="2"/>
  <c r="Y1656" i="2"/>
  <c r="Z1656" i="2"/>
  <c r="X1657" i="2"/>
  <c r="Y1657" i="2"/>
  <c r="Z1657" i="2"/>
  <c r="X1658" i="2"/>
  <c r="Y1658" i="2"/>
  <c r="Z1658" i="2"/>
  <c r="X1659" i="2"/>
  <c r="Y1659" i="2"/>
  <c r="Z1659" i="2"/>
  <c r="X1660" i="2"/>
  <c r="Y1660" i="2"/>
  <c r="Z1660" i="2"/>
  <c r="X1661" i="2"/>
  <c r="Y1661" i="2"/>
  <c r="Z1661" i="2"/>
  <c r="X1662" i="2"/>
  <c r="Y1662" i="2"/>
  <c r="Z1662" i="2"/>
  <c r="W3" i="2"/>
  <c r="X3" i="2"/>
  <c r="Y3" i="2"/>
  <c r="Z3" i="2"/>
  <c r="W4" i="2"/>
  <c r="X4" i="2"/>
  <c r="Y4" i="2"/>
  <c r="Z4" i="2"/>
  <c r="W2" i="2"/>
  <c r="X2" i="2"/>
  <c r="Y2" i="2"/>
  <c r="Z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E1EA84-252D-485B-8EAF-3C3F299CA55C}" keepAlive="1" name="Zapytanie — Cancer doubles final2" description="Połączenie z zapytaniem „Cancer doubles final2” w skoroszycie." type="5" refreshedVersion="8" background="1" saveData="1">
    <dbPr connection="Provider=Microsoft.Mashup.OleDb.1;Data Source=$Workbook$;Location=&quot;Cancer doubles final2&quot;;Extended Properties=&quot;&quot;" command="SELECT * FROM [Cancer doubles final2]"/>
  </connection>
  <connection id="2" xr16:uid="{9E7322A9-CF2E-4E2B-B9F8-0606B416D1D4}" keepAlive="1" name="Zapytanie — Digits pres final" description="Połączenie z zapytaniem „Digits pres final” w skoroszycie." type="5" refreshedVersion="8" background="1" saveData="1">
    <dbPr connection="Provider=Microsoft.Mashup.OleDb.1;Data Source=$Workbook$;Location=&quot;Digits pres final&quot;;Extended Properties=&quot;&quot;" command="SELECT * FROM [Digits pres final]"/>
  </connection>
  <connection id="3" xr16:uid="{2D7D2870-7EC6-4D3E-A989-8C13ACCB9DEB}" keepAlive="1" name="Zapytanie — digits presorted" description="Połączenie z zapytaniem „digits presorted” w skoroszycie." type="5" refreshedVersion="8" background="1" saveData="1">
    <dbPr connection="Provider=Microsoft.Mashup.OleDb.1;Data Source=$Workbook$;Location=&quot;digits presorted&quot;;Extended Properties=&quot;&quot;" command="SELECT * FROM [digits presorted]"/>
  </connection>
  <connection id="4" xr16:uid="{D77B8A6D-E701-4E76-9E8A-6F8A5E911757}" keepAlive="1" name="Zapytanie — iris s final2" description="Połączenie z zapytaniem „iris s final2” w skoroszycie." type="5" refreshedVersion="8" background="1" saveData="1">
    <dbPr connection="Provider=Microsoft.Mashup.OleDb.1;Data Source=$Workbook$;Location=&quot;iris s final2&quot;;Extended Properties=&quot;&quot;" command="SELECT * FROM [iris s final2]"/>
  </connection>
  <connection id="5" xr16:uid="{A919157E-A1E4-4E6D-896A-9D4F67180174}" keepAlive="1" name="Zapytanie — mnist s final2" description="Połączenie z zapytaniem „mnist s final2” w skoroszycie." type="5" refreshedVersion="8" background="1" saveData="1">
    <dbPr connection="Provider=Microsoft.Mashup.OleDb.1;Data Source=$Workbook$;Location=&quot;mnist s final2&quot;;Extended Properties=&quot;&quot;" command="SELECT * FROM [mnist s final2]"/>
  </connection>
  <connection id="6" xr16:uid="{D086049C-0B85-4C36-B019-0FF7131B655F}" keepAlive="1" name="Zapytanie — Mnist_full_output" description="Połączenie z zapytaniem „Mnist_full_output” w skoroszycie." type="5" refreshedVersion="8" background="1" saveData="1">
    <dbPr connection="Provider=Microsoft.Mashup.OleDb.1;Data Source=$Workbook$;Location=Mnist_full_output;Extended Properties=&quot;&quot;" command="SELECT * FROM [Mnist_full_output]"/>
  </connection>
  <connection id="7" xr16:uid="{0C9A7BC4-D80C-4F0F-8E36-828EAB9EDE3F}" keepAlive="1" name="Zapytanie — Wine pres final" description="Połączenie z zapytaniem „Wine pres final” w skoroszycie." type="5" refreshedVersion="8" background="1" saveData="1">
    <dbPr connection="Provider=Microsoft.Mashup.OleDb.1;Data Source=$Workbook$;Location=&quot;Wine pres final&quot;;Extended Properties=&quot;&quot;" command="SELECT * FROM [Wine pres final]"/>
  </connection>
</connections>
</file>

<file path=xl/sharedStrings.xml><?xml version="1.0" encoding="utf-8"?>
<sst xmlns="http://schemas.openxmlformats.org/spreadsheetml/2006/main" count="10489" uniqueCount="3412">
  <si>
    <t>dataset_name</t>
  </si>
  <si>
    <t>kan_grid</t>
  </si>
  <si>
    <t>kan_degree</t>
  </si>
  <si>
    <t>kan_lam</t>
  </si>
  <si>
    <t>kan_width</t>
  </si>
  <si>
    <t>kan_params</t>
  </si>
  <si>
    <t>kan_time_difference</t>
  </si>
  <si>
    <t>kan_test_acc</t>
  </si>
  <si>
    <t>mlp_test_acc</t>
  </si>
  <si>
    <t>mlp_time_difference</t>
  </si>
  <si>
    <t>mlp_params</t>
  </si>
  <si>
    <t>mlp_no_layers</t>
  </si>
  <si>
    <t>mlp_width_layers</t>
  </si>
  <si>
    <t>mlp_test_acc2</t>
  </si>
  <si>
    <t>mlp2_time_difference</t>
  </si>
  <si>
    <t>mlp_params2</t>
  </si>
  <si>
    <t>no_layers2</t>
  </si>
  <si>
    <t>width_layers2</t>
  </si>
  <si>
    <t>Column1</t>
  </si>
  <si>
    <t>Cancer</t>
  </si>
  <si>
    <t>[30, 24, 2]</t>
  </si>
  <si>
    <t>320[30, 24, 2]6263</t>
  </si>
  <si>
    <t>[30, 22, 2]</t>
  </si>
  <si>
    <t>330[30, 22, 2]6667</t>
  </si>
  <si>
    <t>[30, 26, 2]</t>
  </si>
  <si>
    <t>320[30, 26, 2]6566</t>
  </si>
  <si>
    <t>330[30, 24, 2]7071</t>
  </si>
  <si>
    <t>340[30, 22, 2]7374</t>
  </si>
  <si>
    <t>520[30, 22, 2]6465</t>
  </si>
  <si>
    <t>[30, 28, 2]</t>
  </si>
  <si>
    <t>320[30, 28, 2]6869</t>
  </si>
  <si>
    <t>330[30, 26, 2]7374</t>
  </si>
  <si>
    <t>340[30, 24, 2]7778</t>
  </si>
  <si>
    <t>520[30, 24, 2]6768</t>
  </si>
  <si>
    <t>[30, 30, 2]</t>
  </si>
  <si>
    <t>320[30, 30, 2]7071</t>
  </si>
  <si>
    <t>350[30, 22, 2]7980</t>
  </si>
  <si>
    <t>530[30, 22, 2]7172</t>
  </si>
  <si>
    <t>330[30, 28, 2]7677</t>
  </si>
  <si>
    <t>[30, 32, 2]</t>
  </si>
  <si>
    <t>320[30, 32, 2]7374</t>
  </si>
  <si>
    <t>340[30, 26, 2]8081</t>
  </si>
  <si>
    <t>520[30, 26, 2]7071</t>
  </si>
  <si>
    <t>540[30, 22, 2]7778</t>
  </si>
  <si>
    <t>350[30, 24, 2]8384</t>
  </si>
  <si>
    <t>530[30, 24, 2]7475</t>
  </si>
  <si>
    <t>330[30, 30, 2]7980</t>
  </si>
  <si>
    <t>[30, 34, 2]</t>
  </si>
  <si>
    <t>320[30, 34, 2]7576</t>
  </si>
  <si>
    <t>340[30, 28, 2]8384</t>
  </si>
  <si>
    <t>520[30, 28, 2]7374</t>
  </si>
  <si>
    <t>550[30, 22, 2]8384</t>
  </si>
  <si>
    <t>350[30, 26, 2]8788</t>
  </si>
  <si>
    <t>530[30, 26, 2]7879</t>
  </si>
  <si>
    <t>540[30, 24, 2]8182</t>
  </si>
  <si>
    <t>330[30, 32, 2]8283</t>
  </si>
  <si>
    <t>[30, 36, 2]</t>
  </si>
  <si>
    <t>320[30, 36, 2]7879</t>
  </si>
  <si>
    <t>340[30, 30, 2]8788</t>
  </si>
  <si>
    <t>520[30, 30, 2]7677</t>
  </si>
  <si>
    <t>[30, 38, 2]</t>
  </si>
  <si>
    <t>320[30, 38, 2]8081</t>
  </si>
  <si>
    <t>330[30, 34, 2]8586</t>
  </si>
  <si>
    <t>920[30, 22, 2]7374</t>
  </si>
  <si>
    <t>350[30, 28, 2]9091</t>
  </si>
  <si>
    <t>530[30, 28, 2]8182</t>
  </si>
  <si>
    <t>550[30, 24, 2]8788</t>
  </si>
  <si>
    <t>540[30, 26, 2]8586</t>
  </si>
  <si>
    <t>340[30, 32, 2]9091</t>
  </si>
  <si>
    <t>520[30, 32, 2]7980</t>
  </si>
  <si>
    <t>[30, 40, 2]</t>
  </si>
  <si>
    <t>320[30, 40, 2]8283</t>
  </si>
  <si>
    <t>330[30, 36, 2]8788</t>
  </si>
  <si>
    <t>930[30, 22, 2]7980</t>
  </si>
  <si>
    <t>350[30, 30, 2]9495</t>
  </si>
  <si>
    <t>530[30, 30, 2]8485</t>
  </si>
  <si>
    <t>920[30, 24, 2]7778</t>
  </si>
  <si>
    <t>540[30, 28, 2]8889</t>
  </si>
  <si>
    <t>[30, 42, 2]</t>
  </si>
  <si>
    <t>320[30, 42, 2]8586</t>
  </si>
  <si>
    <t>550[30, 26, 2]9192</t>
  </si>
  <si>
    <t>340[30, 34, 2]9394</t>
  </si>
  <si>
    <t>520[30, 34, 2]8283</t>
  </si>
  <si>
    <t>330[30, 38, 2]9091</t>
  </si>
  <si>
    <t>940[30, 22, 2]8586</t>
  </si>
  <si>
    <t>350[30, 32, 2]9798</t>
  </si>
  <si>
    <t>530[30, 32, 2]8788</t>
  </si>
  <si>
    <t>[30, 44, 2]</t>
  </si>
  <si>
    <t>320[30, 44, 2]8788</t>
  </si>
  <si>
    <t>930[30, 24, 2]8384</t>
  </si>
  <si>
    <t>540[30, 30, 2]9293</t>
  </si>
  <si>
    <t>340[30, 36, 2]9697</t>
  </si>
  <si>
    <t>520[30, 36, 2]8485</t>
  </si>
  <si>
    <t>330[30, 40, 2]9293</t>
  </si>
  <si>
    <t>920[30, 26, 2]8081</t>
  </si>
  <si>
    <t>550[30, 28, 2]9596</t>
  </si>
  <si>
    <t>[30, 46, 2]</t>
  </si>
  <si>
    <t>320[30, 46, 2]8990</t>
  </si>
  <si>
    <t>950[30, 22, 2]9091</t>
  </si>
  <si>
    <t>350[30, 34, 2]101102</t>
  </si>
  <si>
    <t>530[30, 34, 2]9091</t>
  </si>
  <si>
    <t>330[30, 42, 2]9596</t>
  </si>
  <si>
    <t>340[30, 38, 2]99100</t>
  </si>
  <si>
    <t>520[30, 38, 2]8788</t>
  </si>
  <si>
    <t>940[30, 24, 2]8990</t>
  </si>
  <si>
    <t>540[30, 32, 2]9596</t>
  </si>
  <si>
    <t>[30, 48, 2]</t>
  </si>
  <si>
    <t>320[30, 48, 2]9192</t>
  </si>
  <si>
    <t>930[30, 26, 2]8788</t>
  </si>
  <si>
    <t>550[30, 30, 2]99100</t>
  </si>
  <si>
    <t>920[30, 28, 2]8384</t>
  </si>
  <si>
    <t>350[30, 36, 2]104105</t>
  </si>
  <si>
    <t>530[30, 36, 2]9394</t>
  </si>
  <si>
    <t>330[30, 44, 2]9798</t>
  </si>
  <si>
    <t>340[30, 40, 2]101102</t>
  </si>
  <si>
    <t>520[30, 40, 2]8990</t>
  </si>
  <si>
    <t>[30, 50, 2]</t>
  </si>
  <si>
    <t>320[30, 50, 2]9394</t>
  </si>
  <si>
    <t>950[30, 24, 2]9596</t>
  </si>
  <si>
    <t>540[30, 34, 2]9899</t>
  </si>
  <si>
    <t>330[30, 46, 2]100101</t>
  </si>
  <si>
    <t>940[30, 26, 2]9394</t>
  </si>
  <si>
    <t>550[30, 32, 2]102103</t>
  </si>
  <si>
    <t>[30, 52, 2]</t>
  </si>
  <si>
    <t>320[30, 52, 2]9596</t>
  </si>
  <si>
    <t>350[30, 38, 2]107108</t>
  </si>
  <si>
    <t>530[30, 38, 2]9697</t>
  </si>
  <si>
    <t>930[30, 28, 2]9091</t>
  </si>
  <si>
    <t>920[30, 30, 2]8788</t>
  </si>
  <si>
    <t>340[30, 42, 2]104105</t>
  </si>
  <si>
    <t>520[30, 42, 2]9293</t>
  </si>
  <si>
    <t>540[30, 36, 2]101102</t>
  </si>
  <si>
    <t>330[30, 48, 2]102103</t>
  </si>
  <si>
    <t>[30, 54, 2]</t>
  </si>
  <si>
    <t>320[30, 54, 2]9798</t>
  </si>
  <si>
    <t>350[30, 40, 2]110111</t>
  </si>
  <si>
    <t>530[30, 40, 2]99100</t>
  </si>
  <si>
    <t>340[30, 44, 2]107108</t>
  </si>
  <si>
    <t>520[30, 44, 2]9495</t>
  </si>
  <si>
    <t>950[30, 26, 2]99100</t>
  </si>
  <si>
    <t>550[30, 34, 2]105106</t>
  </si>
  <si>
    <t>940[30, 28, 2]9798</t>
  </si>
  <si>
    <t>920[30, 32, 2]9091</t>
  </si>
  <si>
    <t>[30, 56, 2]</t>
  </si>
  <si>
    <t>320[30, 56, 2]99100</t>
  </si>
  <si>
    <t>930[30, 30, 2]9495</t>
  </si>
  <si>
    <t>330[30, 50, 2]104105</t>
  </si>
  <si>
    <t>540[30, 38, 2]104105</t>
  </si>
  <si>
    <t>340[30, 46, 2]109110</t>
  </si>
  <si>
    <t>520[30, 46, 2]9697</t>
  </si>
  <si>
    <t>350[30, 42, 2]113114</t>
  </si>
  <si>
    <t>530[30, 42, 2]101102</t>
  </si>
  <si>
    <t>[30, 58, 2]</t>
  </si>
  <si>
    <t>320[30, 58, 2]101102</t>
  </si>
  <si>
    <t>[30, 30, 30, 2]</t>
  </si>
  <si>
    <t>320[30, 30, 30, 2]101102</t>
  </si>
  <si>
    <t>550[30, 36, 2]109110</t>
  </si>
  <si>
    <t>330[30, 52, 2]107108</t>
  </si>
  <si>
    <t>950[30, 28, 2]103104</t>
  </si>
  <si>
    <t>920[30, 34, 2]9394</t>
  </si>
  <si>
    <t>940[30, 30, 2]101102</t>
  </si>
  <si>
    <t>930[30, 32, 2]9798</t>
  </si>
  <si>
    <t>540[30, 40, 2]107108</t>
  </si>
  <si>
    <t>340[30, 48, 2]112113</t>
  </si>
  <si>
    <t>520[30, 48, 2]99100</t>
  </si>
  <si>
    <t>[30, 60, 2]</t>
  </si>
  <si>
    <t>320[30, 60, 2]103104</t>
  </si>
  <si>
    <t>[30, 30, 32, 2]</t>
  </si>
  <si>
    <t>320[30, 30, 32, 2]103104</t>
  </si>
  <si>
    <t>350[30, 44, 2]116117</t>
  </si>
  <si>
    <t>530[30, 44, 2]104105</t>
  </si>
  <si>
    <t>330[30, 54, 2]109110</t>
  </si>
  <si>
    <t>550[30, 38, 2]112113</t>
  </si>
  <si>
    <t>[30, 32, 30, 2]</t>
  </si>
  <si>
    <t>320[30, 32, 30, 2]105106</t>
  </si>
  <si>
    <t>[30, 62, 2]</t>
  </si>
  <si>
    <t>320[30, 62, 2]105106</t>
  </si>
  <si>
    <t>[30, 30, 34, 2]</t>
  </si>
  <si>
    <t>320[30, 30, 34, 2]105106</t>
  </si>
  <si>
    <t>340[30, 50, 2]114115</t>
  </si>
  <si>
    <t>520[30, 50, 2]101102</t>
  </si>
  <si>
    <t>920[30, 36, 2]9697</t>
  </si>
  <si>
    <t>540[30, 42, 2]110111</t>
  </si>
  <si>
    <t>330[30, 56, 2]111112</t>
  </si>
  <si>
    <t>350[30, 46, 2]118119</t>
  </si>
  <si>
    <t>530[30, 46, 2]106107</t>
  </si>
  <si>
    <t>950[30, 30, 2]107108</t>
  </si>
  <si>
    <t>930[30, 34, 2]101102</t>
  </si>
  <si>
    <t>940[30, 32, 2]104105</t>
  </si>
  <si>
    <t>[30, 32, 32, 2]</t>
  </si>
  <si>
    <t>320[30, 32, 32, 2]107108</t>
  </si>
  <si>
    <t>[30, 30, 36, 2]</t>
  </si>
  <si>
    <t>320[30, 30, 36, 2]107108</t>
  </si>
  <si>
    <t>550[30, 40, 2]115116</t>
  </si>
  <si>
    <t>340[30, 52, 2]117118</t>
  </si>
  <si>
    <t>520[30, 52, 2]103104</t>
  </si>
  <si>
    <t>330[30, 58, 2]113114</t>
  </si>
  <si>
    <t>330[30, 30, 30, 2]113114</t>
  </si>
  <si>
    <t>[30, 34, 30, 2]</t>
  </si>
  <si>
    <t>320[30, 34, 30, 2]108109</t>
  </si>
  <si>
    <t>540[30, 44, 2]113114</t>
  </si>
  <si>
    <t>350[30, 48, 2]121122</t>
  </si>
  <si>
    <t>530[30, 48, 2]109110</t>
  </si>
  <si>
    <t>[30, 32, 34, 2]</t>
  </si>
  <si>
    <t>320[30, 32, 34, 2]108109</t>
  </si>
  <si>
    <t>[30, 30, 38, 2]</t>
  </si>
  <si>
    <t>320[30, 30, 38, 2]108109</t>
  </si>
  <si>
    <t>920[30, 38, 2]99100</t>
  </si>
  <si>
    <t>930[30, 36, 2]104105</t>
  </si>
  <si>
    <t>340[30, 54, 2]119120</t>
  </si>
  <si>
    <t>520[30, 54, 2]105106</t>
  </si>
  <si>
    <t>330[30, 60, 2]115116</t>
  </si>
  <si>
    <t>330[30, 30, 32, 2]115116</t>
  </si>
  <si>
    <t>950[30, 32, 2]111112</t>
  </si>
  <si>
    <t>[30, 34, 32, 2]</t>
  </si>
  <si>
    <t>320[30, 34, 32, 2]110111</t>
  </si>
  <si>
    <t>940[30, 34, 2]108109</t>
  </si>
  <si>
    <t>[30, 30, 40, 2]</t>
  </si>
  <si>
    <t>320[30, 30, 40, 2]110111</t>
  </si>
  <si>
    <t>550[30, 42, 2]118119</t>
  </si>
  <si>
    <t>[30, 32, 36, 2]</t>
  </si>
  <si>
    <t>320[30, 32, 36, 2]110111</t>
  </si>
  <si>
    <t>350[30, 50, 2]124125</t>
  </si>
  <si>
    <t>530[30, 50, 2]111112</t>
  </si>
  <si>
    <t>540[30, 46, 2]115116</t>
  </si>
  <si>
    <t>[30, 36, 30, 2]</t>
  </si>
  <si>
    <t>320[30, 36, 30, 2]111112</t>
  </si>
  <si>
    <t>330[30, 32, 30, 2]117118</t>
  </si>
  <si>
    <t>330[30, 62, 2]117118</t>
  </si>
  <si>
    <t>330[30, 30, 34, 2]117118</t>
  </si>
  <si>
    <t>920[30, 40, 2]101102</t>
  </si>
  <si>
    <t>340[30, 56, 2]122123</t>
  </si>
  <si>
    <t>520[30, 56, 2]107108</t>
  </si>
  <si>
    <t>[30, 34, 34, 2]</t>
  </si>
  <si>
    <t>320[30, 34, 34, 2]112113</t>
  </si>
  <si>
    <t>[30, 30, 42, 2]</t>
  </si>
  <si>
    <t>320[30, 30, 42, 2]112113</t>
  </si>
  <si>
    <t>[30, 32, 38, 2]</t>
  </si>
  <si>
    <t>320[30, 32, 38, 2]112113</t>
  </si>
  <si>
    <t>930[30, 38, 2]107108</t>
  </si>
  <si>
    <t>550[30, 44, 2]121122</t>
  </si>
  <si>
    <t>350[30, 52, 2]126127</t>
  </si>
  <si>
    <t>530[30, 52, 2]114115</t>
  </si>
  <si>
    <t>[30, 36, 32, 2]</t>
  </si>
  <si>
    <t>320[30, 36, 32, 2]113114</t>
  </si>
  <si>
    <t>940[30, 36, 2]111112</t>
  </si>
  <si>
    <t>540[30, 48, 2]118119</t>
  </si>
  <si>
    <t>330[30, 32, 32, 2]119120</t>
  </si>
  <si>
    <t>950[30, 34, 2]115116</t>
  </si>
  <si>
    <t>330[30, 30, 36, 2]119120</t>
  </si>
  <si>
    <t>[30, 30, 44, 2]</t>
  </si>
  <si>
    <t>320[30, 30, 44, 2]114115</t>
  </si>
  <si>
    <t>[30, 34, 36, 2]</t>
  </si>
  <si>
    <t>320[30, 34, 36, 2]114115</t>
  </si>
  <si>
    <t>340[30, 58, 2]124125</t>
  </si>
  <si>
    <t>520[30, 58, 2]109110</t>
  </si>
  <si>
    <t>[30, 32, 40, 2]</t>
  </si>
  <si>
    <t>320[30, 32, 40, 2]114115</t>
  </si>
  <si>
    <t>340[30, 30, 30, 2]124125</t>
  </si>
  <si>
    <t>520[30, 30, 30, 2]109110</t>
  </si>
  <si>
    <t>[30, 38, 30, 2]</t>
  </si>
  <si>
    <t>320[30, 38, 30, 2]115116</t>
  </si>
  <si>
    <t>920[30, 42, 2]104105</t>
  </si>
  <si>
    <t>330[30, 34, 30, 2]121122</t>
  </si>
  <si>
    <t>[30, 36, 34, 2]</t>
  </si>
  <si>
    <t>320[30, 36, 34, 2]115116</t>
  </si>
  <si>
    <t>[30, 30, 46, 2]</t>
  </si>
  <si>
    <t>320[30, 30, 46, 2]115116</t>
  </si>
  <si>
    <t>350[30, 54, 2]129130</t>
  </si>
  <si>
    <t>530[30, 54, 2]116117</t>
  </si>
  <si>
    <t>330[30, 32, 34, 2]121122</t>
  </si>
  <si>
    <t>330[30, 30, 38, 2]121122</t>
  </si>
  <si>
    <t>[30, 34, 38, 2]</t>
  </si>
  <si>
    <t>320[30, 34, 38, 2]116117</t>
  </si>
  <si>
    <t>[30, 32, 42, 2]</t>
  </si>
  <si>
    <t>320[30, 32, 42, 2]116117</t>
  </si>
  <si>
    <t>550[30, 46, 2]124125</t>
  </si>
  <si>
    <t>930[30, 40, 2]110111</t>
  </si>
  <si>
    <t>540[30, 50, 2]121122</t>
  </si>
  <si>
    <t>340[30, 60, 2]126127</t>
  </si>
  <si>
    <t>520[30, 60, 2]111112</t>
  </si>
  <si>
    <t>340[30, 30, 32, 2]126127</t>
  </si>
  <si>
    <t>520[30, 30, 32, 2]111112</t>
  </si>
  <si>
    <t>[30, 38, 32, 2]</t>
  </si>
  <si>
    <t>320[30, 38, 32, 2]117118</t>
  </si>
  <si>
    <t>940[30, 38, 2]114115</t>
  </si>
  <si>
    <t>[30, 30, 48, 2]</t>
  </si>
  <si>
    <t>320[30, 30, 48, 2]117118</t>
  </si>
  <si>
    <t>330[30, 34, 32, 2]123124</t>
  </si>
  <si>
    <t>950[30, 36, 2]118119</t>
  </si>
  <si>
    <t>[30, 36, 36, 2]</t>
  </si>
  <si>
    <t>320[30, 36, 36, 2]117118</t>
  </si>
  <si>
    <t>330[30, 30, 40, 2]123124</t>
  </si>
  <si>
    <t>[30, 32, 44, 2]</t>
  </si>
  <si>
    <t>320[30, 32, 44, 2]118119</t>
  </si>
  <si>
    <t>330[30, 32, 36, 2]123124</t>
  </si>
  <si>
    <t>[30, 34, 40, 2]</t>
  </si>
  <si>
    <t>320[30, 34, 40, 2]118119</t>
  </si>
  <si>
    <t>920[30, 44, 2]107108</t>
  </si>
  <si>
    <t>350[30, 56, 2]132133</t>
  </si>
  <si>
    <t>530[30, 56, 2]118119</t>
  </si>
  <si>
    <t>340[30, 32, 30, 2]128129</t>
  </si>
  <si>
    <t>520[30, 32, 30, 2]113114</t>
  </si>
  <si>
    <t>340[30, 62, 2]128129</t>
  </si>
  <si>
    <t>520[30, 62, 2]113114</t>
  </si>
  <si>
    <t>340[30, 30, 34, 2]129130</t>
  </si>
  <si>
    <t>520[30, 30, 34, 2]113114</t>
  </si>
  <si>
    <t>550[30, 48, 2]127128</t>
  </si>
  <si>
    <t>540[30, 52, 2]123124</t>
  </si>
  <si>
    <t>330[30, 36, 30, 2]124125</t>
  </si>
  <si>
    <t>[30, 38, 34, 2]</t>
  </si>
  <si>
    <t>320[30, 38, 34, 2]119120</t>
  </si>
  <si>
    <t>[30, 30, 50, 2]</t>
  </si>
  <si>
    <t>320[30, 30, 50, 2]119120</t>
  </si>
  <si>
    <t>930[30, 42, 2]113114</t>
  </si>
  <si>
    <t>330[30, 34, 34, 2]125126</t>
  </si>
  <si>
    <t>[30, 36, 38, 2]</t>
  </si>
  <si>
    <t>320[30, 36, 38, 2]119120</t>
  </si>
  <si>
    <t>330[30, 30, 42, 2]125126</t>
  </si>
  <si>
    <t>[30, 32, 46, 2]</t>
  </si>
  <si>
    <t>320[30, 32, 46, 2]119120</t>
  </si>
  <si>
    <t>[30, 34, 42, 2]</t>
  </si>
  <si>
    <t>320[30, 34, 42, 2]119120</t>
  </si>
  <si>
    <t>330[30, 32, 38, 2]125126</t>
  </si>
  <si>
    <t>350[30, 58, 2]134135</t>
  </si>
  <si>
    <t>530[30, 58, 2]120121</t>
  </si>
  <si>
    <t>350[30, 30, 30, 2]134135</t>
  </si>
  <si>
    <t>530[30, 30, 30, 2]121122</t>
  </si>
  <si>
    <t>940[30, 40, 2]118119</t>
  </si>
  <si>
    <t>340[30, 32, 32, 2]131132</t>
  </si>
  <si>
    <t>520[30, 32, 32, 2]115116</t>
  </si>
  <si>
    <t>340[30, 30, 36, 2]131132</t>
  </si>
  <si>
    <t>520[30, 30, 36, 2]115116</t>
  </si>
  <si>
    <t>[30, 30, 52, 2]</t>
  </si>
  <si>
    <t>320[30, 30, 52, 2]120121</t>
  </si>
  <si>
    <t>920[30, 46, 2]109110</t>
  </si>
  <si>
    <t>950[30, 38, 2]122123</t>
  </si>
  <si>
    <t>[30, 38, 36, 2]</t>
  </si>
  <si>
    <t>320[30, 38, 36, 2]121122</t>
  </si>
  <si>
    <t>330[30, 36, 32, 2]127128</t>
  </si>
  <si>
    <t>540[30, 54, 2]126127</t>
  </si>
  <si>
    <t>[30, 32, 48, 2]</t>
  </si>
  <si>
    <t>320[30, 32, 48, 2]121122</t>
  </si>
  <si>
    <t>330[30, 30, 44, 2]127128</t>
  </si>
  <si>
    <t>550[30, 50, 2]130131</t>
  </si>
  <si>
    <t>[30, 36, 40, 2]</t>
  </si>
  <si>
    <t>320[30, 36, 40, 2]121122</t>
  </si>
  <si>
    <t>[30, 34, 44, 2]</t>
  </si>
  <si>
    <t>320[30, 34, 44, 2]121122</t>
  </si>
  <si>
    <t>330[30, 34, 36, 2]127128</t>
  </si>
  <si>
    <t>330[30, 32, 40, 2]127128</t>
  </si>
  <si>
    <t>340[30, 34, 30, 2]132133</t>
  </si>
  <si>
    <t>520[30, 34, 30, 2]117118</t>
  </si>
  <si>
    <t>[30, 30, 54, 2]</t>
  </si>
  <si>
    <t>320[30, 30, 54, 2]122123</t>
  </si>
  <si>
    <t>330[30, 38, 30, 2]128129</t>
  </si>
  <si>
    <t>930[30, 44, 2]116117</t>
  </si>
  <si>
    <t>350[30, 60, 2]136137</t>
  </si>
  <si>
    <t>530[30, 60, 2]123124</t>
  </si>
  <si>
    <t>340[30, 32, 34, 2]133134</t>
  </si>
  <si>
    <t>350[30, 30, 32, 2]137138</t>
  </si>
  <si>
    <t>520[30, 32, 34, 2]117118</t>
  </si>
  <si>
    <t>530[30, 30, 32, 2]123124</t>
  </si>
  <si>
    <t>340[30, 30, 38, 2]133134</t>
  </si>
  <si>
    <t>520[30, 30, 38, 2]117118</t>
  </si>
  <si>
    <t>[30, 38, 38, 2]</t>
  </si>
  <si>
    <t>320[30, 38, 38, 2]123124</t>
  </si>
  <si>
    <t>[30, 32, 50, 2]</t>
  </si>
  <si>
    <t>320[30, 32, 50, 2]123124</t>
  </si>
  <si>
    <t>330[30, 36, 34, 2]129130</t>
  </si>
  <si>
    <t>330[30, 30, 46, 2]129130</t>
  </si>
  <si>
    <t>[30, 36, 42, 2]</t>
  </si>
  <si>
    <t>320[30, 36, 42, 2]123124</t>
  </si>
  <si>
    <t>[30, 34, 46, 2]</t>
  </si>
  <si>
    <t>320[30, 34, 46, 2]123124</t>
  </si>
  <si>
    <t>940[30, 42, 2]121122</t>
  </si>
  <si>
    <t>920[30, 48, 2]112113</t>
  </si>
  <si>
    <t>540[30, 56, 2]128129</t>
  </si>
  <si>
    <t>330[30, 34, 38, 2]129130</t>
  </si>
  <si>
    <t>330[30, 32, 42, 2]129130</t>
  </si>
  <si>
    <t>[30, 30, 56, 2]</t>
  </si>
  <si>
    <t>320[30, 30, 56, 2]123124</t>
  </si>
  <si>
    <t>550[30, 52, 2]132133</t>
  </si>
  <si>
    <t>340[30, 34, 32, 2]135136</t>
  </si>
  <si>
    <t>520[30, 34, 32, 2]119120</t>
  </si>
  <si>
    <t>950[30, 40, 2]125126</t>
  </si>
  <si>
    <t>350[30, 32, 30, 2]139140</t>
  </si>
  <si>
    <t>530[30, 32, 30, 2]125126</t>
  </si>
  <si>
    <t>330[30, 38, 32, 2]130131</t>
  </si>
  <si>
    <t>340[30, 30, 40, 2]135136</t>
  </si>
  <si>
    <t>520[30, 30, 40, 2]119120</t>
  </si>
  <si>
    <t>350[30, 62, 2]139140</t>
  </si>
  <si>
    <t>530[30, 62, 2]125126</t>
  </si>
  <si>
    <t>[30, 32, 52, 2]</t>
  </si>
  <si>
    <t>320[30, 32, 52, 2]124125</t>
  </si>
  <si>
    <t>340[30, 32, 36, 2]135136</t>
  </si>
  <si>
    <t>520[30, 32, 36, 2]119120</t>
  </si>
  <si>
    <t>350[30, 30, 34, 2]139140</t>
  </si>
  <si>
    <t>530[30, 30, 34, 2]125126</t>
  </si>
  <si>
    <t>[30, 38, 40, 2]</t>
  </si>
  <si>
    <t>320[30, 38, 40, 2]125126</t>
  </si>
  <si>
    <t>330[30, 30, 48, 2]131132</t>
  </si>
  <si>
    <t>[30, 34, 48, 2]</t>
  </si>
  <si>
    <t>320[30, 34, 48, 2]125126</t>
  </si>
  <si>
    <t>[30, 36, 44, 2]</t>
  </si>
  <si>
    <t>320[30, 36, 44, 2]125126</t>
  </si>
  <si>
    <t>330[30, 36, 36, 2]131132</t>
  </si>
  <si>
    <t>930[30, 46, 2]118119</t>
  </si>
  <si>
    <t>[30, 30, 58, 2]</t>
  </si>
  <si>
    <t>320[30, 30, 58, 2]125126</t>
  </si>
  <si>
    <t>330[30, 32, 44, 2]131132</t>
  </si>
  <si>
    <t>330[30, 34, 40, 2]131132</t>
  </si>
  <si>
    <t>340[30, 36, 30, 2]136137</t>
  </si>
  <si>
    <t>520[30, 36, 30, 2]120121</t>
  </si>
  <si>
    <t>540[30, 58, 2]131132</t>
  </si>
  <si>
    <t>540[30, 30, 30, 2]131132</t>
  </si>
  <si>
    <t>920[30, 50, 2]114115</t>
  </si>
  <si>
    <t>[30, 32, 54, 2]</t>
  </si>
  <si>
    <t>320[30, 32, 54, 2]126127</t>
  </si>
  <si>
    <t>340[30, 34, 34, 2]137138</t>
  </si>
  <si>
    <t>520[30, 34, 34, 2]121122</t>
  </si>
  <si>
    <t>340[30, 30, 42, 2]137138</t>
  </si>
  <si>
    <t>520[30, 30, 42, 2]121122</t>
  </si>
  <si>
    <t>550[30, 54, 2]135136</t>
  </si>
  <si>
    <t>330[30, 38, 34, 2]133134</t>
  </si>
  <si>
    <t>940[30, 44, 2]124125</t>
  </si>
  <si>
    <t>330[30, 30, 50, 2]133134</t>
  </si>
  <si>
    <t>340[30, 32, 38, 2]137138</t>
  </si>
  <si>
    <t>520[30, 32, 38, 2]121122</t>
  </si>
  <si>
    <t>350[30, 32, 32, 2]141142</t>
  </si>
  <si>
    <t>530[30, 32, 32, 2]127128</t>
  </si>
  <si>
    <t>350[30, 30, 36, 2]141142</t>
  </si>
  <si>
    <t>530[30, 30, 36, 2]127128</t>
  </si>
  <si>
    <t>[30, 38, 42, 2]</t>
  </si>
  <si>
    <t>320[30, 38, 42, 2]127128</t>
  </si>
  <si>
    <t>[30, 34, 50, 2]</t>
  </si>
  <si>
    <t>320[30, 34, 50, 2]127128</t>
  </si>
  <si>
    <t>[30, 30, 60, 2]</t>
  </si>
  <si>
    <t>320[30, 30, 60, 2]127128</t>
  </si>
  <si>
    <t>[30, 36, 46, 2]</t>
  </si>
  <si>
    <t>320[30, 36, 46, 2]127128</t>
  </si>
  <si>
    <t>330[30, 36, 38, 2]133134</t>
  </si>
  <si>
    <t>330[30, 32, 46, 2]133134</t>
  </si>
  <si>
    <t>330[30, 34, 42, 2]133134</t>
  </si>
  <si>
    <t>950[30, 42, 2]128129</t>
  </si>
  <si>
    <t>[30, 32, 56, 2]</t>
  </si>
  <si>
    <t>320[30, 32, 56, 2]128129</t>
  </si>
  <si>
    <t>340[30, 36, 32, 2]139140</t>
  </si>
  <si>
    <t>520[30, 36, 32, 2]122123</t>
  </si>
  <si>
    <t>930[30, 48, 2]121122</t>
  </si>
  <si>
    <t>540[30, 60, 2]133134</t>
  </si>
  <si>
    <t>540[30, 30, 32, 2]133134</t>
  </si>
  <si>
    <t>340[30, 30, 44, 2]139140</t>
  </si>
  <si>
    <t>520[30, 30, 44, 2]123124</t>
  </si>
  <si>
    <t>330[30, 30, 52, 2]134135</t>
  </si>
  <si>
    <t>350[30, 34, 30, 2]143144</t>
  </si>
  <si>
    <t>530[30, 34, 30, 2]129130</t>
  </si>
  <si>
    <t>[30, 34, 52, 2]</t>
  </si>
  <si>
    <t>320[30, 34, 52, 2]128129</t>
  </si>
  <si>
    <t>340[30, 34, 36, 2]139140</t>
  </si>
  <si>
    <t>520[30, 34, 36, 2]123124</t>
  </si>
  <si>
    <t>340[30, 32, 40, 2]140141</t>
  </si>
  <si>
    <t>520[30, 32, 40, 2]123124</t>
  </si>
  <si>
    <t>[30, 38, 44, 2]</t>
  </si>
  <si>
    <t>320[30, 38, 44, 2]128129</t>
  </si>
  <si>
    <t>330[30, 38, 36, 2]135136</t>
  </si>
  <si>
    <t>[30, 36, 48, 2]</t>
  </si>
  <si>
    <t>320[30, 36, 48, 2]129130</t>
  </si>
  <si>
    <t>350[30, 32, 34, 2]144145</t>
  </si>
  <si>
    <t>530[30, 32, 34, 2]129130</t>
  </si>
  <si>
    <t>350[30, 30, 38, 2]144145</t>
  </si>
  <si>
    <t>530[30, 30, 38, 2]129130</t>
  </si>
  <si>
    <t>920[30, 52, 2]117118</t>
  </si>
  <si>
    <t>550[30, 56, 2]138139</t>
  </si>
  <si>
    <t>330[30, 32, 48, 2]135136</t>
  </si>
  <si>
    <t>340[30, 38, 30, 2]140141</t>
  </si>
  <si>
    <t>520[30, 38, 30, 2]124125</t>
  </si>
  <si>
    <t>330[30, 36, 40, 2]135136</t>
  </si>
  <si>
    <t>330[30, 34, 44, 2]135136</t>
  </si>
  <si>
    <t>[30, 32, 58, 2]</t>
  </si>
  <si>
    <t>320[30, 32, 58, 2]129130</t>
  </si>
  <si>
    <t>940[30, 46, 2]127128</t>
  </si>
  <si>
    <t>330[30, 30, 54, 2]136137</t>
  </si>
  <si>
    <t>340[30, 36, 34, 2]141142</t>
  </si>
  <si>
    <t>520[30, 36, 34, 2]125126</t>
  </si>
  <si>
    <t>340[30, 30, 46, 2]141142</t>
  </si>
  <si>
    <t>520[30, 30, 46, 2]125126</t>
  </si>
  <si>
    <t>[30, 34, 54, 2]</t>
  </si>
  <si>
    <t>320[30, 34, 54, 2]130131</t>
  </si>
  <si>
    <t>540[30, 32, 30, 2]135136</t>
  </si>
  <si>
    <t>540[30, 62, 2]135136</t>
  </si>
  <si>
    <t>540[30, 30, 34, 2]136137</t>
  </si>
  <si>
    <t>[30, 38, 46, 2]</t>
  </si>
  <si>
    <t>320[30, 38, 46, 2]130131</t>
  </si>
  <si>
    <t>[30, 36, 50, 2]</t>
  </si>
  <si>
    <t>320[30, 36, 50, 2]130131</t>
  </si>
  <si>
    <t>340[30, 34, 38, 2]142143</t>
  </si>
  <si>
    <t>520[30, 34, 38, 2]125126</t>
  </si>
  <si>
    <t>340[30, 32, 42, 2]142143</t>
  </si>
  <si>
    <t>520[30, 32, 42, 2]125126</t>
  </si>
  <si>
    <t>350[30, 34, 32, 2]146147</t>
  </si>
  <si>
    <t>530[30, 34, 32, 2]131132</t>
  </si>
  <si>
    <t>950[30, 44, 2]131132</t>
  </si>
  <si>
    <t>330[30, 38, 38, 2]137138</t>
  </si>
  <si>
    <t>330[30, 32, 50, 2]137138</t>
  </si>
  <si>
    <t>350[30, 30, 40, 2]146147</t>
  </si>
  <si>
    <t>530[30, 30, 40, 2]131132</t>
  </si>
  <si>
    <t>930[30, 50, 2]124125</t>
  </si>
  <si>
    <t>[30, 32, 60, 2]</t>
  </si>
  <si>
    <t>320[30, 32, 60, 2]131132</t>
  </si>
  <si>
    <t>350[30, 32, 36, 2]146147</t>
  </si>
  <si>
    <t>530[30, 32, 36, 2]131132</t>
  </si>
  <si>
    <t>330[30, 36, 42, 2]137138</t>
  </si>
  <si>
    <t>330[30, 34, 46, 2]137138</t>
  </si>
  <si>
    <t>550[30, 58, 2]140141</t>
  </si>
  <si>
    <t>550[30, 30, 30, 2]141142</t>
  </si>
  <si>
    <t>920[30, 54, 2]119120</t>
  </si>
  <si>
    <t>340[30, 38, 32, 2]143144</t>
  </si>
  <si>
    <t>520[30, 38, 32, 2]126127</t>
  </si>
  <si>
    <t>330[30, 30, 56, 2]138139</t>
  </si>
  <si>
    <t>[30, 34, 56, 2]</t>
  </si>
  <si>
    <t>320[30, 34, 56, 2]132133</t>
  </si>
  <si>
    <t>340[30, 30, 48, 2]143144</t>
  </si>
  <si>
    <t>520[30, 30, 48, 2]126127</t>
  </si>
  <si>
    <t>350[30, 36, 30, 2]147148</t>
  </si>
  <si>
    <t>530[30, 36, 30, 2]132133</t>
  </si>
  <si>
    <t>[30, 36, 52, 2]</t>
  </si>
  <si>
    <t>320[30, 36, 52, 2]132133</t>
  </si>
  <si>
    <t>340[30, 36, 36, 2]144145</t>
  </si>
  <si>
    <t>520[30, 36, 36, 2]127128</t>
  </si>
  <si>
    <t>[30, 38, 48, 2]</t>
  </si>
  <si>
    <t>320[30, 38, 48, 2]132133</t>
  </si>
  <si>
    <t>940[30, 48, 2]130131</t>
  </si>
  <si>
    <t>330[30, 32, 52, 2]139140</t>
  </si>
  <si>
    <t>340[30, 32, 44, 2]144145</t>
  </si>
  <si>
    <t>520[30, 32, 44, 2]127128</t>
  </si>
  <si>
    <t>540[30, 32, 32, 2]138139</t>
  </si>
  <si>
    <t>340[30, 34, 40, 2]144145</t>
  </si>
  <si>
    <t>520[30, 34, 40, 2]127128</t>
  </si>
  <si>
    <t>540[30, 30, 36, 2]138139</t>
  </si>
  <si>
    <t>330[30, 38, 40, 2]139140</t>
  </si>
  <si>
    <t>350[30, 34, 34, 2]148149</t>
  </si>
  <si>
    <t>530[30, 34, 34, 2]133134</t>
  </si>
  <si>
    <t>350[30, 30, 42, 2]148149</t>
  </si>
  <si>
    <t>530[30, 30, 42, 2]133134</t>
  </si>
  <si>
    <t>330[30, 34, 48, 2]139140</t>
  </si>
  <si>
    <t>350[30, 32, 38, 2]148149</t>
  </si>
  <si>
    <t>530[30, 32, 38, 2]134135</t>
  </si>
  <si>
    <t>330[30, 36, 44, 2]140141</t>
  </si>
  <si>
    <t>330[30, 30, 58, 2]140141</t>
  </si>
  <si>
    <t>[30, 34, 58, 2]</t>
  </si>
  <si>
    <t>320[30, 34, 58, 2]133134</t>
  </si>
  <si>
    <t>930[30, 52, 2]126127</t>
  </si>
  <si>
    <t>550[30, 60, 2]143144</t>
  </si>
  <si>
    <t>950[30, 46, 2]135136</t>
  </si>
  <si>
    <t>340[30, 38, 34, 2]145146</t>
  </si>
  <si>
    <t>520[30, 38, 34, 2]128129</t>
  </si>
  <si>
    <t>550[30, 30, 32, 2]143144</t>
  </si>
  <si>
    <t>340[30, 30, 50, 2]145146</t>
  </si>
  <si>
    <t>520[30, 30, 50, 2]128129</t>
  </si>
  <si>
    <t>920[30, 56, 2]122123</t>
  </si>
  <si>
    <t>[30, 36, 54, 2]</t>
  </si>
  <si>
    <t>320[30, 36, 54, 2]134135</t>
  </si>
  <si>
    <t>[30, 38, 50, 2]</t>
  </si>
  <si>
    <t>320[30, 38, 50, 2]134135</t>
  </si>
  <si>
    <t>330[30, 32, 54, 2]141142</t>
  </si>
  <si>
    <t>540[30, 34, 30, 2]140141</t>
  </si>
  <si>
    <t>340[30, 36, 38, 2]146147</t>
  </si>
  <si>
    <t>520[30, 36, 38, 2]129130</t>
  </si>
  <si>
    <t>340[30, 32, 46, 2]146147</t>
  </si>
  <si>
    <t>520[30, 32, 46, 2]129130</t>
  </si>
  <si>
    <t>350[30, 36, 32, 2]150151</t>
  </si>
  <si>
    <t>530[30, 36, 32, 2]135136</t>
  </si>
  <si>
    <t>340[30, 34, 42, 2]146147</t>
  </si>
  <si>
    <t>520[30, 34, 42, 2]129130</t>
  </si>
  <si>
    <t>540[30, 32, 34, 2]140141</t>
  </si>
  <si>
    <t>540[30, 30, 38, 2]140141</t>
  </si>
  <si>
    <t>330[30, 38, 42, 2]141142</t>
  </si>
  <si>
    <t>350[30, 30, 44, 2]150151</t>
  </si>
  <si>
    <t>530[30, 30, 44, 2]135136</t>
  </si>
  <si>
    <t>330[30, 34, 50, 2]141142</t>
  </si>
  <si>
    <t>330[30, 30, 60, 2]141142</t>
  </si>
  <si>
    <t>[30, 34, 60, 2]</t>
  </si>
  <si>
    <t>320[30, 34, 60, 2]135136</t>
  </si>
  <si>
    <t>330[30, 36, 46, 2]142143</t>
  </si>
  <si>
    <t>350[30, 34, 36, 2]151152</t>
  </si>
  <si>
    <t>530[30, 34, 36, 2]136137</t>
  </si>
  <si>
    <t>350[30, 32, 40, 2]151152</t>
  </si>
  <si>
    <t>530[30, 32, 40, 2]136137</t>
  </si>
  <si>
    <t>940[30, 50, 2]133134</t>
  </si>
  <si>
    <t>340[30, 30, 52, 2]147148</t>
  </si>
  <si>
    <t>520[30, 30, 52, 2]130131</t>
  </si>
  <si>
    <t>[30, 36, 56, 2]</t>
  </si>
  <si>
    <t>320[30, 36, 56, 2]136137</t>
  </si>
  <si>
    <t>550[30, 32, 30, 2]145146</t>
  </si>
  <si>
    <t>350[30, 38, 30, 2]152153</t>
  </si>
  <si>
    <t>530[30, 38, 30, 2]136137</t>
  </si>
  <si>
    <t>[30, 38, 52, 2]</t>
  </si>
  <si>
    <t>320[30, 38, 52, 2]136137</t>
  </si>
  <si>
    <t>550[30, 62, 2]145146</t>
  </si>
  <si>
    <t>330[30, 32, 56, 2]143144</t>
  </si>
  <si>
    <t>340[30, 38, 36, 2]148149</t>
  </si>
  <si>
    <t>520[30, 38, 36, 2]130131</t>
  </si>
  <si>
    <t>550[30, 30, 34, 2]146147</t>
  </si>
  <si>
    <t>930[30, 54, 2]129130</t>
  </si>
  <si>
    <t>340[30, 32, 48, 2]148149</t>
  </si>
  <si>
    <t>520[30, 32, 48, 2]131132</t>
  </si>
  <si>
    <t>920[30, 58, 2]124125</t>
  </si>
  <si>
    <t>340[30, 36, 40, 2]148149</t>
  </si>
  <si>
    <t>520[30, 36, 40, 2]131132</t>
  </si>
  <si>
    <t>920[30, 30, 30, 2]124125</t>
  </si>
  <si>
    <t>330[30, 34, 52, 2]143144</t>
  </si>
  <si>
    <t>340[30, 34, 44, 2]148149</t>
  </si>
  <si>
    <t>520[30, 34, 44, 2]131132</t>
  </si>
  <si>
    <t>540[30, 34, 32, 2]142143</t>
  </si>
  <si>
    <t>950[30, 48, 2]138139</t>
  </si>
  <si>
    <t>350[30, 36, 34, 2]153154</t>
  </si>
  <si>
    <t>530[30, 36, 34, 2]137138</t>
  </si>
  <si>
    <t>350[30, 30, 46, 2]153154</t>
  </si>
  <si>
    <t>530[30, 30, 46, 2]137138</t>
  </si>
  <si>
    <t>330[30, 38, 44, 2]143144</t>
  </si>
  <si>
    <t>330[30, 36, 48, 2]144145</t>
  </si>
  <si>
    <t>540[30, 30, 40, 2]142143</t>
  </si>
  <si>
    <t>540[30, 32, 36, 2]143144</t>
  </si>
  <si>
    <t>350[30, 34, 38, 2]153154</t>
  </si>
  <si>
    <t>530[30, 34, 38, 2]138139</t>
  </si>
  <si>
    <t>350[30, 32, 42, 2]153154</t>
  </si>
  <si>
    <t>530[30, 32, 42, 2]138139</t>
  </si>
  <si>
    <t>340[30, 30, 54, 2]149150</t>
  </si>
  <si>
    <t>520[30, 30, 54, 2]132133</t>
  </si>
  <si>
    <t>[30, 36, 58, 2]</t>
  </si>
  <si>
    <t>320[30, 36, 58, 2]137138</t>
  </si>
  <si>
    <t>330[30, 32, 58, 2]144145</t>
  </si>
  <si>
    <t>[30, 38, 54, 2]</t>
  </si>
  <si>
    <t>320[30, 38, 54, 2]138139</t>
  </si>
  <si>
    <t>340[30, 38, 38, 2]150151</t>
  </si>
  <si>
    <t>520[30, 38, 38, 2]132133</t>
  </si>
  <si>
    <t>940[30, 52, 2]135136</t>
  </si>
  <si>
    <t>340[30, 32, 50, 2]150151</t>
  </si>
  <si>
    <t>520[30, 32, 50, 2]132133</t>
  </si>
  <si>
    <t>550[30, 32, 32, 2]148149</t>
  </si>
  <si>
    <t>530[30, 38, 32, 2]139140</t>
  </si>
  <si>
    <t>350[30, 38, 32, 2]154155</t>
  </si>
  <si>
    <t>540[30, 36, 30, 2]144145</t>
  </si>
  <si>
    <t>550[30, 30, 36, 2]148149</t>
  </si>
  <si>
    <t>330[30, 34, 54, 2]145146</t>
  </si>
  <si>
    <t>340[30, 36, 42, 2]151152</t>
  </si>
  <si>
    <t>520[30, 36, 42, 2]133134</t>
  </si>
  <si>
    <t>340[30, 34, 46, 2]151152</t>
  </si>
  <si>
    <t>520[30, 34, 46, 2]133134</t>
  </si>
  <si>
    <t>350[30, 30, 48, 2]155156</t>
  </si>
  <si>
    <t>530[30, 30, 48, 2]139140</t>
  </si>
  <si>
    <t>330[30, 38, 46, 2]146147</t>
  </si>
  <si>
    <t>330[30, 36, 50, 2]146147</t>
  </si>
  <si>
    <t>930[30, 56, 2]132133</t>
  </si>
  <si>
    <t>920[30, 60, 2]126127</t>
  </si>
  <si>
    <t>[30, 36, 60, 2]</t>
  </si>
  <si>
    <t>320[30, 36, 60, 2]139140</t>
  </si>
  <si>
    <t>540[30, 34, 34, 2]145146</t>
  </si>
  <si>
    <t>920[30, 30, 32, 2]126127</t>
  </si>
  <si>
    <t>540[30, 30, 42, 2]145146</t>
  </si>
  <si>
    <t>350[30, 36, 36, 2]155156</t>
  </si>
  <si>
    <t>530[30, 36, 36, 2]140141</t>
  </si>
  <si>
    <t>340[30, 30, 56, 2]151152</t>
  </si>
  <si>
    <t>520[30, 30, 56, 2]133134</t>
  </si>
  <si>
    <t>330[30, 32, 60, 2]146147</t>
  </si>
  <si>
    <t>350[30, 32, 44, 2]155156</t>
  </si>
  <si>
    <t>530[30, 32, 44, 2]140141</t>
  </si>
  <si>
    <t>540[30, 32, 38, 2]145146</t>
  </si>
  <si>
    <t>[30, 38, 56, 2]</t>
  </si>
  <si>
    <t>320[30, 38, 56, 2]139140</t>
  </si>
  <si>
    <t>350[30, 34, 40, 2]156157</t>
  </si>
  <si>
    <t>530[30, 34, 40, 2]140141</t>
  </si>
  <si>
    <t>950[30, 50, 2]141142</t>
  </si>
  <si>
    <t>340[30, 32, 52, 2]152153</t>
  </si>
  <si>
    <t>520[30, 32, 52, 2]134135</t>
  </si>
  <si>
    <t>550[30, 34, 30, 2]150151</t>
  </si>
  <si>
    <t>330[30, 34, 56, 2]147148</t>
  </si>
  <si>
    <t>340[30, 38, 40, 2]152153</t>
  </si>
  <si>
    <t>520[30, 38, 40, 2]135136</t>
  </si>
  <si>
    <t>340[30, 34, 48, 2]153154</t>
  </si>
  <si>
    <t>520[30, 34, 48, 2]135136</t>
  </si>
  <si>
    <t>530[30, 38, 34, 2]141142</t>
  </si>
  <si>
    <t>350[30, 38, 34, 2]157158</t>
  </si>
  <si>
    <t>550[30, 32, 34, 2]150151</t>
  </si>
  <si>
    <t>550[30, 30, 38, 2]150151</t>
  </si>
  <si>
    <t>350[30, 30, 50, 2]157158</t>
  </si>
  <si>
    <t>530[30, 30, 50, 2]141142</t>
  </si>
  <si>
    <t>330[30, 36, 52, 2]147148</t>
  </si>
  <si>
    <t>340[30, 36, 44, 2]153154</t>
  </si>
  <si>
    <t>520[30, 36, 44, 2]135136</t>
  </si>
  <si>
    <t>540[30, 36, 32, 2]146147</t>
  </si>
  <si>
    <t>330[30, 38, 48, 2]148149</t>
  </si>
  <si>
    <t>340[30, 30, 58, 2]153154</t>
  </si>
  <si>
    <t>520[30, 30, 58, 2]135136</t>
  </si>
  <si>
    <t>940[30, 54, 2]138139</t>
  </si>
  <si>
    <t>540[30, 30, 44, 2]147148</t>
  </si>
  <si>
    <t>[30, 38, 58, 2]</t>
  </si>
  <si>
    <t>320[30, 38, 58, 2]141142</t>
  </si>
  <si>
    <t>920[30, 32, 30, 2]128129</t>
  </si>
  <si>
    <t>350[30, 36, 38, 2]158159</t>
  </si>
  <si>
    <t>530[30, 36, 38, 2]142143</t>
  </si>
  <si>
    <t>920[30, 62, 2]128129</t>
  </si>
  <si>
    <t>350[30, 32, 46, 2]158159</t>
  </si>
  <si>
    <t>530[30, 32, 46, 2]142143</t>
  </si>
  <si>
    <t>540[30, 34, 36, 2]147148</t>
  </si>
  <si>
    <t>920[30, 30, 34, 2]129130</t>
  </si>
  <si>
    <t>930[30, 58, 2]134135</t>
  </si>
  <si>
    <t>540[30, 32, 40, 2]147148</t>
  </si>
  <si>
    <t>350[30, 34, 42, 2]158159</t>
  </si>
  <si>
    <t>530[30, 34, 42, 2]142143</t>
  </si>
  <si>
    <t>930[30, 30, 30, 2]134135</t>
  </si>
  <si>
    <t>340[30, 32, 54, 2]154155</t>
  </si>
  <si>
    <t>520[30, 32, 54, 2]136137</t>
  </si>
  <si>
    <t>330[30, 34, 58, 2]149150</t>
  </si>
  <si>
    <t>540[30, 38, 30, 2]148149</t>
  </si>
  <si>
    <t>330[30, 36, 54, 2]149150</t>
  </si>
  <si>
    <t>340[30, 38, 42, 2]155156</t>
  </si>
  <si>
    <t>520[30, 38, 42, 2]137138</t>
  </si>
  <si>
    <t>340[30, 34, 50, 2]155156</t>
  </si>
  <si>
    <t>520[30, 34, 50, 2]137138</t>
  </si>
  <si>
    <t>350[30, 30, 52, 2]159160</t>
  </si>
  <si>
    <t>530[30, 30, 52, 2]143144</t>
  </si>
  <si>
    <t>340[30, 30, 60, 2]155156</t>
  </si>
  <si>
    <t>520[30, 30, 60, 2]137138</t>
  </si>
  <si>
    <t>550[30, 34, 32, 2]153154</t>
  </si>
  <si>
    <t>950[30, 52, 2]144145</t>
  </si>
  <si>
    <t>330[30, 38, 50, 2]150151</t>
  </si>
  <si>
    <t>340[30, 36, 46, 2]155156</t>
  </si>
  <si>
    <t>520[30, 36, 46, 2]137138</t>
  </si>
  <si>
    <t>550[30, 30, 40, 2]153154</t>
  </si>
  <si>
    <t>[30, 38, 60, 2]</t>
  </si>
  <si>
    <t>320[30, 38, 60, 2]143144</t>
  </si>
  <si>
    <t>530[30, 38, 36, 2]144145</t>
  </si>
  <si>
    <t>350[30, 38, 36, 2]160161</t>
  </si>
  <si>
    <t>550[30, 32, 36, 2]153154</t>
  </si>
  <si>
    <t>540[30, 36, 34, 2]149150</t>
  </si>
  <si>
    <t>540[30, 30, 46, 2]149150</t>
  </si>
  <si>
    <t>350[30, 32, 48, 2]160161</t>
  </si>
  <si>
    <t>530[30, 32, 48, 2]144145</t>
  </si>
  <si>
    <t>350[30, 36, 40, 2]160161</t>
  </si>
  <si>
    <t>530[30, 36, 40, 2]144145</t>
  </si>
  <si>
    <t>330[30, 34, 60, 2]151152</t>
  </si>
  <si>
    <t>350[30, 34, 44, 2]160161</t>
  </si>
  <si>
    <t>530[30, 34, 44, 2]144145</t>
  </si>
  <si>
    <t>540[30, 34, 38, 2]149150</t>
  </si>
  <si>
    <t>340[30, 32, 56, 2]156157</t>
  </si>
  <si>
    <t>520[30, 32, 56, 2]138139</t>
  </si>
  <si>
    <t>940[30, 56, 2]141142</t>
  </si>
  <si>
    <t>540[30, 32, 42, 2]149150</t>
  </si>
  <si>
    <t>920[30, 32, 32, 2]131132</t>
  </si>
  <si>
    <t>920[30, 30, 36, 2]131132</t>
  </si>
  <si>
    <t>930[30, 60, 2]136137</t>
  </si>
  <si>
    <t>930[30, 30, 32, 2]137138</t>
  </si>
  <si>
    <t>550[30, 36, 30, 2]154155</t>
  </si>
  <si>
    <t>330[30, 36, 56, 2]151152</t>
  </si>
  <si>
    <t>350[30, 30, 54, 2]161162</t>
  </si>
  <si>
    <t>530[30, 30, 54, 2]145146</t>
  </si>
  <si>
    <t>340[30, 34, 52, 2]157158</t>
  </si>
  <si>
    <t>520[30, 34, 52, 2]138139</t>
  </si>
  <si>
    <t>330[30, 38, 52, 2]152153</t>
  </si>
  <si>
    <t>340[30, 38, 44, 2]157158</t>
  </si>
  <si>
    <t>520[30, 38, 44, 2]139140</t>
  </si>
  <si>
    <t>540[30, 38, 32, 2]151152</t>
  </si>
  <si>
    <t>340[30, 36, 48, 2]157158</t>
  </si>
  <si>
    <t>520[30, 36, 48, 2]139140</t>
  </si>
  <si>
    <t>550[30, 34, 34, 2]155156</t>
  </si>
  <si>
    <t>550[30, 30, 42, 2]155156</t>
  </si>
  <si>
    <t>540[30, 30, 48, 2]151152</t>
  </si>
  <si>
    <t>530[30, 38, 38, 2]146147</t>
  </si>
  <si>
    <t>350[30, 38, 38, 2]162163</t>
  </si>
  <si>
    <t>350[30, 32, 50, 2]162163</t>
  </si>
  <si>
    <t>530[30, 32, 50, 2]146147</t>
  </si>
  <si>
    <t>550[30, 32, 38, 2]155156</t>
  </si>
  <si>
    <t>340[30, 32, 58, 2]158159</t>
  </si>
  <si>
    <t>520[30, 32, 58, 2]139140</t>
  </si>
  <si>
    <t>950[30, 54, 2]147148</t>
  </si>
  <si>
    <t>540[30, 36, 36, 2]151152</t>
  </si>
  <si>
    <t>920[30, 34, 30, 2]132133</t>
  </si>
  <si>
    <t>350[30, 36, 42, 2]163164</t>
  </si>
  <si>
    <t>530[30, 36, 42, 2]146147</t>
  </si>
  <si>
    <t>350[30, 34, 46, 2]163164</t>
  </si>
  <si>
    <t>530[30, 34, 46, 2]146147</t>
  </si>
  <si>
    <t>540[30, 32, 44, 2]152153</t>
  </si>
  <si>
    <t>540[30, 34, 40, 2]152153</t>
  </si>
  <si>
    <t>330[30, 36, 58, 2]153154</t>
  </si>
  <si>
    <t>920[30, 32, 34, 2]133134</t>
  </si>
  <si>
    <t>920[30, 30, 38, 2]133134</t>
  </si>
  <si>
    <t>350[30, 30, 56, 2]163164</t>
  </si>
  <si>
    <t>530[30, 30, 56, 2]147148</t>
  </si>
  <si>
    <t>340[30, 34, 54, 2]159160</t>
  </si>
  <si>
    <t>520[30, 34, 54, 2]140141</t>
  </si>
  <si>
    <t>940[30, 58, 2]143144</t>
  </si>
  <si>
    <t>930[30, 32, 30, 2]139140</t>
  </si>
  <si>
    <t>330[30, 38, 54, 2]154155</t>
  </si>
  <si>
    <t>940[30, 30, 30, 2]144145</t>
  </si>
  <si>
    <t>930[30, 62, 2]139140</t>
  </si>
  <si>
    <t>340[30, 38, 46, 2]159160</t>
  </si>
  <si>
    <t>520[30, 38, 46, 2]141142</t>
  </si>
  <si>
    <t>930[30, 30, 34, 2]139140</t>
  </si>
  <si>
    <t>340[30, 36, 50, 2]159160</t>
  </si>
  <si>
    <t>520[30, 36, 50, 2]141142</t>
  </si>
  <si>
    <t>550[30, 36, 32, 2]157158</t>
  </si>
  <si>
    <t>540[30, 38, 34, 2]153154</t>
  </si>
  <si>
    <t>550[30, 30, 44, 2]158159</t>
  </si>
  <si>
    <t>540[30, 30, 50, 2]153154</t>
  </si>
  <si>
    <t>340[30, 32, 60, 2]160161</t>
  </si>
  <si>
    <t>350[30, 32, 52, 2]164165</t>
  </si>
  <si>
    <t>520[30, 32, 60, 2]141142</t>
  </si>
  <si>
    <t>530[30, 32, 52, 2]148149</t>
  </si>
  <si>
    <t>550[30, 34, 36, 2]158159</t>
  </si>
  <si>
    <t>530[30, 38, 40, 2]148149</t>
  </si>
  <si>
    <t>350[30, 38, 40, 2]165166</t>
  </si>
  <si>
    <t>550[30, 32, 40, 2]158159</t>
  </si>
  <si>
    <t>350[30, 34, 48, 2]165166</t>
  </si>
  <si>
    <t>530[30, 34, 48, 2]148149</t>
  </si>
  <si>
    <t>330[30, 36, 60, 2]155156</t>
  </si>
  <si>
    <t>350[30, 36, 44, 2]165166</t>
  </si>
  <si>
    <t>530[30, 36, 44, 2]148149</t>
  </si>
  <si>
    <t>540[30, 36, 38, 2]154155</t>
  </si>
  <si>
    <t>540[30, 32, 46, 2]154155</t>
  </si>
  <si>
    <t>350[30, 30, 58, 2]165166</t>
  </si>
  <si>
    <t>530[30, 30, 58, 2]149150</t>
  </si>
  <si>
    <t>340[30, 34, 56, 2]161162</t>
  </si>
  <si>
    <t>520[30, 34, 56, 2]142143</t>
  </si>
  <si>
    <t>540[30, 34, 42, 2]154155</t>
  </si>
  <si>
    <t>920[30, 34, 32, 2]135136</t>
  </si>
  <si>
    <t>550[30, 38, 30, 2]159160</t>
  </si>
  <si>
    <t>330[30, 38, 56, 2]156157</t>
  </si>
  <si>
    <t>950[30, 56, 2]149150</t>
  </si>
  <si>
    <t>920[30, 30, 40, 2]135136</t>
  </si>
  <si>
    <t>920[30, 32, 36, 2]135136</t>
  </si>
  <si>
    <t>340[30, 36, 52, 2]161162</t>
  </si>
  <si>
    <t>520[30, 36, 52, 2]143144</t>
  </si>
  <si>
    <t>340[30, 38, 48, 2]162163</t>
  </si>
  <si>
    <t>520[30, 38, 48, 2]143144</t>
  </si>
  <si>
    <t>940[30, 60, 2]146147</t>
  </si>
  <si>
    <t>930[30, 32, 32, 2]141142</t>
  </si>
  <si>
    <t>350[30, 32, 54, 2]166167</t>
  </si>
  <si>
    <t>530[30, 32, 54, 2]150151</t>
  </si>
  <si>
    <t>930[30, 30, 36, 2]141142</t>
  </si>
  <si>
    <t>940[30, 30, 32, 2]146147</t>
  </si>
  <si>
    <t>540[30, 30, 52, 2]155156</t>
  </si>
  <si>
    <t>550[30, 36, 34, 2]160161</t>
  </si>
  <si>
    <t>550[30, 30, 46, 2]160161</t>
  </si>
  <si>
    <t>540[30, 38, 36, 2]156157</t>
  </si>
  <si>
    <t>530[30, 38, 42, 2]150151</t>
  </si>
  <si>
    <t>350[30, 38, 42, 2]167168</t>
  </si>
  <si>
    <t>350[30, 34, 50, 2]167168</t>
  </si>
  <si>
    <t>530[30, 34, 50, 2]150151</t>
  </si>
  <si>
    <t>350[30, 30, 60, 2]167168</t>
  </si>
  <si>
    <t>530[30, 30, 60, 2]150151</t>
  </si>
  <si>
    <t>550[30, 34, 38, 2]160161</t>
  </si>
  <si>
    <t>550[30, 32, 42, 2]160161</t>
  </si>
  <si>
    <t>920[30, 36, 30, 2]136137</t>
  </si>
  <si>
    <t>340[30, 34, 58, 2]163164</t>
  </si>
  <si>
    <t>520[30, 34, 58, 2]144145</t>
  </si>
  <si>
    <t>540[30, 32, 48, 2]156157</t>
  </si>
  <si>
    <t>350[30, 36, 46, 2]167168</t>
  </si>
  <si>
    <t>530[30, 36, 46, 2]151152</t>
  </si>
  <si>
    <t>330[30, 38, 58, 2]157158</t>
  </si>
  <si>
    <t>540[30, 36, 40, 2]156157</t>
  </si>
  <si>
    <t>540[30, 34, 44, 2]156157</t>
  </si>
  <si>
    <t>340[30, 36, 54, 2]164165</t>
  </si>
  <si>
    <t>520[30, 36, 54, 2]144145</t>
  </si>
  <si>
    <t>920[30, 34, 34, 2]137138</t>
  </si>
  <si>
    <t>340[30, 38, 50, 2]164165</t>
  </si>
  <si>
    <t>520[30, 38, 50, 2]145146</t>
  </si>
  <si>
    <t>920[30, 30, 42, 2]137138</t>
  </si>
  <si>
    <t>550[30, 38, 32, 2]161162</t>
  </si>
  <si>
    <t>930[30, 34, 30, 2]143144</t>
  </si>
  <si>
    <t>350[30, 32, 56, 2]169170</t>
  </si>
  <si>
    <t>530[30, 32, 56, 2]152153</t>
  </si>
  <si>
    <t>920[30, 32, 38, 2]137138</t>
  </si>
  <si>
    <t>950[30, 58, 2]152153</t>
  </si>
  <si>
    <t>540[30, 30, 54, 2]157158</t>
  </si>
  <si>
    <t>950[30, 30, 30, 2]152153</t>
  </si>
  <si>
    <t>940[30, 32, 30, 2]148149</t>
  </si>
  <si>
    <t>550[30, 30, 48, 2]162163</t>
  </si>
  <si>
    <t>930[30, 32, 34, 2]144145</t>
  </si>
  <si>
    <t>940[30, 62, 2]149150</t>
  </si>
  <si>
    <t>930[30, 30, 38, 2]144145</t>
  </si>
  <si>
    <t>940[30, 30, 34, 2]149150</t>
  </si>
  <si>
    <t>340[30, 34, 60, 2]165166</t>
  </si>
  <si>
    <t>520[30, 34, 60, 2]146147</t>
  </si>
  <si>
    <t>550[30, 36, 36, 2]162163</t>
  </si>
  <si>
    <t>350[30, 34, 52, 2]169170</t>
  </si>
  <si>
    <t>530[30, 34, 52, 2]152153</t>
  </si>
  <si>
    <t>330[30, 38, 60, 2]159160</t>
  </si>
  <si>
    <t>530[30, 38, 44, 2]153154</t>
  </si>
  <si>
    <t>350[30, 38, 44, 2]170171</t>
  </si>
  <si>
    <t>540[30, 38, 38, 2]158159</t>
  </si>
  <si>
    <t>540[30, 32, 50, 2]158159</t>
  </si>
  <si>
    <t>550[30, 32, 44, 2]163164</t>
  </si>
  <si>
    <t>350[30, 36, 48, 2]170171</t>
  </si>
  <si>
    <t>530[30, 36, 48, 2]153154</t>
  </si>
  <si>
    <t>550[30, 34, 40, 2]163164</t>
  </si>
  <si>
    <t>340[30, 36, 56, 2]166167</t>
  </si>
  <si>
    <t>520[30, 36, 56, 2]146147</t>
  </si>
  <si>
    <t>540[30, 36, 42, 2]159160</t>
  </si>
  <si>
    <t>540[30, 34, 46, 2]159160</t>
  </si>
  <si>
    <t>920[30, 36, 32, 2]139140</t>
  </si>
  <si>
    <t>340[30, 38, 52, 2]166167</t>
  </si>
  <si>
    <t>520[30, 38, 52, 2]147148</t>
  </si>
  <si>
    <t>350[30, 32, 58, 2]171172</t>
  </si>
  <si>
    <t>530[30, 32, 58, 2]154155</t>
  </si>
  <si>
    <t>920[30, 30, 44, 2]139140</t>
  </si>
  <si>
    <t>540[30, 30, 56, 2]159160</t>
  </si>
  <si>
    <t>920[30, 34, 36, 2]139140</t>
  </si>
  <si>
    <t>920[30, 32, 40, 2]140141</t>
  </si>
  <si>
    <t>550[30, 38, 34, 2]164165</t>
  </si>
  <si>
    <t>550[30, 30, 50, 2]164165</t>
  </si>
  <si>
    <t>930[30, 34, 32, 2]146147</t>
  </si>
  <si>
    <t>350[30, 34, 54, 2]172173</t>
  </si>
  <si>
    <t>530[30, 34, 54, 2]154155</t>
  </si>
  <si>
    <t>950[30, 60, 2]155156</t>
  </si>
  <si>
    <t>930[30, 30, 40, 2]146147</t>
  </si>
  <si>
    <t>950[30, 30, 32, 2]155156</t>
  </si>
  <si>
    <t>540[30, 32, 52, 2]160161</t>
  </si>
  <si>
    <t>920[30, 38, 30, 2]140141</t>
  </si>
  <si>
    <t>930[30, 32, 36, 2]146147</t>
  </si>
  <si>
    <t>940[30, 32, 32, 2]151152</t>
  </si>
  <si>
    <t>530[30, 38, 46, 2]155156</t>
  </si>
  <si>
    <t>350[30, 38, 46, 2]172173</t>
  </si>
  <si>
    <t>350[30, 36, 50, 2]172173</t>
  </si>
  <si>
    <t>530[30, 36, 50, 2]155156</t>
  </si>
  <si>
    <t>550[30, 36, 38, 2]165166</t>
  </si>
  <si>
    <t>550[30, 32, 46, 2]165166</t>
  </si>
  <si>
    <t>940[30, 30, 36, 2]151152</t>
  </si>
  <si>
    <t>340[30, 36, 58, 2]168169</t>
  </si>
  <si>
    <t>520[30, 36, 58, 2]148149</t>
  </si>
  <si>
    <t>540[30, 38, 40, 2]161162</t>
  </si>
  <si>
    <t>550[30, 34, 42, 2]165166</t>
  </si>
  <si>
    <t>540[30, 34, 48, 2]161162</t>
  </si>
  <si>
    <t>340[30, 38, 54, 2]168169</t>
  </si>
  <si>
    <t>350[30, 32, 60, 2]173174</t>
  </si>
  <si>
    <t>520[30, 38, 54, 2]148149</t>
  </si>
  <si>
    <t>530[30, 32, 60, 2]155156</t>
  </si>
  <si>
    <t>540[30, 36, 44, 2]161162</t>
  </si>
  <si>
    <t>540[30, 30, 58, 2]161162</t>
  </si>
  <si>
    <t>920[30, 36, 34, 2]141142</t>
  </si>
  <si>
    <t>920[30, 30, 46, 2]141142</t>
  </si>
  <si>
    <t>930[30, 36, 30, 2]147148</t>
  </si>
  <si>
    <t>550[30, 30, 52, 2]166167</t>
  </si>
  <si>
    <t>350[30, 34, 56, 2]174175</t>
  </si>
  <si>
    <t>530[30, 34, 56, 2]156157</t>
  </si>
  <si>
    <t>920[30, 34, 38, 2]142143</t>
  </si>
  <si>
    <t>920[30, 32, 42, 2]142143</t>
  </si>
  <si>
    <t>550[30, 38, 36, 2]167168</t>
  </si>
  <si>
    <t>540[30, 32, 54, 2]162163</t>
  </si>
  <si>
    <t>940[30, 34, 30, 2]153154</t>
  </si>
  <si>
    <t>340[30, 36, 60, 2]170171</t>
  </si>
  <si>
    <t>520[30, 36, 60, 2]150151</t>
  </si>
  <si>
    <t>350[30, 36, 52, 2]174175</t>
  </si>
  <si>
    <t>530[30, 36, 52, 2]157158</t>
  </si>
  <si>
    <t>950[30, 32, 30, 2]158159</t>
  </si>
  <si>
    <t>930[30, 34, 34, 2]148149</t>
  </si>
  <si>
    <t>930[30, 30, 42, 2]148149</t>
  </si>
  <si>
    <t>530[30, 38, 48, 2]157158</t>
  </si>
  <si>
    <t>350[30, 38, 48, 2]175176</t>
  </si>
  <si>
    <t>550[30, 32, 48, 2]167168</t>
  </si>
  <si>
    <t>950[30, 62, 2]158159</t>
  </si>
  <si>
    <t>930[30, 32, 38, 2]148149</t>
  </si>
  <si>
    <t>950[30, 30, 34, 2]158159</t>
  </si>
  <si>
    <t>550[30, 36, 40, 2]168169</t>
  </si>
  <si>
    <t>340[30, 38, 56, 2]170171</t>
  </si>
  <si>
    <t>520[30, 38, 56, 2]150151</t>
  </si>
  <si>
    <t>540[30, 38, 42, 2]163164</t>
  </si>
  <si>
    <t>940[30, 32, 34, 2]154155</t>
  </si>
  <si>
    <t>540[30, 34, 50, 2]163164</t>
  </si>
  <si>
    <t>940[30, 30, 38, 2]154155</t>
  </si>
  <si>
    <t>540[30, 30, 60, 2]163164</t>
  </si>
  <si>
    <t>550[30, 34, 44, 2]168169</t>
  </si>
  <si>
    <t>920[30, 38, 32, 2]143144</t>
  </si>
  <si>
    <t>540[30, 36, 46, 2]163164</t>
  </si>
  <si>
    <t>920[30, 30, 48, 2]143144</t>
  </si>
  <si>
    <t>550[30, 30, 54, 2]169170</t>
  </si>
  <si>
    <t>350[30, 34, 58, 2]176177</t>
  </si>
  <si>
    <t>530[30, 34, 58, 2]158159</t>
  </si>
  <si>
    <t>920[30, 36, 36, 2]144145</t>
  </si>
  <si>
    <t>540[30, 32, 56, 2]165166</t>
  </si>
  <si>
    <t>920[30, 32, 44, 2]144145</t>
  </si>
  <si>
    <t>930[30, 36, 32, 2]150151</t>
  </si>
  <si>
    <t>920[30, 34, 40, 2]144145</t>
  </si>
  <si>
    <t>350[30, 36, 54, 2]177178</t>
  </si>
  <si>
    <t>530[30, 36, 54, 2]159160</t>
  </si>
  <si>
    <t>530[30, 38, 50, 2]159160</t>
  </si>
  <si>
    <t>350[30, 38, 50, 2]177178</t>
  </si>
  <si>
    <t>550[30, 38, 38, 2]170171</t>
  </si>
  <si>
    <t>550[30, 32, 50, 2]170171</t>
  </si>
  <si>
    <t>930[30, 30, 44, 2]150151</t>
  </si>
  <si>
    <t>340[30, 38, 58, 2]172173</t>
  </si>
  <si>
    <t>520[30, 38, 58, 2]152153</t>
  </si>
  <si>
    <t>540[30, 34, 52, 2]165166</t>
  </si>
  <si>
    <t>930[30, 34, 36, 2]151152</t>
  </si>
  <si>
    <t>940[30, 34, 32, 2]156157</t>
  </si>
  <si>
    <t>550[30, 36, 42, 2]170171</t>
  </si>
  <si>
    <t>550[30, 34, 46, 2]170171</t>
  </si>
  <si>
    <t>930[30, 32, 40, 2]151152</t>
  </si>
  <si>
    <t>950[30, 32, 32, 2]160161</t>
  </si>
  <si>
    <t>540[30, 38, 44, 2]166167</t>
  </si>
  <si>
    <t>540[30, 36, 48, 2]166167</t>
  </si>
  <si>
    <t>940[30, 30, 40, 2]156157</t>
  </si>
  <si>
    <t>950[30, 30, 36, 2]161162</t>
  </si>
  <si>
    <t>940[30, 32, 36, 2]156157</t>
  </si>
  <si>
    <t>920[30, 38, 34, 2]145146</t>
  </si>
  <si>
    <t>350[30, 34, 60, 2]178179</t>
  </si>
  <si>
    <t>530[30, 34, 60, 2]160161</t>
  </si>
  <si>
    <t>920[30, 30, 50, 2]145146</t>
  </si>
  <si>
    <t>550[30, 30, 56, 2]171172</t>
  </si>
  <si>
    <t>930[30, 38, 30, 2]152153</t>
  </si>
  <si>
    <t>540[30, 32, 58, 2]167168</t>
  </si>
  <si>
    <t>350[30, 36, 56, 2]179180</t>
  </si>
  <si>
    <t>530[30, 36, 56, 2]161162</t>
  </si>
  <si>
    <t>920[30, 36, 38, 2]146147</t>
  </si>
  <si>
    <t>920[30, 32, 46, 2]146147</t>
  </si>
  <si>
    <t>340[30, 38, 60, 2]174175</t>
  </si>
  <si>
    <t>520[30, 38, 60, 2]154155</t>
  </si>
  <si>
    <t>530[30, 38, 52, 2]161162</t>
  </si>
  <si>
    <t>350[30, 38, 52, 2]179180</t>
  </si>
  <si>
    <t>920[30, 34, 42, 2]146147</t>
  </si>
  <si>
    <t>550[30, 32, 52, 2]172173</t>
  </si>
  <si>
    <t>940[30, 36, 30, 2]158159</t>
  </si>
  <si>
    <t>930[30, 36, 34, 2]153154</t>
  </si>
  <si>
    <t>540[30, 34, 54, 2]168169</t>
  </si>
  <si>
    <t>930[30, 30, 46, 2]153154</t>
  </si>
  <si>
    <t>550[30, 38, 40, 2]172173</t>
  </si>
  <si>
    <t>950[30, 34, 30, 2]163164</t>
  </si>
  <si>
    <t>550[30, 34, 48, 2]173174</t>
  </si>
  <si>
    <t>540[30, 38, 46, 2]168169</t>
  </si>
  <si>
    <t>540[30, 36, 50, 2]168169</t>
  </si>
  <si>
    <t>550[30, 36, 44, 2]173174</t>
  </si>
  <si>
    <t>930[30, 34, 38, 2]153154</t>
  </si>
  <si>
    <t>930[30, 32, 42, 2]153154</t>
  </si>
  <si>
    <t>550[30, 30, 58, 2]173174</t>
  </si>
  <si>
    <t>940[30, 34, 34, 2]159160</t>
  </si>
  <si>
    <t>940[30, 30, 42, 2]159160</t>
  </si>
  <si>
    <t>920[30, 30, 52, 2]147148</t>
  </si>
  <si>
    <t>950[30, 32, 34, 2]163164</t>
  </si>
  <si>
    <t>950[30, 30, 38, 2]163164</t>
  </si>
  <si>
    <t>540[30, 32, 60, 2]169170</t>
  </si>
  <si>
    <t>940[30, 32, 38, 2]159160</t>
  </si>
  <si>
    <t>920[30, 38, 36, 2]148149</t>
  </si>
  <si>
    <t>350[30, 36, 58, 2]181182</t>
  </si>
  <si>
    <t>530[30, 36, 58, 2]163164</t>
  </si>
  <si>
    <t>920[30, 32, 48, 2]148149</t>
  </si>
  <si>
    <t>930[30, 38, 32, 2]154155</t>
  </si>
  <si>
    <t>530[30, 38, 54, 2]163164</t>
  </si>
  <si>
    <t>350[30, 38, 54, 2]182183</t>
  </si>
  <si>
    <t>550[30, 32, 54, 2]174175</t>
  </si>
  <si>
    <t>920[30, 36, 40, 2]148149</t>
  </si>
  <si>
    <t>540[30, 34, 56, 2]170171</t>
  </si>
  <si>
    <t>920[30, 34, 44, 2]148149</t>
  </si>
  <si>
    <t>930[30, 30, 48, 2]155156</t>
  </si>
  <si>
    <t>550[30, 38, 42, 2]175176</t>
  </si>
  <si>
    <t>550[30, 34, 50, 2]175176</t>
  </si>
  <si>
    <t>550[30, 30, 60, 2]175176</t>
  </si>
  <si>
    <t>540[30, 36, 52, 2]170171</t>
  </si>
  <si>
    <t>930[30, 36, 36, 2]155156</t>
  </si>
  <si>
    <t>940[30, 36, 32, 2]160161</t>
  </si>
  <si>
    <t>540[30, 38, 48, 2]170171</t>
  </si>
  <si>
    <t>550[30, 36, 46, 2]175176</t>
  </si>
  <si>
    <t>920[30, 30, 54, 2]149150</t>
  </si>
  <si>
    <t>930[30, 32, 44, 2]155156</t>
  </si>
  <si>
    <t>930[30, 34, 40, 2]156157</t>
  </si>
  <si>
    <t>950[30, 34, 32, 2]165166</t>
  </si>
  <si>
    <t>940[30, 30, 44, 2]161162</t>
  </si>
  <si>
    <t>350[30, 36, 60, 2]183184</t>
  </si>
  <si>
    <t>530[30, 36, 60, 2]165166</t>
  </si>
  <si>
    <t>940[30, 34, 36, 2]161162</t>
  </si>
  <si>
    <t>950[30, 30, 40, 2]166167</t>
  </si>
  <si>
    <t>940[30, 32, 40, 2]161162</t>
  </si>
  <si>
    <t>950[30, 32, 36, 2]166167</t>
  </si>
  <si>
    <t>530[30, 38, 56, 2]166167</t>
  </si>
  <si>
    <t>350[30, 38, 56, 2]184185</t>
  </si>
  <si>
    <t>920[30, 38, 38, 2]150151</t>
  </si>
  <si>
    <t>550[30, 32, 56, 2]176177</t>
  </si>
  <si>
    <t>920[30, 32, 50, 2]150151</t>
  </si>
  <si>
    <t>540[30, 34, 58, 2]172173</t>
  </si>
  <si>
    <t>940[30, 38, 30, 2]162163</t>
  </si>
  <si>
    <t>920[30, 36, 42, 2]151152</t>
  </si>
  <si>
    <t>920[30, 34, 46, 2]151152</t>
  </si>
  <si>
    <t>930[30, 38, 34, 2]157158</t>
  </si>
  <si>
    <t>930[30, 30, 50, 2]157158</t>
  </si>
  <si>
    <t>540[30, 36, 54, 2]172173</t>
  </si>
  <si>
    <t>550[30, 34, 52, 2]177178</t>
  </si>
  <si>
    <t>540[30, 38, 50, 2]173174</t>
  </si>
  <si>
    <t>920[30, 30, 56, 2]151152</t>
  </si>
  <si>
    <t>550[30, 38, 44, 2]178179</t>
  </si>
  <si>
    <t>950[30, 36, 30, 2]167168</t>
  </si>
  <si>
    <t>550[30, 36, 48, 2]178179</t>
  </si>
  <si>
    <t>930[30, 36, 38, 2]158159</t>
  </si>
  <si>
    <t>930[30, 32, 46, 2]158159</t>
  </si>
  <si>
    <t>940[30, 36, 34, 2]163164</t>
  </si>
  <si>
    <t>940[30, 30, 46, 2]163164</t>
  </si>
  <si>
    <t>930[30, 34, 42, 2]158159</t>
  </si>
  <si>
    <t>530[30, 38, 58, 2]168169</t>
  </si>
  <si>
    <t>350[30, 38, 58, 2]186187</t>
  </si>
  <si>
    <t>550[30, 32, 58, 2]179180</t>
  </si>
  <si>
    <t>950[30, 34, 34, 2]168169</t>
  </si>
  <si>
    <t>950[30, 30, 42, 2]168169</t>
  </si>
  <si>
    <t>540[30, 34, 60, 2]174175</t>
  </si>
  <si>
    <t>920[30, 32, 52, 2]152153</t>
  </si>
  <si>
    <t>940[30, 34, 38, 2]164165</t>
  </si>
  <si>
    <t>940[30, 32, 42, 2]164165</t>
  </si>
  <si>
    <t>950[30, 32, 38, 2]169170</t>
  </si>
  <si>
    <t>920[30, 38, 40, 2]152153</t>
  </si>
  <si>
    <t>930[30, 30, 52, 2]159160</t>
  </si>
  <si>
    <t>920[30, 34, 48, 2]153154</t>
  </si>
  <si>
    <t>540[30, 36, 56, 2]175176</t>
  </si>
  <si>
    <t>920[30, 36, 44, 2]153154</t>
  </si>
  <si>
    <t>550[30, 34, 54, 2]180181</t>
  </si>
  <si>
    <t>920[30, 30, 58, 2]153154</t>
  </si>
  <si>
    <t>540[30, 38, 52, 2]175176</t>
  </si>
  <si>
    <t>930[30, 38, 36, 2]160161</t>
  </si>
  <si>
    <t>940[30, 38, 32, 2]165166</t>
  </si>
  <si>
    <t>550[30, 38, 46, 2]180181</t>
  </si>
  <si>
    <t>550[30, 36, 50, 2]180181</t>
  </si>
  <si>
    <t>930[30, 32, 48, 2]160161</t>
  </si>
  <si>
    <t>530[30, 38, 60, 2]170171</t>
  </si>
  <si>
    <t>350[30, 38, 60, 2]188189</t>
  </si>
  <si>
    <t>940[30, 30, 48, 2]166167</t>
  </si>
  <si>
    <t>930[30, 36, 40, 2]160161</t>
  </si>
  <si>
    <t>550[30, 32, 60, 2]181182</t>
  </si>
  <si>
    <t>950[30, 36, 32, 2]170171</t>
  </si>
  <si>
    <t>930[30, 34, 44, 2]160161</t>
  </si>
  <si>
    <t>920[30, 32, 54, 2]154155</t>
  </si>
  <si>
    <t>940[30, 36, 36, 2]166167</t>
  </si>
  <si>
    <t>950[30, 30, 44, 2]171172</t>
  </si>
  <si>
    <t>940[30, 32, 44, 2]166167</t>
  </si>
  <si>
    <t>940[30, 34, 40, 2]166167</t>
  </si>
  <si>
    <t>950[30, 34, 36, 2]171172</t>
  </si>
  <si>
    <t>540[30, 36, 58, 2]177178</t>
  </si>
  <si>
    <t>930[30, 30, 54, 2]161162</t>
  </si>
  <si>
    <t>950[30, 32, 40, 2]171172</t>
  </si>
  <si>
    <t>550[30, 34, 56, 2]182183</t>
  </si>
  <si>
    <t>920[30, 38, 42, 2]155156</t>
  </si>
  <si>
    <t>920[30, 34, 50, 2]155156</t>
  </si>
  <si>
    <t>920[30, 30, 60, 2]155156</t>
  </si>
  <si>
    <t>920[30, 36, 46, 2]155156</t>
  </si>
  <si>
    <t>540[30, 38, 54, 2]177178</t>
  </si>
  <si>
    <t>550[30, 36, 52, 2]183184</t>
  </si>
  <si>
    <t>950[30, 38, 30, 2]172173</t>
  </si>
  <si>
    <t>550[30, 38, 48, 2]183184</t>
  </si>
  <si>
    <t>930[30, 38, 38, 2]162163</t>
  </si>
  <si>
    <t>930[30, 32, 50, 2]162163</t>
  </si>
  <si>
    <t>940[30, 38, 34, 2]168169</t>
  </si>
  <si>
    <t>940[30, 30, 50, 2]168169</t>
  </si>
  <si>
    <t>920[30, 32, 56, 2]156157</t>
  </si>
  <si>
    <t>930[30, 36, 42, 2]163164</t>
  </si>
  <si>
    <t>930[30, 34, 46, 2]163164</t>
  </si>
  <si>
    <t>950[30, 36, 34, 2]173174</t>
  </si>
  <si>
    <t>950[30, 30, 46, 2]173174</t>
  </si>
  <si>
    <t>540[30, 36, 60, 2]179180</t>
  </si>
  <si>
    <t>940[30, 36, 38, 2]169170</t>
  </si>
  <si>
    <t>940[30, 32, 46, 2]169170</t>
  </si>
  <si>
    <t>930[30, 30, 56, 2]163164</t>
  </si>
  <si>
    <t>550[30, 34, 58, 2]184185</t>
  </si>
  <si>
    <t>920[30, 34, 52, 2]157158</t>
  </si>
  <si>
    <t>940[30, 34, 42, 2]169170</t>
  </si>
  <si>
    <t>540[30, 38, 56, 2]179180</t>
  </si>
  <si>
    <t>950[30, 34, 38, 2]174175</t>
  </si>
  <si>
    <t>950[30, 32, 42, 2]174175</t>
  </si>
  <si>
    <t>920[30, 38, 44, 2]157158</t>
  </si>
  <si>
    <t>920[30, 36, 48, 2]157158</t>
  </si>
  <si>
    <t>550[30, 36, 54, 2]185186</t>
  </si>
  <si>
    <t>550[30, 38, 50, 2]185186</t>
  </si>
  <si>
    <t>930[30, 32, 52, 2]164165</t>
  </si>
  <si>
    <t>940[30, 30, 52, 2]170171</t>
  </si>
  <si>
    <t>920[30, 32, 58, 2]158159</t>
  </si>
  <si>
    <t>930[30, 38, 40, 2]165166</t>
  </si>
  <si>
    <t>950[30, 38, 32, 2]175176</t>
  </si>
  <si>
    <t>930[30, 34, 48, 2]165166</t>
  </si>
  <si>
    <t>940[30, 38, 36, 2]171172</t>
  </si>
  <si>
    <t>930[30, 36, 44, 2]165166</t>
  </si>
  <si>
    <t>930[30, 30, 58, 2]165166</t>
  </si>
  <si>
    <t>550[30, 34, 60, 2]186187</t>
  </si>
  <si>
    <t>950[30, 30, 48, 2]176177</t>
  </si>
  <si>
    <t>940[30, 32, 48, 2]171172</t>
  </si>
  <si>
    <t>920[30, 34, 54, 2]159160</t>
  </si>
  <si>
    <t>540[30, 38, 58, 2]182183</t>
  </si>
  <si>
    <t>940[30, 36, 40, 2]171172</t>
  </si>
  <si>
    <t>950[30, 36, 36, 2]176177</t>
  </si>
  <si>
    <t>940[30, 34, 44, 2]171172</t>
  </si>
  <si>
    <t>550[30, 36, 56, 2]187188</t>
  </si>
  <si>
    <t>920[30, 38, 46, 2]159160</t>
  </si>
  <si>
    <t>920[30, 36, 50, 2]159160</t>
  </si>
  <si>
    <t>950[30, 32, 44, 2]176177</t>
  </si>
  <si>
    <t>950[30, 34, 40, 2]177178</t>
  </si>
  <si>
    <t>550[30, 38, 52, 2]188189</t>
  </si>
  <si>
    <t>930[30, 32, 54, 2]166167</t>
  </si>
  <si>
    <t>920[30, 32, 60, 2]160161</t>
  </si>
  <si>
    <t>940[30, 30, 54, 2]172173</t>
  </si>
  <si>
    <t>930[30, 38, 42, 2]167168</t>
  </si>
  <si>
    <t>930[30, 34, 50, 2]167168</t>
  </si>
  <si>
    <t>930[30, 30, 60, 2]167168</t>
  </si>
  <si>
    <t>930[30, 36, 46, 2]167168</t>
  </si>
  <si>
    <t>950[30, 38, 34, 2]178179</t>
  </si>
  <si>
    <t>540[30, 38, 60, 2]184185</t>
  </si>
  <si>
    <t>950[30, 30, 50, 2]178179</t>
  </si>
  <si>
    <t>920[30, 34, 56, 2]161162</t>
  </si>
  <si>
    <t>940[30, 38, 38, 2]173174</t>
  </si>
  <si>
    <t>940[30, 32, 50, 2]173174</t>
  </si>
  <si>
    <t>550[30, 36, 58, 2]190191</t>
  </si>
  <si>
    <t>920[30, 36, 52, 2]161162</t>
  </si>
  <si>
    <t>940[30, 36, 42, 2]174175</t>
  </si>
  <si>
    <t>940[30, 34, 46, 2]174175</t>
  </si>
  <si>
    <t>920[30, 38, 48, 2]162163</t>
  </si>
  <si>
    <t>950[30, 36, 38, 2]179180</t>
  </si>
  <si>
    <t>950[30, 32, 46, 2]179180</t>
  </si>
  <si>
    <t>550[30, 38, 54, 2]190191</t>
  </si>
  <si>
    <t>930[30, 32, 56, 2]169170</t>
  </si>
  <si>
    <t>950[30, 34, 42, 2]179180</t>
  </si>
  <si>
    <t>940[30, 30, 56, 2]175176</t>
  </si>
  <si>
    <t>930[30, 34, 52, 2]169170</t>
  </si>
  <si>
    <t>930[30, 38, 44, 2]170171</t>
  </si>
  <si>
    <t>920[30, 34, 58, 2]163164</t>
  </si>
  <si>
    <t>930[30, 36, 48, 2]170171</t>
  </si>
  <si>
    <t>950[30, 30, 52, 2]181182</t>
  </si>
  <si>
    <t>940[30, 32, 52, 2]176177</t>
  </si>
  <si>
    <t>550[30, 36, 60, 2]192193</t>
  </si>
  <si>
    <t>940[30, 38, 40, 2]176177</t>
  </si>
  <si>
    <t>950[30, 38, 36, 2]181182</t>
  </si>
  <si>
    <t>920[30, 36, 54, 2]164165</t>
  </si>
  <si>
    <t>550[30, 38, 56, 2]192193</t>
  </si>
  <si>
    <t>920[30, 38, 50, 2]164165</t>
  </si>
  <si>
    <t>940[30, 34, 48, 2]176177</t>
  </si>
  <si>
    <t>930[30, 32, 58, 2]171172</t>
  </si>
  <si>
    <t>940[30, 36, 44, 2]177178</t>
  </si>
  <si>
    <t>950[30, 32, 48, 2]182183</t>
  </si>
  <si>
    <t>940[30, 30, 58, 2]177178</t>
  </si>
  <si>
    <t>950[30, 36, 40, 2]182183</t>
  </si>
  <si>
    <t>950[30, 34, 44, 2]182183</t>
  </si>
  <si>
    <t>930[30, 34, 54, 2]172173</t>
  </si>
  <si>
    <t>920[30, 34, 60, 2]165166</t>
  </si>
  <si>
    <t>950[30, 30, 54, 2]183184</t>
  </si>
  <si>
    <t>930[30, 38, 46, 2]172173</t>
  </si>
  <si>
    <t>930[30, 36, 50, 2]172173</t>
  </si>
  <si>
    <t>940[30, 32, 54, 2]178179</t>
  </si>
  <si>
    <t>920[30, 36, 56, 2]166167</t>
  </si>
  <si>
    <t>550[30, 38, 58, 2]195196</t>
  </si>
  <si>
    <t>930[30, 32, 60, 2]173174</t>
  </si>
  <si>
    <t>920[30, 38, 52, 2]166167</t>
  </si>
  <si>
    <t>940[30, 38, 42, 2]179180</t>
  </si>
  <si>
    <t>940[30, 34, 50, 2]179180</t>
  </si>
  <si>
    <t>940[30, 30, 60, 2]179180</t>
  </si>
  <si>
    <t>950[30, 38, 38, 2]184185</t>
  </si>
  <si>
    <t>950[30, 32, 50, 2]184185</t>
  </si>
  <si>
    <t>940[30, 36, 46, 2]179180</t>
  </si>
  <si>
    <t>950[30, 36, 42, 2]185186</t>
  </si>
  <si>
    <t>950[30, 34, 46, 2]185186</t>
  </si>
  <si>
    <t>930[30, 34, 56, 2]174175</t>
  </si>
  <si>
    <t>950[30, 30, 56, 2]185186</t>
  </si>
  <si>
    <t>940[30, 32, 56, 2]180181</t>
  </si>
  <si>
    <t>930[30, 36, 52, 2]174175</t>
  </si>
  <si>
    <t>930[30, 38, 48, 2]175176</t>
  </si>
  <si>
    <t>920[30, 36, 58, 2]168169</t>
  </si>
  <si>
    <t>550[30, 38, 60, 2]197198</t>
  </si>
  <si>
    <t>920[30, 38, 54, 2]168169</t>
  </si>
  <si>
    <t>940[30, 34, 52, 2]181182</t>
  </si>
  <si>
    <t>950[30, 32, 52, 2]186187</t>
  </si>
  <si>
    <t>940[30, 38, 44, 2]181182</t>
  </si>
  <si>
    <t>940[30, 36, 48, 2]182183</t>
  </si>
  <si>
    <t>950[30, 38, 40, 2]187188</t>
  </si>
  <si>
    <t>930[30, 34, 58, 2]176177</t>
  </si>
  <si>
    <t>950[30, 34, 48, 2]187188</t>
  </si>
  <si>
    <t>950[30, 36, 44, 2]187188</t>
  </si>
  <si>
    <t>950[30, 30, 58, 2]187188</t>
  </si>
  <si>
    <t>940[30, 32, 58, 2]183184</t>
  </si>
  <si>
    <t>930[30, 36, 54, 2]177178</t>
  </si>
  <si>
    <t>920[30, 36, 60, 2]170171</t>
  </si>
  <si>
    <t>930[30, 38, 50, 2]177178</t>
  </si>
  <si>
    <t>920[30, 38, 56, 2]170171</t>
  </si>
  <si>
    <t>940[30, 34, 54, 2]184185</t>
  </si>
  <si>
    <t>950[30, 32, 54, 2]189190</t>
  </si>
  <si>
    <t>940[30, 38, 46, 2]184185</t>
  </si>
  <si>
    <t>940[30, 36, 50, 2]184185</t>
  </si>
  <si>
    <t>930[30, 34, 60, 2]178179</t>
  </si>
  <si>
    <t>950[30, 38, 42, 2]190191</t>
  </si>
  <si>
    <t>950[30, 34, 50, 2]190191</t>
  </si>
  <si>
    <t>950[30, 30, 60, 2]190191</t>
  </si>
  <si>
    <t>940[30, 32, 60, 2]185186</t>
  </si>
  <si>
    <t>950[30, 36, 46, 2]190191</t>
  </si>
  <si>
    <t>930[30, 36, 56, 2]179180</t>
  </si>
  <si>
    <t>930[30, 38, 52, 2]179180</t>
  </si>
  <si>
    <t>920[30, 38, 58, 2]172173</t>
  </si>
  <si>
    <t>940[30, 34, 56, 2]186187</t>
  </si>
  <si>
    <t>950[30, 32, 56, 2]191192</t>
  </si>
  <si>
    <t>940[30, 36, 52, 2]187188</t>
  </si>
  <si>
    <t>940[30, 38, 48, 2]187188</t>
  </si>
  <si>
    <t>950[30, 34, 52, 2]192193</t>
  </si>
  <si>
    <t>930[30, 36, 58, 2]181182</t>
  </si>
  <si>
    <t>950[30, 38, 44, 2]193194</t>
  </si>
  <si>
    <t>950[30, 36, 48, 2]193194</t>
  </si>
  <si>
    <t>930[30, 38, 54, 2]182183</t>
  </si>
  <si>
    <t>920[30, 38, 60, 2]174175</t>
  </si>
  <si>
    <t>940[30, 34, 58, 2]188189</t>
  </si>
  <si>
    <t>950[30, 32, 58, 2]194195</t>
  </si>
  <si>
    <t>940[30, 36, 54, 2]189190</t>
  </si>
  <si>
    <t>940[30, 38, 50, 2]189190</t>
  </si>
  <si>
    <t>950[30, 34, 54, 2]195196</t>
  </si>
  <si>
    <t>930[30, 36, 60, 2]183184</t>
  </si>
  <si>
    <t>950[30, 38, 46, 2]195196</t>
  </si>
  <si>
    <t>950[30, 36, 50, 2]195196</t>
  </si>
  <si>
    <t>930[30, 38, 56, 2]184185</t>
  </si>
  <si>
    <t>940[30, 34, 60, 2]190191</t>
  </si>
  <si>
    <t>950[30, 32, 60, 2]196197</t>
  </si>
  <si>
    <t>940[30, 36, 56, 2]191192</t>
  </si>
  <si>
    <t>940[30, 38, 52, 2]192193</t>
  </si>
  <si>
    <t>950[30, 34, 56, 2]197198</t>
  </si>
  <si>
    <t>930[30, 38, 58, 2]186187</t>
  </si>
  <si>
    <t>950[30, 36, 52, 2]198199</t>
  </si>
  <si>
    <t>950[30, 38, 48, 2]198199</t>
  </si>
  <si>
    <t>940[30, 36, 58, 2]194195</t>
  </si>
  <si>
    <t>940[30, 38, 54, 2]194195</t>
  </si>
  <si>
    <t>950[30, 34, 58, 2]200201</t>
  </si>
  <si>
    <t>930[30, 38, 60, 2]188189</t>
  </si>
  <si>
    <t>950[30, 36, 54, 2]200201</t>
  </si>
  <si>
    <t>950[30, 38, 50, 2]201202</t>
  </si>
  <si>
    <t>940[30, 36, 60, 2]196197</t>
  </si>
  <si>
    <t>950[30, 34, 60, 2]202203</t>
  </si>
  <si>
    <t>940[30, 38, 56, 2]197198</t>
  </si>
  <si>
    <t>950[30, 36, 56, 2]203204</t>
  </si>
  <si>
    <t>950[30, 38, 52, 2]203204</t>
  </si>
  <si>
    <t>940[30, 38, 58, 2]199200</t>
  </si>
  <si>
    <t>950[30, 36, 58, 2]205206</t>
  </si>
  <si>
    <t>950[30, 38, 54, 2]206207</t>
  </si>
  <si>
    <t>940[30, 38, 60, 2]201202</t>
  </si>
  <si>
    <t>950[30, 36, 60, 2]208209</t>
  </si>
  <si>
    <t>950[30, 38, 56, 2]209210</t>
  </si>
  <si>
    <t>950[30, 38, 58, 2]211212</t>
  </si>
  <si>
    <t>950[30, 38, 60, 2]214215</t>
  </si>
  <si>
    <t>Parameters</t>
  </si>
  <si>
    <t>Kan Acc</t>
  </si>
  <si>
    <t>Small MLP acc</t>
  </si>
  <si>
    <t>Big MLP acc</t>
  </si>
  <si>
    <t>Wine</t>
  </si>
  <si>
    <t>[13, 13, 3]</t>
  </si>
  <si>
    <t>320[13, 13, 3]3233</t>
  </si>
  <si>
    <t>[13, 15, 3]</t>
  </si>
  <si>
    <t>320[13, 15, 3]3536</t>
  </si>
  <si>
    <t>[13, 17, 3]</t>
  </si>
  <si>
    <t>320[13, 17, 3]3738</t>
  </si>
  <si>
    <t>[13, 19, 3]</t>
  </si>
  <si>
    <t>320[13, 19, 3]4041</t>
  </si>
  <si>
    <t>[13, 21, 3]</t>
  </si>
  <si>
    <t>320[13, 21, 3]4243</t>
  </si>
  <si>
    <t>[13, 23, 3]</t>
  </si>
  <si>
    <t>320[13, 23, 3]4445</t>
  </si>
  <si>
    <t>[13, 25, 3]</t>
  </si>
  <si>
    <t>320[13, 25, 3]4647</t>
  </si>
  <si>
    <t>[13, 27, 3]</t>
  </si>
  <si>
    <t>320[13, 27, 3]4849</t>
  </si>
  <si>
    <t>[13, 13, 13, 3]</t>
  </si>
  <si>
    <t>320[13, 13, 13, 3]4546</t>
  </si>
  <si>
    <t>[13, 13, 15, 3]</t>
  </si>
  <si>
    <t>320[13, 13, 15, 3]4748</t>
  </si>
  <si>
    <t>[13, 13, 17, 3]</t>
  </si>
  <si>
    <t>320[13, 13, 17, 3]4950</t>
  </si>
  <si>
    <t>[13, 13, 19, 3]</t>
  </si>
  <si>
    <t>320[13, 13, 19, 3]5152</t>
  </si>
  <si>
    <t>[13, 13, 21, 3]</t>
  </si>
  <si>
    <t>320[13, 13, 21, 3]5253</t>
  </si>
  <si>
    <t>[13, 13, 23, 3]</t>
  </si>
  <si>
    <t>320[13, 13, 23, 3]5455</t>
  </si>
  <si>
    <t>[13, 13, 25, 3]</t>
  </si>
  <si>
    <t>320[13, 13, 25, 3]5657</t>
  </si>
  <si>
    <t>[13, 13, 27, 3]</t>
  </si>
  <si>
    <t>320[13, 13, 27, 3]5859</t>
  </si>
  <si>
    <t>[13, 15, 13, 3]</t>
  </si>
  <si>
    <t>320[13, 15, 13, 3]4849</t>
  </si>
  <si>
    <t>[13, 15, 15, 3]</t>
  </si>
  <si>
    <t>320[13, 15, 15, 3]5051</t>
  </si>
  <si>
    <t>[13, 15, 17, 3]</t>
  </si>
  <si>
    <t>320[13, 15, 17, 3]5253</t>
  </si>
  <si>
    <t>[13, 15, 19, 3]</t>
  </si>
  <si>
    <t>320[13, 15, 19, 3]5455</t>
  </si>
  <si>
    <t>[13, 15, 21, 3]</t>
  </si>
  <si>
    <t>320[13, 15, 21, 3]5657</t>
  </si>
  <si>
    <t>[13, 15, 23, 3]</t>
  </si>
  <si>
    <t>320[13, 15, 23, 3]5859</t>
  </si>
  <si>
    <t>[13, 15, 25, 3]</t>
  </si>
  <si>
    <t>320[13, 15, 25, 3]6061</t>
  </si>
  <si>
    <t>[13, 15, 27, 3]</t>
  </si>
  <si>
    <t>320[13, 15, 27, 3]6263</t>
  </si>
  <si>
    <t>[13, 17, 13, 3]</t>
  </si>
  <si>
    <t>320[13, 17, 13, 3]5152</t>
  </si>
  <si>
    <t>[13, 17, 15, 3]</t>
  </si>
  <si>
    <t>320[13, 17, 15, 3]5354</t>
  </si>
  <si>
    <t>[13, 17, 17, 3]</t>
  </si>
  <si>
    <t>320[13, 17, 17, 3]5556</t>
  </si>
  <si>
    <t>[13, 17, 19, 3]</t>
  </si>
  <si>
    <t>320[13, 17, 19, 3]5859</t>
  </si>
  <si>
    <t>[13, 17, 21, 3]</t>
  </si>
  <si>
    <t>320[13, 17, 21, 3]6061</t>
  </si>
  <si>
    <t>[13, 17, 23, 3]</t>
  </si>
  <si>
    <t>320[13, 17, 23, 3]6263</t>
  </si>
  <si>
    <t>[13, 17, 25, 3]</t>
  </si>
  <si>
    <t>320[13, 17, 25, 3]6465</t>
  </si>
  <si>
    <t>[13, 17, 27, 3]</t>
  </si>
  <si>
    <t>320[13, 17, 27, 3]6566</t>
  </si>
  <si>
    <t>[13, 19, 13, 3]</t>
  </si>
  <si>
    <t>320[13, 19, 13, 3]5455</t>
  </si>
  <si>
    <t>[13, 19, 15, 3]</t>
  </si>
  <si>
    <t>320[13, 19, 15, 3]5657</t>
  </si>
  <si>
    <t>[13, 19, 17, 3]</t>
  </si>
  <si>
    <t>320[13, 19, 17, 3]5960</t>
  </si>
  <si>
    <t>[13, 19, 19, 3]</t>
  </si>
  <si>
    <t>320[13, 19, 19, 3]6162</t>
  </si>
  <si>
    <t>[13, 19, 21, 3]</t>
  </si>
  <si>
    <t>320[13, 19, 21, 3]6364</t>
  </si>
  <si>
    <t>[13, 19, 23, 3]</t>
  </si>
  <si>
    <t>320[13, 19, 23, 3]6566</t>
  </si>
  <si>
    <t>[13, 19, 25, 3]</t>
  </si>
  <si>
    <t>320[13, 19, 25, 3]6768</t>
  </si>
  <si>
    <t>[13, 19, 27, 3]</t>
  </si>
  <si>
    <t>320[13, 19, 27, 3]6970</t>
  </si>
  <si>
    <t>[13, 21, 13, 3]</t>
  </si>
  <si>
    <t>320[13, 21, 13, 3]5758</t>
  </si>
  <si>
    <t>[13, 21, 15, 3]</t>
  </si>
  <si>
    <t>320[13, 21, 15, 3]5960</t>
  </si>
  <si>
    <t>[13, 21, 17, 3]</t>
  </si>
  <si>
    <t>320[13, 21, 17, 3]6263</t>
  </si>
  <si>
    <t>[13, 21, 19, 3]</t>
  </si>
  <si>
    <t>320[13, 21, 19, 3]6465</t>
  </si>
  <si>
    <t>[13, 21, 21, 3]</t>
  </si>
  <si>
    <t>320[13, 21, 21, 3]6667</t>
  </si>
  <si>
    <t>[13, 21, 23, 3]</t>
  </si>
  <si>
    <t>320[13, 21, 23, 3]6869</t>
  </si>
  <si>
    <t>[13, 21, 25, 3]</t>
  </si>
  <si>
    <t>320[13, 21, 25, 3]7071</t>
  </si>
  <si>
    <t>[13, 21, 27, 3]</t>
  </si>
  <si>
    <t>320[13, 21, 27, 3]7273</t>
  </si>
  <si>
    <t>[13, 9, 3]</t>
  </si>
  <si>
    <t>330[13, 9, 3]2930</t>
  </si>
  <si>
    <t>[13, 11, 3]</t>
  </si>
  <si>
    <t>330[13, 11, 3]3334</t>
  </si>
  <si>
    <t>330[13, 13, 3]3637</t>
  </si>
  <si>
    <t>330[13, 15, 3]3940</t>
  </si>
  <si>
    <t>330[13, 17, 3]4243</t>
  </si>
  <si>
    <t>330[13, 19, 3]4445</t>
  </si>
  <si>
    <t>330[13, 21, 3]4748</t>
  </si>
  <si>
    <t>330[13, 23, 3]4950</t>
  </si>
  <si>
    <t>330[13, 25, 3]5253</t>
  </si>
  <si>
    <t>330[13, 27, 3]5455</t>
  </si>
  <si>
    <t>330[13, 13, 13, 3]5051</t>
  </si>
  <si>
    <t>330[13, 13, 15, 3]5253</t>
  </si>
  <si>
    <t>330[13, 13, 17, 3]5455</t>
  </si>
  <si>
    <t>330[13, 13, 19, 3]5758</t>
  </si>
  <si>
    <t>330[13, 13, 21, 3]5960</t>
  </si>
  <si>
    <t>330[13, 13, 23, 3]6162</t>
  </si>
  <si>
    <t>330[13, 13, 25, 3]6364</t>
  </si>
  <si>
    <t>330[13, 13, 27, 3]6465</t>
  </si>
  <si>
    <t>330[13, 15, 13, 3]5455</t>
  </si>
  <si>
    <t>330[13, 15, 15, 3]5657</t>
  </si>
  <si>
    <t>330[13, 15, 17, 3]5859</t>
  </si>
  <si>
    <t>330[13, 15, 19, 3]6162</t>
  </si>
  <si>
    <t>330[13, 15, 21, 3]6364</t>
  </si>
  <si>
    <t>330[13, 15, 23, 3]6566</t>
  </si>
  <si>
    <t>330[13, 15, 25, 3]6768</t>
  </si>
  <si>
    <t>330[13, 15, 27, 3]6970</t>
  </si>
  <si>
    <t>330[13, 17, 13, 3]5758</t>
  </si>
  <si>
    <t>330[13, 17, 15, 3]6061</t>
  </si>
  <si>
    <t>330[13, 17, 17, 3]6263</t>
  </si>
  <si>
    <t>330[13, 17, 19, 3]6465</t>
  </si>
  <si>
    <t>330[13, 17, 21, 3]6768</t>
  </si>
  <si>
    <t>330[13, 17, 23, 3]6970</t>
  </si>
  <si>
    <t>330[13, 17, 25, 3]7172</t>
  </si>
  <si>
    <t>330[13, 17, 27, 3]7374</t>
  </si>
  <si>
    <t>330[13, 19, 13, 3]6061</t>
  </si>
  <si>
    <t>330[13, 19, 15, 3]6364</t>
  </si>
  <si>
    <t>330[13, 19, 17, 3]6667</t>
  </si>
  <si>
    <t>330[13, 19, 19, 3]6869</t>
  </si>
  <si>
    <t>330[13, 19, 21, 3]7071</t>
  </si>
  <si>
    <t>330[13, 19, 23, 3]7374</t>
  </si>
  <si>
    <t>330[13, 19, 25, 3]7576</t>
  </si>
  <si>
    <t>330[13, 19, 27, 3]7778</t>
  </si>
  <si>
    <t>330[13, 21, 13, 3]6364</t>
  </si>
  <si>
    <t>330[13, 21, 15, 3]6667</t>
  </si>
  <si>
    <t>330[13, 21, 17, 3]6970</t>
  </si>
  <si>
    <t>330[13, 21, 19, 3]7172</t>
  </si>
  <si>
    <t>330[13, 21, 21, 3]7475</t>
  </si>
  <si>
    <t>330[13, 21, 23, 3]7677</t>
  </si>
  <si>
    <t>330[13, 21, 25, 3]7980</t>
  </si>
  <si>
    <t>330[13, 21, 27, 3]8182</t>
  </si>
  <si>
    <t>340[13, 9, 3]3233</t>
  </si>
  <si>
    <t>340[13, 11, 3]3637</t>
  </si>
  <si>
    <t>340[13, 13, 3]4041</t>
  </si>
  <si>
    <t>340[13, 15, 3]4344</t>
  </si>
  <si>
    <t>340[13, 17, 3]4647</t>
  </si>
  <si>
    <t>340[13, 19, 3]4950</t>
  </si>
  <si>
    <t>340[13, 21, 3]5253</t>
  </si>
  <si>
    <t>340[13, 23, 3]5455</t>
  </si>
  <si>
    <t>340[13, 25, 3]5758</t>
  </si>
  <si>
    <t>340[13, 27, 3]5960</t>
  </si>
  <si>
    <t>340[13, 13, 13, 3]5556</t>
  </si>
  <si>
    <t>340[13, 13, 15, 3]5758</t>
  </si>
  <si>
    <t>340[13, 13, 17, 3]6061</t>
  </si>
  <si>
    <t>340[13, 13, 19, 3]6263</t>
  </si>
  <si>
    <t>340[13, 13, 21, 3]6465</t>
  </si>
  <si>
    <t>340[13, 13, 23, 3]6667</t>
  </si>
  <si>
    <t>340[13, 13, 25, 3]6970</t>
  </si>
  <si>
    <t>340[13, 13, 27, 3]7172</t>
  </si>
  <si>
    <t>340[13, 15, 13, 3]5960</t>
  </si>
  <si>
    <t>340[13, 15, 15, 3]6162</t>
  </si>
  <si>
    <t>340[13, 15, 17, 3]6465</t>
  </si>
  <si>
    <t>340[13, 15, 19, 3]6667</t>
  </si>
  <si>
    <t>340[13, 15, 21, 3]6970</t>
  </si>
  <si>
    <t>340[13, 15, 23, 3]7172</t>
  </si>
  <si>
    <t>340[13, 15, 25, 3]7374</t>
  </si>
  <si>
    <t>340[13, 15, 27, 3]7576</t>
  </si>
  <si>
    <t>340[13, 17, 13, 3]6364</t>
  </si>
  <si>
    <t>340[13, 17, 15, 3]6566</t>
  </si>
  <si>
    <t>340[13, 17, 17, 3]6869</t>
  </si>
  <si>
    <t>340[13, 17, 19, 3]7172</t>
  </si>
  <si>
    <t>340[13, 17, 21, 3]7374</t>
  </si>
  <si>
    <t>340[13, 17, 23, 3]7576</t>
  </si>
  <si>
    <t>340[13, 17, 25, 3]7879</t>
  </si>
  <si>
    <t>340[13, 17, 27, 3]8081</t>
  </si>
  <si>
    <t>340[13, 19, 13, 3]6667</t>
  </si>
  <si>
    <t>340[13, 19, 15, 3]6970</t>
  </si>
  <si>
    <t>340[13, 19, 17, 3]7273</t>
  </si>
  <si>
    <t>340[13, 19, 19, 3]7475</t>
  </si>
  <si>
    <t>340[13, 19, 21, 3]7778</t>
  </si>
  <si>
    <t>340[13, 19, 23, 3]8081</t>
  </si>
  <si>
    <t>340[13, 19, 25, 3]8283</t>
  </si>
  <si>
    <t>340[13, 19, 27, 3]8485</t>
  </si>
  <si>
    <t>340[13, 21, 13, 3]7071</t>
  </si>
  <si>
    <t>340[13, 21, 15, 3]7374</t>
  </si>
  <si>
    <t>340[13, 21, 17, 3]7576</t>
  </si>
  <si>
    <t>340[13, 21, 19, 3]7879</t>
  </si>
  <si>
    <t>340[13, 21, 21, 3]8182</t>
  </si>
  <si>
    <t>340[13, 21, 23, 3]8485</t>
  </si>
  <si>
    <t>340[13, 21, 25, 3]8687</t>
  </si>
  <si>
    <t>340[13, 21, 27, 3]8990</t>
  </si>
  <si>
    <t>350[13, 9, 3]3536</t>
  </si>
  <si>
    <t>350[13, 11, 3]3940</t>
  </si>
  <si>
    <t>350[13, 13, 3]4344</t>
  </si>
  <si>
    <t>350[13, 15, 3]4647</t>
  </si>
  <si>
    <t>350[13, 17, 3]5051</t>
  </si>
  <si>
    <t>350[13, 19, 3]5354</t>
  </si>
  <si>
    <t>350[13, 21, 3]5657</t>
  </si>
  <si>
    <t>350[13, 23, 3]5960</t>
  </si>
  <si>
    <t>350[13, 25, 3]6162</t>
  </si>
  <si>
    <t>350[13, 27, 3]6465</t>
  </si>
  <si>
    <t>350[13, 13, 13, 3]5960</t>
  </si>
  <si>
    <t>350[13, 13, 15, 3]6263</t>
  </si>
  <si>
    <t>350[13, 13, 17, 3]6566</t>
  </si>
  <si>
    <t>350[13, 13, 19, 3]6768</t>
  </si>
  <si>
    <t>350[13, 13, 21, 3]7071</t>
  </si>
  <si>
    <t>350[13, 13, 23, 3]7273</t>
  </si>
  <si>
    <t>350[13, 13, 25, 3]7475</t>
  </si>
  <si>
    <t>350[13, 13, 27, 3]7677</t>
  </si>
  <si>
    <t>350[13, 15, 13, 3]6465</t>
  </si>
  <si>
    <t>350[13, 15, 15, 3]6768</t>
  </si>
  <si>
    <t>350[13, 15, 17, 3]6970</t>
  </si>
  <si>
    <t>350[13, 15, 19, 3]7273</t>
  </si>
  <si>
    <t>350[13, 15, 21, 3]7475</t>
  </si>
  <si>
    <t>350[13, 15, 23, 3]7778</t>
  </si>
  <si>
    <t>350[13, 15, 25, 3]7980</t>
  </si>
  <si>
    <t>350[13, 15, 27, 3]8283</t>
  </si>
  <si>
    <t>350[13, 17, 13, 3]6869</t>
  </si>
  <si>
    <t>350[13, 17, 15, 3]7172</t>
  </si>
  <si>
    <t>350[13, 17, 17, 3]7475</t>
  </si>
  <si>
    <t>350[13, 17, 19, 3]7677</t>
  </si>
  <si>
    <t>350[13, 17, 21, 3]7980</t>
  </si>
  <si>
    <t>350[13, 17, 23, 3]8283</t>
  </si>
  <si>
    <t>350[13, 17, 25, 3]8485</t>
  </si>
  <si>
    <t>350[13, 17, 27, 3]8687</t>
  </si>
  <si>
    <t>350[13, 19, 13, 3]7273</t>
  </si>
  <si>
    <t>350[13, 19, 15, 3]7576</t>
  </si>
  <si>
    <t>350[13, 19, 17, 3]7879</t>
  </si>
  <si>
    <t>350[13, 19, 19, 3]8182</t>
  </si>
  <si>
    <t>350[13, 19, 21, 3]8384</t>
  </si>
  <si>
    <t>350[13, 19, 23, 3]8687</t>
  </si>
  <si>
    <t>350[13, 19, 25, 3]8990</t>
  </si>
  <si>
    <t>350[13, 19, 27, 3]9192</t>
  </si>
  <si>
    <t>350[13, 21, 13, 3]7576</t>
  </si>
  <si>
    <t>350[13, 21, 15, 3]7879</t>
  </si>
  <si>
    <t>350[13, 21, 17, 3]8283</t>
  </si>
  <si>
    <t>350[13, 21, 19, 3]8586</t>
  </si>
  <si>
    <t>350[13, 21, 21, 3]8788</t>
  </si>
  <si>
    <t>350[13, 21, 23, 3]9091</t>
  </si>
  <si>
    <t>350[13, 21, 25, 3]9394</t>
  </si>
  <si>
    <t>350[13, 21, 27, 3]9697</t>
  </si>
  <si>
    <t>520[13, 9, 3]2829</t>
  </si>
  <si>
    <t>520[13, 11, 3]3132</t>
  </si>
  <si>
    <t>520[13, 13, 3]3536</t>
  </si>
  <si>
    <t>520[13, 15, 3]3839</t>
  </si>
  <si>
    <t>520[13, 17, 3]4041</t>
  </si>
  <si>
    <t>520[13, 19, 3]4344</t>
  </si>
  <si>
    <t>520[13, 21, 3]4546</t>
  </si>
  <si>
    <t>520[13, 23, 3]4849</t>
  </si>
  <si>
    <t>520[13, 25, 3]5051</t>
  </si>
  <si>
    <t>520[13, 27, 3]5253</t>
  </si>
  <si>
    <t>520[13, 13, 13, 3]4849</t>
  </si>
  <si>
    <t>520[13, 13, 15, 3]5051</t>
  </si>
  <si>
    <t>520[13, 13, 17, 3]5354</t>
  </si>
  <si>
    <t>520[13, 13, 19, 3]5556</t>
  </si>
  <si>
    <t>520[13, 13, 21, 3]5758</t>
  </si>
  <si>
    <t>520[13, 13, 23, 3]5960</t>
  </si>
  <si>
    <t>520[13, 13, 25, 3]6061</t>
  </si>
  <si>
    <t>520[13, 13, 27, 3]6263</t>
  </si>
  <si>
    <t>520[13, 15, 13, 3]5253</t>
  </si>
  <si>
    <t>520[13, 15, 15, 3]5455</t>
  </si>
  <si>
    <t>520[13, 15, 17, 3]5657</t>
  </si>
  <si>
    <t>520[13, 15, 19, 3]5960</t>
  </si>
  <si>
    <t>520[13, 15, 21, 3]6162</t>
  </si>
  <si>
    <t>520[13, 15, 23, 3]6364</t>
  </si>
  <si>
    <t>520[13, 15, 25, 3]6566</t>
  </si>
  <si>
    <t>520[13, 15, 27, 3]6768</t>
  </si>
  <si>
    <t>520[13, 17, 13, 3]5556</t>
  </si>
  <si>
    <t>520[13, 17, 15, 3]5859</t>
  </si>
  <si>
    <t>520[13, 17, 17, 3]6061</t>
  </si>
  <si>
    <t>520[13, 17, 19, 3]6263</t>
  </si>
  <si>
    <t>520[13, 17, 21, 3]6465</t>
  </si>
  <si>
    <t>520[13, 17, 23, 3]6768</t>
  </si>
  <si>
    <t>520[13, 17, 25, 3]6970</t>
  </si>
  <si>
    <t>520[13, 17, 27, 3]7172</t>
  </si>
  <si>
    <t>520[13, 19, 13, 3]5859</t>
  </si>
  <si>
    <t>520[13, 19, 15, 3]6162</t>
  </si>
  <si>
    <t>520[13, 19, 17, 3]6364</t>
  </si>
  <si>
    <t>520[13, 19, 19, 3]6667</t>
  </si>
  <si>
    <t>520[13, 19, 21, 3]6869</t>
  </si>
  <si>
    <t>520[13, 19, 23, 3]7071</t>
  </si>
  <si>
    <t>520[13, 19, 25, 3]7273</t>
  </si>
  <si>
    <t>520[13, 19, 27, 3]7475</t>
  </si>
  <si>
    <t>520[13, 21, 13, 3]6162</t>
  </si>
  <si>
    <t>520[13, 21, 15, 3]6465</t>
  </si>
  <si>
    <t>520[13, 21, 17, 3]6768</t>
  </si>
  <si>
    <t>520[13, 21, 19, 3]6970</t>
  </si>
  <si>
    <t>520[13, 21, 21, 3]7172</t>
  </si>
  <si>
    <t>520[13, 21, 23, 3]7475</t>
  </si>
  <si>
    <t>520[13, 21, 25, 3]7677</t>
  </si>
  <si>
    <t>520[13, 21, 27, 3]7879</t>
  </si>
  <si>
    <t>530[13, 9, 3]3132</t>
  </si>
  <si>
    <t>530[13, 11, 3]3536</t>
  </si>
  <si>
    <t>530[13, 13, 3]3839</t>
  </si>
  <si>
    <t>530[13, 15, 3]4243</t>
  </si>
  <si>
    <t>530[13, 17, 3]4546</t>
  </si>
  <si>
    <t>530[13, 19, 3]4748</t>
  </si>
  <si>
    <t>530[13, 21, 3]5051</t>
  </si>
  <si>
    <t>530[13, 23, 3]5354</t>
  </si>
  <si>
    <t>530[13, 25, 3]5556</t>
  </si>
  <si>
    <t>530[13, 27, 3]5758</t>
  </si>
  <si>
    <t>530[13, 13, 13, 3]5354</t>
  </si>
  <si>
    <t>530[13, 13, 15, 3]5657</t>
  </si>
  <si>
    <t>530[13, 13, 17, 3]5859</t>
  </si>
  <si>
    <t>530[13, 13, 19, 3]6061</t>
  </si>
  <si>
    <t>530[13, 13, 21, 3]6263</t>
  </si>
  <si>
    <t>530[13, 13, 23, 3]6566</t>
  </si>
  <si>
    <t>530[13, 13, 25, 3]6768</t>
  </si>
  <si>
    <t>530[13, 13, 27, 3]6970</t>
  </si>
  <si>
    <t>530[13, 15, 13, 3]5758</t>
  </si>
  <si>
    <t>530[13, 15, 15, 3]6061</t>
  </si>
  <si>
    <t>530[13, 15, 17, 3]6263</t>
  </si>
  <si>
    <t>530[13, 15, 19, 3]6566</t>
  </si>
  <si>
    <t>530[13, 15, 21, 3]6768</t>
  </si>
  <si>
    <t>530[13, 15, 23, 3]6970</t>
  </si>
  <si>
    <t>530[13, 15, 25, 3]7172</t>
  </si>
  <si>
    <t>530[13, 15, 27, 3]7374</t>
  </si>
  <si>
    <t>530[13, 17, 13, 3]6162</t>
  </si>
  <si>
    <t>530[13, 17, 15, 3]6465</t>
  </si>
  <si>
    <t>530[13, 17, 17, 3]6667</t>
  </si>
  <si>
    <t>530[13, 17, 19, 3]6970</t>
  </si>
  <si>
    <t>530[13, 17, 21, 3]7172</t>
  </si>
  <si>
    <t>530[13, 17, 23, 3]7374</t>
  </si>
  <si>
    <t>530[13, 17, 25, 3]7677</t>
  </si>
  <si>
    <t>530[13, 17, 27, 3]7879</t>
  </si>
  <si>
    <t>530[13, 19, 13, 3]6465</t>
  </si>
  <si>
    <t>530[13, 19, 15, 3]6768</t>
  </si>
  <si>
    <t>530[13, 19, 17, 3]7071</t>
  </si>
  <si>
    <t>530[13, 19, 19, 3]7273</t>
  </si>
  <si>
    <t>530[13, 19, 21, 3]7576</t>
  </si>
  <si>
    <t>530[13, 19, 23, 3]7778</t>
  </si>
  <si>
    <t>530[13, 19, 25, 3]8081</t>
  </si>
  <si>
    <t>530[13, 19, 27, 3]8283</t>
  </si>
  <si>
    <t>530[13, 21, 13, 3]6869</t>
  </si>
  <si>
    <t>530[13, 21, 15, 3]7071</t>
  </si>
  <si>
    <t>530[13, 21, 17, 3]7374</t>
  </si>
  <si>
    <t>530[13, 21, 19, 3]7677</t>
  </si>
  <si>
    <t>530[13, 21, 21, 3]7980</t>
  </si>
  <si>
    <t>530[13, 21, 23, 3]8182</t>
  </si>
  <si>
    <t>530[13, 21, 25, 3]8485</t>
  </si>
  <si>
    <t>530[13, 21, 27, 3]8687</t>
  </si>
  <si>
    <t>540[13, 9, 3]3435</t>
  </si>
  <si>
    <t>540[13, 11, 3]3839</t>
  </si>
  <si>
    <t>540[13, 13, 3]4243</t>
  </si>
  <si>
    <t>540[13, 15, 3]4546</t>
  </si>
  <si>
    <t>540[13, 17, 3]4849</t>
  </si>
  <si>
    <t>540[13, 19, 3]5253</t>
  </si>
  <si>
    <t>540[13, 21, 3]5455</t>
  </si>
  <si>
    <t>540[13, 23, 3]5758</t>
  </si>
  <si>
    <t>540[13, 25, 3]6061</t>
  </si>
  <si>
    <t>540[13, 27, 3]6263</t>
  </si>
  <si>
    <t>540[13, 13, 13, 3]5859</t>
  </si>
  <si>
    <t>540[13, 13, 15, 3]6162</t>
  </si>
  <si>
    <t>540[13, 13, 17, 3]6364</t>
  </si>
  <si>
    <t>540[13, 13, 19, 3]6566</t>
  </si>
  <si>
    <t>540[13, 13, 21, 3]6869</t>
  </si>
  <si>
    <t>540[13, 13, 23, 3]7071</t>
  </si>
  <si>
    <t>540[13, 13, 25, 3]7273</t>
  </si>
  <si>
    <t>540[13, 13, 27, 3]7475</t>
  </si>
  <si>
    <t>540[13, 15, 13, 3]6263</t>
  </si>
  <si>
    <t>540[13, 15, 15, 3]6566</t>
  </si>
  <si>
    <t>540[13, 15, 17, 3]6869</t>
  </si>
  <si>
    <t>540[13, 15, 19, 3]7071</t>
  </si>
  <si>
    <t>540[13, 15, 21, 3]7374</t>
  </si>
  <si>
    <t>540[13, 15, 23, 3]7576</t>
  </si>
  <si>
    <t>540[13, 15, 25, 3]7778</t>
  </si>
  <si>
    <t>540[13, 15, 27, 3]8081</t>
  </si>
  <si>
    <t>540[13, 17, 13, 3]6667</t>
  </si>
  <si>
    <t>540[13, 17, 15, 3]6970</t>
  </si>
  <si>
    <t>540[13, 17, 17, 3]7273</t>
  </si>
  <si>
    <t>540[13, 17, 19, 3]7475</t>
  </si>
  <si>
    <t>540[13, 17, 21, 3]7778</t>
  </si>
  <si>
    <t>540[13, 17, 23, 3]8081</t>
  </si>
  <si>
    <t>540[13, 17, 25, 3]8283</t>
  </si>
  <si>
    <t>540[13, 17, 27, 3]8485</t>
  </si>
  <si>
    <t>540[13, 19, 13, 3]7071</t>
  </si>
  <si>
    <t>540[13, 19, 15, 3]7374</t>
  </si>
  <si>
    <t>540[13, 19, 17, 3]7677</t>
  </si>
  <si>
    <t>540[13, 19, 19, 3]7980</t>
  </si>
  <si>
    <t>540[13, 19, 21, 3]8182</t>
  </si>
  <si>
    <t>540[13, 19, 23, 3]8485</t>
  </si>
  <si>
    <t>540[13, 19, 25, 3]8687</t>
  </si>
  <si>
    <t>540[13, 19, 27, 3]8990</t>
  </si>
  <si>
    <t>540[13, 21, 13, 3]7374</t>
  </si>
  <si>
    <t>540[13, 21, 15, 3]7778</t>
  </si>
  <si>
    <t>540[13, 21, 17, 3]8081</t>
  </si>
  <si>
    <t>540[13, 21, 19, 3]8283</t>
  </si>
  <si>
    <t>540[13, 21, 21, 3]8586</t>
  </si>
  <si>
    <t>540[13, 21, 23, 3]8889</t>
  </si>
  <si>
    <t>540[13, 21, 25, 3]9192</t>
  </si>
  <si>
    <t>540[13, 21, 27, 3]9394</t>
  </si>
  <si>
    <t>550[13, 9, 3]3738</t>
  </si>
  <si>
    <t>550[13, 11, 3]4142</t>
  </si>
  <si>
    <t>550[13, 13, 3]4546</t>
  </si>
  <si>
    <t>550[13, 15, 3]4950</t>
  </si>
  <si>
    <t>550[13, 17, 3]5253</t>
  </si>
  <si>
    <t>550[13, 19, 3]5556</t>
  </si>
  <si>
    <t>550[13, 21, 3]5960</t>
  </si>
  <si>
    <t>550[13, 23, 3]6162</t>
  </si>
  <si>
    <t>550[13, 25, 3]6465</t>
  </si>
  <si>
    <t>550[13, 27, 3]6768</t>
  </si>
  <si>
    <t>550[13, 13, 13, 3]6263</t>
  </si>
  <si>
    <t>550[13, 13, 15, 3]6566</t>
  </si>
  <si>
    <t>550[13, 13, 17, 3]6869</t>
  </si>
  <si>
    <t>550[13, 13, 19, 3]7071</t>
  </si>
  <si>
    <t>550[13, 13, 21, 3]7374</t>
  </si>
  <si>
    <t>550[13, 13, 23, 3]7576</t>
  </si>
  <si>
    <t>550[13, 13, 25, 3]7879</t>
  </si>
  <si>
    <t>550[13, 13, 27, 3]8081</t>
  </si>
  <si>
    <t>550[13, 15, 13, 3]6768</t>
  </si>
  <si>
    <t>550[13, 15, 15, 3]7071</t>
  </si>
  <si>
    <t>550[13, 15, 17, 3]7374</t>
  </si>
  <si>
    <t>550[13, 15, 19, 3]7576</t>
  </si>
  <si>
    <t>550[13, 15, 21, 3]7879</t>
  </si>
  <si>
    <t>550[13, 15, 23, 3]8081</t>
  </si>
  <si>
    <t>550[13, 15, 25, 3]8384</t>
  </si>
  <si>
    <t>550[13, 15, 27, 3]8586</t>
  </si>
  <si>
    <t>550[13, 17, 13, 3]7172</t>
  </si>
  <si>
    <t>550[13, 17, 15, 3]7475</t>
  </si>
  <si>
    <t>550[13, 17, 17, 3]7778</t>
  </si>
  <si>
    <t>550[13, 17, 19, 3]8081</t>
  </si>
  <si>
    <t>550[13, 17, 21, 3]8384</t>
  </si>
  <si>
    <t>550[13, 17, 23, 3]8586</t>
  </si>
  <si>
    <t>550[13, 17, 25, 3]8889</t>
  </si>
  <si>
    <t>550[13, 17, 27, 3]9192</t>
  </si>
  <si>
    <t>550[13, 19, 13, 3]7576</t>
  </si>
  <si>
    <t>550[13, 19, 15, 3]7879</t>
  </si>
  <si>
    <t>550[13, 19, 17, 3]8182</t>
  </si>
  <si>
    <t>550[13, 19, 19, 3]8485</t>
  </si>
  <si>
    <t>550[13, 19, 21, 3]8788</t>
  </si>
  <si>
    <t>550[13, 19, 23, 3]9091</t>
  </si>
  <si>
    <t>550[13, 19, 25, 3]9394</t>
  </si>
  <si>
    <t>550[13, 19, 27, 3]9596</t>
  </si>
  <si>
    <t>550[13, 21, 13, 3]7980</t>
  </si>
  <si>
    <t>550[13, 21, 15, 3]8283</t>
  </si>
  <si>
    <t>550[13, 21, 17, 3]8586</t>
  </si>
  <si>
    <t>550[13, 21, 19, 3]8990</t>
  </si>
  <si>
    <t>550[13, 21, 21, 3]9293</t>
  </si>
  <si>
    <t>550[13, 21, 23, 3]9495</t>
  </si>
  <si>
    <t>550[13, 21, 25, 3]9798</t>
  </si>
  <si>
    <t>550[13, 21, 27, 3]100101</t>
  </si>
  <si>
    <t>920[13, 9, 3]3233</t>
  </si>
  <si>
    <t>920[13, 11, 3]3637</t>
  </si>
  <si>
    <t>920[13, 13, 3]4041</t>
  </si>
  <si>
    <t>920[13, 15, 3]4344</t>
  </si>
  <si>
    <t>920[13, 17, 3]4647</t>
  </si>
  <si>
    <t>920[13, 19, 3]4950</t>
  </si>
  <si>
    <t>920[13, 21, 3]5253</t>
  </si>
  <si>
    <t>920[13, 23, 3]5455</t>
  </si>
  <si>
    <t>920[13, 25, 3]5758</t>
  </si>
  <si>
    <t>920[13, 27, 3]5960</t>
  </si>
  <si>
    <t>920[13, 13, 13, 3]5556</t>
  </si>
  <si>
    <t>920[13, 13, 15, 3]5758</t>
  </si>
  <si>
    <t>920[13, 13, 17, 3]6061</t>
  </si>
  <si>
    <t>920[13, 13, 19, 3]6263</t>
  </si>
  <si>
    <t>920[13, 13, 21, 3]6465</t>
  </si>
  <si>
    <t>920[13, 13, 23, 3]6667</t>
  </si>
  <si>
    <t>920[13, 13, 25, 3]6970</t>
  </si>
  <si>
    <t>920[13, 13, 27, 3]7172</t>
  </si>
  <si>
    <t>920[13, 15, 13, 3]5960</t>
  </si>
  <si>
    <t>920[13, 15, 15, 3]6162</t>
  </si>
  <si>
    <t>920[13, 15, 17, 3]6465</t>
  </si>
  <si>
    <t>920[13, 15, 19, 3]6667</t>
  </si>
  <si>
    <t>920[13, 15, 21, 3]6970</t>
  </si>
  <si>
    <t>920[13, 15, 23, 3]7172</t>
  </si>
  <si>
    <t>920[13, 15, 25, 3]7374</t>
  </si>
  <si>
    <t>920[13, 15, 27, 3]7576</t>
  </si>
  <si>
    <t>920[13, 17, 13, 3]6364</t>
  </si>
  <si>
    <t>920[13, 17, 15, 3]6566</t>
  </si>
  <si>
    <t>920[13, 17, 17, 3]6869</t>
  </si>
  <si>
    <t>920[13, 17, 19, 3]7172</t>
  </si>
  <si>
    <t>920[13, 17, 21, 3]7374</t>
  </si>
  <si>
    <t>920[13, 17, 23, 3]7576</t>
  </si>
  <si>
    <t>920[13, 17, 25, 3]7879</t>
  </si>
  <si>
    <t>920[13, 17, 27, 3]8081</t>
  </si>
  <si>
    <t>920[13, 19, 13, 3]6667</t>
  </si>
  <si>
    <t>920[13, 19, 15, 3]6970</t>
  </si>
  <si>
    <t>920[13, 19, 17, 3]7273</t>
  </si>
  <si>
    <t>920[13, 19, 19, 3]7475</t>
  </si>
  <si>
    <t>920[13, 19, 21, 3]7778</t>
  </si>
  <si>
    <t>920[13, 19, 23, 3]8081</t>
  </si>
  <si>
    <t>920[13, 19, 25, 3]8283</t>
  </si>
  <si>
    <t>920[13, 19, 27, 3]8485</t>
  </si>
  <si>
    <t>920[13, 21, 13, 3]7071</t>
  </si>
  <si>
    <t>920[13, 21, 15, 3]7374</t>
  </si>
  <si>
    <t>920[13, 21, 17, 3]7576</t>
  </si>
  <si>
    <t>920[13, 21, 19, 3]7879</t>
  </si>
  <si>
    <t>920[13, 21, 21, 3]8182</t>
  </si>
  <si>
    <t>920[13, 21, 23, 3]8485</t>
  </si>
  <si>
    <t>920[13, 21, 25, 3]8687</t>
  </si>
  <si>
    <t>920[13, 21, 27, 3]8990</t>
  </si>
  <si>
    <t>930[13, 9, 3]3536</t>
  </si>
  <si>
    <t>930[13, 11, 3]3940</t>
  </si>
  <si>
    <t>930[13, 13, 3]4344</t>
  </si>
  <si>
    <t>930[13, 15, 3]4647</t>
  </si>
  <si>
    <t>930[13, 17, 3]5051</t>
  </si>
  <si>
    <t>930[13, 19, 3]5354</t>
  </si>
  <si>
    <t>930[13, 21, 3]5657</t>
  </si>
  <si>
    <t>930[13, 23, 3]5960</t>
  </si>
  <si>
    <t>930[13, 25, 3]6162</t>
  </si>
  <si>
    <t>930[13, 27, 3]6465</t>
  </si>
  <si>
    <t>930[13, 13, 13, 3]5960</t>
  </si>
  <si>
    <t>930[13, 13, 15, 3]6263</t>
  </si>
  <si>
    <t>930[13, 13, 17, 3]6566</t>
  </si>
  <si>
    <t>930[13, 13, 19, 3]6768</t>
  </si>
  <si>
    <t>930[13, 13, 21, 3]7071</t>
  </si>
  <si>
    <t>930[13, 13, 23, 3]7273</t>
  </si>
  <si>
    <t>930[13, 13, 25, 3]7475</t>
  </si>
  <si>
    <t>930[13, 13, 27, 3]7677</t>
  </si>
  <si>
    <t>930[13, 15, 13, 3]6465</t>
  </si>
  <si>
    <t>930[13, 15, 15, 3]6768</t>
  </si>
  <si>
    <t>930[13, 15, 17, 3]6970</t>
  </si>
  <si>
    <t>930[13, 15, 19, 3]7273</t>
  </si>
  <si>
    <t>930[13, 15, 21, 3]7475</t>
  </si>
  <si>
    <t>930[13, 15, 23, 3]7778</t>
  </si>
  <si>
    <t>930[13, 15, 25, 3]7980</t>
  </si>
  <si>
    <t>930[13, 15, 27, 3]8283</t>
  </si>
  <si>
    <t>930[13, 17, 13, 3]6869</t>
  </si>
  <si>
    <t>930[13, 17, 15, 3]7172</t>
  </si>
  <si>
    <t>930[13, 17, 17, 3]7475</t>
  </si>
  <si>
    <t>930[13, 17, 19, 3]7677</t>
  </si>
  <si>
    <t>930[13, 17, 21, 3]7980</t>
  </si>
  <si>
    <t>930[13, 17, 23, 3]8283</t>
  </si>
  <si>
    <t>930[13, 17, 25, 3]8485</t>
  </si>
  <si>
    <t>930[13, 17, 27, 3]8687</t>
  </si>
  <si>
    <t>930[13, 19, 13, 3]7273</t>
  </si>
  <si>
    <t>930[13, 19, 15, 3]7576</t>
  </si>
  <si>
    <t>930[13, 19, 17, 3]7879</t>
  </si>
  <si>
    <t>930[13, 19, 19, 3]8182</t>
  </si>
  <si>
    <t>930[13, 19, 21, 3]8384</t>
  </si>
  <si>
    <t>930[13, 19, 23, 3]8687</t>
  </si>
  <si>
    <t>930[13, 19, 25, 3]8990</t>
  </si>
  <si>
    <t>930[13, 19, 27, 3]9192</t>
  </si>
  <si>
    <t>930[13, 21, 13, 3]7576</t>
  </si>
  <si>
    <t>930[13, 21, 15, 3]7879</t>
  </si>
  <si>
    <t>930[13, 21, 17, 3]8283</t>
  </si>
  <si>
    <t>930[13, 21, 19, 3]8586</t>
  </si>
  <si>
    <t>930[13, 21, 21, 3]8788</t>
  </si>
  <si>
    <t>930[13, 21, 23, 3]9091</t>
  </si>
  <si>
    <t>930[13, 21, 25, 3]9394</t>
  </si>
  <si>
    <t>930[13, 21, 27, 3]9697</t>
  </si>
  <si>
    <t>940[13, 9, 3]3738</t>
  </si>
  <si>
    <t>940[13, 11, 3]4243</t>
  </si>
  <si>
    <t>940[13, 13, 3]4647</t>
  </si>
  <si>
    <t>940[13, 15, 3]5051</t>
  </si>
  <si>
    <t>940[13, 17, 3]5354</t>
  </si>
  <si>
    <t>940[13, 19, 3]5758</t>
  </si>
  <si>
    <t>940[13, 21, 3]6061</t>
  </si>
  <si>
    <t>940[13, 23, 3]6364</t>
  </si>
  <si>
    <t>940[13, 25, 3]6667</t>
  </si>
  <si>
    <t>940[13, 27, 3]6869</t>
  </si>
  <si>
    <t>940[13, 13, 13, 3]6465</t>
  </si>
  <si>
    <t>940[13, 13, 15, 3]6768</t>
  </si>
  <si>
    <t>940[13, 13, 17, 3]6970</t>
  </si>
  <si>
    <t>940[13, 13, 19, 3]7273</t>
  </si>
  <si>
    <t>940[13, 13, 21, 3]7475</t>
  </si>
  <si>
    <t>940[13, 13, 23, 3]7778</t>
  </si>
  <si>
    <t>940[13, 13, 25, 3]7980</t>
  </si>
  <si>
    <t>940[13, 13, 27, 3]8283</t>
  </si>
  <si>
    <t>940[13, 15, 13, 3]6869</t>
  </si>
  <si>
    <t>940[13, 15, 15, 3]7172</t>
  </si>
  <si>
    <t>940[13, 15, 17, 3]7475</t>
  </si>
  <si>
    <t>940[13, 15, 19, 3]7778</t>
  </si>
  <si>
    <t>940[13, 15, 21, 3]8081</t>
  </si>
  <si>
    <t>940[13, 15, 23, 3]8283</t>
  </si>
  <si>
    <t>940[13, 15, 25, 3]8586</t>
  </si>
  <si>
    <t>940[13, 15, 27, 3]8788</t>
  </si>
  <si>
    <t>940[13, 17, 13, 3]7374</t>
  </si>
  <si>
    <t>940[13, 17, 15, 3]7677</t>
  </si>
  <si>
    <t>940[13, 17, 17, 3]7980</t>
  </si>
  <si>
    <t>940[13, 17, 19, 3]8283</t>
  </si>
  <si>
    <t>940[13, 17, 21, 3]8485</t>
  </si>
  <si>
    <t>940[13, 17, 23, 3]8788</t>
  </si>
  <si>
    <t>940[13, 17, 25, 3]9091</t>
  </si>
  <si>
    <t>940[13, 17, 27, 3]9394</t>
  </si>
  <si>
    <t>940[13, 19, 13, 3]7778</t>
  </si>
  <si>
    <t>940[13, 19, 15, 3]8081</t>
  </si>
  <si>
    <t>940[13, 19, 17, 3]8384</t>
  </si>
  <si>
    <t>940[13, 19, 19, 3]8687</t>
  </si>
  <si>
    <t>940[13, 19, 21, 3]8990</t>
  </si>
  <si>
    <t>940[13, 19, 23, 3]9293</t>
  </si>
  <si>
    <t>940[13, 19, 25, 3]9596</t>
  </si>
  <si>
    <t>940[13, 19, 27, 3]9899</t>
  </si>
  <si>
    <t>940[13, 21, 13, 3]8081</t>
  </si>
  <si>
    <t>940[13, 21, 15, 3]8485</t>
  </si>
  <si>
    <t>940[13, 21, 17, 3]8788</t>
  </si>
  <si>
    <t>940[13, 21, 19, 3]9091</t>
  </si>
  <si>
    <t>940[13, 21, 21, 3]9495</t>
  </si>
  <si>
    <t>940[13, 21, 23, 3]9798</t>
  </si>
  <si>
    <t>940[13, 21, 25, 3]99100</t>
  </si>
  <si>
    <t>940[13, 21, 27, 3]102103</t>
  </si>
  <si>
    <t>950[13, 9, 3]4041</t>
  </si>
  <si>
    <t>950[13, 11, 3]4546</t>
  </si>
  <si>
    <t>950[13, 13, 3]4950</t>
  </si>
  <si>
    <t>950[13, 15, 3]5354</t>
  </si>
  <si>
    <t>950[13, 17, 3]5758</t>
  </si>
  <si>
    <t>950[13, 19, 3]6061</t>
  </si>
  <si>
    <t>950[13, 21, 3]6465</t>
  </si>
  <si>
    <t>950[13, 23, 3]6768</t>
  </si>
  <si>
    <t>950[13, 25, 3]7071</t>
  </si>
  <si>
    <t>950[13, 27, 3]7374</t>
  </si>
  <si>
    <t>950[13, 13, 13, 3]6869</t>
  </si>
  <si>
    <t>950[13, 13, 15, 3]7172</t>
  </si>
  <si>
    <t>950[13, 13, 17, 3]7475</t>
  </si>
  <si>
    <t>950[13, 13, 19, 3]7677</t>
  </si>
  <si>
    <t>950[13, 13, 21, 3]7980</t>
  </si>
  <si>
    <t>950[13, 13, 23, 3]8283</t>
  </si>
  <si>
    <t>950[13, 13, 25, 3]8485</t>
  </si>
  <si>
    <t>950[13, 13, 27, 3]8788</t>
  </si>
  <si>
    <t>950[13, 15, 13, 3]7273</t>
  </si>
  <si>
    <t>950[13, 15, 15, 3]7677</t>
  </si>
  <si>
    <t>950[13, 15, 17, 3]7980</t>
  </si>
  <si>
    <t>950[13, 15, 19, 3]8283</t>
  </si>
  <si>
    <t>950[13, 15, 21, 3]8586</t>
  </si>
  <si>
    <t>950[13, 15, 23, 3]8788</t>
  </si>
  <si>
    <t>950[13, 15, 25, 3]9091</t>
  </si>
  <si>
    <t>950[13, 15, 27, 3]9394</t>
  </si>
  <si>
    <t>950[13, 17, 13, 3]7778</t>
  </si>
  <si>
    <t>950[13, 17, 15, 3]8081</t>
  </si>
  <si>
    <t>950[13, 17, 17, 3]8485</t>
  </si>
  <si>
    <t>950[13, 17, 19, 3]8788</t>
  </si>
  <si>
    <t>950[13, 17, 21, 3]9091</t>
  </si>
  <si>
    <t>950[13, 17, 23, 3]9394</t>
  </si>
  <si>
    <t>950[13, 17, 25, 3]9596</t>
  </si>
  <si>
    <t>950[13, 17, 27, 3]9899</t>
  </si>
  <si>
    <t>950[13, 19, 13, 3]8182</t>
  </si>
  <si>
    <t>950[13, 19, 15, 3]8586</t>
  </si>
  <si>
    <t>950[13, 19, 17, 3]8889</t>
  </si>
  <si>
    <t>950[13, 19, 19, 3]9192</t>
  </si>
  <si>
    <t>950[13, 19, 21, 3]9596</t>
  </si>
  <si>
    <t>950[13, 19, 23, 3]9899</t>
  </si>
  <si>
    <t>950[13, 19, 25, 3]101102</t>
  </si>
  <si>
    <t>950[13, 19, 27, 3]103104</t>
  </si>
  <si>
    <t>950[13, 21, 13, 3]8586</t>
  </si>
  <si>
    <t>950[13, 21, 15, 3]8990</t>
  </si>
  <si>
    <t>Digits</t>
  </si>
  <si>
    <t>[64, 104, 10]</t>
  </si>
  <si>
    <t>320[64, 104, 10]205206</t>
  </si>
  <si>
    <t>[64, 106, 10]</t>
  </si>
  <si>
    <t>320[64, 106, 10]207208</t>
  </si>
  <si>
    <t>[64, 108, 10]</t>
  </si>
  <si>
    <t>320[64, 108, 10]209210</t>
  </si>
  <si>
    <t>[64, 110, 10]</t>
  </si>
  <si>
    <t>320[64, 110, 10]211212</t>
  </si>
  <si>
    <t>[64, 112, 10]</t>
  </si>
  <si>
    <t>320[64, 112, 10]213214</t>
  </si>
  <si>
    <t>[64, 114, 10]</t>
  </si>
  <si>
    <t>320[64, 114, 10]215216</t>
  </si>
  <si>
    <t>[64, 116, 10]</t>
  </si>
  <si>
    <t>320[64, 116, 10]217218</t>
  </si>
  <si>
    <t>[64, 118, 10]</t>
  </si>
  <si>
    <t>320[64, 118, 10]219220</t>
  </si>
  <si>
    <t>[64, 120, 10]</t>
  </si>
  <si>
    <t>320[64, 120, 10]221222</t>
  </si>
  <si>
    <t>[64, 122, 10]</t>
  </si>
  <si>
    <t>320[64, 122, 10]223224</t>
  </si>
  <si>
    <t>[64, 124, 10]</t>
  </si>
  <si>
    <t>320[64, 124, 10]225226</t>
  </si>
  <si>
    <t>[64, 126, 10]</t>
  </si>
  <si>
    <t>320[64, 126, 10]227228</t>
  </si>
  <si>
    <t>[64, 128, 10]</t>
  </si>
  <si>
    <t>320[64, 128, 10]229230</t>
  </si>
  <si>
    <t>[64, 130, 10]</t>
  </si>
  <si>
    <t>320[64, 130, 10]231232</t>
  </si>
  <si>
    <t>[64, 48, 10]</t>
  </si>
  <si>
    <t>320[64, 48, 10]133134</t>
  </si>
  <si>
    <t>[64, 50, 10]</t>
  </si>
  <si>
    <t>320[64, 50, 10]137138</t>
  </si>
  <si>
    <t>[64, 52, 10]</t>
  </si>
  <si>
    <t>320[64, 52, 10]140141</t>
  </si>
  <si>
    <t>[64, 54, 10]</t>
  </si>
  <si>
    <t>320[64, 54, 10]143144</t>
  </si>
  <si>
    <t>[64, 56, 10]</t>
  </si>
  <si>
    <t>320[64, 56, 10]146147</t>
  </si>
  <si>
    <t>[64, 58, 10]</t>
  </si>
  <si>
    <t>320[64, 58, 10]148149</t>
  </si>
  <si>
    <t>[64, 60, 10]</t>
  </si>
  <si>
    <t>320[64, 60, 10]151152</t>
  </si>
  <si>
    <t>[64, 62, 10]</t>
  </si>
  <si>
    <t>320[64, 62, 10]154155</t>
  </si>
  <si>
    <t>[64, 64, 10]</t>
  </si>
  <si>
    <t>320[64, 64, 10]157158</t>
  </si>
  <si>
    <t>[64, 64, 100, 10]</t>
  </si>
  <si>
    <t>320[64, 64, 100, 10]254255</t>
  </si>
  <si>
    <t>[64, 64, 102, 10]</t>
  </si>
  <si>
    <t>320[64, 64, 102, 10]256257</t>
  </si>
  <si>
    <t>[64, 64, 104, 10]</t>
  </si>
  <si>
    <t>320[64, 64, 104, 10]258259</t>
  </si>
  <si>
    <t>[64, 64, 106, 10]</t>
  </si>
  <si>
    <t>320[64, 64, 106, 10]260261</t>
  </si>
  <si>
    <t>[64, 64, 108, 10]</t>
  </si>
  <si>
    <t>320[64, 64, 108, 10]261262</t>
  </si>
  <si>
    <t>[64, 64, 110, 10]</t>
  </si>
  <si>
    <t>320[64, 64, 110, 10]263264</t>
  </si>
  <si>
    <t>[64, 64, 112, 10]</t>
  </si>
  <si>
    <t>320[64, 64, 112, 10]265266</t>
  </si>
  <si>
    <t>[64, 64, 114, 10]</t>
  </si>
  <si>
    <t>320[64, 64, 114, 10]266267</t>
  </si>
  <si>
    <t>[64, 64, 116, 10]</t>
  </si>
  <si>
    <t>320[64, 64, 116, 10]268269</t>
  </si>
  <si>
    <t>[64, 64, 118, 10]</t>
  </si>
  <si>
    <t>320[64, 64, 118, 10]270271</t>
  </si>
  <si>
    <t>[64, 64, 120, 10]</t>
  </si>
  <si>
    <t>320[64, 64, 120, 10]271272</t>
  </si>
  <si>
    <t>[64, 64, 122, 10]</t>
  </si>
  <si>
    <t>320[64, 64, 122, 10]273274</t>
  </si>
  <si>
    <t>[64, 64, 124, 10]</t>
  </si>
  <si>
    <t>320[64, 64, 124, 10]275276</t>
  </si>
  <si>
    <t>[64, 64, 126, 10]</t>
  </si>
  <si>
    <t>320[64, 64, 126, 10]276277</t>
  </si>
  <si>
    <t>[64, 64, 128, 10]</t>
  </si>
  <si>
    <t>320[64, 64, 128, 10]278279</t>
  </si>
  <si>
    <t>[64, 64, 64, 10]</t>
  </si>
  <si>
    <t>320[64, 64, 64, 10]221222</t>
  </si>
  <si>
    <t>[64, 64, 66, 10]</t>
  </si>
  <si>
    <t>320[64, 64, 66, 10]223224</t>
  </si>
  <si>
    <t>[64, 64, 68, 10]</t>
  </si>
  <si>
    <t>320[64, 64, 68, 10]225226</t>
  </si>
  <si>
    <t>[64, 64, 70, 10]</t>
  </si>
  <si>
    <t>320[64, 64, 70, 10]227228</t>
  </si>
  <si>
    <t>[64, 64, 72, 10]</t>
  </si>
  <si>
    <t>320[64, 64, 72, 10]229230</t>
  </si>
  <si>
    <t>[64, 64, 74, 10]</t>
  </si>
  <si>
    <t>320[64, 64, 74, 10]231232</t>
  </si>
  <si>
    <t>[64, 64, 76, 10]</t>
  </si>
  <si>
    <t>320[64, 64, 76, 10]232233</t>
  </si>
  <si>
    <t>[64, 64, 78, 10]</t>
  </si>
  <si>
    <t>320[64, 64, 78, 10]234235</t>
  </si>
  <si>
    <t>[64, 64, 80, 10]</t>
  </si>
  <si>
    <t>320[64, 64, 80, 10]236237</t>
  </si>
  <si>
    <t>[64, 64, 82, 10]</t>
  </si>
  <si>
    <t>320[64, 64, 82, 10]238239</t>
  </si>
  <si>
    <t>[64, 64, 84, 10]</t>
  </si>
  <si>
    <t>320[64, 64, 84, 10]240241</t>
  </si>
  <si>
    <t>[64, 64, 86, 10]</t>
  </si>
  <si>
    <t>320[64, 64, 86, 10]242243</t>
  </si>
  <si>
    <t>[64, 64, 88, 10]</t>
  </si>
  <si>
    <t>320[64, 64, 88, 10]244245</t>
  </si>
  <si>
    <t>[64, 64, 90, 10]</t>
  </si>
  <si>
    <t>320[64, 64, 90, 10]246247</t>
  </si>
  <si>
    <t>[64, 64, 92, 10]</t>
  </si>
  <si>
    <t>320[64, 64, 92, 10]247248</t>
  </si>
  <si>
    <t>[64, 64, 94, 10]</t>
  </si>
  <si>
    <t>320[64, 64, 94, 10]249250</t>
  </si>
  <si>
    <t>[64, 64, 96, 10]</t>
  </si>
  <si>
    <t>320[64, 64, 96, 10]251252</t>
  </si>
  <si>
    <t>[64, 64, 98, 10]</t>
  </si>
  <si>
    <t>320[64, 64, 98, 10]253254</t>
  </si>
  <si>
    <t>[64, 66, 10]</t>
  </si>
  <si>
    <t>320[64, 66, 10]160161</t>
  </si>
  <si>
    <t>[64, 66, 100, 10]</t>
  </si>
  <si>
    <t>320[64, 66, 100, 10]258259</t>
  </si>
  <si>
    <t>[64, 66, 102, 10]</t>
  </si>
  <si>
    <t>320[64, 66, 102, 10]260261</t>
  </si>
  <si>
    <t>[64, 66, 104, 10]</t>
  </si>
  <si>
    <t>320[64, 66, 104, 10]262263</t>
  </si>
  <si>
    <t>[64, 66, 106, 10]</t>
  </si>
  <si>
    <t>320[64, 66, 106, 10]264265</t>
  </si>
  <si>
    <t>[64, 66, 108, 10]</t>
  </si>
  <si>
    <t>320[64, 66, 108, 10]265266</t>
  </si>
  <si>
    <t>[64, 66, 110, 10]</t>
  </si>
  <si>
    <t>320[64, 66, 110, 10]267268</t>
  </si>
  <si>
    <t>[64, 66, 112, 10]</t>
  </si>
  <si>
    <t>320[64, 66, 112, 10]269270</t>
  </si>
  <si>
    <t>[64, 66, 114, 10]</t>
  </si>
  <si>
    <t>320[64, 66, 114, 10]270271</t>
  </si>
  <si>
    <t>[64, 66, 116, 10]</t>
  </si>
  <si>
    <t>320[64, 66, 116, 10]272273</t>
  </si>
  <si>
    <t>[64, 66, 118, 10]</t>
  </si>
  <si>
    <t>320[64, 66, 118, 10]274275</t>
  </si>
  <si>
    <t>[64, 66, 120, 10]</t>
  </si>
  <si>
    <t>320[64, 66, 120, 10]276277</t>
  </si>
  <si>
    <t>[64, 66, 122, 10]</t>
  </si>
  <si>
    <t>320[64, 66, 122, 10]277278</t>
  </si>
  <si>
    <t>[64, 66, 124, 10]</t>
  </si>
  <si>
    <t>320[64, 66, 124, 10]279280</t>
  </si>
  <si>
    <t>[64, 66, 126, 10]</t>
  </si>
  <si>
    <t>320[64, 66, 126, 10]281282</t>
  </si>
  <si>
    <t>[64, 66, 128, 10]</t>
  </si>
  <si>
    <t>320[64, 66, 128, 10]282283</t>
  </si>
  <si>
    <t>[64, 66, 64, 10]</t>
  </si>
  <si>
    <t>320[64, 66, 64, 10]224225</t>
  </si>
  <si>
    <t>[64, 66, 66, 10]</t>
  </si>
  <si>
    <t>320[64, 66, 66, 10]226227</t>
  </si>
  <si>
    <t>[64, 66, 68, 10]</t>
  </si>
  <si>
    <t>320[64, 66, 68, 10]228229</t>
  </si>
  <si>
    <t>[64, 66, 70, 10]</t>
  </si>
  <si>
    <t>320[64, 66, 70, 10]230231</t>
  </si>
  <si>
    <t>[64, 66, 72, 10]</t>
  </si>
  <si>
    <t>320[64, 66, 72, 10]232233</t>
  </si>
  <si>
    <t>[64, 66, 74, 10]</t>
  </si>
  <si>
    <t>320[64, 66, 74, 10]234235</t>
  </si>
  <si>
    <t>[64, 66, 76, 10]</t>
  </si>
  <si>
    <t>320[64, 66, 76, 10]236237</t>
  </si>
  <si>
    <t>[64, 66, 78, 10]</t>
  </si>
  <si>
    <t>320[64, 66, 78, 10]238239</t>
  </si>
  <si>
    <t>[64, 66, 80, 10]</t>
  </si>
  <si>
    <t>320[64, 66, 80, 10]240241</t>
  </si>
  <si>
    <t>[64, 66, 82, 10]</t>
  </si>
  <si>
    <t>320[64, 66, 82, 10]242243</t>
  </si>
  <si>
    <t>[64, 66, 84, 10]</t>
  </si>
  <si>
    <t>320[64, 66, 84, 10]244245</t>
  </si>
  <si>
    <t>[64, 66, 86, 10]</t>
  </si>
  <si>
    <t>320[64, 66, 86, 10]246247</t>
  </si>
  <si>
    <t>[64, 66, 88, 10]</t>
  </si>
  <si>
    <t>320[64, 66, 88, 10]247248</t>
  </si>
  <si>
    <t>[64, 66, 90, 10]</t>
  </si>
  <si>
    <t>320[64, 66, 90, 10]249250</t>
  </si>
  <si>
    <t>[64, 66, 92, 10]</t>
  </si>
  <si>
    <t>320[64, 66, 92, 10]251252</t>
  </si>
  <si>
    <t>[64, 66, 94, 10]</t>
  </si>
  <si>
    <t>320[64, 66, 94, 10]253254</t>
  </si>
  <si>
    <t>[64, 66, 96, 10]</t>
  </si>
  <si>
    <t>320[64, 66, 96, 10]255256</t>
  </si>
  <si>
    <t>[64, 66, 98, 10]</t>
  </si>
  <si>
    <t>320[64, 66, 98, 10]257258</t>
  </si>
  <si>
    <t>[64, 68, 10]</t>
  </si>
  <si>
    <t>320[64, 68, 10]162163</t>
  </si>
  <si>
    <t>[64, 68, 100, 10]</t>
  </si>
  <si>
    <t>320[64, 68, 100, 10]262263</t>
  </si>
  <si>
    <t>[64, 68, 102, 10]</t>
  </si>
  <si>
    <t>320[64, 68, 102, 10]264265</t>
  </si>
  <si>
    <t>[64, 68, 104, 10]</t>
  </si>
  <si>
    <t>320[64, 68, 104, 10]266267</t>
  </si>
  <si>
    <t>[64, 68, 106, 10]</t>
  </si>
  <si>
    <t>320[64, 68, 106, 10]267268</t>
  </si>
  <si>
    <t>[64, 68, 108, 10]</t>
  </si>
  <si>
    <t>320[64, 68, 108, 10]269270</t>
  </si>
  <si>
    <t>[64, 68, 110, 10]</t>
  </si>
  <si>
    <t>320[64, 68, 110, 10]271272</t>
  </si>
  <si>
    <t>[64, 68, 112, 10]</t>
  </si>
  <si>
    <t>320[64, 68, 112, 10]273274</t>
  </si>
  <si>
    <t>[64, 68, 114, 10]</t>
  </si>
  <si>
    <t>320[64, 68, 114, 10]274275</t>
  </si>
  <si>
    <t>[64, 68, 116, 10]</t>
  </si>
  <si>
    <t>320[64, 68, 116, 10]276277</t>
  </si>
  <si>
    <t>[64, 68, 118, 10]</t>
  </si>
  <si>
    <t>320[64, 68, 118, 10]278279</t>
  </si>
  <si>
    <t>[64, 68, 120, 10]</t>
  </si>
  <si>
    <t>320[64, 68, 120, 10]280281</t>
  </si>
  <si>
    <t>[64, 68, 122, 10]</t>
  </si>
  <si>
    <t>320[64, 68, 122, 10]281282</t>
  </si>
  <si>
    <t>[64, 68, 124, 10]</t>
  </si>
  <si>
    <t>320[64, 68, 124, 10]283284</t>
  </si>
  <si>
    <t>[64, 68, 126, 10]</t>
  </si>
  <si>
    <t>320[64, 68, 126, 10]285286</t>
  </si>
  <si>
    <t>[64, 68, 128, 10]</t>
  </si>
  <si>
    <t>320[64, 68, 128, 10]286287</t>
  </si>
  <si>
    <t>[64, 68, 64, 10]</t>
  </si>
  <si>
    <t>320[64, 68, 64, 10]228229</t>
  </si>
  <si>
    <t>[64, 68, 66, 10]</t>
  </si>
  <si>
    <t>320[64, 68, 66, 10]230231</t>
  </si>
  <si>
    <t>[64, 68, 68, 10]</t>
  </si>
  <si>
    <t>320[64, 68, 68, 10]232233</t>
  </si>
  <si>
    <t>[64, 68, 70, 10]</t>
  </si>
  <si>
    <t>320[64, 68, 70, 10]234235</t>
  </si>
  <si>
    <t>[64, 68, 72, 10]</t>
  </si>
  <si>
    <t>320[64, 68, 72, 10]236237</t>
  </si>
  <si>
    <t>[64, 68, 74, 10]</t>
  </si>
  <si>
    <t>320[64, 68, 74, 10]238239</t>
  </si>
  <si>
    <t>[64, 68, 76, 10]</t>
  </si>
  <si>
    <t>320[64, 68, 76, 10]240241</t>
  </si>
  <si>
    <t>[64, 68, 78, 10]</t>
  </si>
  <si>
    <t>320[64, 68, 78, 10]242243</t>
  </si>
  <si>
    <t>[64, 68, 80, 10]</t>
  </si>
  <si>
    <t>320[64, 68, 80, 10]243244</t>
  </si>
  <si>
    <t>[64, 68, 82, 10]</t>
  </si>
  <si>
    <t>320[64, 68, 82, 10]245246</t>
  </si>
  <si>
    <t>[64, 68, 84, 10]</t>
  </si>
  <si>
    <t>320[64, 68, 84, 10]247248</t>
  </si>
  <si>
    <t>[64, 68, 86, 10]</t>
  </si>
  <si>
    <t>320[64, 68, 86, 10]249250</t>
  </si>
  <si>
    <t>[64, 68, 88, 10]</t>
  </si>
  <si>
    <t>320[64, 68, 88, 10]251252</t>
  </si>
  <si>
    <t>[64, 68, 90, 10]</t>
  </si>
  <si>
    <t>320[64, 68, 90, 10]253254</t>
  </si>
  <si>
    <t>[64, 68, 92, 10]</t>
  </si>
  <si>
    <t>320[64, 68, 92, 10]255256</t>
  </si>
  <si>
    <t>[64, 68, 94, 10]</t>
  </si>
  <si>
    <t>320[64, 68, 94, 10]257258</t>
  </si>
  <si>
    <t>[64, 68, 96, 10]</t>
  </si>
  <si>
    <t>320[64, 68, 96, 10]258259</t>
  </si>
  <si>
    <t>[64, 68, 98, 10]</t>
  </si>
  <si>
    <t>320[64, 68, 98, 10]260261</t>
  </si>
  <si>
    <t>[64, 70, 10]</t>
  </si>
  <si>
    <t>320[64, 70, 10]165166</t>
  </si>
  <si>
    <t>[64, 70, 100, 10]</t>
  </si>
  <si>
    <t>320[64, 70, 100, 10]266267</t>
  </si>
  <si>
    <t>[64, 70, 102, 10]</t>
  </si>
  <si>
    <t>320[64, 70, 102, 10]268269</t>
  </si>
  <si>
    <t>[64, 70, 104, 10]</t>
  </si>
  <si>
    <t>320[64, 70, 104, 10]269270</t>
  </si>
  <si>
    <t>[64, 70, 106, 10]</t>
  </si>
  <si>
    <t>320[64, 70, 106, 10]271272</t>
  </si>
  <si>
    <t>[64, 70, 108, 10]</t>
  </si>
  <si>
    <t>320[64, 70, 108, 10]273274</t>
  </si>
  <si>
    <t>[64, 70, 110, 10]</t>
  </si>
  <si>
    <t>320[64, 70, 110, 10]275276</t>
  </si>
  <si>
    <t>[64, 70, 112, 10]</t>
  </si>
  <si>
    <t>320[64, 70, 112, 10]277278</t>
  </si>
  <si>
    <t>[64, 70, 114, 10]</t>
  </si>
  <si>
    <t>320[64, 70, 114, 10]278279</t>
  </si>
  <si>
    <t>[64, 70, 116, 10]</t>
  </si>
  <si>
    <t>320[64, 70, 116, 10]280281</t>
  </si>
  <si>
    <t>[64, 70, 118, 10]</t>
  </si>
  <si>
    <t>320[64, 70, 118, 10]282283</t>
  </si>
  <si>
    <t>[64, 70, 120, 10]</t>
  </si>
  <si>
    <t>320[64, 70, 120, 10]284285</t>
  </si>
  <si>
    <t>[64, 70, 122, 10]</t>
  </si>
  <si>
    <t>320[64, 70, 122, 10]285286</t>
  </si>
  <si>
    <t>[64, 70, 124, 10]</t>
  </si>
  <si>
    <t>320[64, 70, 124, 10]287288</t>
  </si>
  <si>
    <t>[64, 70, 126, 10]</t>
  </si>
  <si>
    <t>320[64, 70, 126, 10]289290</t>
  </si>
  <si>
    <t>[64, 70, 128, 10]</t>
  </si>
  <si>
    <t>320[64, 70, 128, 10]290291</t>
  </si>
  <si>
    <t>[64, 70, 64, 10]</t>
  </si>
  <si>
    <t>320[64, 70, 64, 10]231232</t>
  </si>
  <si>
    <t>[64, 70, 66, 10]</t>
  </si>
  <si>
    <t>320[64, 70, 66, 10]233234</t>
  </si>
  <si>
    <t>[64, 70, 68, 10]</t>
  </si>
  <si>
    <t>320[64, 70, 68, 10]235236</t>
  </si>
  <si>
    <t>[64, 70, 70, 10]</t>
  </si>
  <si>
    <t>320[64, 70, 70, 10]237238</t>
  </si>
  <si>
    <t>[64, 70, 72, 10]</t>
  </si>
  <si>
    <t>320[64, 70, 72, 10]239240</t>
  </si>
  <si>
    <t>[64, 70, 74, 10]</t>
  </si>
  <si>
    <t>320[64, 70, 74, 10]241242</t>
  </si>
  <si>
    <t>[64, 70, 76, 10]</t>
  </si>
  <si>
    <t>320[64, 70, 76, 10]243244</t>
  </si>
  <si>
    <t>[64, 70, 78, 10]</t>
  </si>
  <si>
    <t>320[64, 70, 78, 10]245246</t>
  </si>
  <si>
    <t>[64, 70, 80, 10]</t>
  </si>
  <si>
    <t>320[64, 70, 80, 10]247248</t>
  </si>
  <si>
    <t>[64, 70, 82, 10]</t>
  </si>
  <si>
    <t>320[64, 70, 82, 10]249250</t>
  </si>
  <si>
    <t>[64, 70, 84, 10]</t>
  </si>
  <si>
    <t>320[64, 70, 84, 10]251252</t>
  </si>
  <si>
    <t>[64, 70, 86, 10]</t>
  </si>
  <si>
    <t>320[64, 70, 86, 10]253254</t>
  </si>
  <si>
    <t>[64, 70, 88, 10]</t>
  </si>
  <si>
    <t>320[64, 70, 88, 10]255256</t>
  </si>
  <si>
    <t>[64, 70, 90, 10]</t>
  </si>
  <si>
    <t>320[64, 70, 90, 10]257258</t>
  </si>
  <si>
    <t>[64, 70, 92, 10]</t>
  </si>
  <si>
    <t>320[64, 70, 92, 10]258259</t>
  </si>
  <si>
    <t>[64, 70, 94, 10]</t>
  </si>
  <si>
    <t>320[64, 70, 94, 10]260261</t>
  </si>
  <si>
    <t>[64, 70, 96, 10]</t>
  </si>
  <si>
    <t>320[64, 70, 96, 10]262263</t>
  </si>
  <si>
    <t>[64, 70, 98, 10]</t>
  </si>
  <si>
    <t>320[64, 70, 98, 10]264265</t>
  </si>
  <si>
    <t>[64, 72, 10]</t>
  </si>
  <si>
    <t>320[64, 72, 10]167168</t>
  </si>
  <si>
    <t>[64, 72, 100, 10]</t>
  </si>
  <si>
    <t>320[64, 72, 100, 10]270271</t>
  </si>
  <si>
    <t>[64, 72, 102, 10]</t>
  </si>
  <si>
    <t>320[64, 72, 102, 10]271272</t>
  </si>
  <si>
    <t>[64, 72, 104, 10]</t>
  </si>
  <si>
    <t>320[64, 72, 104, 10]273274</t>
  </si>
  <si>
    <t>[64, 72, 106, 10]</t>
  </si>
  <si>
    <t>320[64, 72, 106, 10]275276</t>
  </si>
  <si>
    <t>[64, 72, 108, 10]</t>
  </si>
  <si>
    <t>320[64, 72, 108, 10]277278</t>
  </si>
  <si>
    <t>[64, 72, 110, 10]</t>
  </si>
  <si>
    <t>320[64, 72, 110, 10]279280</t>
  </si>
  <si>
    <t>[64, 72, 112, 10]</t>
  </si>
  <si>
    <t>320[64, 72, 112, 10]280281</t>
  </si>
  <si>
    <t>[64, 72, 114, 10]</t>
  </si>
  <si>
    <t>320[64, 72, 114, 10]282283</t>
  </si>
  <si>
    <t>[64, 72, 116, 10]</t>
  </si>
  <si>
    <t>320[64, 72, 116, 10]284285</t>
  </si>
  <si>
    <t>[64, 72, 118, 10]</t>
  </si>
  <si>
    <t>320[64, 72, 118, 10]286287</t>
  </si>
  <si>
    <t>[64, 72, 120, 10]</t>
  </si>
  <si>
    <t>320[64, 72, 120, 10]287288</t>
  </si>
  <si>
    <t>[64, 72, 122, 10]</t>
  </si>
  <si>
    <t>320[64, 72, 122, 10]289290</t>
  </si>
  <si>
    <t>[64, 72, 124, 10]</t>
  </si>
  <si>
    <t>320[64, 72, 124, 10]291292</t>
  </si>
  <si>
    <t>[64, 72, 126, 10]</t>
  </si>
  <si>
    <t>320[64, 72, 126, 10]293294</t>
  </si>
  <si>
    <t>[64, 72, 64, 10]</t>
  </si>
  <si>
    <t>320[64, 72, 64, 10]234235</t>
  </si>
  <si>
    <t>[64, 72, 66, 10]</t>
  </si>
  <si>
    <t>320[64, 72, 66, 10]236237</t>
  </si>
  <si>
    <t>[64, 72, 68, 10]</t>
  </si>
  <si>
    <t>320[64, 72, 68, 10]238239</t>
  </si>
  <si>
    <t>[64, 72, 70, 10]</t>
  </si>
  <si>
    <t>320[64, 72, 70, 10]240241</t>
  </si>
  <si>
    <t>[64, 72, 72, 10]</t>
  </si>
  <si>
    <t>320[64, 72, 72, 10]242243</t>
  </si>
  <si>
    <t>[64, 72, 74, 10]</t>
  </si>
  <si>
    <t>320[64, 72, 74, 10]245246</t>
  </si>
  <si>
    <t>[64, 72, 76, 10]</t>
  </si>
  <si>
    <t>320[64, 72, 76, 10]247248</t>
  </si>
  <si>
    <t>[64, 72, 78, 10]</t>
  </si>
  <si>
    <t>320[64, 72, 78, 10]249250</t>
  </si>
  <si>
    <t>[64, 72, 80, 10]</t>
  </si>
  <si>
    <t>320[64, 72, 80, 10]251252</t>
  </si>
  <si>
    <t>[64, 72, 82, 10]</t>
  </si>
  <si>
    <t>320[64, 72, 82, 10]252253</t>
  </si>
  <si>
    <t>[64, 72, 84, 10]</t>
  </si>
  <si>
    <t>320[64, 72, 84, 10]254255</t>
  </si>
  <si>
    <t>[64, 72, 86, 10]</t>
  </si>
  <si>
    <t>320[64, 72, 86, 10]256257</t>
  </si>
  <si>
    <t>[64, 72, 88, 10]</t>
  </si>
  <si>
    <t>320[64, 72, 88, 10]258259</t>
  </si>
  <si>
    <t>[64, 72, 90, 10]</t>
  </si>
  <si>
    <t>320[64, 72, 90, 10]260261</t>
  </si>
  <si>
    <t>[64, 72, 92, 10]</t>
  </si>
  <si>
    <t>320[64, 72, 92, 10]262263</t>
  </si>
  <si>
    <t>[64, 72, 94, 10]</t>
  </si>
  <si>
    <t>320[64, 72, 94, 10]264265</t>
  </si>
  <si>
    <t>[64, 72, 96, 10]</t>
  </si>
  <si>
    <t>320[64, 72, 96, 10]266267</t>
  </si>
  <si>
    <t>[64, 72, 98, 10]</t>
  </si>
  <si>
    <t>320[64, 72, 98, 10]268269</t>
  </si>
  <si>
    <t>[64, 74, 10]</t>
  </si>
  <si>
    <t>320[64, 74, 10]170171</t>
  </si>
  <si>
    <t>[64, 76, 10]</t>
  </si>
  <si>
    <t>320[64, 76, 10]173174</t>
  </si>
  <si>
    <t>[64, 78, 10]</t>
  </si>
  <si>
    <t>320[64, 78, 10]175176</t>
  </si>
  <si>
    <t>[64, 80, 10]</t>
  </si>
  <si>
    <t>320[64, 80, 10]177178</t>
  </si>
  <si>
    <t>[64, 82, 10]</t>
  </si>
  <si>
    <t>320[64, 82, 10]180181</t>
  </si>
  <si>
    <t>[64, 84, 10]</t>
  </si>
  <si>
    <t>320[64, 84, 10]182183</t>
  </si>
  <si>
    <t>[64, 86, 10]</t>
  </si>
  <si>
    <t>320[64, 86, 10]185186</t>
  </si>
  <si>
    <t>[64, 88, 10]</t>
  </si>
  <si>
    <t>320[64, 88, 10]187188</t>
  </si>
  <si>
    <t>[64, 90, 10]</t>
  </si>
  <si>
    <t>320[64, 90, 10]189190</t>
  </si>
  <si>
    <t>[64, 92, 10]</t>
  </si>
  <si>
    <t>320[64, 92, 10]192193</t>
  </si>
  <si>
    <t>[64, 94, 10]</t>
  </si>
  <si>
    <t>320[64, 94, 10]194195</t>
  </si>
  <si>
    <t>[64, 96, 10]</t>
  </si>
  <si>
    <t>320[64, 96, 10]196197</t>
  </si>
  <si>
    <t>[64, 98, 10]</t>
  </si>
  <si>
    <t>320[64, 98, 10]198199</t>
  </si>
  <si>
    <t>[64, 100, 10]</t>
  </si>
  <si>
    <t>330[64, 100, 10]224225</t>
  </si>
  <si>
    <t>[64, 102, 10]</t>
  </si>
  <si>
    <t>330[64, 102, 10]227228</t>
  </si>
  <si>
    <t>330[64, 104, 10]229230</t>
  </si>
  <si>
    <t>330[64, 106, 10]232233</t>
  </si>
  <si>
    <t>330[64, 108, 10]234235</t>
  </si>
  <si>
    <t>330[64, 110, 10]236237</t>
  </si>
  <si>
    <t>330[64, 112, 10]239240</t>
  </si>
  <si>
    <t>330[64, 114, 10]241242</t>
  </si>
  <si>
    <t>330[64, 116, 10]243244</t>
  </si>
  <si>
    <t>330[64, 118, 10]245246</t>
  </si>
  <si>
    <t>330[64, 120, 10]248249</t>
  </si>
  <si>
    <t>330[64, 122, 10]250251</t>
  </si>
  <si>
    <t>330[64, 124, 10]252253</t>
  </si>
  <si>
    <t>330[64, 126, 10]254255</t>
  </si>
  <si>
    <t>330[64, 128, 10]256257</t>
  </si>
  <si>
    <t>330[64, 130, 10]258259</t>
  </si>
  <si>
    <t>330[64, 64, 100, 10]284285</t>
  </si>
  <si>
    <t>330[64, 64, 102, 10]286287</t>
  </si>
  <si>
    <t>330[64, 64, 104, 10]288289</t>
  </si>
  <si>
    <t>330[64, 64, 106, 10]290291</t>
  </si>
  <si>
    <t>330[64, 64, 108, 10]292293</t>
  </si>
  <si>
    <t>330[64, 64, 110, 10]294295</t>
  </si>
  <si>
    <t>330[64, 64, 112, 10]296297</t>
  </si>
  <si>
    <t>330[64, 64, 114, 10]298299</t>
  </si>
  <si>
    <t>330[64, 64, 116, 10]299300</t>
  </si>
  <si>
    <t>330[64, 64, 118, 10]301302</t>
  </si>
  <si>
    <t>330[64, 64, 120, 10]303304</t>
  </si>
  <si>
    <t>330[64, 64, 122, 10]305306</t>
  </si>
  <si>
    <t>330[64, 64, 124, 10]307308</t>
  </si>
  <si>
    <t>330[64, 64, 126, 10]309310</t>
  </si>
  <si>
    <t>330[64, 64, 128, 10]310311</t>
  </si>
  <si>
    <t>330[64, 64, 64, 10]247248</t>
  </si>
  <si>
    <t>330[64, 64, 66, 10]249250</t>
  </si>
  <si>
    <t>330[64, 64, 68, 10]251252</t>
  </si>
  <si>
    <t>330[64, 64, 70, 10]253254</t>
  </si>
  <si>
    <t>330[64, 64, 72, 10]256257</t>
  </si>
  <si>
    <t>330[64, 64, 74, 10]258259</t>
  </si>
  <si>
    <t>330[64, 64, 76, 10]260261</t>
  </si>
  <si>
    <t>330[64, 64, 78, 10]262263</t>
  </si>
  <si>
    <t>330[64, 64, 80, 10]264265</t>
  </si>
  <si>
    <t>330[64, 64, 82, 10]266267</t>
  </si>
  <si>
    <t>330[64, 64, 84, 10]268269</t>
  </si>
  <si>
    <t>330[64, 64, 86, 10]270271</t>
  </si>
  <si>
    <t>330[64, 64, 88, 10]272273</t>
  </si>
  <si>
    <t>330[64, 64, 90, 10]274275</t>
  </si>
  <si>
    <t>330[64, 64, 92, 10]276277</t>
  </si>
  <si>
    <t>330[64, 64, 94, 10]278279</t>
  </si>
  <si>
    <t>330[64, 64, 96, 10]280281</t>
  </si>
  <si>
    <t>330[64, 64, 98, 10]282283</t>
  </si>
  <si>
    <t>330[64, 66, 100, 10]289290</t>
  </si>
  <si>
    <t>330[64, 66, 102, 10]291292</t>
  </si>
  <si>
    <t>330[64, 66, 104, 10]292293</t>
  </si>
  <si>
    <t>330[64, 66, 106, 10]294295</t>
  </si>
  <si>
    <t>330[64, 66, 108, 10]296297</t>
  </si>
  <si>
    <t>330[64, 66, 110, 10]298299</t>
  </si>
  <si>
    <t>330[64, 66, 112, 10]300301</t>
  </si>
  <si>
    <t>330[64, 66, 114, 10]302303</t>
  </si>
  <si>
    <t>330[64, 66, 116, 10]304305</t>
  </si>
  <si>
    <t>330[64, 66, 118, 10]306307</t>
  </si>
  <si>
    <t>330[64, 66, 120, 10]308309</t>
  </si>
  <si>
    <t>330[64, 66, 122, 10]310311</t>
  </si>
  <si>
    <t>330[64, 66, 124, 10]311312</t>
  </si>
  <si>
    <t>330[64, 66, 126, 10]313314</t>
  </si>
  <si>
    <t>330[64, 66, 128, 10]315316</t>
  </si>
  <si>
    <t>330[64, 66, 64, 10]251252</t>
  </si>
  <si>
    <t>330[64, 66, 66, 10]253254</t>
  </si>
  <si>
    <t>330[64, 66, 68, 10]255256</t>
  </si>
  <si>
    <t>330[64, 66, 70, 10]257258</t>
  </si>
  <si>
    <t>330[64, 66, 72, 10]260261</t>
  </si>
  <si>
    <t>330[64, 66, 74, 10]262263</t>
  </si>
  <si>
    <t>330[64, 66, 76, 10]264265</t>
  </si>
  <si>
    <t>330[64, 66, 78, 10]266267</t>
  </si>
  <si>
    <t>330[64, 66, 80, 10]268269</t>
  </si>
  <si>
    <t>330[64, 66, 82, 10]270271</t>
  </si>
  <si>
    <t>330[64, 66, 84, 10]272273</t>
  </si>
  <si>
    <t>330[64, 66, 86, 10]274275</t>
  </si>
  <si>
    <t>330[64, 66, 88, 10]276277</t>
  </si>
  <si>
    <t>330[64, 66, 90, 10]279280</t>
  </si>
  <si>
    <t>330[64, 66, 92, 10]281282</t>
  </si>
  <si>
    <t>330[64, 66, 94, 10]283284</t>
  </si>
  <si>
    <t>330[64, 66, 96, 10]285286</t>
  </si>
  <si>
    <t>330[64, 66, 98, 10]287288</t>
  </si>
  <si>
    <t>330[64, 68, 100, 10]293294</t>
  </si>
  <si>
    <t>330[64, 68, 102, 10]295296</t>
  </si>
  <si>
    <t>330[64, 68, 104, 10]297298</t>
  </si>
  <si>
    <t>330[64, 68, 106, 10]299300</t>
  </si>
  <si>
    <t>330[64, 68, 108, 10]301302</t>
  </si>
  <si>
    <t>330[64, 68, 110, 10]303304</t>
  </si>
  <si>
    <t>330[64, 68, 112, 10]305306</t>
  </si>
  <si>
    <t>330[64, 68, 114, 10]306307</t>
  </si>
  <si>
    <t>330[64, 68, 116, 10]308309</t>
  </si>
  <si>
    <t>330[64, 68, 118, 10]310311</t>
  </si>
  <si>
    <t>330[64, 68, 120, 10]312313</t>
  </si>
  <si>
    <t>330[64, 68, 122, 10]314315</t>
  </si>
  <si>
    <t>330[64, 68, 124, 10]316317</t>
  </si>
  <si>
    <t>330[64, 68, 126, 10]318319</t>
  </si>
  <si>
    <t>330[64, 68, 128, 10]320321</t>
  </si>
  <si>
    <t>330[64, 68, 64, 10]254255</t>
  </si>
  <si>
    <t>330[64, 68, 66, 10]257258</t>
  </si>
  <si>
    <t>330[64, 68, 68, 10]259260</t>
  </si>
  <si>
    <t>330[64, 68, 70, 10]261262</t>
  </si>
  <si>
    <t>330[64, 68, 72, 10]263264</t>
  </si>
  <si>
    <t>330[64, 68, 74, 10]266267</t>
  </si>
  <si>
    <t>330[64, 68, 76, 10]268269</t>
  </si>
  <si>
    <t>330[64, 68, 78, 10]270271</t>
  </si>
  <si>
    <t>330[64, 68, 80, 10]272273</t>
  </si>
  <si>
    <t>330[64, 68, 82, 10]274275</t>
  </si>
  <si>
    <t>330[64, 68, 84, 10]276277</t>
  </si>
  <si>
    <t>330[64, 68, 86, 10]278279</t>
  </si>
  <si>
    <t>330[64, 68, 88, 10]281282</t>
  </si>
  <si>
    <t>330[64, 68, 90, 10]283284</t>
  </si>
  <si>
    <t>330[64, 68, 92, 10]285286</t>
  </si>
  <si>
    <t>330[64, 68, 94, 10]287288</t>
  </si>
  <si>
    <t>330[64, 68, 96, 10]289290</t>
  </si>
  <si>
    <t>330[64, 68, 98, 10]291292</t>
  </si>
  <si>
    <t>330[64, 70, 100, 10]297298</t>
  </si>
  <si>
    <t>330[64, 70, 102, 10]299300</t>
  </si>
  <si>
    <t>330[64, 70, 104, 10]301302</t>
  </si>
  <si>
    <t>330[64, 70, 106, 10]303304</t>
  </si>
  <si>
    <t>330[64, 70, 108, 10]305306</t>
  </si>
  <si>
    <t>330[64, 70, 110, 10]307308</t>
  </si>
  <si>
    <t>330[64, 70, 112, 10]309310</t>
  </si>
  <si>
    <t>330[64, 70, 114, 10]311312</t>
  </si>
  <si>
    <t>330[64, 70, 116, 10]313314</t>
  </si>
  <si>
    <t>330[64, 70, 118, 10]315316</t>
  </si>
  <si>
    <t>330[64, 70, 120, 10]317318</t>
  </si>
  <si>
    <t>330[64, 70, 122, 10]318319</t>
  </si>
  <si>
    <t>330[64, 70, 124, 10]320321</t>
  </si>
  <si>
    <t>330[64, 70, 126, 10]322323</t>
  </si>
  <si>
    <t>330[64, 70, 128, 10]324325</t>
  </si>
  <si>
    <t>330[64, 70, 64, 10]258259</t>
  </si>
  <si>
    <t>330[64, 70, 66, 10]260261</t>
  </si>
  <si>
    <t>330[64, 70, 68, 10]263264</t>
  </si>
  <si>
    <t>330[64, 70, 70, 10]265266</t>
  </si>
  <si>
    <t>330[64, 70, 72, 10]267268</t>
  </si>
  <si>
    <t>330[64, 70, 74, 10]269270</t>
  </si>
  <si>
    <t>330[64, 70, 76, 10]272273</t>
  </si>
  <si>
    <t>330[64, 70, 78, 10]274275</t>
  </si>
  <si>
    <t>330[64, 70, 80, 10]276277</t>
  </si>
  <si>
    <t>330[64, 70, 82, 10]278279</t>
  </si>
  <si>
    <t>330[64, 70, 84, 10]280281</t>
  </si>
  <si>
    <t>330[64, 70, 86, 10]282283</t>
  </si>
  <si>
    <t>330[64, 70, 88, 10]285286</t>
  </si>
  <si>
    <t>330[64, 70, 90, 10]287288</t>
  </si>
  <si>
    <t>330[64, 70, 92, 10]289290</t>
  </si>
  <si>
    <t>330[64, 70, 94, 10]291292</t>
  </si>
  <si>
    <t>330[64, 70, 96, 10]293294</t>
  </si>
  <si>
    <t>330[64, 70, 98, 10]295296</t>
  </si>
  <si>
    <t>330[64, 72, 100, 10]301302</t>
  </si>
  <si>
    <t>330[64, 72, 102, 10]303304</t>
  </si>
  <si>
    <t>330[64, 72, 104, 10]305306</t>
  </si>
  <si>
    <t>330[64, 72, 106, 10]307308</t>
  </si>
  <si>
    <t>330[64, 72, 108, 10]309310</t>
  </si>
  <si>
    <t>330[64, 72, 110, 10]311312</t>
  </si>
  <si>
    <t>330[64, 72, 112, 10]313314</t>
  </si>
  <si>
    <t>330[64, 72, 114, 10]315316</t>
  </si>
  <si>
    <t>330[64, 72, 116, 10]317318</t>
  </si>
  <si>
    <t>330[64, 72, 118, 10]319320</t>
  </si>
  <si>
    <t>330[64, 72, 120, 10]321322</t>
  </si>
  <si>
    <t>330[64, 72, 122, 10]323324</t>
  </si>
  <si>
    <t>330[64, 72, 124, 10]325326</t>
  </si>
  <si>
    <t>330[64, 72, 126, 10]327328</t>
  </si>
  <si>
    <t>[64, 72, 128, 10]</t>
  </si>
  <si>
    <t>330[64, 72, 128, 10]329330</t>
  </si>
  <si>
    <t>330[64, 72, 64, 10]262263</t>
  </si>
  <si>
    <t>330[64, 72, 66, 10]264265</t>
  </si>
  <si>
    <t>330[64, 72, 68, 10]266267</t>
  </si>
  <si>
    <t>330[64, 72, 70, 10]269270</t>
  </si>
  <si>
    <t>330[64, 72, 72, 10]271272</t>
  </si>
  <si>
    <t>330[64, 72, 74, 10]273274</t>
  </si>
  <si>
    <t>330[64, 72, 76, 10]275276</t>
  </si>
  <si>
    <t>330[64, 72, 78, 10]278279</t>
  </si>
  <si>
    <t>330[64, 72, 80, 10]280281</t>
  </si>
  <si>
    <t>330[64, 72, 82, 10]282283</t>
  </si>
  <si>
    <t>330[64, 72, 84, 10]284285</t>
  </si>
  <si>
    <t>330[64, 72, 86, 10]286287</t>
  </si>
  <si>
    <t>330[64, 72, 88, 10]289290</t>
  </si>
  <si>
    <t>330[64, 72, 90, 10]291292</t>
  </si>
  <si>
    <t>330[64, 72, 92, 10]293294</t>
  </si>
  <si>
    <t>330[64, 72, 94, 10]295296</t>
  </si>
  <si>
    <t>330[64, 72, 96, 10]297298</t>
  </si>
  <si>
    <t>330[64, 72, 98, 10]299300</t>
  </si>
  <si>
    <t>330[64, 90, 10]212213</t>
  </si>
  <si>
    <t>330[64, 92, 10]215216</t>
  </si>
  <si>
    <t>330[64, 94, 10]217218</t>
  </si>
  <si>
    <t>330[64, 96, 10]220221</t>
  </si>
  <si>
    <t>330[64, 98, 10]222223</t>
  </si>
  <si>
    <t>340[64, 100, 10]246247</t>
  </si>
  <si>
    <t>340[64, 102, 10]249250</t>
  </si>
  <si>
    <t>340[64, 104, 10]251252</t>
  </si>
  <si>
    <t>340[64, 106, 10]254255</t>
  </si>
  <si>
    <t>340[64, 108, 10]257258</t>
  </si>
  <si>
    <t>340[64, 110, 10]259260</t>
  </si>
  <si>
    <t>340[64, 112, 10]262263</t>
  </si>
  <si>
    <t>340[64, 114, 10]264265</t>
  </si>
  <si>
    <t>340[64, 116, 10]267268</t>
  </si>
  <si>
    <t>340[64, 118, 10]269270</t>
  </si>
  <si>
    <t>340[64, 120, 10]271272</t>
  </si>
  <si>
    <t>340[64, 122, 10]274275</t>
  </si>
  <si>
    <t>340[64, 124, 10]276277</t>
  </si>
  <si>
    <t>340[64, 126, 10]279280</t>
  </si>
  <si>
    <t>340[64, 128, 10]281282</t>
  </si>
  <si>
    <t>340[64, 130, 10]283284</t>
  </si>
  <si>
    <t>340[64, 48, 10]165166</t>
  </si>
  <si>
    <t>340[64, 50, 10]169170</t>
  </si>
  <si>
    <t>340[64, 52, 10]172173</t>
  </si>
  <si>
    <t>340[64, 54, 10]176177</t>
  </si>
  <si>
    <t>340[64, 56, 10]180181</t>
  </si>
  <si>
    <t>340[64, 58, 10]183184</t>
  </si>
  <si>
    <t>340[64, 60, 10]187188</t>
  </si>
  <si>
    <t>340[64, 62, 10]190191</t>
  </si>
  <si>
    <t>340[64, 64, 10]193194</t>
  </si>
  <si>
    <t>340[64, 64, 100, 10]311312</t>
  </si>
  <si>
    <t>340[64, 64, 102, 10]314315</t>
  </si>
  <si>
    <t>340[64, 64, 104, 10]316317</t>
  </si>
  <si>
    <t>340[64, 64, 106, 10]318319</t>
  </si>
  <si>
    <t>340[64, 64, 108, 10]320321</t>
  </si>
  <si>
    <t>340[64, 64, 110, 10]322323</t>
  </si>
  <si>
    <t>340[64, 64, 112, 10]324325</t>
  </si>
  <si>
    <t>340[64, 64, 114, 10]326327</t>
  </si>
  <si>
    <t>340[64, 64, 116, 10]328329</t>
  </si>
  <si>
    <t>340[64, 64, 118, 10]330331</t>
  </si>
  <si>
    <t>340[64, 64, 64, 10]271272</t>
  </si>
  <si>
    <t>340[64, 64, 66, 10]273274</t>
  </si>
  <si>
    <t>340[64, 64, 68, 10]275276</t>
  </si>
  <si>
    <t>340[64, 64, 70, 10]278279</t>
  </si>
  <si>
    <t>340[64, 64, 72, 10]280281</t>
  </si>
  <si>
    <t>340[64, 64, 74, 10]283284</t>
  </si>
  <si>
    <t>340[64, 64, 76, 10]285286</t>
  </si>
  <si>
    <t>340[64, 64, 78, 10]287288</t>
  </si>
  <si>
    <t>340[64, 64, 80, 10]289290</t>
  </si>
  <si>
    <t>340[64, 64, 82, 10]292293</t>
  </si>
  <si>
    <t>340[64, 64, 84, 10]294295</t>
  </si>
  <si>
    <t>340[64, 64, 86, 10]296297</t>
  </si>
  <si>
    <t>340[64, 64, 88, 10]298299</t>
  </si>
  <si>
    <t>340[64, 64, 90, 10]301302</t>
  </si>
  <si>
    <t>340[64, 64, 92, 10]303304</t>
  </si>
  <si>
    <t>340[64, 64, 94, 10]305306</t>
  </si>
  <si>
    <t>340[64, 64, 96, 10]307308</t>
  </si>
  <si>
    <t>340[64, 64, 98, 10]309310</t>
  </si>
  <si>
    <t>340[64, 66, 10]197198</t>
  </si>
  <si>
    <t>340[64, 68, 10]200201</t>
  </si>
  <si>
    <t>340[64, 70, 10]203204</t>
  </si>
  <si>
    <t>340[64, 72, 10]206207</t>
  </si>
  <si>
    <t>340[64, 74, 10]209210</t>
  </si>
  <si>
    <t>340[64, 76, 10]212213</t>
  </si>
  <si>
    <t>340[64, 78, 10]215216</t>
  </si>
  <si>
    <t>340[64, 80, 10]218219</t>
  </si>
  <si>
    <t>340[64, 82, 10]221222</t>
  </si>
  <si>
    <t>340[64, 84, 10]224225</t>
  </si>
  <si>
    <t>340[64, 86, 10]227228</t>
  </si>
  <si>
    <t>340[64, 88, 10]230231</t>
  </si>
  <si>
    <t>340[64, 90, 10]233234</t>
  </si>
  <si>
    <t>340[64, 92, 10]235236</t>
  </si>
  <si>
    <t>340[64, 94, 10]238239</t>
  </si>
  <si>
    <t>340[64, 96, 10]241242</t>
  </si>
  <si>
    <t>340[64, 98, 10]244245</t>
  </si>
  <si>
    <t>09[4, 9, 3]927</t>
  </si>
  <si>
    <t>[4, 9, 3]</t>
  </si>
  <si>
    <t>Iris</t>
  </si>
  <si>
    <t>09[4, 9, 3]925</t>
  </si>
  <si>
    <t>09[4, 9, 3]924</t>
  </si>
  <si>
    <t>09[4, 9, 3]922</t>
  </si>
  <si>
    <t>09[4, 8, 8, 3]938</t>
  </si>
  <si>
    <t>[4, 8, 8, 3]</t>
  </si>
  <si>
    <t>09[4, 8, 8, 3]936</t>
  </si>
  <si>
    <t>09[4, 8, 8, 3]934</t>
  </si>
  <si>
    <t>09[4, 8, 8, 3]931</t>
  </si>
  <si>
    <t>09[4, 8, 6, 3]934</t>
  </si>
  <si>
    <t>[4, 8, 6, 3]</t>
  </si>
  <si>
    <t>09[4, 8, 6, 3]932</t>
  </si>
  <si>
    <t>09[4, 8, 6, 3]930</t>
  </si>
  <si>
    <t>09[4, 8, 6, 3]928</t>
  </si>
  <si>
    <t>09[4, 8, 4, 3]930</t>
  </si>
  <si>
    <t>[4, 8, 4, 3]</t>
  </si>
  <si>
    <t>09[4, 8, 4, 3]928</t>
  </si>
  <si>
    <t>09[4, 8, 4, 3]926</t>
  </si>
  <si>
    <t>09[4, 8, 4, 3]924</t>
  </si>
  <si>
    <t>09[4, 7, 3]923</t>
  </si>
  <si>
    <t>[4, 7, 3]</t>
  </si>
  <si>
    <t>09[4, 7, 3]922</t>
  </si>
  <si>
    <t>09[4, 7, 3]920</t>
  </si>
  <si>
    <t>09[4, 7, 3]919</t>
  </si>
  <si>
    <t>09[4, 6, 8, 3]934</t>
  </si>
  <si>
    <t>[4, 6, 8, 3]</t>
  </si>
  <si>
    <t>09[4, 6, 8, 3]932</t>
  </si>
  <si>
    <t>09[4, 6, 8, 3]930</t>
  </si>
  <si>
    <t>09[4, 6, 8, 3]927</t>
  </si>
  <si>
    <t>09[4, 6, 6, 3]930</t>
  </si>
  <si>
    <t>[4, 6, 6, 3]</t>
  </si>
  <si>
    <t>09[4, 6, 6, 3]928</t>
  </si>
  <si>
    <t>09[4, 6, 6, 3]926</t>
  </si>
  <si>
    <t>09[4, 6, 6, 3]924</t>
  </si>
  <si>
    <t>09[4, 6, 4, 3]926</t>
  </si>
  <si>
    <t>[4, 6, 4, 3]</t>
  </si>
  <si>
    <t>09[4, 6, 4, 3]925</t>
  </si>
  <si>
    <t>09[4, 6, 4, 3]923</t>
  </si>
  <si>
    <t>09[4, 6, 4, 3]921</t>
  </si>
  <si>
    <t>09[4, 5, 3]919</t>
  </si>
  <si>
    <t>[4, 5, 3]</t>
  </si>
  <si>
    <t>09[4, 5, 3]918</t>
  </si>
  <si>
    <t>09[4, 5, 3]917</t>
  </si>
  <si>
    <t>09[4, 5, 3]915</t>
  </si>
  <si>
    <t>09[4, 4, 8, 3]929</t>
  </si>
  <si>
    <t>[4, 4, 8, 3]</t>
  </si>
  <si>
    <t>09[4, 4, 8, 3]927</t>
  </si>
  <si>
    <t>09[4, 4, 8, 3]925</t>
  </si>
  <si>
    <t>09[4, 4, 8, 3]923</t>
  </si>
  <si>
    <t>09[4, 4, 6, 3]926</t>
  </si>
  <si>
    <t>[4, 4, 6, 3]</t>
  </si>
  <si>
    <t>09[4, 4, 6, 3]924</t>
  </si>
  <si>
    <t>09[4, 4, 6, 3]922</t>
  </si>
  <si>
    <t>09[4, 4, 6, 3]921</t>
  </si>
  <si>
    <t>09[4, 4, 4, 3]922</t>
  </si>
  <si>
    <t>[4, 4, 4, 3]</t>
  </si>
  <si>
    <t>09[4, 4, 4, 3]921</t>
  </si>
  <si>
    <t>09[4, 4, 4, 3]919</t>
  </si>
  <si>
    <t>09[4, 4, 4, 3]918</t>
  </si>
  <si>
    <t>09[4, 3, 3]914</t>
  </si>
  <si>
    <t>[4, 3, 3]</t>
  </si>
  <si>
    <t>09[4, 3, 3]913</t>
  </si>
  <si>
    <t>09[4, 3, 3]912</t>
  </si>
  <si>
    <t>09[4, 3, 3]911</t>
  </si>
  <si>
    <t>09[4, 12, 8, 3]946</t>
  </si>
  <si>
    <t>[4, 12, 8, 3]</t>
  </si>
  <si>
    <t>09[4, 12, 8, 3]943</t>
  </si>
  <si>
    <t>09[4, 12, 8, 3]940</t>
  </si>
  <si>
    <t>09[4, 12, 8, 3]937</t>
  </si>
  <si>
    <t>09[4, 12, 6, 3]941</t>
  </si>
  <si>
    <t>[4, 12, 6, 3]</t>
  </si>
  <si>
    <t>09[4, 12, 6, 3]939</t>
  </si>
  <si>
    <t>09[4, 12, 6, 3]936</t>
  </si>
  <si>
    <t>09[4, 12, 6, 3]933</t>
  </si>
  <si>
    <t>09[4, 12, 4, 3]936</t>
  </si>
  <si>
    <t>[4, 12, 4, 3]</t>
  </si>
  <si>
    <t>09[4, 12, 4, 3]934</t>
  </si>
  <si>
    <t>09[4, 12, 4, 3]932</t>
  </si>
  <si>
    <t>09[4, 12, 4, 3]929</t>
  </si>
  <si>
    <t>09[4, 10, 8, 3]942</t>
  </si>
  <si>
    <t>[4, 10, 8, 3]</t>
  </si>
  <si>
    <t>09[4, 10, 8, 3]940</t>
  </si>
  <si>
    <t>09[4, 10, 8, 3]937</t>
  </si>
  <si>
    <t>09[4, 10, 8, 3]934</t>
  </si>
  <si>
    <t>09[4, 10, 6, 3]938</t>
  </si>
  <si>
    <t>[4, 10, 6, 3]</t>
  </si>
  <si>
    <t>09[4, 10, 6, 3]936</t>
  </si>
  <si>
    <t>09[4, 10, 6, 3]933</t>
  </si>
  <si>
    <t>09[4, 10, 6, 3]931</t>
  </si>
  <si>
    <t>09[4, 10, 4, 3]933</t>
  </si>
  <si>
    <t>[4, 10, 4, 3]</t>
  </si>
  <si>
    <t>09[4, 10, 4, 3]931</t>
  </si>
  <si>
    <t>09[4, 10, 4, 3]929</t>
  </si>
  <si>
    <t>09[4, 10, 4, 3]927</t>
  </si>
  <si>
    <t>05[4, 9, 3]525</t>
  </si>
  <si>
    <t>05[4, 9, 3]523</t>
  </si>
  <si>
    <t>05[4, 9, 3]521</t>
  </si>
  <si>
    <t>05[4, 9, 3]519</t>
  </si>
  <si>
    <t>05[4, 8, 8, 3]535</t>
  </si>
  <si>
    <t>05[4, 8, 8, 3]533</t>
  </si>
  <si>
    <t>05[4, 8, 8, 3]530</t>
  </si>
  <si>
    <t>05[4, 8, 8, 3]527</t>
  </si>
  <si>
    <t>05[4, 8, 6, 3]531</t>
  </si>
  <si>
    <t>05[4, 8, 6, 3]529</t>
  </si>
  <si>
    <t>05[4, 8, 6, 3]527</t>
  </si>
  <si>
    <t>05[4, 8, 6, 3]524</t>
  </si>
  <si>
    <t>05[4, 8, 4, 3]527</t>
  </si>
  <si>
    <t>05[4, 8, 4, 3]525</t>
  </si>
  <si>
    <t>05[4, 8, 4, 3]523</t>
  </si>
  <si>
    <t>05[4, 8, 4, 3]521</t>
  </si>
  <si>
    <t>05[4, 7, 3]521</t>
  </si>
  <si>
    <t>05[4, 7, 3]520</t>
  </si>
  <si>
    <t>05[4, 7, 3]518</t>
  </si>
  <si>
    <t>05[4, 7, 3]516</t>
  </si>
  <si>
    <t>05[4, 6, 8, 3]531</t>
  </si>
  <si>
    <t>05[4, 6, 8, 3]529</t>
  </si>
  <si>
    <t>05[4, 6, 8, 3]527</t>
  </si>
  <si>
    <t>05[4, 6, 8, 3]524</t>
  </si>
  <si>
    <t>05[4, 6, 6, 3]528</t>
  </si>
  <si>
    <t>05[4, 6, 6, 3]526</t>
  </si>
  <si>
    <t>05[4, 6, 6, 3]524</t>
  </si>
  <si>
    <t>05[4, 6, 6, 3]521</t>
  </si>
  <si>
    <t>05[4, 6, 4, 3]524</t>
  </si>
  <si>
    <t>05[4, 6, 4, 3]522</t>
  </si>
  <si>
    <t>05[4, 6, 4, 3]520</t>
  </si>
  <si>
    <t>05[4, 6, 4, 3]518</t>
  </si>
  <si>
    <t>05[4, 5, 3]518</t>
  </si>
  <si>
    <t>05[4, 5, 3]516</t>
  </si>
  <si>
    <t>05[4, 5, 3]515</t>
  </si>
  <si>
    <t>05[4, 5, 3]513</t>
  </si>
  <si>
    <t>05[4, 4, 8, 3]527</t>
  </si>
  <si>
    <t>05[4, 4, 8, 3]525</t>
  </si>
  <si>
    <t>05[4, 4, 8, 3]523</t>
  </si>
  <si>
    <t>05[4, 4, 8, 3]520</t>
  </si>
  <si>
    <t>05[4, 4, 6, 3]524</t>
  </si>
  <si>
    <t>05[4, 4, 6, 3]522</t>
  </si>
  <si>
    <t>05[4, 4, 6, 3]520</t>
  </si>
  <si>
    <t>05[4, 4, 6, 3]518</t>
  </si>
  <si>
    <t>05[4, 4, 4, 3]520</t>
  </si>
  <si>
    <t>05[4, 4, 4, 3]519</t>
  </si>
  <si>
    <t>05[4, 4, 4, 3]517</t>
  </si>
  <si>
    <t>05[4, 4, 4, 3]515</t>
  </si>
  <si>
    <t>05[4, 3, 3]513</t>
  </si>
  <si>
    <t>05[4, 3, 3]512</t>
  </si>
  <si>
    <t>05[4, 3, 3]511</t>
  </si>
  <si>
    <t>05[4, 3, 3]510</t>
  </si>
  <si>
    <t>05[4, 12, 8, 3]542</t>
  </si>
  <si>
    <t>05[4, 12, 8, 3]539</t>
  </si>
  <si>
    <t>05[4, 12, 8, 3]536</t>
  </si>
  <si>
    <t>05[4, 12, 8, 3]533</t>
  </si>
  <si>
    <t>05[4, 12, 6, 3]538</t>
  </si>
  <si>
    <t>05[4, 12, 6, 3]535</t>
  </si>
  <si>
    <t>05[4, 12, 6, 3]532</t>
  </si>
  <si>
    <t>05[4, 12, 6, 3]529</t>
  </si>
  <si>
    <t>05[4, 12, 4, 3]533</t>
  </si>
  <si>
    <t>05[4, 12, 4, 3]531</t>
  </si>
  <si>
    <t>05[4, 12, 4, 3]528</t>
  </si>
  <si>
    <t>05[4, 12, 4, 3]526</t>
  </si>
  <si>
    <t>05[4, 10, 8, 3]539</t>
  </si>
  <si>
    <t>05[4, 10, 8, 3]536</t>
  </si>
  <si>
    <t>05[4, 10, 8, 3]533</t>
  </si>
  <si>
    <t>05[4, 10, 8, 3]530</t>
  </si>
  <si>
    <t>05[4, 10, 6, 3]535</t>
  </si>
  <si>
    <t>05[4, 10, 6, 3]532</t>
  </si>
  <si>
    <t>05[4, 10, 6, 3]530</t>
  </si>
  <si>
    <t>05[4, 10, 6, 3]527</t>
  </si>
  <si>
    <t>05[4, 10, 4, 3]530</t>
  </si>
  <si>
    <t>05[4, 10, 4, 3]528</t>
  </si>
  <si>
    <t>05[4, 10, 4, 3]526</t>
  </si>
  <si>
    <t>05[4, 10, 4, 3]524</t>
  </si>
  <si>
    <t>03[4, 9, 3]324</t>
  </si>
  <si>
    <t>03[4, 9, 3]322</t>
  </si>
  <si>
    <t>03[4, 9, 3]320</t>
  </si>
  <si>
    <t>03[4, 9, 3]317</t>
  </si>
  <si>
    <t>03[4, 8, 8, 3]334</t>
  </si>
  <si>
    <t>03[4, 8, 8, 3]331</t>
  </si>
  <si>
    <t>03[4, 8, 8, 3]328</t>
  </si>
  <si>
    <t>03[4, 8, 8, 3]325</t>
  </si>
  <si>
    <t>03[4, 8, 6, 3]330</t>
  </si>
  <si>
    <t>03[4, 8, 6, 3]328</t>
  </si>
  <si>
    <t>03[4, 8, 6, 3]325</t>
  </si>
  <si>
    <t>03[4, 8, 6, 3]322</t>
  </si>
  <si>
    <t>03[4, 8, 4, 3]326</t>
  </si>
  <si>
    <t>03[4, 8, 4, 3]324</t>
  </si>
  <si>
    <t>03[4, 8, 4, 3]322</t>
  </si>
  <si>
    <t>03[4, 8, 4, 3]319</t>
  </si>
  <si>
    <t>03[4, 7, 3]320</t>
  </si>
  <si>
    <t>03[4, 7, 3]319</t>
  </si>
  <si>
    <t>03[4, 7, 3]317</t>
  </si>
  <si>
    <t>03[4, 7, 3]315</t>
  </si>
  <si>
    <t>03[4, 6, 8, 3]330</t>
  </si>
  <si>
    <t>03[4, 6, 8, 3]327</t>
  </si>
  <si>
    <t>03[4, 6, 8, 3]325</t>
  </si>
  <si>
    <t>03[4, 6, 8, 3]322</t>
  </si>
  <si>
    <t>03[4, 6, 6, 3]326</t>
  </si>
  <si>
    <t>03[4, 6, 6, 3]324</t>
  </si>
  <si>
    <t>03[4, 6, 6, 3]322</t>
  </si>
  <si>
    <t>03[4, 6, 6, 3]320</t>
  </si>
  <si>
    <t>03[4, 6, 4, 3]323</t>
  </si>
  <si>
    <t>03[4, 6, 4, 3]321</t>
  </si>
  <si>
    <t>03[4, 6, 4, 3]319</t>
  </si>
  <si>
    <t>03[4, 6, 4, 3]317</t>
  </si>
  <si>
    <t>03[4, 5, 3]317</t>
  </si>
  <si>
    <t>03[4, 5, 3]315</t>
  </si>
  <si>
    <t>03[4, 5, 3]314</t>
  </si>
  <si>
    <t>03[4, 5, 3]312</t>
  </si>
  <si>
    <t>03[4, 4, 8, 3]325</t>
  </si>
  <si>
    <t>03[4, 4, 8, 3]323</t>
  </si>
  <si>
    <t>03[4, 4, 8, 3]321</t>
  </si>
  <si>
    <t>03[4, 4, 8, 3]319</t>
  </si>
  <si>
    <t>03[4, 4, 6, 3]322</t>
  </si>
  <si>
    <t>03[4, 4, 6, 3]321</t>
  </si>
  <si>
    <t>03[4, 4, 6, 3]319</t>
  </si>
  <si>
    <t>03[4, 4, 6, 3]317</t>
  </si>
  <si>
    <t>03[4, 4, 4, 3]319</t>
  </si>
  <si>
    <t>03[4, 4, 4, 3]318</t>
  </si>
  <si>
    <t>03[4, 4, 4, 3]316</t>
  </si>
  <si>
    <t>03[4, 4, 4, 3]314</t>
  </si>
  <si>
    <t>03[4, 3, 3]39</t>
  </si>
  <si>
    <t>03[4, 3, 3]312</t>
  </si>
  <si>
    <t>03[4, 3, 3]311</t>
  </si>
  <si>
    <t>03[4, 3, 3]310</t>
  </si>
  <si>
    <t>03[4, 12, 8, 3]340</t>
  </si>
  <si>
    <t>03[4, 12, 8, 3]337</t>
  </si>
  <si>
    <t>03[4, 12, 8, 3]334</t>
  </si>
  <si>
    <t>03[4, 12, 8, 3]330</t>
  </si>
  <si>
    <t>03[4, 12, 6, 3]336</t>
  </si>
  <si>
    <t>03[4, 12, 6, 3]333</t>
  </si>
  <si>
    <t>03[4, 12, 6, 3]330</t>
  </si>
  <si>
    <t>03[4, 12, 6, 3]327</t>
  </si>
  <si>
    <t>03[4, 12, 4, 3]332</t>
  </si>
  <si>
    <t>03[4, 12, 4, 3]329</t>
  </si>
  <si>
    <t>03[4, 12, 4, 3]327</t>
  </si>
  <si>
    <t>03[4, 12, 4, 3]324</t>
  </si>
  <si>
    <t>03[4, 10, 8, 3]337</t>
  </si>
  <si>
    <t>03[4, 10, 8, 3]334</t>
  </si>
  <si>
    <t>03[4, 10, 8, 3]331</t>
  </si>
  <si>
    <t>03[4, 10, 8, 3]328</t>
  </si>
  <si>
    <t>03[4, 10, 6, 3]333</t>
  </si>
  <si>
    <t>03[4, 10, 6, 3]331</t>
  </si>
  <si>
    <t>03[4, 10, 6, 3]328</t>
  </si>
  <si>
    <t>03[4, 10, 6, 3]325</t>
  </si>
  <si>
    <t>03[4, 10, 4, 3]329</t>
  </si>
  <si>
    <t>03[4, 10, 4, 3]327</t>
  </si>
  <si>
    <t>03[4, 10, 4, 3]324</t>
  </si>
  <si>
    <t>Column19</t>
  </si>
  <si>
    <t>Column18</t>
  </si>
  <si>
    <t>Column17</t>
  </si>
  <si>
    <t>Column16</t>
  </si>
  <si>
    <t>Column15</t>
  </si>
  <si>
    <t>Column14</t>
  </si>
  <si>
    <t>Column13</t>
  </si>
  <si>
    <t>Column12</t>
  </si>
  <si>
    <t>Column11</t>
  </si>
  <si>
    <t>Column10</t>
  </si>
  <si>
    <t>Column9</t>
  </si>
  <si>
    <t>Column8</t>
  </si>
  <si>
    <t>Column7</t>
  </si>
  <si>
    <t>Column6</t>
  </si>
  <si>
    <t>Column5</t>
  </si>
  <si>
    <t>Column4</t>
  </si>
  <si>
    <t>Column3</t>
  </si>
  <si>
    <t>Column2</t>
  </si>
  <si>
    <t>03[16, 32, 10]366</t>
  </si>
  <si>
    <t>[16, 32, 10]</t>
  </si>
  <si>
    <t>Mnist</t>
  </si>
  <si>
    <t>03[16, 27, 10]360</t>
  </si>
  <si>
    <t>[16, 27, 10]</t>
  </si>
  <si>
    <t>03[16, 22, 10]354</t>
  </si>
  <si>
    <t>[16, 22, 10]</t>
  </si>
  <si>
    <t>03[16, 17, 10]346</t>
  </si>
  <si>
    <t>[16, 17, 10]</t>
  </si>
  <si>
    <t>03[16, 16, 31, 10]376</t>
  </si>
  <si>
    <t>[16, 16, 31, 10]</t>
  </si>
  <si>
    <t>03[16, 16, 26, 10]371</t>
  </si>
  <si>
    <t>[16, 16, 26, 10]</t>
  </si>
  <si>
    <t>03[16, 16, 21, 10]365</t>
  </si>
  <si>
    <t>[16, 16, 21, 10]</t>
  </si>
  <si>
    <t>03[16, 16, 16, 10]359</t>
  </si>
  <si>
    <t>[16, 16, 16, 10]</t>
  </si>
  <si>
    <t>03[16, 12, 10]338</t>
  </si>
  <si>
    <t>[16, 12, 10]</t>
  </si>
  <si>
    <t>kan_real_grid</t>
  </si>
  <si>
    <t>x</t>
  </si>
  <si>
    <t>03[64, 100, 10]3139984</t>
  </si>
  <si>
    <t>03[64, 100, 10]396289</t>
  </si>
  <si>
    <t>03[64, 102, 10]3120547</t>
  </si>
  <si>
    <t>03[64, 102, 10]3143185</t>
  </si>
  <si>
    <t>03[64, 102, 10]398059</t>
  </si>
  <si>
    <t>03[64, 104, 10]3122525</t>
  </si>
  <si>
    <t>03[64, 104, 10]3145339</t>
  </si>
  <si>
    <t>03[64, 104, 10]399845</t>
  </si>
  <si>
    <t>03[64, 106, 10]3101647</t>
  </si>
  <si>
    <t>03[64, 106, 10]3125522</t>
  </si>
  <si>
    <t>03[64, 106, 10]3148600</t>
  </si>
  <si>
    <t>03[64, 108, 10]3103465</t>
  </si>
  <si>
    <t>03[64, 108, 10]3127540</t>
  </si>
  <si>
    <t>03[64, 108, 10]3151897</t>
  </si>
  <si>
    <t>03[64, 110, 10]3105299</t>
  </si>
  <si>
    <t>03[64, 110, 10]3129574</t>
  </si>
  <si>
    <t>03[64, 110, 10]3154115</t>
  </si>
  <si>
    <t>03[64, 112, 10]3107149</t>
  </si>
  <si>
    <t>03[64, 112, 10]3132655</t>
  </si>
  <si>
    <t>03[64, 112, 10]3157472</t>
  </si>
  <si>
    <t>03[64, 114, 10]3109015</t>
  </si>
  <si>
    <t>03[64, 114, 10]3134729</t>
  </si>
  <si>
    <t>03[64, 114, 10]3159730</t>
  </si>
  <si>
    <t>03[64, 116, 10]3110897</t>
  </si>
  <si>
    <t>03[64, 116, 10]3136819</t>
  </si>
  <si>
    <t>03[64, 116, 10]3163147</t>
  </si>
  <si>
    <t>03[64, 118, 10]3112795</t>
  </si>
  <si>
    <t>03[64, 118, 10]3138925</t>
  </si>
  <si>
    <t>03[64, 118, 10]3165445</t>
  </si>
  <si>
    <t>03[64, 120, 10]3114709</t>
  </si>
  <si>
    <t>03[64, 120, 10]3142114</t>
  </si>
  <si>
    <t>03[64, 120, 10]3167759</t>
  </si>
  <si>
    <t>03[64, 122, 10]3116639</t>
  </si>
  <si>
    <t>03[64, 122, 10]3144260</t>
  </si>
  <si>
    <t>03[64, 122, 10]3171260</t>
  </si>
  <si>
    <t>03[64, 124, 10]3118585</t>
  </si>
  <si>
    <t>03[64, 124, 10]3146422</t>
  </si>
  <si>
    <t>03[64, 124, 10]3173614</t>
  </si>
  <si>
    <t>03[64, 126, 10]3120547</t>
  </si>
  <si>
    <t>03[64, 126, 10]3148600</t>
  </si>
  <si>
    <t>03[64, 126, 10]3177175</t>
  </si>
  <si>
    <t>03[64, 128, 10]3122525</t>
  </si>
  <si>
    <t>03[64, 128, 10]3150794</t>
  </si>
  <si>
    <t>03[64, 128, 10]3179569</t>
  </si>
  <si>
    <t>03[64, 130, 10]3124519</t>
  </si>
  <si>
    <t>03[64, 130, 10]3153004</t>
  </si>
  <si>
    <t>03[64, 130, 10]3181979</t>
  </si>
  <si>
    <t>03[64, 48, 10]345629</t>
  </si>
  <si>
    <t>03[64, 48, 10]356560</t>
  </si>
  <si>
    <t>03[64, 48, 10]367165</t>
  </si>
  <si>
    <t>03[64, 50, 10]348097</t>
  </si>
  <si>
    <t>03[64, 50, 10]370145</t>
  </si>
  <si>
    <t>03[64, 52, 10]349990</t>
  </si>
  <si>
    <t>03[64, 52, 10]372422</t>
  </si>
  <si>
    <t>03[64, 54, 10]351919</t>
  </si>
  <si>
    <t>03[64, 54, 10]375514</t>
  </si>
  <si>
    <t>03[64, 56, 10]353884</t>
  </si>
  <si>
    <t>03[64, 56, 10]378670</t>
  </si>
  <si>
    <t>03[64, 58, 10]355214</t>
  </si>
  <si>
    <t>03[64, 58, 10]381079</t>
  </si>
  <si>
    <t>03[64, 60, 10]357239</t>
  </si>
  <si>
    <t>03[64, 60, 10]384347</t>
  </si>
  <si>
    <t>03[64, 62, 10]359300</t>
  </si>
  <si>
    <t>03[64, 62, 10]386840</t>
  </si>
  <si>
    <t>03[64, 64, 10]361397</t>
  </si>
  <si>
    <t>03[64, 64, 10]389369</t>
  </si>
  <si>
    <t>03[64, 64, 100, 10]3148600</t>
  </si>
  <si>
    <t>03[64, 64, 100, 10]3183190</t>
  </si>
  <si>
    <t>03[64, 64, 100, 10]3217399</t>
  </si>
  <si>
    <t>03[64, 64, 102, 10]3150794</t>
  </si>
  <si>
    <t>03[64, 64, 102, 10]3185624</t>
  </si>
  <si>
    <t>03[64, 64, 102, 10]3221380</t>
  </si>
  <si>
    <t>03[64, 64, 104, 10]3153004</t>
  </si>
  <si>
    <t>03[64, 64, 104, 10]3188074</t>
  </si>
  <si>
    <t>03[64, 64, 104, 10]3224054</t>
  </si>
  <si>
    <t>03[64, 64, 106, 10]3155230</t>
  </si>
  <si>
    <t>03[64, 64, 106, 10]3190540</t>
  </si>
  <si>
    <t>03[64, 64, 106, 10]3226744</t>
  </si>
  <si>
    <t>03[64, 64, 108, 10]3156349</t>
  </si>
  <si>
    <t>03[64, 64, 108, 10]3193022</t>
  </si>
  <si>
    <t>03[64, 64, 108, 10]3229450</t>
  </si>
  <si>
    <t>03[64, 64, 110, 10]3158599</t>
  </si>
  <si>
    <t>03[64, 64, 110, 10]3195520</t>
  </si>
  <si>
    <t>03[64, 64, 110, 10]3232172</t>
  </si>
  <si>
    <t>03[64, 64, 112, 10]3160865</t>
  </si>
  <si>
    <t>03[64, 64, 112, 10]3198034</t>
  </si>
  <si>
    <t>03[64, 64, 112, 10]3234910</t>
  </si>
  <si>
    <t>03[64, 64, 114, 10]3162004</t>
  </si>
  <si>
    <t>03[64, 64, 114, 10]3200564</t>
  </si>
  <si>
    <t>03[64, 64, 114, 10]3237664</t>
  </si>
  <si>
    <t>03[64, 64, 116, 10]3164294</t>
  </si>
  <si>
    <t>03[64, 64, 116, 10]3201835</t>
  </si>
  <si>
    <t>03[64, 64, 116, 10]3240434</t>
  </si>
  <si>
    <t>03[64, 64, 118, 10]3166600</t>
  </si>
  <si>
    <t>03[64, 64, 118, 10]3204389</t>
  </si>
  <si>
    <t>03[64, 64, 118, 10]3243220</t>
  </si>
  <si>
    <t>03[64, 64, 120, 10]3167759</t>
  </si>
  <si>
    <t>03[64, 64, 120, 10]3206959</t>
  </si>
  <si>
    <t>03[64, 64, 120, 10]3246022</t>
  </si>
  <si>
    <t>03[64, 64, 122, 10]3170089</t>
  </si>
  <si>
    <t>03[64, 64, 122, 10]3209545</t>
  </si>
  <si>
    <t>03[64, 64, 122, 10]3248840</t>
  </si>
  <si>
    <t>03[64, 64, 124, 10]3172435</t>
  </si>
  <si>
    <t>03[64, 64, 124, 10]3212147</t>
  </si>
  <si>
    <t>03[64, 64, 124, 10]3251674</t>
  </si>
  <si>
    <t>03[64, 64, 126, 10]3173614</t>
  </si>
  <si>
    <t>03[64, 64, 126, 10]3214765</t>
  </si>
  <si>
    <t>03[64, 64, 126, 10]3254524</t>
  </si>
  <si>
    <t>03[64, 64, 128, 10]3175984</t>
  </si>
  <si>
    <t>03[64, 64, 128, 10]3216080</t>
  </si>
  <si>
    <t>03[64, 64, 128, 10]3257390</t>
  </si>
  <si>
    <t>03[64, 64, 64, 10]3114709</t>
  </si>
  <si>
    <t>03[64, 64, 64, 10]3141047</t>
  </si>
  <si>
    <t>03[64, 64, 64, 10]3167759</t>
  </si>
  <si>
    <t>03[64, 64, 66, 10]3116639</t>
  </si>
  <si>
    <t>03[64, 64, 66, 10]3143185</t>
  </si>
  <si>
    <t>03[64, 64, 66, 10]3170089</t>
  </si>
  <si>
    <t>03[64, 64, 68, 10]3118585</t>
  </si>
  <si>
    <t>03[64, 64, 68, 10]3145339</t>
  </si>
  <si>
    <t>03[64, 64, 68, 10]3172435</t>
  </si>
  <si>
    <t>03[64, 64, 70, 10]3120547</t>
  </si>
  <si>
    <t>03[64, 64, 70, 10]3147509</t>
  </si>
  <si>
    <t>03[64, 64, 70, 10]3175984</t>
  </si>
  <si>
    <t>03[64, 64, 72, 10]3122525</t>
  </si>
  <si>
    <t>03[64, 64, 72, 10]3150794</t>
  </si>
  <si>
    <t>03[64, 64, 72, 10]3178370</t>
  </si>
  <si>
    <t>03[64, 64, 74, 10]3124519</t>
  </si>
  <si>
    <t>03[64, 64, 74, 10]3153004</t>
  </si>
  <si>
    <t>03[64, 64, 74, 10]3181979</t>
  </si>
  <si>
    <t>03[64, 64, 76, 10]3125522</t>
  </si>
  <si>
    <t>03[64, 64, 76, 10]3155230</t>
  </si>
  <si>
    <t>03[64, 64, 76, 10]3184405</t>
  </si>
  <si>
    <t>03[64, 64, 78, 10]3127540</t>
  </si>
  <si>
    <t>03[64, 64, 78, 10]3157472</t>
  </si>
  <si>
    <t>03[64, 64, 78, 10]3186847</t>
  </si>
  <si>
    <t>03[64, 64, 80, 10]3129574</t>
  </si>
  <si>
    <t>03[64, 64, 80, 10]3159730</t>
  </si>
  <si>
    <t>03[64, 64, 80, 10]3189305</t>
  </si>
  <si>
    <t>03[64, 64, 82, 10]3131624</t>
  </si>
  <si>
    <t>03[64, 64, 82, 10]3162004</t>
  </si>
  <si>
    <t>03[64, 64, 82, 10]3193022</t>
  </si>
  <si>
    <t>03[64, 64, 84, 10]3133690</t>
  </si>
  <si>
    <t>03[64, 64, 84, 10]3164294</t>
  </si>
  <si>
    <t>03[64, 64, 84, 10]3195520</t>
  </si>
  <si>
    <t>03[64, 64, 86, 10]3135772</t>
  </si>
  <si>
    <t>03[64, 64, 86, 10]3166600</t>
  </si>
  <si>
    <t>03[64, 64, 86, 10]3198034</t>
  </si>
  <si>
    <t>03[64, 64, 88, 10]3137870</t>
  </si>
  <si>
    <t>03[64, 64, 88, 10]3168922</t>
  </si>
  <si>
    <t>03[64, 64, 88, 10]3200564</t>
  </si>
  <si>
    <t>03[64, 64, 90, 10]3139984</t>
  </si>
  <si>
    <t>03[64, 64, 90, 10]3171260</t>
  </si>
  <si>
    <t>03[64, 64, 90, 10]3204389</t>
  </si>
  <si>
    <t>03[64, 64, 92, 10]3141047</t>
  </si>
  <si>
    <t>03[64, 64, 92, 10]3173614</t>
  </si>
  <si>
    <t>03[64, 64, 92, 10]3206959</t>
  </si>
  <si>
    <t>03[64, 64, 94, 10]3143185</t>
  </si>
  <si>
    <t>03[64, 64, 94, 10]3175984</t>
  </si>
  <si>
    <t>03[64, 64, 94, 10]3209545</t>
  </si>
  <si>
    <t>03[64, 64, 96, 10]3145339</t>
  </si>
  <si>
    <t>03[64, 64, 96, 10]3178370</t>
  </si>
  <si>
    <t>03[64, 64, 96, 10]3212147</t>
  </si>
  <si>
    <t>03[64, 64, 98, 10]3147509</t>
  </si>
  <si>
    <t>03[64, 64, 98, 10]3180772</t>
  </si>
  <si>
    <t>03[64, 64, 98, 10]3214765</t>
  </si>
  <si>
    <t>03[64, 66, 10]363530</t>
  </si>
  <si>
    <t>03[64, 66, 10]392797</t>
  </si>
  <si>
    <t>03[64, 66, 100, 10]3153004</t>
  </si>
  <si>
    <t>03[64, 66, 100, 10]3189305</t>
  </si>
  <si>
    <t>03[64, 66, 102, 10]3155230</t>
  </si>
  <si>
    <t>03[64, 66, 102, 10]3191779</t>
  </si>
  <si>
    <t>03[64, 66, 104, 10]3157472</t>
  </si>
  <si>
    <t>03[64, 66, 104, 10]3193022</t>
  </si>
  <si>
    <t>03[64, 66, 106, 10]3159730</t>
  </si>
  <si>
    <t>03[64, 66, 106, 10]3195520</t>
  </si>
  <si>
    <t>03[64, 66, 108, 10]3160865</t>
  </si>
  <si>
    <t>03[64, 66, 108, 10]3198034</t>
  </si>
  <si>
    <t>03[64, 66, 110, 10]3163147</t>
  </si>
  <si>
    <t>03[64, 66, 110, 10]3200564</t>
  </si>
  <si>
    <t>03[64, 66, 112, 10]3165445</t>
  </si>
  <si>
    <t>03[64, 66, 112, 10]3203110</t>
  </si>
  <si>
    <t>03[64, 66, 114, 10]3166600</t>
  </si>
  <si>
    <t>03[64, 66, 114, 10]3205672</t>
  </si>
  <si>
    <t>03[64, 66, 116, 10]3168922</t>
  </si>
  <si>
    <t>03[64, 66, 116, 10]3208250</t>
  </si>
  <si>
    <t>03[64, 66, 118, 10]3171260</t>
  </si>
  <si>
    <t>03[64, 66, 118, 10]3210844</t>
  </si>
  <si>
    <t>03[64, 66, 120, 10]3173614</t>
  </si>
  <si>
    <t>03[64, 66, 120, 10]3213454</t>
  </si>
  <si>
    <t>03[64, 66, 122, 10]3174797</t>
  </si>
  <si>
    <t>03[64, 66, 122, 10]3216080</t>
  </si>
  <si>
    <t>03[64, 66, 124, 10]3177175</t>
  </si>
  <si>
    <t>03[64, 66, 124, 10]3217399</t>
  </si>
  <si>
    <t>03[64, 66, 126, 10]3179569</t>
  </si>
  <si>
    <t>03[64, 66, 126, 10]3220049</t>
  </si>
  <si>
    <t>03[64, 66, 128, 10]3180772</t>
  </si>
  <si>
    <t>03[64, 66, 128, 10]3222715</t>
  </si>
  <si>
    <t>03[64, 66, 64, 10]3117610</t>
  </si>
  <si>
    <t>03[64, 66, 64, 10]3145339</t>
  </si>
  <si>
    <t>03[64, 66, 64, 10]3172435</t>
  </si>
  <si>
    <t>03[64, 66, 66, 10]3119564</t>
  </si>
  <si>
    <t>03[64, 66, 66, 10]3147509</t>
  </si>
  <si>
    <t>03[64, 66, 66, 10]3174797</t>
  </si>
  <si>
    <t>03[64, 66, 68, 10]3121534</t>
  </si>
  <si>
    <t>03[64, 66, 68, 10]3149695</t>
  </si>
  <si>
    <t>03[64, 66, 68, 10]3178370</t>
  </si>
  <si>
    <t>03[64, 66, 70, 10]3123520</t>
  </si>
  <si>
    <t>03[64, 66, 70, 10]3151897</t>
  </si>
  <si>
    <t>03[64, 66, 70, 10]3180772</t>
  </si>
  <si>
    <t>03[64, 66, 72, 10]3125522</t>
  </si>
  <si>
    <t>03[64, 66, 72, 10]3155230</t>
  </si>
  <si>
    <t>03[64, 66, 72, 10]3183190</t>
  </si>
  <si>
    <t>03[64, 66, 74, 10]3127540</t>
  </si>
  <si>
    <t>03[64, 66, 74, 10]3157472</t>
  </si>
  <si>
    <t>03[64, 66, 76, 10]3129574</t>
  </si>
  <si>
    <t>03[64, 66, 76, 10]3159730</t>
  </si>
  <si>
    <t>03[64, 66, 78, 10]3131624</t>
  </si>
  <si>
    <t>03[64, 66, 78, 10]3162004</t>
  </si>
  <si>
    <t>03[64, 66, 80, 10]3133690</t>
  </si>
  <si>
    <t>03[64, 66, 80, 10]3164294</t>
  </si>
  <si>
    <t>03[64, 66, 82, 10]3135772</t>
  </si>
  <si>
    <t>03[64, 66, 82, 10]3166600</t>
  </si>
  <si>
    <t>03[64, 66, 84, 10]3137870</t>
  </si>
  <si>
    <t>03[64, 66, 84, 10]3168922</t>
  </si>
  <si>
    <t>03[64, 66, 86, 10]3139984</t>
  </si>
  <si>
    <t>03[64, 66, 86, 10]3171260</t>
  </si>
  <si>
    <t>03[64, 66, 88, 10]3141047</t>
  </si>
  <si>
    <t>03[64, 66, 88, 10]3173614</t>
  </si>
  <si>
    <t>03[64, 66, 90, 10]3143185</t>
  </si>
  <si>
    <t>03[64, 66, 90, 10]3177175</t>
  </si>
  <si>
    <t>03[64, 66, 92, 10]3145339</t>
  </si>
  <si>
    <t>03[64, 66, 92, 10]3179569</t>
  </si>
  <si>
    <t>03[64, 66, 94, 10]3147509</t>
  </si>
  <si>
    <t>03[64, 66, 94, 10]3181979</t>
  </si>
  <si>
    <t>03[64, 66, 96, 10]3149695</t>
  </si>
  <si>
    <t>03[64, 66, 96, 10]3184405</t>
  </si>
  <si>
    <t>03[64, 66, 98, 10]3151897</t>
  </si>
  <si>
    <t>03[64, 66, 98, 10]3186847</t>
  </si>
  <si>
    <t>03[64, 68, 10]364972</t>
  </si>
  <si>
    <t>03[64, 68, 10]395410</t>
  </si>
  <si>
    <t>03[64, 68, 100, 10]3157472</t>
  </si>
  <si>
    <t>03[64, 68, 100, 10]3194269</t>
  </si>
  <si>
    <t>03[64, 68, 102, 10]3159730</t>
  </si>
  <si>
    <t>03[64, 68, 102, 10]3196775</t>
  </si>
  <si>
    <t>03[64, 68, 104, 10]3162004</t>
  </si>
  <si>
    <t>03[64, 68, 104, 10]3199297</t>
  </si>
  <si>
    <t>03[64, 68, 106, 10]3163147</t>
  </si>
  <si>
    <t>03[64, 68, 106, 10]3201835</t>
  </si>
  <si>
    <t>03[64, 68, 108, 10]3165445</t>
  </si>
  <si>
    <t>03[64, 68, 108, 10]3204389</t>
  </si>
  <si>
    <t>03[64, 68, 110, 10]3167759</t>
  </si>
  <si>
    <t>03[64, 68, 110, 10]3206959</t>
  </si>
  <si>
    <t>03[64, 68, 112, 10]3170089</t>
  </si>
  <si>
    <t>03[64, 68, 112, 10]3209545</t>
  </si>
  <si>
    <t>03[64, 68, 114, 10]3171260</t>
  </si>
  <si>
    <t>03[64, 68, 114, 10]3210844</t>
  </si>
  <si>
    <t>03[64, 68, 116, 10]3173614</t>
  </si>
  <si>
    <t>03[64, 68, 116, 10]3213454</t>
  </si>
  <si>
    <t>03[64, 68, 118, 10]3175984</t>
  </si>
  <si>
    <t>03[64, 68, 118, 10]3216080</t>
  </si>
  <si>
    <t>03[64, 68, 120, 10]3178370</t>
  </si>
  <si>
    <t>03[64, 68, 120, 10]3218722</t>
  </si>
  <si>
    <t>03[64, 68, 122, 10]3179569</t>
  </si>
  <si>
    <t>03[64, 68, 122, 10]3221380</t>
  </si>
  <si>
    <t>03[64, 68, 124, 10]3181979</t>
  </si>
  <si>
    <t>03[64, 68, 124, 10]3224054</t>
  </si>
  <si>
    <t>03[64, 68, 126, 10]3184405</t>
  </si>
  <si>
    <t>03[64, 68, 126, 10]3226744</t>
  </si>
  <si>
    <t>03[64, 68, 128, 10]3185624</t>
  </si>
  <si>
    <t>03[64, 68, 128, 10]3229450</t>
  </si>
  <si>
    <t>03[64, 68, 64, 10]3121534</t>
  </si>
  <si>
    <t>03[64, 68, 64, 10]3148600</t>
  </si>
  <si>
    <t>03[64, 68, 66, 10]3123520</t>
  </si>
  <si>
    <t>03[64, 68, 66, 10]3151897</t>
  </si>
  <si>
    <t>03[64, 68, 68, 10]3125522</t>
  </si>
  <si>
    <t>03[64, 68, 68, 10]3154115</t>
  </si>
  <si>
    <t>03[64, 68, 70, 10]3127540</t>
  </si>
  <si>
    <t>03[64, 68, 70, 10]3156349</t>
  </si>
  <si>
    <t>03[64, 68, 72, 10]3129574</t>
  </si>
  <si>
    <t>03[64, 68, 72, 10]3158599</t>
  </si>
  <si>
    <t>03[64, 68, 74, 10]3131624</t>
  </si>
  <si>
    <t>03[64, 68, 74, 10]3162004</t>
  </si>
  <si>
    <t>03[64, 68, 76, 10]3133690</t>
  </si>
  <si>
    <t>03[64, 68, 76, 10]3164294</t>
  </si>
  <si>
    <t>03[64, 68, 78, 10]3135772</t>
  </si>
  <si>
    <t>03[64, 68, 78, 10]3166600</t>
  </si>
  <si>
    <t>03[64, 68, 80, 10]3136819</t>
  </si>
  <si>
    <t>03[64, 68, 80, 10]3168922</t>
  </si>
  <si>
    <t>03[64, 68, 82, 10]3138925</t>
  </si>
  <si>
    <t>03[64, 68, 82, 10]3171260</t>
  </si>
  <si>
    <t>03[64, 68, 84, 10]3141047</t>
  </si>
  <si>
    <t>03[64, 68, 84, 10]3173614</t>
  </si>
  <si>
    <t>03[64, 68, 86, 10]3143185</t>
  </si>
  <si>
    <t>03[64, 68, 86, 10]3175984</t>
  </si>
  <si>
    <t>03[64, 68, 88, 10]3145339</t>
  </si>
  <si>
    <t>03[64, 68, 88, 10]3179569</t>
  </si>
  <si>
    <t>03[64, 68, 90, 10]3147509</t>
  </si>
  <si>
    <t>03[64, 68, 90, 10]3181979</t>
  </si>
  <si>
    <t>03[64, 68, 92, 10]3149695</t>
  </si>
  <si>
    <t>03[64, 68, 92, 10]3184405</t>
  </si>
  <si>
    <t>03[64, 68, 94, 10]3151897</t>
  </si>
  <si>
    <t>03[64, 68, 94, 10]3186847</t>
  </si>
  <si>
    <t>03[64, 68, 96, 10]3153004</t>
  </si>
  <si>
    <t>03[64, 68, 96, 10]3189305</t>
  </si>
  <si>
    <t>03[64, 68, 98, 10]3155230</t>
  </si>
  <si>
    <t>03[64, 68, 98, 10]3191779</t>
  </si>
  <si>
    <t>03[64, 70, 10]367165</t>
  </si>
  <si>
    <t>03[64, 70, 10]398059</t>
  </si>
  <si>
    <t>03[64, 70, 100, 10]3162004</t>
  </si>
  <si>
    <t>03[64, 70, 100, 10]3199297</t>
  </si>
  <si>
    <t>03[64, 70, 102, 10]3164294</t>
  </si>
  <si>
    <t>03[64, 70, 102, 10]3201835</t>
  </si>
  <si>
    <t>03[64, 70, 104, 10]3165445</t>
  </si>
  <si>
    <t>03[64, 70, 104, 10]3204389</t>
  </si>
  <si>
    <t>03[64, 70, 106, 10]3167759</t>
  </si>
  <si>
    <t>03[64, 70, 106, 10]3206959</t>
  </si>
  <si>
    <t>03[64, 70, 108, 10]3170089</t>
  </si>
  <si>
    <t>03[64, 70, 108, 10]3209545</t>
  </si>
  <si>
    <t>03[64, 70, 110, 10]3172435</t>
  </si>
  <si>
    <t>03[64, 70, 110, 10]3212147</t>
  </si>
  <si>
    <t>03[64, 70, 112, 10]3174797</t>
  </si>
  <si>
    <t>03[64, 70, 112, 10]3214765</t>
  </si>
  <si>
    <t>03[64, 70, 114, 10]3175984</t>
  </si>
  <si>
    <t>03[64, 70, 114, 10]3217399</t>
  </si>
  <si>
    <t>03[64, 70, 116, 10]3178370</t>
  </si>
  <si>
    <t>03[64, 70, 116, 10]3220049</t>
  </si>
  <si>
    <t>03[64, 70, 118, 10]3180772</t>
  </si>
  <si>
    <t>03[64, 70, 118, 10]3222715</t>
  </si>
  <si>
    <t>03[64, 70, 120, 10]3183190</t>
  </si>
  <si>
    <t>03[64, 70, 120, 10]3225397</t>
  </si>
  <si>
    <t>03[64, 70, 122, 10]3184405</t>
  </si>
  <si>
    <t>03[64, 70, 122, 10]3226744</t>
  </si>
  <si>
    <t>03[64, 70, 124, 10]3186847</t>
  </si>
  <si>
    <t>03[64, 70, 124, 10]3229450</t>
  </si>
  <si>
    <t>03[64, 70, 126, 10]3189305</t>
  </si>
  <si>
    <t>03[64, 70, 126, 10]3232172</t>
  </si>
  <si>
    <t>03[64, 70, 128, 10]3190540</t>
  </si>
  <si>
    <t>03[64, 70, 128, 10]3234910</t>
  </si>
  <si>
    <t>03[64, 70, 64, 10]3124519</t>
  </si>
  <si>
    <t>03[64, 70, 64, 10]3153004</t>
  </si>
  <si>
    <t>03[64, 70, 66, 10]3126529</t>
  </si>
  <si>
    <t>03[64, 70, 66, 10]3155230</t>
  </si>
  <si>
    <t>03[64, 70, 68, 10]3128555</t>
  </si>
  <si>
    <t>03[64, 70, 68, 10]3158599</t>
  </si>
  <si>
    <t>03[64, 70, 70, 10]3130597</t>
  </si>
  <si>
    <t>03[64, 70, 70, 10]3160865</t>
  </si>
  <si>
    <t>03[64, 70, 72, 10]3132655</t>
  </si>
  <si>
    <t>03[64, 70, 72, 10]3163147</t>
  </si>
  <si>
    <t>03[64, 70, 74, 10]3134729</t>
  </si>
  <si>
    <t>03[64, 70, 74, 10]3165445</t>
  </si>
  <si>
    <t>03[64, 70, 76, 10]3136819</t>
  </si>
  <si>
    <t>03[64, 70, 76, 10]3168922</t>
  </si>
  <si>
    <t>03[64, 70, 78, 10]3138925</t>
  </si>
  <si>
    <t>03[64, 70, 78, 10]3171260</t>
  </si>
  <si>
    <t>03[64, 70, 80, 10]3141047</t>
  </si>
  <si>
    <t>03[64, 70, 80, 10]3173614</t>
  </si>
  <si>
    <t>03[64, 70, 82, 10]3143185</t>
  </si>
  <si>
    <t>03[64, 70, 82, 10]3175984</t>
  </si>
  <si>
    <t>03[64, 70, 84, 10]3145339</t>
  </si>
  <si>
    <t>03[64, 70, 84, 10]3178370</t>
  </si>
  <si>
    <t>03[64, 70, 86, 10]3147509</t>
  </si>
  <si>
    <t>03[64, 70, 86, 10]3180772</t>
  </si>
  <si>
    <t>03[64, 70, 88, 10]3149695</t>
  </si>
  <si>
    <t>03[64, 70, 88, 10]3184405</t>
  </si>
  <si>
    <t>03[64, 70, 90, 10]3151897</t>
  </si>
  <si>
    <t>03[64, 70, 90, 10]3186847</t>
  </si>
  <si>
    <t>03[64, 70, 92, 10]3153004</t>
  </si>
  <si>
    <t>03[64, 70, 92, 10]3189305</t>
  </si>
  <si>
    <t>03[64, 70, 94, 10]3155230</t>
  </si>
  <si>
    <t>03[64, 70, 94, 10]3191779</t>
  </si>
  <si>
    <t>03[64, 70, 96, 10]3157472</t>
  </si>
  <si>
    <t>03[64, 70, 96, 10]3194269</t>
  </si>
  <si>
    <t>03[64, 70, 98, 10]3159730</t>
  </si>
  <si>
    <t>03[64, 70, 98, 10]3196775</t>
  </si>
  <si>
    <t>03[64, 72, 10]3100744</t>
  </si>
  <si>
    <t>03[64, 72, 10]368647</t>
  </si>
  <si>
    <t>03[64, 72, 100, 10]3166600</t>
  </si>
  <si>
    <t>03[64, 72, 100, 10]3204389</t>
  </si>
  <si>
    <t>03[64, 72, 102, 10]3167759</t>
  </si>
  <si>
    <t>03[64, 72, 102, 10]3206959</t>
  </si>
  <si>
    <t>03[64, 72, 104, 10]3170089</t>
  </si>
  <si>
    <t>03[64, 72, 104, 10]3209545</t>
  </si>
  <si>
    <t>03[64, 72, 106, 10]3172435</t>
  </si>
  <si>
    <t>03[64, 72, 106, 10]3212147</t>
  </si>
  <si>
    <t>03[64, 72, 108, 10]3174797</t>
  </si>
  <si>
    <t>03[64, 72, 108, 10]3214765</t>
  </si>
  <si>
    <t>03[64, 72, 110, 10]3177175</t>
  </si>
  <si>
    <t>03[64, 72, 110, 10]3217399</t>
  </si>
  <si>
    <t>03[64, 72, 112, 10]3178370</t>
  </si>
  <si>
    <t>03[64, 72, 112, 10]3220049</t>
  </si>
  <si>
    <t>03[64, 72, 114, 10]3180772</t>
  </si>
  <si>
    <t>03[64, 72, 114, 10]3222715</t>
  </si>
  <si>
    <t>03[64, 72, 116, 10]3183190</t>
  </si>
  <si>
    <t>03[64, 72, 116, 10]3225397</t>
  </si>
  <si>
    <t>03[64, 72, 118, 10]3185624</t>
  </si>
  <si>
    <t>03[64, 72, 118, 10]3228095</t>
  </si>
  <si>
    <t>03[64, 72, 120, 10]3186847</t>
  </si>
  <si>
    <t>03[64, 72, 120, 10]3230809</t>
  </si>
  <si>
    <t>03[64, 72, 122, 10]3189305</t>
  </si>
  <si>
    <t>03[64, 72, 122, 10]3233539</t>
  </si>
  <si>
    <t>03[64, 72, 124, 10]3191779</t>
  </si>
  <si>
    <t>03[64, 72, 124, 10]3236285</t>
  </si>
  <si>
    <t>03[64, 72, 126, 10]3194269</t>
  </si>
  <si>
    <t>03[64, 72, 126, 10]3239047</t>
  </si>
  <si>
    <t>03[64, 72, 128, 10]3195520</t>
  </si>
  <si>
    <t>03[64, 72, 128, 10]3241825</t>
  </si>
  <si>
    <t>03[64, 72, 64, 10]3127540</t>
  </si>
  <si>
    <t>03[64, 72, 64, 10]3157472</t>
  </si>
  <si>
    <t>03[64, 72, 66, 10]3129574</t>
  </si>
  <si>
    <t>03[64, 72, 66, 10]3159730</t>
  </si>
  <si>
    <t>03[64, 72, 68, 10]3131624</t>
  </si>
  <si>
    <t>03[64, 72, 68, 10]3162004</t>
  </si>
  <si>
    <t>03[64, 72, 70, 10]3133690</t>
  </si>
  <si>
    <t>03[64, 72, 70, 10]3165445</t>
  </si>
  <si>
    <t>03[64, 72, 72, 10]3135772</t>
  </si>
  <si>
    <t>03[64, 72, 72, 10]3167759</t>
  </si>
  <si>
    <t>03[64, 72, 74, 10]3138925</t>
  </si>
  <si>
    <t>03[64, 72, 74, 10]3170089</t>
  </si>
  <si>
    <t>03[64, 72, 76, 10]3141047</t>
  </si>
  <si>
    <t>03[64, 72, 76, 10]3172435</t>
  </si>
  <si>
    <t>03[64, 72, 78, 10]3143185</t>
  </si>
  <si>
    <t>03[64, 72, 78, 10]3175984</t>
  </si>
  <si>
    <t>03[64, 72, 80, 10]3145339</t>
  </si>
  <si>
    <t>03[64, 72, 80, 10]3178370</t>
  </si>
  <si>
    <t>03[64, 72, 82, 10]3146422</t>
  </si>
  <si>
    <t>03[64, 72, 82, 10]3180772</t>
  </si>
  <si>
    <t>03[64, 72, 84, 10]3148600</t>
  </si>
  <si>
    <t>03[64, 72, 84, 10]3183190</t>
  </si>
  <si>
    <t>03[64, 72, 86, 10]3150794</t>
  </si>
  <si>
    <t>03[64, 72, 86, 10]3185624</t>
  </si>
  <si>
    <t>03[64, 72, 88, 10]3153004</t>
  </si>
  <si>
    <t>03[64, 72, 88, 10]3189305</t>
  </si>
  <si>
    <t>03[64, 72, 90, 10]3155230</t>
  </si>
  <si>
    <t>03[64, 72, 90, 10]3191779</t>
  </si>
  <si>
    <t>03[64, 72, 92, 10]3157472</t>
  </si>
  <si>
    <t>03[64, 72, 92, 10]3194269</t>
  </si>
  <si>
    <t>03[64, 72, 94, 10]3159730</t>
  </si>
  <si>
    <t>03[64, 72, 94, 10]3196775</t>
  </si>
  <si>
    <t>03[64, 72, 96, 10]3162004</t>
  </si>
  <si>
    <t>03[64, 72, 96, 10]3199297</t>
  </si>
  <si>
    <t>03[64, 72, 98, 10]3164294</t>
  </si>
  <si>
    <t>03[64, 72, 98, 10]3201835</t>
  </si>
  <si>
    <t>03[64, 74, 10]3103465</t>
  </si>
  <si>
    <t>03[64, 74, 10]370900</t>
  </si>
  <si>
    <t>03[64, 76, 10]3106222</t>
  </si>
  <si>
    <t>03[64, 76, 10]373189</t>
  </si>
  <si>
    <t>03[64, 78, 10]3109015</t>
  </si>
  <si>
    <t>03[64, 78, 10]374735</t>
  </si>
  <si>
    <t>03[64, 80, 10]3111844</t>
  </si>
  <si>
    <t>03[64, 80, 10]376297</t>
  </si>
  <si>
    <t>03[64, 82, 10]3114709</t>
  </si>
  <si>
    <t>03[64, 82, 10]378670</t>
  </si>
  <si>
    <t>03[64, 84, 10]3117610</t>
  </si>
  <si>
    <t>03[64, 84, 10]380272</t>
  </si>
  <si>
    <t>03[64, 86, 10]3120547</t>
  </si>
  <si>
    <t>03[64, 86, 10]382705</t>
  </si>
  <si>
    <t>03[64, 88, 10]3123520</t>
  </si>
  <si>
    <t>03[64, 88, 10]384347</t>
  </si>
  <si>
    <t>03[64, 90, 10]3106222</t>
  </si>
  <si>
    <t>03[64, 90, 10]3126529</t>
  </si>
  <si>
    <t>03[64, 90, 10]386005</t>
  </si>
  <si>
    <t>03[64, 92, 10]3109015</t>
  </si>
  <si>
    <t>03[64, 92, 10]3128555</t>
  </si>
  <si>
    <t>03[64, 92, 10]388522</t>
  </si>
  <si>
    <t>03[64, 94, 10]3110897</t>
  </si>
  <si>
    <t>03[64, 94, 10]3131624</t>
  </si>
  <si>
    <t>03[64, 94, 10]390220</t>
  </si>
  <si>
    <t>03[64, 96, 10]3113750</t>
  </si>
  <si>
    <t>03[64, 96, 10]3134729</t>
  </si>
  <si>
    <t>03[64, 96, 10]391934</t>
  </si>
  <si>
    <t>03[64, 98, 10]3115672</t>
  </si>
  <si>
    <t>03[64, 98, 10]3137870</t>
  </si>
  <si>
    <t>03[64, 98, 10]393664</t>
  </si>
  <si>
    <t>[50, 52, 10]</t>
  </si>
  <si>
    <t>real_kan_grid</t>
  </si>
  <si>
    <t>mniejszy MLP</t>
  </si>
  <si>
    <t>większy MLP</t>
  </si>
  <si>
    <t>KAN - 3 warstwy</t>
  </si>
  <si>
    <t>KAN - 4 warstwy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</si>
</sst>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Iris!$H$1</c:f>
              <c:strCache>
                <c:ptCount val="1"/>
                <c:pt idx="0">
                  <c:v>kan_test_acc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Iris!$F$2:$F$228</c:f>
              <c:numCache>
                <c:formatCode>General</c:formatCode>
                <c:ptCount val="227"/>
                <c:pt idx="0">
                  <c:v>845</c:v>
                </c:pt>
                <c:pt idx="1">
                  <c:v>937</c:v>
                </c:pt>
                <c:pt idx="2">
                  <c:v>1029</c:v>
                </c:pt>
                <c:pt idx="3">
                  <c:v>963</c:v>
                </c:pt>
                <c:pt idx="4">
                  <c:v>1081</c:v>
                </c:pt>
                <c:pt idx="5">
                  <c:v>1199</c:v>
                </c:pt>
                <c:pt idx="6">
                  <c:v>1317</c:v>
                </c:pt>
                <c:pt idx="7">
                  <c:v>1173</c:v>
                </c:pt>
                <c:pt idx="8">
                  <c:v>1317</c:v>
                </c:pt>
                <c:pt idx="9">
                  <c:v>1461</c:v>
                </c:pt>
                <c:pt idx="10">
                  <c:v>1605</c:v>
                </c:pt>
                <c:pt idx="11">
                  <c:v>883</c:v>
                </c:pt>
                <c:pt idx="12">
                  <c:v>991</c:v>
                </c:pt>
                <c:pt idx="13">
                  <c:v>1099</c:v>
                </c:pt>
                <c:pt idx="14">
                  <c:v>1207</c:v>
                </c:pt>
                <c:pt idx="15">
                  <c:v>1125</c:v>
                </c:pt>
                <c:pt idx="16">
                  <c:v>1263</c:v>
                </c:pt>
                <c:pt idx="17">
                  <c:v>1401</c:v>
                </c:pt>
                <c:pt idx="18">
                  <c:v>1539</c:v>
                </c:pt>
                <c:pt idx="19">
                  <c:v>1367</c:v>
                </c:pt>
                <c:pt idx="20">
                  <c:v>1535</c:v>
                </c:pt>
                <c:pt idx="21">
                  <c:v>1703</c:v>
                </c:pt>
                <c:pt idx="22">
                  <c:v>1871</c:v>
                </c:pt>
                <c:pt idx="23">
                  <c:v>195</c:v>
                </c:pt>
                <c:pt idx="24">
                  <c:v>216</c:v>
                </c:pt>
                <c:pt idx="25">
                  <c:v>237</c:v>
                </c:pt>
                <c:pt idx="26">
                  <c:v>174</c:v>
                </c:pt>
                <c:pt idx="27">
                  <c:v>363</c:v>
                </c:pt>
                <c:pt idx="28">
                  <c:v>407</c:v>
                </c:pt>
                <c:pt idx="29">
                  <c:v>451</c:v>
                </c:pt>
                <c:pt idx="30">
                  <c:v>495</c:v>
                </c:pt>
                <c:pt idx="31">
                  <c:v>477</c:v>
                </c:pt>
                <c:pt idx="32">
                  <c:v>535</c:v>
                </c:pt>
                <c:pt idx="33">
                  <c:v>593</c:v>
                </c:pt>
                <c:pt idx="34">
                  <c:v>651</c:v>
                </c:pt>
                <c:pt idx="35">
                  <c:v>591</c:v>
                </c:pt>
                <c:pt idx="36">
                  <c:v>663</c:v>
                </c:pt>
                <c:pt idx="37">
                  <c:v>735</c:v>
                </c:pt>
                <c:pt idx="38">
                  <c:v>807</c:v>
                </c:pt>
                <c:pt idx="39">
                  <c:v>288</c:v>
                </c:pt>
                <c:pt idx="40">
                  <c:v>323</c:v>
                </c:pt>
                <c:pt idx="41">
                  <c:v>358</c:v>
                </c:pt>
                <c:pt idx="42">
                  <c:v>393</c:v>
                </c:pt>
                <c:pt idx="43">
                  <c:v>493</c:v>
                </c:pt>
                <c:pt idx="44">
                  <c:v>553</c:v>
                </c:pt>
                <c:pt idx="45">
                  <c:v>613</c:v>
                </c:pt>
                <c:pt idx="46">
                  <c:v>673</c:v>
                </c:pt>
                <c:pt idx="47">
                  <c:v>639</c:v>
                </c:pt>
                <c:pt idx="48">
                  <c:v>717</c:v>
                </c:pt>
                <c:pt idx="49">
                  <c:v>795</c:v>
                </c:pt>
                <c:pt idx="50">
                  <c:v>873</c:v>
                </c:pt>
                <c:pt idx="51">
                  <c:v>785</c:v>
                </c:pt>
                <c:pt idx="52">
                  <c:v>881</c:v>
                </c:pt>
                <c:pt idx="53">
                  <c:v>977</c:v>
                </c:pt>
                <c:pt idx="54">
                  <c:v>1073</c:v>
                </c:pt>
                <c:pt idx="55">
                  <c:v>402</c:v>
                </c:pt>
                <c:pt idx="56">
                  <c:v>451</c:v>
                </c:pt>
                <c:pt idx="57">
                  <c:v>500</c:v>
                </c:pt>
                <c:pt idx="58">
                  <c:v>549</c:v>
                </c:pt>
                <c:pt idx="59">
                  <c:v>623</c:v>
                </c:pt>
                <c:pt idx="60">
                  <c:v>699</c:v>
                </c:pt>
                <c:pt idx="61">
                  <c:v>775</c:v>
                </c:pt>
                <c:pt idx="62">
                  <c:v>851</c:v>
                </c:pt>
                <c:pt idx="63">
                  <c:v>801</c:v>
                </c:pt>
                <c:pt idx="64">
                  <c:v>899</c:v>
                </c:pt>
                <c:pt idx="65">
                  <c:v>997</c:v>
                </c:pt>
                <c:pt idx="66">
                  <c:v>1095</c:v>
                </c:pt>
                <c:pt idx="67">
                  <c:v>979</c:v>
                </c:pt>
                <c:pt idx="68">
                  <c:v>1099</c:v>
                </c:pt>
                <c:pt idx="69">
                  <c:v>1219</c:v>
                </c:pt>
                <c:pt idx="70">
                  <c:v>1339</c:v>
                </c:pt>
                <c:pt idx="71">
                  <c:v>516</c:v>
                </c:pt>
                <c:pt idx="72">
                  <c:v>579</c:v>
                </c:pt>
                <c:pt idx="73">
                  <c:v>642</c:v>
                </c:pt>
                <c:pt idx="74">
                  <c:v>705</c:v>
                </c:pt>
                <c:pt idx="75">
                  <c:v>937</c:v>
                </c:pt>
                <c:pt idx="76">
                  <c:v>1029</c:v>
                </c:pt>
                <c:pt idx="77">
                  <c:v>1121</c:v>
                </c:pt>
                <c:pt idx="78">
                  <c:v>1213</c:v>
                </c:pt>
                <c:pt idx="79">
                  <c:v>1199</c:v>
                </c:pt>
                <c:pt idx="80">
                  <c:v>1317</c:v>
                </c:pt>
                <c:pt idx="81">
                  <c:v>1435</c:v>
                </c:pt>
                <c:pt idx="82">
                  <c:v>1553</c:v>
                </c:pt>
                <c:pt idx="83">
                  <c:v>1461</c:v>
                </c:pt>
                <c:pt idx="84">
                  <c:v>1605</c:v>
                </c:pt>
                <c:pt idx="85">
                  <c:v>1749</c:v>
                </c:pt>
                <c:pt idx="86">
                  <c:v>1893</c:v>
                </c:pt>
                <c:pt idx="87">
                  <c:v>1099</c:v>
                </c:pt>
                <c:pt idx="88">
                  <c:v>1207</c:v>
                </c:pt>
                <c:pt idx="89">
                  <c:v>1315</c:v>
                </c:pt>
                <c:pt idx="90">
                  <c:v>1423</c:v>
                </c:pt>
                <c:pt idx="91">
                  <c:v>1401</c:v>
                </c:pt>
                <c:pt idx="92">
                  <c:v>1539</c:v>
                </c:pt>
                <c:pt idx="93">
                  <c:v>1677</c:v>
                </c:pt>
                <c:pt idx="94">
                  <c:v>1815</c:v>
                </c:pt>
                <c:pt idx="95">
                  <c:v>1703</c:v>
                </c:pt>
                <c:pt idx="96">
                  <c:v>1871</c:v>
                </c:pt>
                <c:pt idx="97">
                  <c:v>2039</c:v>
                </c:pt>
                <c:pt idx="98">
                  <c:v>2207</c:v>
                </c:pt>
                <c:pt idx="99">
                  <c:v>216</c:v>
                </c:pt>
                <c:pt idx="100">
                  <c:v>237</c:v>
                </c:pt>
                <c:pt idx="101">
                  <c:v>258</c:v>
                </c:pt>
                <c:pt idx="102">
                  <c:v>279</c:v>
                </c:pt>
                <c:pt idx="103">
                  <c:v>451</c:v>
                </c:pt>
                <c:pt idx="104">
                  <c:v>495</c:v>
                </c:pt>
                <c:pt idx="105">
                  <c:v>539</c:v>
                </c:pt>
                <c:pt idx="106">
                  <c:v>583</c:v>
                </c:pt>
                <c:pt idx="107">
                  <c:v>593</c:v>
                </c:pt>
                <c:pt idx="108">
                  <c:v>651</c:v>
                </c:pt>
                <c:pt idx="109">
                  <c:v>709</c:v>
                </c:pt>
                <c:pt idx="110">
                  <c:v>767</c:v>
                </c:pt>
                <c:pt idx="111">
                  <c:v>735</c:v>
                </c:pt>
                <c:pt idx="112">
                  <c:v>807</c:v>
                </c:pt>
                <c:pt idx="113">
                  <c:v>879</c:v>
                </c:pt>
                <c:pt idx="114">
                  <c:v>951</c:v>
                </c:pt>
                <c:pt idx="115">
                  <c:v>358</c:v>
                </c:pt>
                <c:pt idx="116">
                  <c:v>393</c:v>
                </c:pt>
                <c:pt idx="117">
                  <c:v>428</c:v>
                </c:pt>
                <c:pt idx="118">
                  <c:v>463</c:v>
                </c:pt>
                <c:pt idx="119">
                  <c:v>613</c:v>
                </c:pt>
                <c:pt idx="120">
                  <c:v>673</c:v>
                </c:pt>
                <c:pt idx="121">
                  <c:v>733</c:v>
                </c:pt>
                <c:pt idx="122">
                  <c:v>793</c:v>
                </c:pt>
                <c:pt idx="123">
                  <c:v>795</c:v>
                </c:pt>
                <c:pt idx="124">
                  <c:v>873</c:v>
                </c:pt>
                <c:pt idx="125">
                  <c:v>951</c:v>
                </c:pt>
                <c:pt idx="126">
                  <c:v>1029</c:v>
                </c:pt>
                <c:pt idx="127">
                  <c:v>977</c:v>
                </c:pt>
                <c:pt idx="128">
                  <c:v>1073</c:v>
                </c:pt>
                <c:pt idx="129">
                  <c:v>1169</c:v>
                </c:pt>
                <c:pt idx="130">
                  <c:v>1265</c:v>
                </c:pt>
                <c:pt idx="131">
                  <c:v>500</c:v>
                </c:pt>
                <c:pt idx="132">
                  <c:v>549</c:v>
                </c:pt>
                <c:pt idx="133">
                  <c:v>598</c:v>
                </c:pt>
                <c:pt idx="134">
                  <c:v>647</c:v>
                </c:pt>
                <c:pt idx="135">
                  <c:v>775</c:v>
                </c:pt>
                <c:pt idx="136">
                  <c:v>851</c:v>
                </c:pt>
                <c:pt idx="137">
                  <c:v>927</c:v>
                </c:pt>
                <c:pt idx="138">
                  <c:v>1003</c:v>
                </c:pt>
                <c:pt idx="139">
                  <c:v>997</c:v>
                </c:pt>
                <c:pt idx="140">
                  <c:v>1095</c:v>
                </c:pt>
                <c:pt idx="141">
                  <c:v>1193</c:v>
                </c:pt>
                <c:pt idx="142">
                  <c:v>1291</c:v>
                </c:pt>
                <c:pt idx="143">
                  <c:v>1219</c:v>
                </c:pt>
                <c:pt idx="144">
                  <c:v>1339</c:v>
                </c:pt>
                <c:pt idx="145">
                  <c:v>1459</c:v>
                </c:pt>
                <c:pt idx="146">
                  <c:v>1579</c:v>
                </c:pt>
                <c:pt idx="147">
                  <c:v>642</c:v>
                </c:pt>
                <c:pt idx="148">
                  <c:v>705</c:v>
                </c:pt>
                <c:pt idx="149">
                  <c:v>768</c:v>
                </c:pt>
                <c:pt idx="150">
                  <c:v>831</c:v>
                </c:pt>
                <c:pt idx="151">
                  <c:v>1305</c:v>
                </c:pt>
                <c:pt idx="152">
                  <c:v>1397</c:v>
                </c:pt>
                <c:pt idx="153">
                  <c:v>1489</c:v>
                </c:pt>
                <c:pt idx="154">
                  <c:v>1581</c:v>
                </c:pt>
                <c:pt idx="155">
                  <c:v>1671</c:v>
                </c:pt>
                <c:pt idx="156">
                  <c:v>1789</c:v>
                </c:pt>
                <c:pt idx="157">
                  <c:v>1907</c:v>
                </c:pt>
                <c:pt idx="158">
                  <c:v>2025</c:v>
                </c:pt>
                <c:pt idx="159">
                  <c:v>2037</c:v>
                </c:pt>
                <c:pt idx="160">
                  <c:v>2181</c:v>
                </c:pt>
                <c:pt idx="161">
                  <c:v>2325</c:v>
                </c:pt>
                <c:pt idx="162">
                  <c:v>2469</c:v>
                </c:pt>
                <c:pt idx="163">
                  <c:v>1531</c:v>
                </c:pt>
                <c:pt idx="164">
                  <c:v>1639</c:v>
                </c:pt>
                <c:pt idx="165">
                  <c:v>1747</c:v>
                </c:pt>
                <c:pt idx="166">
                  <c:v>1855</c:v>
                </c:pt>
                <c:pt idx="167">
                  <c:v>1953</c:v>
                </c:pt>
                <c:pt idx="168">
                  <c:v>2091</c:v>
                </c:pt>
                <c:pt idx="169">
                  <c:v>2229</c:v>
                </c:pt>
                <c:pt idx="170">
                  <c:v>2367</c:v>
                </c:pt>
                <c:pt idx="171">
                  <c:v>2375</c:v>
                </c:pt>
                <c:pt idx="172">
                  <c:v>2543</c:v>
                </c:pt>
                <c:pt idx="173">
                  <c:v>2711</c:v>
                </c:pt>
                <c:pt idx="174">
                  <c:v>2879</c:v>
                </c:pt>
                <c:pt idx="175">
                  <c:v>300</c:v>
                </c:pt>
                <c:pt idx="176">
                  <c:v>321</c:v>
                </c:pt>
                <c:pt idx="177">
                  <c:v>342</c:v>
                </c:pt>
                <c:pt idx="178">
                  <c:v>363</c:v>
                </c:pt>
                <c:pt idx="179">
                  <c:v>627</c:v>
                </c:pt>
                <c:pt idx="180">
                  <c:v>671</c:v>
                </c:pt>
                <c:pt idx="181">
                  <c:v>715</c:v>
                </c:pt>
                <c:pt idx="182">
                  <c:v>759</c:v>
                </c:pt>
                <c:pt idx="183">
                  <c:v>825</c:v>
                </c:pt>
                <c:pt idx="184">
                  <c:v>883</c:v>
                </c:pt>
                <c:pt idx="185">
                  <c:v>941</c:v>
                </c:pt>
                <c:pt idx="186">
                  <c:v>999</c:v>
                </c:pt>
                <c:pt idx="187">
                  <c:v>1023</c:v>
                </c:pt>
                <c:pt idx="188">
                  <c:v>1095</c:v>
                </c:pt>
                <c:pt idx="189">
                  <c:v>1167</c:v>
                </c:pt>
                <c:pt idx="190">
                  <c:v>1239</c:v>
                </c:pt>
                <c:pt idx="191">
                  <c:v>498</c:v>
                </c:pt>
                <c:pt idx="192">
                  <c:v>533</c:v>
                </c:pt>
                <c:pt idx="193">
                  <c:v>568</c:v>
                </c:pt>
                <c:pt idx="194">
                  <c:v>603</c:v>
                </c:pt>
                <c:pt idx="195">
                  <c:v>853</c:v>
                </c:pt>
                <c:pt idx="196">
                  <c:v>913</c:v>
                </c:pt>
                <c:pt idx="197">
                  <c:v>973</c:v>
                </c:pt>
                <c:pt idx="198">
                  <c:v>1033</c:v>
                </c:pt>
                <c:pt idx="199">
                  <c:v>1107</c:v>
                </c:pt>
                <c:pt idx="200">
                  <c:v>1185</c:v>
                </c:pt>
                <c:pt idx="201">
                  <c:v>1263</c:v>
                </c:pt>
                <c:pt idx="202">
                  <c:v>1341</c:v>
                </c:pt>
                <c:pt idx="203">
                  <c:v>1361</c:v>
                </c:pt>
                <c:pt idx="204">
                  <c:v>1457</c:v>
                </c:pt>
                <c:pt idx="205">
                  <c:v>1553</c:v>
                </c:pt>
                <c:pt idx="206">
                  <c:v>1649</c:v>
                </c:pt>
                <c:pt idx="207">
                  <c:v>696</c:v>
                </c:pt>
                <c:pt idx="208">
                  <c:v>745</c:v>
                </c:pt>
                <c:pt idx="209">
                  <c:v>794</c:v>
                </c:pt>
                <c:pt idx="210">
                  <c:v>843</c:v>
                </c:pt>
                <c:pt idx="211">
                  <c:v>1079</c:v>
                </c:pt>
                <c:pt idx="212">
                  <c:v>1155</c:v>
                </c:pt>
                <c:pt idx="213">
                  <c:v>1231</c:v>
                </c:pt>
                <c:pt idx="214">
                  <c:v>1307</c:v>
                </c:pt>
                <c:pt idx="215">
                  <c:v>1389</c:v>
                </c:pt>
                <c:pt idx="216">
                  <c:v>1487</c:v>
                </c:pt>
                <c:pt idx="217">
                  <c:v>1585</c:v>
                </c:pt>
                <c:pt idx="218">
                  <c:v>1683</c:v>
                </c:pt>
                <c:pt idx="219">
                  <c:v>1699</c:v>
                </c:pt>
                <c:pt idx="220">
                  <c:v>1819</c:v>
                </c:pt>
                <c:pt idx="221">
                  <c:v>1939</c:v>
                </c:pt>
                <c:pt idx="222">
                  <c:v>2059</c:v>
                </c:pt>
                <c:pt idx="223">
                  <c:v>894</c:v>
                </c:pt>
                <c:pt idx="224">
                  <c:v>957</c:v>
                </c:pt>
                <c:pt idx="225">
                  <c:v>1020</c:v>
                </c:pt>
                <c:pt idx="226">
                  <c:v>1083</c:v>
                </c:pt>
              </c:numCache>
            </c:numRef>
          </c:xVal>
          <c:yVal>
            <c:numRef>
              <c:f>Iris!$H$2:$H$228</c:f>
              <c:numCache>
                <c:formatCode>General</c:formatCode>
                <c:ptCount val="227"/>
                <c:pt idx="0">
                  <c:v>0.94078948348760605</c:v>
                </c:pt>
                <c:pt idx="1">
                  <c:v>0.92105264216661453</c:v>
                </c:pt>
                <c:pt idx="2">
                  <c:v>0.87993421778082848</c:v>
                </c:pt>
                <c:pt idx="3">
                  <c:v>0.82730263471603394</c:v>
                </c:pt>
                <c:pt idx="4">
                  <c:v>0.94901316985487938</c:v>
                </c:pt>
                <c:pt idx="5">
                  <c:v>0.94572368636727333</c:v>
                </c:pt>
                <c:pt idx="6">
                  <c:v>0.93421053513884544</c:v>
                </c:pt>
                <c:pt idx="7">
                  <c:v>0.92269736900925636</c:v>
                </c:pt>
                <c:pt idx="8">
                  <c:v>0.94243421778082848</c:v>
                </c:pt>
                <c:pt idx="9">
                  <c:v>0.94572368636727333</c:v>
                </c:pt>
                <c:pt idx="10">
                  <c:v>0.93256578966975212</c:v>
                </c:pt>
                <c:pt idx="11">
                  <c:v>0.86842106282711029</c:v>
                </c:pt>
                <c:pt idx="12">
                  <c:v>0.94243421778082848</c:v>
                </c:pt>
                <c:pt idx="13">
                  <c:v>0.94078947976231575</c:v>
                </c:pt>
                <c:pt idx="14">
                  <c:v>0.89473684877157211</c:v>
                </c:pt>
                <c:pt idx="15">
                  <c:v>0.86019737180322409</c:v>
                </c:pt>
                <c:pt idx="16">
                  <c:v>0.94243422150611877</c:v>
                </c:pt>
                <c:pt idx="17">
                  <c:v>0.93585526198148727</c:v>
                </c:pt>
                <c:pt idx="18">
                  <c:v>0.91940790042281151</c:v>
                </c:pt>
                <c:pt idx="19">
                  <c:v>0.87828947231173515</c:v>
                </c:pt>
                <c:pt idx="20">
                  <c:v>0.9375000074505806</c:v>
                </c:pt>
                <c:pt idx="21">
                  <c:v>0.9440789483487606</c:v>
                </c:pt>
                <c:pt idx="22">
                  <c:v>0.89473685622215271</c:v>
                </c:pt>
                <c:pt idx="23">
                  <c:v>0.89309210330247879</c:v>
                </c:pt>
                <c:pt idx="24">
                  <c:v>0.94572367891669273</c:v>
                </c:pt>
                <c:pt idx="25">
                  <c:v>0.94078947976231575</c:v>
                </c:pt>
                <c:pt idx="26">
                  <c:v>0.93585526198148727</c:v>
                </c:pt>
                <c:pt idx="27">
                  <c:v>0.94243420660495758</c:v>
                </c:pt>
                <c:pt idx="28">
                  <c:v>0.94736842811107635</c:v>
                </c:pt>
                <c:pt idx="29">
                  <c:v>0.94078947976231575</c:v>
                </c:pt>
                <c:pt idx="30">
                  <c:v>0.91118421033024788</c:v>
                </c:pt>
                <c:pt idx="31">
                  <c:v>0.81907895021140575</c:v>
                </c:pt>
                <c:pt idx="32">
                  <c:v>0.95723684132099152</c:v>
                </c:pt>
                <c:pt idx="33">
                  <c:v>0.95888157188892365</c:v>
                </c:pt>
                <c:pt idx="34">
                  <c:v>0.90789473801851273</c:v>
                </c:pt>
                <c:pt idx="35">
                  <c:v>0.86019737645983696</c:v>
                </c:pt>
                <c:pt idx="36">
                  <c:v>0.94736842811107635</c:v>
                </c:pt>
                <c:pt idx="37">
                  <c:v>0.95394736528396606</c:v>
                </c:pt>
                <c:pt idx="38">
                  <c:v>0.92927632108330727</c:v>
                </c:pt>
                <c:pt idx="39">
                  <c:v>0.88980262912809849</c:v>
                </c:pt>
                <c:pt idx="40">
                  <c:v>0.92763159051537514</c:v>
                </c:pt>
                <c:pt idx="41">
                  <c:v>0.94572368636727333</c:v>
                </c:pt>
                <c:pt idx="42">
                  <c:v>0.92927632480859756</c:v>
                </c:pt>
                <c:pt idx="43">
                  <c:v>0.94572368636727333</c:v>
                </c:pt>
                <c:pt idx="44">
                  <c:v>0.94736842438578606</c:v>
                </c:pt>
                <c:pt idx="45">
                  <c:v>0.9375000074505806</c:v>
                </c:pt>
                <c:pt idx="46">
                  <c:v>0.85197368264198303</c:v>
                </c:pt>
                <c:pt idx="47">
                  <c:v>0.87171053513884544</c:v>
                </c:pt>
                <c:pt idx="48">
                  <c:v>0.94078948721289635</c:v>
                </c:pt>
                <c:pt idx="49">
                  <c:v>0.94572368264198303</c:v>
                </c:pt>
                <c:pt idx="50">
                  <c:v>0.89638157561421394</c:v>
                </c:pt>
                <c:pt idx="51">
                  <c:v>0.9128289595246315</c:v>
                </c:pt>
                <c:pt idx="52">
                  <c:v>0.93421053513884544</c:v>
                </c:pt>
                <c:pt idx="53">
                  <c:v>0.90953947976231575</c:v>
                </c:pt>
                <c:pt idx="54">
                  <c:v>0.92763158679008484</c:v>
                </c:pt>
                <c:pt idx="55">
                  <c:v>0.84868421405553818</c:v>
                </c:pt>
                <c:pt idx="56">
                  <c:v>0.94736842066049576</c:v>
                </c:pt>
                <c:pt idx="57">
                  <c:v>0.95065789669752121</c:v>
                </c:pt>
                <c:pt idx="58">
                  <c:v>0.95065790042281151</c:v>
                </c:pt>
                <c:pt idx="59">
                  <c:v>0.89967105910181999</c:v>
                </c:pt>
                <c:pt idx="60">
                  <c:v>0.93256579712033272</c:v>
                </c:pt>
                <c:pt idx="61">
                  <c:v>0.91611841693520546</c:v>
                </c:pt>
                <c:pt idx="62">
                  <c:v>0.84046052768826485</c:v>
                </c:pt>
                <c:pt idx="63">
                  <c:v>0.8437500037252903</c:v>
                </c:pt>
                <c:pt idx="64">
                  <c:v>0.88651316612958908</c:v>
                </c:pt>
                <c:pt idx="65">
                  <c:v>0.80427632108330727</c:v>
                </c:pt>
                <c:pt idx="66">
                  <c:v>0.87006578966975212</c:v>
                </c:pt>
                <c:pt idx="67">
                  <c:v>0.85690790414810181</c:v>
                </c:pt>
                <c:pt idx="68">
                  <c:v>0.94078947976231575</c:v>
                </c:pt>
                <c:pt idx="69">
                  <c:v>0.95230263099074364</c:v>
                </c:pt>
                <c:pt idx="70">
                  <c:v>0.86513157747685909</c:v>
                </c:pt>
                <c:pt idx="71">
                  <c:v>0.91118421778082848</c:v>
                </c:pt>
                <c:pt idx="72">
                  <c:v>0.92105263099074364</c:v>
                </c:pt>
                <c:pt idx="73">
                  <c:v>0.93256577849388123</c:v>
                </c:pt>
                <c:pt idx="74">
                  <c:v>0.9375000111758709</c:v>
                </c:pt>
                <c:pt idx="75">
                  <c:v>0.93914474919438362</c:v>
                </c:pt>
                <c:pt idx="76">
                  <c:v>0.92269737273454666</c:v>
                </c:pt>
                <c:pt idx="77">
                  <c:v>0.92105263471603394</c:v>
                </c:pt>
                <c:pt idx="78">
                  <c:v>0.80075188194002422</c:v>
                </c:pt>
                <c:pt idx="79">
                  <c:v>0.77067668948854717</c:v>
                </c:pt>
                <c:pt idx="80">
                  <c:v>0.93914474546909332</c:v>
                </c:pt>
                <c:pt idx="81">
                  <c:v>0.92105263099074364</c:v>
                </c:pt>
                <c:pt idx="82">
                  <c:v>0.87218044911112103</c:v>
                </c:pt>
                <c:pt idx="83">
                  <c:v>0.86278195892061504</c:v>
                </c:pt>
                <c:pt idx="84">
                  <c:v>0.94736842811107635</c:v>
                </c:pt>
                <c:pt idx="85">
                  <c:v>0.92434212192893028</c:v>
                </c:pt>
                <c:pt idx="86">
                  <c:v>0.87969925148146488</c:v>
                </c:pt>
                <c:pt idx="87">
                  <c:v>0.86278195679187775</c:v>
                </c:pt>
                <c:pt idx="88">
                  <c:v>0.93914474174380302</c:v>
                </c:pt>
                <c:pt idx="89">
                  <c:v>0.91776316985487938</c:v>
                </c:pt>
                <c:pt idx="90">
                  <c:v>0.9041353421551841</c:v>
                </c:pt>
                <c:pt idx="91">
                  <c:v>0.81203007698059082</c:v>
                </c:pt>
                <c:pt idx="92">
                  <c:v>0.95723684132099152</c:v>
                </c:pt>
                <c:pt idx="93">
                  <c:v>0.92763157933950424</c:v>
                </c:pt>
                <c:pt idx="94">
                  <c:v>0.82894736954144066</c:v>
                </c:pt>
                <c:pt idx="95">
                  <c:v>0.8082706715379443</c:v>
                </c:pt>
                <c:pt idx="96">
                  <c:v>0.9375000074505806</c:v>
                </c:pt>
                <c:pt idx="97">
                  <c:v>0.93421052768826485</c:v>
                </c:pt>
                <c:pt idx="98">
                  <c:v>0.86278195466314045</c:v>
                </c:pt>
                <c:pt idx="99">
                  <c:v>0.69548871900354114</c:v>
                </c:pt>
                <c:pt idx="100">
                  <c:v>0.92598684877157211</c:v>
                </c:pt>
                <c:pt idx="101">
                  <c:v>0.93256579712033272</c:v>
                </c:pt>
                <c:pt idx="102">
                  <c:v>0.92763158679008484</c:v>
                </c:pt>
                <c:pt idx="103">
                  <c:v>0.94736843023981365</c:v>
                </c:pt>
                <c:pt idx="104">
                  <c:v>0.93585526198148727</c:v>
                </c:pt>
                <c:pt idx="105">
                  <c:v>0.89802631735801697</c:v>
                </c:pt>
                <c:pt idx="106">
                  <c:v>0.86019737645983696</c:v>
                </c:pt>
                <c:pt idx="107">
                  <c:v>0.85338346021515987</c:v>
                </c:pt>
                <c:pt idx="108">
                  <c:v>0.93092106282711029</c:v>
                </c:pt>
                <c:pt idx="109">
                  <c:v>0.91447368636727333</c:v>
                </c:pt>
                <c:pt idx="110">
                  <c:v>0.82280702193578081</c:v>
                </c:pt>
                <c:pt idx="111">
                  <c:v>0.74812030792236328</c:v>
                </c:pt>
                <c:pt idx="112">
                  <c:v>0.95394737645983696</c:v>
                </c:pt>
                <c:pt idx="113">
                  <c:v>0.9375000037252903</c:v>
                </c:pt>
                <c:pt idx="114">
                  <c:v>0.86278195679187775</c:v>
                </c:pt>
                <c:pt idx="115">
                  <c:v>0.75563910177775795</c:v>
                </c:pt>
                <c:pt idx="116">
                  <c:v>0.93585527315735817</c:v>
                </c:pt>
                <c:pt idx="117">
                  <c:v>0.90460526943206787</c:v>
                </c:pt>
                <c:pt idx="118">
                  <c:v>0.86019736714661121</c:v>
                </c:pt>
                <c:pt idx="119">
                  <c:v>0.9285714285714286</c:v>
                </c:pt>
                <c:pt idx="120">
                  <c:v>0.93421052396297455</c:v>
                </c:pt>
                <c:pt idx="121">
                  <c:v>0.92269737273454666</c:v>
                </c:pt>
                <c:pt idx="122">
                  <c:v>0.79699248501232689</c:v>
                </c:pt>
                <c:pt idx="123">
                  <c:v>0.75563909539154595</c:v>
                </c:pt>
                <c:pt idx="124">
                  <c:v>0.92927631735801697</c:v>
                </c:pt>
                <c:pt idx="125">
                  <c:v>0.90296052768826485</c:v>
                </c:pt>
                <c:pt idx="126">
                  <c:v>0.89097744652203148</c:v>
                </c:pt>
                <c:pt idx="127">
                  <c:v>0.80075188194002422</c:v>
                </c:pt>
                <c:pt idx="128">
                  <c:v>0.94901315867900848</c:v>
                </c:pt>
                <c:pt idx="129">
                  <c:v>0.93421052768826485</c:v>
                </c:pt>
                <c:pt idx="130">
                  <c:v>0.89661653978484013</c:v>
                </c:pt>
                <c:pt idx="131">
                  <c:v>0.71992481393473484</c:v>
                </c:pt>
                <c:pt idx="132">
                  <c:v>0.92598684877157211</c:v>
                </c:pt>
                <c:pt idx="133">
                  <c:v>0.88815789669752121</c:v>
                </c:pt>
                <c:pt idx="134">
                  <c:v>0.92269736900925636</c:v>
                </c:pt>
                <c:pt idx="135">
                  <c:v>0.93609023094177246</c:v>
                </c:pt>
                <c:pt idx="136">
                  <c:v>0.93585526570677757</c:v>
                </c:pt>
                <c:pt idx="137">
                  <c:v>0.8733552610501647</c:v>
                </c:pt>
                <c:pt idx="138">
                  <c:v>0.78007519138710835</c:v>
                </c:pt>
                <c:pt idx="139">
                  <c:v>0.72932330625397823</c:v>
                </c:pt>
                <c:pt idx="140">
                  <c:v>0.94736842438578606</c:v>
                </c:pt>
                <c:pt idx="141">
                  <c:v>0.91447368636727333</c:v>
                </c:pt>
                <c:pt idx="142">
                  <c:v>0.89473684770720341</c:v>
                </c:pt>
                <c:pt idx="143">
                  <c:v>0.78195489836590626</c:v>
                </c:pt>
                <c:pt idx="144">
                  <c:v>0.94736842811107635</c:v>
                </c:pt>
                <c:pt idx="145">
                  <c:v>0.92763159424066544</c:v>
                </c:pt>
                <c:pt idx="146">
                  <c:v>0.88533834474427364</c:v>
                </c:pt>
                <c:pt idx="147">
                  <c:v>0.81954887935093468</c:v>
                </c:pt>
                <c:pt idx="148">
                  <c:v>0.93585527688264847</c:v>
                </c:pt>
                <c:pt idx="149">
                  <c:v>0.92763158306479454</c:v>
                </c:pt>
                <c:pt idx="150">
                  <c:v>0.91447369009256363</c:v>
                </c:pt>
                <c:pt idx="151">
                  <c:v>0.85526316506522038</c:v>
                </c:pt>
                <c:pt idx="152">
                  <c:v>0.93984963638441898</c:v>
                </c:pt>
                <c:pt idx="153">
                  <c:v>0.85902255773544312</c:v>
                </c:pt>
                <c:pt idx="154">
                  <c:v>0.83646617191178463</c:v>
                </c:pt>
                <c:pt idx="155">
                  <c:v>0.78007519032273975</c:v>
                </c:pt>
                <c:pt idx="156">
                  <c:v>0.90977444393294193</c:v>
                </c:pt>
                <c:pt idx="157">
                  <c:v>0.88909775018692017</c:v>
                </c:pt>
                <c:pt idx="158">
                  <c:v>0.78195488878658836</c:v>
                </c:pt>
                <c:pt idx="159">
                  <c:v>0.75751879917723797</c:v>
                </c:pt>
                <c:pt idx="160">
                  <c:v>0.93233084252902443</c:v>
                </c:pt>
                <c:pt idx="161">
                  <c:v>0.90789473908288143</c:v>
                </c:pt>
                <c:pt idx="162">
                  <c:v>0.84210526943206787</c:v>
                </c:pt>
                <c:pt idx="163">
                  <c:v>0.80075189045497353</c:v>
                </c:pt>
                <c:pt idx="164">
                  <c:v>0.8684210436684745</c:v>
                </c:pt>
                <c:pt idx="165">
                  <c:v>0.86278195892061504</c:v>
                </c:pt>
                <c:pt idx="166">
                  <c:v>0.73308270743915016</c:v>
                </c:pt>
                <c:pt idx="167">
                  <c:v>0.73120300684656414</c:v>
                </c:pt>
                <c:pt idx="168">
                  <c:v>0.90225564582007267</c:v>
                </c:pt>
                <c:pt idx="169">
                  <c:v>0.89849624463490074</c:v>
                </c:pt>
                <c:pt idx="170">
                  <c:v>0.86466165951320106</c:v>
                </c:pt>
                <c:pt idx="171">
                  <c:v>0.75187969846384861</c:v>
                </c:pt>
                <c:pt idx="172">
                  <c:v>0.90977443967546734</c:v>
                </c:pt>
                <c:pt idx="173">
                  <c:v>0.90037594948496136</c:v>
                </c:pt>
                <c:pt idx="174">
                  <c:v>0.8101503763880048</c:v>
                </c:pt>
                <c:pt idx="175">
                  <c:v>0.80263157827513554</c:v>
                </c:pt>
                <c:pt idx="176">
                  <c:v>0.91541353719575069</c:v>
                </c:pt>
                <c:pt idx="177">
                  <c:v>0.86842106069837299</c:v>
                </c:pt>
                <c:pt idx="178">
                  <c:v>0.88721805385180885</c:v>
                </c:pt>
                <c:pt idx="179">
                  <c:v>0.87593985881124226</c:v>
                </c:pt>
                <c:pt idx="180">
                  <c:v>0.92669173649379188</c:v>
                </c:pt>
                <c:pt idx="181">
                  <c:v>0.89473684770720341</c:v>
                </c:pt>
                <c:pt idx="182">
                  <c:v>0.77443608641624451</c:v>
                </c:pt>
                <c:pt idx="183">
                  <c:v>0.68984963212694439</c:v>
                </c:pt>
                <c:pt idx="184">
                  <c:v>0.92481202738625667</c:v>
                </c:pt>
                <c:pt idx="185">
                  <c:v>0.90977443967546734</c:v>
                </c:pt>
                <c:pt idx="186">
                  <c:v>0.86090225407055443</c:v>
                </c:pt>
                <c:pt idx="187">
                  <c:v>0.80263157401766094</c:v>
                </c:pt>
                <c:pt idx="188">
                  <c:v>0.92669172797884258</c:v>
                </c:pt>
                <c:pt idx="189">
                  <c:v>0.88533835751669743</c:v>
                </c:pt>
                <c:pt idx="190">
                  <c:v>0.83270677498408729</c:v>
                </c:pt>
                <c:pt idx="191">
                  <c:v>0.75751880024160656</c:v>
                </c:pt>
                <c:pt idx="192">
                  <c:v>0.95112782716751099</c:v>
                </c:pt>
                <c:pt idx="193">
                  <c:v>0.91729323353086201</c:v>
                </c:pt>
                <c:pt idx="194">
                  <c:v>0.85150376388004845</c:v>
                </c:pt>
                <c:pt idx="195">
                  <c:v>0.82706766894885475</c:v>
                </c:pt>
                <c:pt idx="196">
                  <c:v>0.8815789520740509</c:v>
                </c:pt>
                <c:pt idx="197">
                  <c:v>0.84022556883948185</c:v>
                </c:pt>
                <c:pt idx="198">
                  <c:v>0.81578947816576275</c:v>
                </c:pt>
                <c:pt idx="199">
                  <c:v>0.84022557309695656</c:v>
                </c:pt>
                <c:pt idx="200">
                  <c:v>0.90977443541799274</c:v>
                </c:pt>
                <c:pt idx="201">
                  <c:v>0.8815789563315255</c:v>
                </c:pt>
                <c:pt idx="202">
                  <c:v>0.8458646578448159</c:v>
                </c:pt>
                <c:pt idx="203">
                  <c:v>0.72180451346295216</c:v>
                </c:pt>
                <c:pt idx="204">
                  <c:v>0.94360902479716713</c:v>
                </c:pt>
                <c:pt idx="205">
                  <c:v>0.90225564156259808</c:v>
                </c:pt>
                <c:pt idx="206">
                  <c:v>0.80075189045497353</c:v>
                </c:pt>
                <c:pt idx="207">
                  <c:v>0.74060150129454472</c:v>
                </c:pt>
                <c:pt idx="208">
                  <c:v>0.89661654404231483</c:v>
                </c:pt>
                <c:pt idx="209">
                  <c:v>0.89849624463490074</c:v>
                </c:pt>
                <c:pt idx="210">
                  <c:v>0.8571428571428571</c:v>
                </c:pt>
                <c:pt idx="211">
                  <c:v>0.88345865692411152</c:v>
                </c:pt>
                <c:pt idx="212">
                  <c:v>0.89661655255726402</c:v>
                </c:pt>
                <c:pt idx="213">
                  <c:v>0.82894737379891537</c:v>
                </c:pt>
                <c:pt idx="214">
                  <c:v>0.80827068005289349</c:v>
                </c:pt>
                <c:pt idx="215">
                  <c:v>0.66917293199471062</c:v>
                </c:pt>
                <c:pt idx="216">
                  <c:v>0.9172932420458112</c:v>
                </c:pt>
                <c:pt idx="217">
                  <c:v>0.87593986306871685</c:v>
                </c:pt>
                <c:pt idx="218">
                  <c:v>0.85338346021515987</c:v>
                </c:pt>
                <c:pt idx="219">
                  <c:v>0.80075188619749882</c:v>
                </c:pt>
                <c:pt idx="220">
                  <c:v>0.91541354145322529</c:v>
                </c:pt>
                <c:pt idx="221">
                  <c:v>0.87969925573893959</c:v>
                </c:pt>
                <c:pt idx="222">
                  <c:v>0.84210526943206787</c:v>
                </c:pt>
                <c:pt idx="223">
                  <c:v>0.78947369115693233</c:v>
                </c:pt>
                <c:pt idx="224">
                  <c:v>0.94736841320991516</c:v>
                </c:pt>
                <c:pt idx="225">
                  <c:v>0.92293233956609455</c:v>
                </c:pt>
                <c:pt idx="226">
                  <c:v>0.92105263471603394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72-4C08-BD9A-346AB622ED1C}"/>
            </c:ext>
          </c:extLst>
        </c:ser>
        <c:ser>
          <c:idx val="1"/>
          <c:order val="1"/>
          <c:tx>
            <c:strRef>
              <c:f>Iris!$I$1</c:f>
              <c:strCache>
                <c:ptCount val="1"/>
                <c:pt idx="0">
                  <c:v>mlp_test_acc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Iris!$F$2:$F$228</c:f>
              <c:numCache>
                <c:formatCode>General</c:formatCode>
                <c:ptCount val="227"/>
                <c:pt idx="0">
                  <c:v>845</c:v>
                </c:pt>
                <c:pt idx="1">
                  <c:v>937</c:v>
                </c:pt>
                <c:pt idx="2">
                  <c:v>1029</c:v>
                </c:pt>
                <c:pt idx="3">
                  <c:v>963</c:v>
                </c:pt>
                <c:pt idx="4">
                  <c:v>1081</c:v>
                </c:pt>
                <c:pt idx="5">
                  <c:v>1199</c:v>
                </c:pt>
                <c:pt idx="6">
                  <c:v>1317</c:v>
                </c:pt>
                <c:pt idx="7">
                  <c:v>1173</c:v>
                </c:pt>
                <c:pt idx="8">
                  <c:v>1317</c:v>
                </c:pt>
                <c:pt idx="9">
                  <c:v>1461</c:v>
                </c:pt>
                <c:pt idx="10">
                  <c:v>1605</c:v>
                </c:pt>
                <c:pt idx="11">
                  <c:v>883</c:v>
                </c:pt>
                <c:pt idx="12">
                  <c:v>991</c:v>
                </c:pt>
                <c:pt idx="13">
                  <c:v>1099</c:v>
                </c:pt>
                <c:pt idx="14">
                  <c:v>1207</c:v>
                </c:pt>
                <c:pt idx="15">
                  <c:v>1125</c:v>
                </c:pt>
                <c:pt idx="16">
                  <c:v>1263</c:v>
                </c:pt>
                <c:pt idx="17">
                  <c:v>1401</c:v>
                </c:pt>
                <c:pt idx="18">
                  <c:v>1539</c:v>
                </c:pt>
                <c:pt idx="19">
                  <c:v>1367</c:v>
                </c:pt>
                <c:pt idx="20">
                  <c:v>1535</c:v>
                </c:pt>
                <c:pt idx="21">
                  <c:v>1703</c:v>
                </c:pt>
                <c:pt idx="22">
                  <c:v>1871</c:v>
                </c:pt>
                <c:pt idx="23">
                  <c:v>195</c:v>
                </c:pt>
                <c:pt idx="24">
                  <c:v>216</c:v>
                </c:pt>
                <c:pt idx="25">
                  <c:v>237</c:v>
                </c:pt>
                <c:pt idx="26">
                  <c:v>174</c:v>
                </c:pt>
                <c:pt idx="27">
                  <c:v>363</c:v>
                </c:pt>
                <c:pt idx="28">
                  <c:v>407</c:v>
                </c:pt>
                <c:pt idx="29">
                  <c:v>451</c:v>
                </c:pt>
                <c:pt idx="30">
                  <c:v>495</c:v>
                </c:pt>
                <c:pt idx="31">
                  <c:v>477</c:v>
                </c:pt>
                <c:pt idx="32">
                  <c:v>535</c:v>
                </c:pt>
                <c:pt idx="33">
                  <c:v>593</c:v>
                </c:pt>
                <c:pt idx="34">
                  <c:v>651</c:v>
                </c:pt>
                <c:pt idx="35">
                  <c:v>591</c:v>
                </c:pt>
                <c:pt idx="36">
                  <c:v>663</c:v>
                </c:pt>
                <c:pt idx="37">
                  <c:v>735</c:v>
                </c:pt>
                <c:pt idx="38">
                  <c:v>807</c:v>
                </c:pt>
                <c:pt idx="39">
                  <c:v>288</c:v>
                </c:pt>
                <c:pt idx="40">
                  <c:v>323</c:v>
                </c:pt>
                <c:pt idx="41">
                  <c:v>358</c:v>
                </c:pt>
                <c:pt idx="42">
                  <c:v>393</c:v>
                </c:pt>
                <c:pt idx="43">
                  <c:v>493</c:v>
                </c:pt>
                <c:pt idx="44">
                  <c:v>553</c:v>
                </c:pt>
                <c:pt idx="45">
                  <c:v>613</c:v>
                </c:pt>
                <c:pt idx="46">
                  <c:v>673</c:v>
                </c:pt>
                <c:pt idx="47">
                  <c:v>639</c:v>
                </c:pt>
                <c:pt idx="48">
                  <c:v>717</c:v>
                </c:pt>
                <c:pt idx="49">
                  <c:v>795</c:v>
                </c:pt>
                <c:pt idx="50">
                  <c:v>873</c:v>
                </c:pt>
                <c:pt idx="51">
                  <c:v>785</c:v>
                </c:pt>
                <c:pt idx="52">
                  <c:v>881</c:v>
                </c:pt>
                <c:pt idx="53">
                  <c:v>977</c:v>
                </c:pt>
                <c:pt idx="54">
                  <c:v>1073</c:v>
                </c:pt>
                <c:pt idx="55">
                  <c:v>402</c:v>
                </c:pt>
                <c:pt idx="56">
                  <c:v>451</c:v>
                </c:pt>
                <c:pt idx="57">
                  <c:v>500</c:v>
                </c:pt>
                <c:pt idx="58">
                  <c:v>549</c:v>
                </c:pt>
                <c:pt idx="59">
                  <c:v>623</c:v>
                </c:pt>
                <c:pt idx="60">
                  <c:v>699</c:v>
                </c:pt>
                <c:pt idx="61">
                  <c:v>775</c:v>
                </c:pt>
                <c:pt idx="62">
                  <c:v>851</c:v>
                </c:pt>
                <c:pt idx="63">
                  <c:v>801</c:v>
                </c:pt>
                <c:pt idx="64">
                  <c:v>899</c:v>
                </c:pt>
                <c:pt idx="65">
                  <c:v>997</c:v>
                </c:pt>
                <c:pt idx="66">
                  <c:v>1095</c:v>
                </c:pt>
                <c:pt idx="67">
                  <c:v>979</c:v>
                </c:pt>
                <c:pt idx="68">
                  <c:v>1099</c:v>
                </c:pt>
                <c:pt idx="69">
                  <c:v>1219</c:v>
                </c:pt>
                <c:pt idx="70">
                  <c:v>1339</c:v>
                </c:pt>
                <c:pt idx="71">
                  <c:v>516</c:v>
                </c:pt>
                <c:pt idx="72">
                  <c:v>579</c:v>
                </c:pt>
                <c:pt idx="73">
                  <c:v>642</c:v>
                </c:pt>
                <c:pt idx="74">
                  <c:v>705</c:v>
                </c:pt>
                <c:pt idx="75">
                  <c:v>937</c:v>
                </c:pt>
                <c:pt idx="76">
                  <c:v>1029</c:v>
                </c:pt>
                <c:pt idx="77">
                  <c:v>1121</c:v>
                </c:pt>
                <c:pt idx="78">
                  <c:v>1213</c:v>
                </c:pt>
                <c:pt idx="79">
                  <c:v>1199</c:v>
                </c:pt>
                <c:pt idx="80">
                  <c:v>1317</c:v>
                </c:pt>
                <c:pt idx="81">
                  <c:v>1435</c:v>
                </c:pt>
                <c:pt idx="82">
                  <c:v>1553</c:v>
                </c:pt>
                <c:pt idx="83">
                  <c:v>1461</c:v>
                </c:pt>
                <c:pt idx="84">
                  <c:v>1605</c:v>
                </c:pt>
                <c:pt idx="85">
                  <c:v>1749</c:v>
                </c:pt>
                <c:pt idx="86">
                  <c:v>1893</c:v>
                </c:pt>
                <c:pt idx="87">
                  <c:v>1099</c:v>
                </c:pt>
                <c:pt idx="88">
                  <c:v>1207</c:v>
                </c:pt>
                <c:pt idx="89">
                  <c:v>1315</c:v>
                </c:pt>
                <c:pt idx="90">
                  <c:v>1423</c:v>
                </c:pt>
                <c:pt idx="91">
                  <c:v>1401</c:v>
                </c:pt>
                <c:pt idx="92">
                  <c:v>1539</c:v>
                </c:pt>
                <c:pt idx="93">
                  <c:v>1677</c:v>
                </c:pt>
                <c:pt idx="94">
                  <c:v>1815</c:v>
                </c:pt>
                <c:pt idx="95">
                  <c:v>1703</c:v>
                </c:pt>
                <c:pt idx="96">
                  <c:v>1871</c:v>
                </c:pt>
                <c:pt idx="97">
                  <c:v>2039</c:v>
                </c:pt>
                <c:pt idx="98">
                  <c:v>2207</c:v>
                </c:pt>
                <c:pt idx="99">
                  <c:v>216</c:v>
                </c:pt>
                <c:pt idx="100">
                  <c:v>237</c:v>
                </c:pt>
                <c:pt idx="101">
                  <c:v>258</c:v>
                </c:pt>
                <c:pt idx="102">
                  <c:v>279</c:v>
                </c:pt>
                <c:pt idx="103">
                  <c:v>451</c:v>
                </c:pt>
                <c:pt idx="104">
                  <c:v>495</c:v>
                </c:pt>
                <c:pt idx="105">
                  <c:v>539</c:v>
                </c:pt>
                <c:pt idx="106">
                  <c:v>583</c:v>
                </c:pt>
                <c:pt idx="107">
                  <c:v>593</c:v>
                </c:pt>
                <c:pt idx="108">
                  <c:v>651</c:v>
                </c:pt>
                <c:pt idx="109">
                  <c:v>709</c:v>
                </c:pt>
                <c:pt idx="110">
                  <c:v>767</c:v>
                </c:pt>
                <c:pt idx="111">
                  <c:v>735</c:v>
                </c:pt>
                <c:pt idx="112">
                  <c:v>807</c:v>
                </c:pt>
                <c:pt idx="113">
                  <c:v>879</c:v>
                </c:pt>
                <c:pt idx="114">
                  <c:v>951</c:v>
                </c:pt>
                <c:pt idx="115">
                  <c:v>358</c:v>
                </c:pt>
                <c:pt idx="116">
                  <c:v>393</c:v>
                </c:pt>
                <c:pt idx="117">
                  <c:v>428</c:v>
                </c:pt>
                <c:pt idx="118">
                  <c:v>463</c:v>
                </c:pt>
                <c:pt idx="119">
                  <c:v>613</c:v>
                </c:pt>
                <c:pt idx="120">
                  <c:v>673</c:v>
                </c:pt>
                <c:pt idx="121">
                  <c:v>733</c:v>
                </c:pt>
                <c:pt idx="122">
                  <c:v>793</c:v>
                </c:pt>
                <c:pt idx="123">
                  <c:v>795</c:v>
                </c:pt>
                <c:pt idx="124">
                  <c:v>873</c:v>
                </c:pt>
                <c:pt idx="125">
                  <c:v>951</c:v>
                </c:pt>
                <c:pt idx="126">
                  <c:v>1029</c:v>
                </c:pt>
                <c:pt idx="127">
                  <c:v>977</c:v>
                </c:pt>
                <c:pt idx="128">
                  <c:v>1073</c:v>
                </c:pt>
                <c:pt idx="129">
                  <c:v>1169</c:v>
                </c:pt>
                <c:pt idx="130">
                  <c:v>1265</c:v>
                </c:pt>
                <c:pt idx="131">
                  <c:v>500</c:v>
                </c:pt>
                <c:pt idx="132">
                  <c:v>549</c:v>
                </c:pt>
                <c:pt idx="133">
                  <c:v>598</c:v>
                </c:pt>
                <c:pt idx="134">
                  <c:v>647</c:v>
                </c:pt>
                <c:pt idx="135">
                  <c:v>775</c:v>
                </c:pt>
                <c:pt idx="136">
                  <c:v>851</c:v>
                </c:pt>
                <c:pt idx="137">
                  <c:v>927</c:v>
                </c:pt>
                <c:pt idx="138">
                  <c:v>1003</c:v>
                </c:pt>
                <c:pt idx="139">
                  <c:v>997</c:v>
                </c:pt>
                <c:pt idx="140">
                  <c:v>1095</c:v>
                </c:pt>
                <c:pt idx="141">
                  <c:v>1193</c:v>
                </c:pt>
                <c:pt idx="142">
                  <c:v>1291</c:v>
                </c:pt>
                <c:pt idx="143">
                  <c:v>1219</c:v>
                </c:pt>
                <c:pt idx="144">
                  <c:v>1339</c:v>
                </c:pt>
                <c:pt idx="145">
                  <c:v>1459</c:v>
                </c:pt>
                <c:pt idx="146">
                  <c:v>1579</c:v>
                </c:pt>
                <c:pt idx="147">
                  <c:v>642</c:v>
                </c:pt>
                <c:pt idx="148">
                  <c:v>705</c:v>
                </c:pt>
                <c:pt idx="149">
                  <c:v>768</c:v>
                </c:pt>
                <c:pt idx="150">
                  <c:v>831</c:v>
                </c:pt>
                <c:pt idx="151">
                  <c:v>1305</c:v>
                </c:pt>
                <c:pt idx="152">
                  <c:v>1397</c:v>
                </c:pt>
                <c:pt idx="153">
                  <c:v>1489</c:v>
                </c:pt>
                <c:pt idx="154">
                  <c:v>1581</c:v>
                </c:pt>
                <c:pt idx="155">
                  <c:v>1671</c:v>
                </c:pt>
                <c:pt idx="156">
                  <c:v>1789</c:v>
                </c:pt>
                <c:pt idx="157">
                  <c:v>1907</c:v>
                </c:pt>
                <c:pt idx="158">
                  <c:v>2025</c:v>
                </c:pt>
                <c:pt idx="159">
                  <c:v>2037</c:v>
                </c:pt>
                <c:pt idx="160">
                  <c:v>2181</c:v>
                </c:pt>
                <c:pt idx="161">
                  <c:v>2325</c:v>
                </c:pt>
                <c:pt idx="162">
                  <c:v>2469</c:v>
                </c:pt>
                <c:pt idx="163">
                  <c:v>1531</c:v>
                </c:pt>
                <c:pt idx="164">
                  <c:v>1639</c:v>
                </c:pt>
                <c:pt idx="165">
                  <c:v>1747</c:v>
                </c:pt>
                <c:pt idx="166">
                  <c:v>1855</c:v>
                </c:pt>
                <c:pt idx="167">
                  <c:v>1953</c:v>
                </c:pt>
                <c:pt idx="168">
                  <c:v>2091</c:v>
                </c:pt>
                <c:pt idx="169">
                  <c:v>2229</c:v>
                </c:pt>
                <c:pt idx="170">
                  <c:v>2367</c:v>
                </c:pt>
                <c:pt idx="171">
                  <c:v>2375</c:v>
                </c:pt>
                <c:pt idx="172">
                  <c:v>2543</c:v>
                </c:pt>
                <c:pt idx="173">
                  <c:v>2711</c:v>
                </c:pt>
                <c:pt idx="174">
                  <c:v>2879</c:v>
                </c:pt>
                <c:pt idx="175">
                  <c:v>300</c:v>
                </c:pt>
                <c:pt idx="176">
                  <c:v>321</c:v>
                </c:pt>
                <c:pt idx="177">
                  <c:v>342</c:v>
                </c:pt>
                <c:pt idx="178">
                  <c:v>363</c:v>
                </c:pt>
                <c:pt idx="179">
                  <c:v>627</c:v>
                </c:pt>
                <c:pt idx="180">
                  <c:v>671</c:v>
                </c:pt>
                <c:pt idx="181">
                  <c:v>715</c:v>
                </c:pt>
                <c:pt idx="182">
                  <c:v>759</c:v>
                </c:pt>
                <c:pt idx="183">
                  <c:v>825</c:v>
                </c:pt>
                <c:pt idx="184">
                  <c:v>883</c:v>
                </c:pt>
                <c:pt idx="185">
                  <c:v>941</c:v>
                </c:pt>
                <c:pt idx="186">
                  <c:v>999</c:v>
                </c:pt>
                <c:pt idx="187">
                  <c:v>1023</c:v>
                </c:pt>
                <c:pt idx="188">
                  <c:v>1095</c:v>
                </c:pt>
                <c:pt idx="189">
                  <c:v>1167</c:v>
                </c:pt>
                <c:pt idx="190">
                  <c:v>1239</c:v>
                </c:pt>
                <c:pt idx="191">
                  <c:v>498</c:v>
                </c:pt>
                <c:pt idx="192">
                  <c:v>533</c:v>
                </c:pt>
                <c:pt idx="193">
                  <c:v>568</c:v>
                </c:pt>
                <c:pt idx="194">
                  <c:v>603</c:v>
                </c:pt>
                <c:pt idx="195">
                  <c:v>853</c:v>
                </c:pt>
                <c:pt idx="196">
                  <c:v>913</c:v>
                </c:pt>
                <c:pt idx="197">
                  <c:v>973</c:v>
                </c:pt>
                <c:pt idx="198">
                  <c:v>1033</c:v>
                </c:pt>
                <c:pt idx="199">
                  <c:v>1107</c:v>
                </c:pt>
                <c:pt idx="200">
                  <c:v>1185</c:v>
                </c:pt>
                <c:pt idx="201">
                  <c:v>1263</c:v>
                </c:pt>
                <c:pt idx="202">
                  <c:v>1341</c:v>
                </c:pt>
                <c:pt idx="203">
                  <c:v>1361</c:v>
                </c:pt>
                <c:pt idx="204">
                  <c:v>1457</c:v>
                </c:pt>
                <c:pt idx="205">
                  <c:v>1553</c:v>
                </c:pt>
                <c:pt idx="206">
                  <c:v>1649</c:v>
                </c:pt>
                <c:pt idx="207">
                  <c:v>696</c:v>
                </c:pt>
                <c:pt idx="208">
                  <c:v>745</c:v>
                </c:pt>
                <c:pt idx="209">
                  <c:v>794</c:v>
                </c:pt>
                <c:pt idx="210">
                  <c:v>843</c:v>
                </c:pt>
                <c:pt idx="211">
                  <c:v>1079</c:v>
                </c:pt>
                <c:pt idx="212">
                  <c:v>1155</c:v>
                </c:pt>
                <c:pt idx="213">
                  <c:v>1231</c:v>
                </c:pt>
                <c:pt idx="214">
                  <c:v>1307</c:v>
                </c:pt>
                <c:pt idx="215">
                  <c:v>1389</c:v>
                </c:pt>
                <c:pt idx="216">
                  <c:v>1487</c:v>
                </c:pt>
                <c:pt idx="217">
                  <c:v>1585</c:v>
                </c:pt>
                <c:pt idx="218">
                  <c:v>1683</c:v>
                </c:pt>
                <c:pt idx="219">
                  <c:v>1699</c:v>
                </c:pt>
                <c:pt idx="220">
                  <c:v>1819</c:v>
                </c:pt>
                <c:pt idx="221">
                  <c:v>1939</c:v>
                </c:pt>
                <c:pt idx="222">
                  <c:v>2059</c:v>
                </c:pt>
                <c:pt idx="223">
                  <c:v>894</c:v>
                </c:pt>
                <c:pt idx="224">
                  <c:v>957</c:v>
                </c:pt>
                <c:pt idx="225">
                  <c:v>1020</c:v>
                </c:pt>
                <c:pt idx="226">
                  <c:v>1083</c:v>
                </c:pt>
              </c:numCache>
            </c:numRef>
          </c:xVal>
          <c:yVal>
            <c:numRef>
              <c:f>Iris!$I$2:$I$228</c:f>
              <c:numCache>
                <c:formatCode>General</c:formatCode>
                <c:ptCount val="227"/>
                <c:pt idx="0">
                  <c:v>0.9375</c:v>
                </c:pt>
                <c:pt idx="1">
                  <c:v>0.92269736842105265</c:v>
                </c:pt>
                <c:pt idx="2">
                  <c:v>0.92927631578947367</c:v>
                </c:pt>
                <c:pt idx="3">
                  <c:v>0.93585526315789469</c:v>
                </c:pt>
                <c:pt idx="4">
                  <c:v>0.9375</c:v>
                </c:pt>
                <c:pt idx="5">
                  <c:v>0.92598684210526316</c:v>
                </c:pt>
                <c:pt idx="6">
                  <c:v>0.92598684210526316</c:v>
                </c:pt>
                <c:pt idx="7">
                  <c:v>0.92763157894736836</c:v>
                </c:pt>
                <c:pt idx="8">
                  <c:v>0.93421052631578949</c:v>
                </c:pt>
                <c:pt idx="9">
                  <c:v>0.92598684210526316</c:v>
                </c:pt>
                <c:pt idx="10">
                  <c:v>0.92434210526315785</c:v>
                </c:pt>
                <c:pt idx="11">
                  <c:v>0.91940789473684204</c:v>
                </c:pt>
                <c:pt idx="12">
                  <c:v>0.92269736842105265</c:v>
                </c:pt>
                <c:pt idx="13">
                  <c:v>0.92763157894736836</c:v>
                </c:pt>
                <c:pt idx="14">
                  <c:v>0.92434210526315785</c:v>
                </c:pt>
                <c:pt idx="15">
                  <c:v>0.92763157894736836</c:v>
                </c:pt>
                <c:pt idx="16">
                  <c:v>0.92927631578947367</c:v>
                </c:pt>
                <c:pt idx="17">
                  <c:v>0.91447368421052633</c:v>
                </c:pt>
                <c:pt idx="18">
                  <c:v>0.92927631578947367</c:v>
                </c:pt>
                <c:pt idx="19">
                  <c:v>0.92105263157894735</c:v>
                </c:pt>
                <c:pt idx="20">
                  <c:v>0.91611842105263153</c:v>
                </c:pt>
                <c:pt idx="21">
                  <c:v>0.92434210526315785</c:v>
                </c:pt>
                <c:pt idx="22">
                  <c:v>0.92434210526315785</c:v>
                </c:pt>
                <c:pt idx="23">
                  <c:v>0.92927631578947367</c:v>
                </c:pt>
                <c:pt idx="24">
                  <c:v>0.95394736842105265</c:v>
                </c:pt>
                <c:pt idx="25">
                  <c:v>0.93092105263157898</c:v>
                </c:pt>
                <c:pt idx="26">
                  <c:v>0.92598684210526316</c:v>
                </c:pt>
                <c:pt idx="27">
                  <c:v>0.93421052631578949</c:v>
                </c:pt>
                <c:pt idx="28">
                  <c:v>0.91940789473684215</c:v>
                </c:pt>
                <c:pt idx="29">
                  <c:v>0.92927631578947367</c:v>
                </c:pt>
                <c:pt idx="30">
                  <c:v>0.92598684210526316</c:v>
                </c:pt>
                <c:pt idx="31">
                  <c:v>0.92927631578947367</c:v>
                </c:pt>
                <c:pt idx="32">
                  <c:v>0.92598684210526316</c:v>
                </c:pt>
                <c:pt idx="33">
                  <c:v>0.92598684210526316</c:v>
                </c:pt>
                <c:pt idx="34">
                  <c:v>0.93092105263157887</c:v>
                </c:pt>
                <c:pt idx="35">
                  <c:v>0.92434210526315785</c:v>
                </c:pt>
                <c:pt idx="36">
                  <c:v>0.93092105263157887</c:v>
                </c:pt>
                <c:pt idx="37">
                  <c:v>0.93256578947368418</c:v>
                </c:pt>
                <c:pt idx="38">
                  <c:v>0.93421052631578949</c:v>
                </c:pt>
                <c:pt idx="39">
                  <c:v>0.92763157894736836</c:v>
                </c:pt>
                <c:pt idx="40">
                  <c:v>0.91776315789473684</c:v>
                </c:pt>
                <c:pt idx="41">
                  <c:v>0.93914473684210531</c:v>
                </c:pt>
                <c:pt idx="42">
                  <c:v>0.93256578947368418</c:v>
                </c:pt>
                <c:pt idx="43">
                  <c:v>0.92763157894736836</c:v>
                </c:pt>
                <c:pt idx="44">
                  <c:v>0.92434210526315785</c:v>
                </c:pt>
                <c:pt idx="45">
                  <c:v>0.92434210526315785</c:v>
                </c:pt>
                <c:pt idx="46">
                  <c:v>0.93092105263157887</c:v>
                </c:pt>
                <c:pt idx="47">
                  <c:v>0.92763157894736836</c:v>
                </c:pt>
                <c:pt idx="48">
                  <c:v>0.92763157894736836</c:v>
                </c:pt>
                <c:pt idx="49">
                  <c:v>0.93421052631578949</c:v>
                </c:pt>
                <c:pt idx="50">
                  <c:v>0.93092105263157898</c:v>
                </c:pt>
                <c:pt idx="51">
                  <c:v>0.92105263157894735</c:v>
                </c:pt>
                <c:pt idx="52">
                  <c:v>0.92763157894736836</c:v>
                </c:pt>
                <c:pt idx="53">
                  <c:v>0.93092105263157898</c:v>
                </c:pt>
                <c:pt idx="54">
                  <c:v>0.92598684210526316</c:v>
                </c:pt>
                <c:pt idx="55">
                  <c:v>0.91940789473684204</c:v>
                </c:pt>
                <c:pt idx="56">
                  <c:v>0.94078947368421051</c:v>
                </c:pt>
                <c:pt idx="57">
                  <c:v>0.92269736842105265</c:v>
                </c:pt>
                <c:pt idx="58">
                  <c:v>0.91447368421052633</c:v>
                </c:pt>
                <c:pt idx="59">
                  <c:v>0.91611842105263153</c:v>
                </c:pt>
                <c:pt idx="60">
                  <c:v>0.92927631578947367</c:v>
                </c:pt>
                <c:pt idx="61">
                  <c:v>0.93585526315789469</c:v>
                </c:pt>
                <c:pt idx="62">
                  <c:v>0.93092105263157898</c:v>
                </c:pt>
                <c:pt idx="63">
                  <c:v>0.93092105263157887</c:v>
                </c:pt>
                <c:pt idx="64">
                  <c:v>0.92763157894736836</c:v>
                </c:pt>
                <c:pt idx="65">
                  <c:v>0.92763157894736836</c:v>
                </c:pt>
                <c:pt idx="66">
                  <c:v>0.92269736842105265</c:v>
                </c:pt>
                <c:pt idx="67">
                  <c:v>0.92434210526315785</c:v>
                </c:pt>
                <c:pt idx="68">
                  <c:v>0.92598684210526316</c:v>
                </c:pt>
                <c:pt idx="69">
                  <c:v>0.92927631578947367</c:v>
                </c:pt>
                <c:pt idx="70">
                  <c:v>0.92269736842105265</c:v>
                </c:pt>
                <c:pt idx="71">
                  <c:v>0.92763157894736836</c:v>
                </c:pt>
                <c:pt idx="72">
                  <c:v>0.92434210526315785</c:v>
                </c:pt>
                <c:pt idx="73">
                  <c:v>0.91611842105263153</c:v>
                </c:pt>
                <c:pt idx="74">
                  <c:v>0.93256578947368418</c:v>
                </c:pt>
                <c:pt idx="75">
                  <c:v>0.9375</c:v>
                </c:pt>
                <c:pt idx="76">
                  <c:v>0.92434210526315785</c:v>
                </c:pt>
                <c:pt idx="77">
                  <c:v>0.91776315789473684</c:v>
                </c:pt>
                <c:pt idx="78">
                  <c:v>0.9229323308270676</c:v>
                </c:pt>
                <c:pt idx="79">
                  <c:v>0.91917293233082709</c:v>
                </c:pt>
                <c:pt idx="80">
                  <c:v>0.93256578947368418</c:v>
                </c:pt>
                <c:pt idx="81">
                  <c:v>0.92598684210526316</c:v>
                </c:pt>
                <c:pt idx="82">
                  <c:v>0.9229323308270676</c:v>
                </c:pt>
                <c:pt idx="83">
                  <c:v>0.92481203007518797</c:v>
                </c:pt>
                <c:pt idx="84">
                  <c:v>0.91776315789473684</c:v>
                </c:pt>
                <c:pt idx="85">
                  <c:v>0.93585526315789469</c:v>
                </c:pt>
                <c:pt idx="86">
                  <c:v>0.9285714285714286</c:v>
                </c:pt>
                <c:pt idx="87">
                  <c:v>0.92857142857142849</c:v>
                </c:pt>
                <c:pt idx="88">
                  <c:v>0.92105263157894735</c:v>
                </c:pt>
                <c:pt idx="89">
                  <c:v>0.92763157894736836</c:v>
                </c:pt>
                <c:pt idx="90">
                  <c:v>0.92669172932330823</c:v>
                </c:pt>
                <c:pt idx="91">
                  <c:v>0.93233082706766912</c:v>
                </c:pt>
                <c:pt idx="92">
                  <c:v>0.93256578947368418</c:v>
                </c:pt>
                <c:pt idx="93">
                  <c:v>0.92105263157894735</c:v>
                </c:pt>
                <c:pt idx="94">
                  <c:v>0.92481203007518797</c:v>
                </c:pt>
                <c:pt idx="95">
                  <c:v>0.91917293233082709</c:v>
                </c:pt>
                <c:pt idx="96">
                  <c:v>0.93421052631578949</c:v>
                </c:pt>
                <c:pt idx="97">
                  <c:v>0.92434210526315785</c:v>
                </c:pt>
                <c:pt idx="98">
                  <c:v>0.9285714285714286</c:v>
                </c:pt>
                <c:pt idx="99">
                  <c:v>0.9285714285714286</c:v>
                </c:pt>
                <c:pt idx="100">
                  <c:v>0.94407894736842102</c:v>
                </c:pt>
                <c:pt idx="101">
                  <c:v>0.94243421052631582</c:v>
                </c:pt>
                <c:pt idx="102">
                  <c:v>0.91611842105263153</c:v>
                </c:pt>
                <c:pt idx="103">
                  <c:v>0.92669172932330823</c:v>
                </c:pt>
                <c:pt idx="104">
                  <c:v>0.93256578947368418</c:v>
                </c:pt>
                <c:pt idx="105">
                  <c:v>0.92434210526315785</c:v>
                </c:pt>
                <c:pt idx="106">
                  <c:v>0.92105263157894735</c:v>
                </c:pt>
                <c:pt idx="107">
                  <c:v>0.91917293233082709</c:v>
                </c:pt>
                <c:pt idx="108">
                  <c:v>0.91776315789473684</c:v>
                </c:pt>
                <c:pt idx="109">
                  <c:v>0.91611842105263153</c:v>
                </c:pt>
                <c:pt idx="110">
                  <c:v>0.92807017543859649</c:v>
                </c:pt>
                <c:pt idx="111">
                  <c:v>0.9285714285714286</c:v>
                </c:pt>
                <c:pt idx="112">
                  <c:v>0.92434210526315785</c:v>
                </c:pt>
                <c:pt idx="113">
                  <c:v>0.92434210526315785</c:v>
                </c:pt>
                <c:pt idx="114">
                  <c:v>0.93233082706766912</c:v>
                </c:pt>
                <c:pt idx="115">
                  <c:v>0.93045112781954886</c:v>
                </c:pt>
                <c:pt idx="116">
                  <c:v>0.93421052631578949</c:v>
                </c:pt>
                <c:pt idx="117">
                  <c:v>0.93256578947368418</c:v>
                </c:pt>
                <c:pt idx="118">
                  <c:v>0.92434210526315785</c:v>
                </c:pt>
                <c:pt idx="119">
                  <c:v>0.92105263157894735</c:v>
                </c:pt>
                <c:pt idx="120">
                  <c:v>0.91940789473684204</c:v>
                </c:pt>
                <c:pt idx="121">
                  <c:v>0.92434210526315785</c:v>
                </c:pt>
                <c:pt idx="122">
                  <c:v>0.9285714285714286</c:v>
                </c:pt>
                <c:pt idx="123">
                  <c:v>0.93045112781954886</c:v>
                </c:pt>
                <c:pt idx="124">
                  <c:v>0.92598684210526316</c:v>
                </c:pt>
                <c:pt idx="125">
                  <c:v>0.93421052631578949</c:v>
                </c:pt>
                <c:pt idx="126">
                  <c:v>0.91917293233082709</c:v>
                </c:pt>
                <c:pt idx="127">
                  <c:v>0.9229323308270676</c:v>
                </c:pt>
                <c:pt idx="128">
                  <c:v>0.9375</c:v>
                </c:pt>
                <c:pt idx="129">
                  <c:v>0.92763157894736836</c:v>
                </c:pt>
                <c:pt idx="130">
                  <c:v>0.92481203007518797</c:v>
                </c:pt>
                <c:pt idx="131">
                  <c:v>0.91917293233082709</c:v>
                </c:pt>
                <c:pt idx="132">
                  <c:v>0.91776315789473684</c:v>
                </c:pt>
                <c:pt idx="133">
                  <c:v>0.91447368421052633</c:v>
                </c:pt>
                <c:pt idx="134">
                  <c:v>0.92269736842105265</c:v>
                </c:pt>
                <c:pt idx="135">
                  <c:v>0.93796992481203012</c:v>
                </c:pt>
                <c:pt idx="136">
                  <c:v>0.92434210526315785</c:v>
                </c:pt>
                <c:pt idx="137">
                  <c:v>0.92434210526315785</c:v>
                </c:pt>
                <c:pt idx="138">
                  <c:v>0.9229323308270676</c:v>
                </c:pt>
                <c:pt idx="139">
                  <c:v>0.91917293233082709</c:v>
                </c:pt>
                <c:pt idx="140">
                  <c:v>0.9375</c:v>
                </c:pt>
                <c:pt idx="141">
                  <c:v>0.93256578947368418</c:v>
                </c:pt>
                <c:pt idx="142">
                  <c:v>0.92481203007518797</c:v>
                </c:pt>
                <c:pt idx="143">
                  <c:v>0.92105263157894735</c:v>
                </c:pt>
                <c:pt idx="144">
                  <c:v>0.93092105263157887</c:v>
                </c:pt>
                <c:pt idx="145">
                  <c:v>0.92598684210526316</c:v>
                </c:pt>
                <c:pt idx="146">
                  <c:v>0.93045112781954886</c:v>
                </c:pt>
                <c:pt idx="147">
                  <c:v>0.92481203007518797</c:v>
                </c:pt>
                <c:pt idx="148">
                  <c:v>0.91611842105263153</c:v>
                </c:pt>
                <c:pt idx="149">
                  <c:v>0.9391447368421052</c:v>
                </c:pt>
                <c:pt idx="150">
                  <c:v>0.9375</c:v>
                </c:pt>
                <c:pt idx="151">
                  <c:v>0.92481203007518797</c:v>
                </c:pt>
                <c:pt idx="152">
                  <c:v>0.92857142857142849</c:v>
                </c:pt>
                <c:pt idx="153">
                  <c:v>0.92105263157894735</c:v>
                </c:pt>
                <c:pt idx="154">
                  <c:v>0.92481203007518797</c:v>
                </c:pt>
                <c:pt idx="155">
                  <c:v>0.92481203007518797</c:v>
                </c:pt>
                <c:pt idx="156">
                  <c:v>0.9229323308270676</c:v>
                </c:pt>
                <c:pt idx="157">
                  <c:v>0.9229323308270676</c:v>
                </c:pt>
                <c:pt idx="158">
                  <c:v>0.91729323308270672</c:v>
                </c:pt>
                <c:pt idx="159">
                  <c:v>0.9135338345864662</c:v>
                </c:pt>
                <c:pt idx="160">
                  <c:v>0.92105263157894735</c:v>
                </c:pt>
                <c:pt idx="161">
                  <c:v>0.92105263157894735</c:v>
                </c:pt>
                <c:pt idx="162">
                  <c:v>0.93233082706766912</c:v>
                </c:pt>
                <c:pt idx="163">
                  <c:v>0.93045112781954886</c:v>
                </c:pt>
                <c:pt idx="164">
                  <c:v>0.9285714285714286</c:v>
                </c:pt>
                <c:pt idx="165">
                  <c:v>0.91729323308270672</c:v>
                </c:pt>
                <c:pt idx="166">
                  <c:v>0.91729323308270672</c:v>
                </c:pt>
                <c:pt idx="167">
                  <c:v>0.91917293233082709</c:v>
                </c:pt>
                <c:pt idx="168">
                  <c:v>0.92481203007518797</c:v>
                </c:pt>
                <c:pt idx="169">
                  <c:v>0.92481203007518797</c:v>
                </c:pt>
                <c:pt idx="170">
                  <c:v>0.92857142857142849</c:v>
                </c:pt>
                <c:pt idx="171">
                  <c:v>0.93045112781954886</c:v>
                </c:pt>
                <c:pt idx="172">
                  <c:v>0.91917293233082709</c:v>
                </c:pt>
                <c:pt idx="173">
                  <c:v>0.92857142857142849</c:v>
                </c:pt>
                <c:pt idx="174">
                  <c:v>0.93233082706766912</c:v>
                </c:pt>
                <c:pt idx="175">
                  <c:v>0.91917293233082709</c:v>
                </c:pt>
                <c:pt idx="176">
                  <c:v>0.90225563909774431</c:v>
                </c:pt>
                <c:pt idx="177">
                  <c:v>0.91729323308270672</c:v>
                </c:pt>
                <c:pt idx="178">
                  <c:v>0.93796992481203001</c:v>
                </c:pt>
                <c:pt idx="179">
                  <c:v>0.90789473684210531</c:v>
                </c:pt>
                <c:pt idx="180">
                  <c:v>0.91541353383458646</c:v>
                </c:pt>
                <c:pt idx="181">
                  <c:v>0.92105263157894735</c:v>
                </c:pt>
                <c:pt idx="182">
                  <c:v>0.93609022556390975</c:v>
                </c:pt>
                <c:pt idx="183">
                  <c:v>0.93233082706766912</c:v>
                </c:pt>
                <c:pt idx="184">
                  <c:v>0.93421052631578949</c:v>
                </c:pt>
                <c:pt idx="185">
                  <c:v>0.92669172932330823</c:v>
                </c:pt>
                <c:pt idx="186">
                  <c:v>0.9229323308270676</c:v>
                </c:pt>
                <c:pt idx="187">
                  <c:v>0.91917293233082709</c:v>
                </c:pt>
                <c:pt idx="188">
                  <c:v>0.92481203007518797</c:v>
                </c:pt>
                <c:pt idx="189">
                  <c:v>0.93233082706766912</c:v>
                </c:pt>
                <c:pt idx="190">
                  <c:v>0.92481203007518797</c:v>
                </c:pt>
                <c:pt idx="191">
                  <c:v>0.91729323308270672</c:v>
                </c:pt>
                <c:pt idx="192">
                  <c:v>0.93233082706766912</c:v>
                </c:pt>
                <c:pt idx="193">
                  <c:v>0.93233082706766912</c:v>
                </c:pt>
                <c:pt idx="194">
                  <c:v>0.92481203007518797</c:v>
                </c:pt>
                <c:pt idx="195">
                  <c:v>0.92481203007518797</c:v>
                </c:pt>
                <c:pt idx="196">
                  <c:v>0.92669172932330823</c:v>
                </c:pt>
                <c:pt idx="197">
                  <c:v>0.92105263157894735</c:v>
                </c:pt>
                <c:pt idx="198">
                  <c:v>0.92105263157894735</c:v>
                </c:pt>
                <c:pt idx="199">
                  <c:v>0.91917293233082709</c:v>
                </c:pt>
                <c:pt idx="200">
                  <c:v>0.9229323308270676</c:v>
                </c:pt>
                <c:pt idx="201">
                  <c:v>0.92481203007518797</c:v>
                </c:pt>
                <c:pt idx="202">
                  <c:v>0.92481203007518797</c:v>
                </c:pt>
                <c:pt idx="203">
                  <c:v>0.9229323308270676</c:v>
                </c:pt>
                <c:pt idx="204">
                  <c:v>0.92669172932330823</c:v>
                </c:pt>
                <c:pt idx="205">
                  <c:v>0.91917293233082709</c:v>
                </c:pt>
                <c:pt idx="206">
                  <c:v>0.92481203007518797</c:v>
                </c:pt>
                <c:pt idx="207">
                  <c:v>0.92481203007518797</c:v>
                </c:pt>
                <c:pt idx="208">
                  <c:v>0.92857142857142849</c:v>
                </c:pt>
                <c:pt idx="209">
                  <c:v>0.9135338345864662</c:v>
                </c:pt>
                <c:pt idx="210">
                  <c:v>0.92481203007518797</c:v>
                </c:pt>
                <c:pt idx="211">
                  <c:v>0.91917293233082709</c:v>
                </c:pt>
                <c:pt idx="212">
                  <c:v>0.92481203007518797</c:v>
                </c:pt>
                <c:pt idx="213">
                  <c:v>0.92481203007518797</c:v>
                </c:pt>
                <c:pt idx="214">
                  <c:v>0.92669172932330823</c:v>
                </c:pt>
                <c:pt idx="215">
                  <c:v>0.91729323308270672</c:v>
                </c:pt>
                <c:pt idx="216">
                  <c:v>0.92105263157894735</c:v>
                </c:pt>
                <c:pt idx="217">
                  <c:v>0.91541353383458646</c:v>
                </c:pt>
                <c:pt idx="218">
                  <c:v>0.9135338345864662</c:v>
                </c:pt>
                <c:pt idx="219">
                  <c:v>0.9229323308270676</c:v>
                </c:pt>
                <c:pt idx="220">
                  <c:v>0.9285714285714286</c:v>
                </c:pt>
                <c:pt idx="221">
                  <c:v>0.92105263157894735</c:v>
                </c:pt>
                <c:pt idx="222">
                  <c:v>0.92105263157894735</c:v>
                </c:pt>
                <c:pt idx="223">
                  <c:v>0.91541353383458646</c:v>
                </c:pt>
                <c:pt idx="224">
                  <c:v>0.92481203007518797</c:v>
                </c:pt>
                <c:pt idx="225">
                  <c:v>0.92481203007518797</c:v>
                </c:pt>
                <c:pt idx="226">
                  <c:v>0.92669172932330823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72-4C08-BD9A-346AB622ED1C}"/>
            </c:ext>
          </c:extLst>
        </c:ser>
        <c:ser>
          <c:idx val="2"/>
          <c:order val="2"/>
          <c:tx>
            <c:strRef>
              <c:f>Iris!$N$1</c:f>
              <c:strCache>
                <c:ptCount val="1"/>
                <c:pt idx="0">
                  <c:v>mlp_test_acc2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Iris!$F$2:$F$228</c:f>
              <c:numCache>
                <c:formatCode>General</c:formatCode>
                <c:ptCount val="227"/>
                <c:pt idx="0">
                  <c:v>845</c:v>
                </c:pt>
                <c:pt idx="1">
                  <c:v>937</c:v>
                </c:pt>
                <c:pt idx="2">
                  <c:v>1029</c:v>
                </c:pt>
                <c:pt idx="3">
                  <c:v>963</c:v>
                </c:pt>
                <c:pt idx="4">
                  <c:v>1081</c:v>
                </c:pt>
                <c:pt idx="5">
                  <c:v>1199</c:v>
                </c:pt>
                <c:pt idx="6">
                  <c:v>1317</c:v>
                </c:pt>
                <c:pt idx="7">
                  <c:v>1173</c:v>
                </c:pt>
                <c:pt idx="8">
                  <c:v>1317</c:v>
                </c:pt>
                <c:pt idx="9">
                  <c:v>1461</c:v>
                </c:pt>
                <c:pt idx="10">
                  <c:v>1605</c:v>
                </c:pt>
                <c:pt idx="11">
                  <c:v>883</c:v>
                </c:pt>
                <c:pt idx="12">
                  <c:v>991</c:v>
                </c:pt>
                <c:pt idx="13">
                  <c:v>1099</c:v>
                </c:pt>
                <c:pt idx="14">
                  <c:v>1207</c:v>
                </c:pt>
                <c:pt idx="15">
                  <c:v>1125</c:v>
                </c:pt>
                <c:pt idx="16">
                  <c:v>1263</c:v>
                </c:pt>
                <c:pt idx="17">
                  <c:v>1401</c:v>
                </c:pt>
                <c:pt idx="18">
                  <c:v>1539</c:v>
                </c:pt>
                <c:pt idx="19">
                  <c:v>1367</c:v>
                </c:pt>
                <c:pt idx="20">
                  <c:v>1535</c:v>
                </c:pt>
                <c:pt idx="21">
                  <c:v>1703</c:v>
                </c:pt>
                <c:pt idx="22">
                  <c:v>1871</c:v>
                </c:pt>
                <c:pt idx="23">
                  <c:v>195</c:v>
                </c:pt>
                <c:pt idx="24">
                  <c:v>216</c:v>
                </c:pt>
                <c:pt idx="25">
                  <c:v>237</c:v>
                </c:pt>
                <c:pt idx="26">
                  <c:v>174</c:v>
                </c:pt>
                <c:pt idx="27">
                  <c:v>363</c:v>
                </c:pt>
                <c:pt idx="28">
                  <c:v>407</c:v>
                </c:pt>
                <c:pt idx="29">
                  <c:v>451</c:v>
                </c:pt>
                <c:pt idx="30">
                  <c:v>495</c:v>
                </c:pt>
                <c:pt idx="31">
                  <c:v>477</c:v>
                </c:pt>
                <c:pt idx="32">
                  <c:v>535</c:v>
                </c:pt>
                <c:pt idx="33">
                  <c:v>593</c:v>
                </c:pt>
                <c:pt idx="34">
                  <c:v>651</c:v>
                </c:pt>
                <c:pt idx="35">
                  <c:v>591</c:v>
                </c:pt>
                <c:pt idx="36">
                  <c:v>663</c:v>
                </c:pt>
                <c:pt idx="37">
                  <c:v>735</c:v>
                </c:pt>
                <c:pt idx="38">
                  <c:v>807</c:v>
                </c:pt>
                <c:pt idx="39">
                  <c:v>288</c:v>
                </c:pt>
                <c:pt idx="40">
                  <c:v>323</c:v>
                </c:pt>
                <c:pt idx="41">
                  <c:v>358</c:v>
                </c:pt>
                <c:pt idx="42">
                  <c:v>393</c:v>
                </c:pt>
                <c:pt idx="43">
                  <c:v>493</c:v>
                </c:pt>
                <c:pt idx="44">
                  <c:v>553</c:v>
                </c:pt>
                <c:pt idx="45">
                  <c:v>613</c:v>
                </c:pt>
                <c:pt idx="46">
                  <c:v>673</c:v>
                </c:pt>
                <c:pt idx="47">
                  <c:v>639</c:v>
                </c:pt>
                <c:pt idx="48">
                  <c:v>717</c:v>
                </c:pt>
                <c:pt idx="49">
                  <c:v>795</c:v>
                </c:pt>
                <c:pt idx="50">
                  <c:v>873</c:v>
                </c:pt>
                <c:pt idx="51">
                  <c:v>785</c:v>
                </c:pt>
                <c:pt idx="52">
                  <c:v>881</c:v>
                </c:pt>
                <c:pt idx="53">
                  <c:v>977</c:v>
                </c:pt>
                <c:pt idx="54">
                  <c:v>1073</c:v>
                </c:pt>
                <c:pt idx="55">
                  <c:v>402</c:v>
                </c:pt>
                <c:pt idx="56">
                  <c:v>451</c:v>
                </c:pt>
                <c:pt idx="57">
                  <c:v>500</c:v>
                </c:pt>
                <c:pt idx="58">
                  <c:v>549</c:v>
                </c:pt>
                <c:pt idx="59">
                  <c:v>623</c:v>
                </c:pt>
                <c:pt idx="60">
                  <c:v>699</c:v>
                </c:pt>
                <c:pt idx="61">
                  <c:v>775</c:v>
                </c:pt>
                <c:pt idx="62">
                  <c:v>851</c:v>
                </c:pt>
                <c:pt idx="63">
                  <c:v>801</c:v>
                </c:pt>
                <c:pt idx="64">
                  <c:v>899</c:v>
                </c:pt>
                <c:pt idx="65">
                  <c:v>997</c:v>
                </c:pt>
                <c:pt idx="66">
                  <c:v>1095</c:v>
                </c:pt>
                <c:pt idx="67">
                  <c:v>979</c:v>
                </c:pt>
                <c:pt idx="68">
                  <c:v>1099</c:v>
                </c:pt>
                <c:pt idx="69">
                  <c:v>1219</c:v>
                </c:pt>
                <c:pt idx="70">
                  <c:v>1339</c:v>
                </c:pt>
                <c:pt idx="71">
                  <c:v>516</c:v>
                </c:pt>
                <c:pt idx="72">
                  <c:v>579</c:v>
                </c:pt>
                <c:pt idx="73">
                  <c:v>642</c:v>
                </c:pt>
                <c:pt idx="74">
                  <c:v>705</c:v>
                </c:pt>
                <c:pt idx="75">
                  <c:v>937</c:v>
                </c:pt>
                <c:pt idx="76">
                  <c:v>1029</c:v>
                </c:pt>
                <c:pt idx="77">
                  <c:v>1121</c:v>
                </c:pt>
                <c:pt idx="78">
                  <c:v>1213</c:v>
                </c:pt>
                <c:pt idx="79">
                  <c:v>1199</c:v>
                </c:pt>
                <c:pt idx="80">
                  <c:v>1317</c:v>
                </c:pt>
                <c:pt idx="81">
                  <c:v>1435</c:v>
                </c:pt>
                <c:pt idx="82">
                  <c:v>1553</c:v>
                </c:pt>
                <c:pt idx="83">
                  <c:v>1461</c:v>
                </c:pt>
                <c:pt idx="84">
                  <c:v>1605</c:v>
                </c:pt>
                <c:pt idx="85">
                  <c:v>1749</c:v>
                </c:pt>
                <c:pt idx="86">
                  <c:v>1893</c:v>
                </c:pt>
                <c:pt idx="87">
                  <c:v>1099</c:v>
                </c:pt>
                <c:pt idx="88">
                  <c:v>1207</c:v>
                </c:pt>
                <c:pt idx="89">
                  <c:v>1315</c:v>
                </c:pt>
                <c:pt idx="90">
                  <c:v>1423</c:v>
                </c:pt>
                <c:pt idx="91">
                  <c:v>1401</c:v>
                </c:pt>
                <c:pt idx="92">
                  <c:v>1539</c:v>
                </c:pt>
                <c:pt idx="93">
                  <c:v>1677</c:v>
                </c:pt>
                <c:pt idx="94">
                  <c:v>1815</c:v>
                </c:pt>
                <c:pt idx="95">
                  <c:v>1703</c:v>
                </c:pt>
                <c:pt idx="96">
                  <c:v>1871</c:v>
                </c:pt>
                <c:pt idx="97">
                  <c:v>2039</c:v>
                </c:pt>
                <c:pt idx="98">
                  <c:v>2207</c:v>
                </c:pt>
                <c:pt idx="99">
                  <c:v>216</c:v>
                </c:pt>
                <c:pt idx="100">
                  <c:v>237</c:v>
                </c:pt>
                <c:pt idx="101">
                  <c:v>258</c:v>
                </c:pt>
                <c:pt idx="102">
                  <c:v>279</c:v>
                </c:pt>
                <c:pt idx="103">
                  <c:v>451</c:v>
                </c:pt>
                <c:pt idx="104">
                  <c:v>495</c:v>
                </c:pt>
                <c:pt idx="105">
                  <c:v>539</c:v>
                </c:pt>
                <c:pt idx="106">
                  <c:v>583</c:v>
                </c:pt>
                <c:pt idx="107">
                  <c:v>593</c:v>
                </c:pt>
                <c:pt idx="108">
                  <c:v>651</c:v>
                </c:pt>
                <c:pt idx="109">
                  <c:v>709</c:v>
                </c:pt>
                <c:pt idx="110">
                  <c:v>767</c:v>
                </c:pt>
                <c:pt idx="111">
                  <c:v>735</c:v>
                </c:pt>
                <c:pt idx="112">
                  <c:v>807</c:v>
                </c:pt>
                <c:pt idx="113">
                  <c:v>879</c:v>
                </c:pt>
                <c:pt idx="114">
                  <c:v>951</c:v>
                </c:pt>
                <c:pt idx="115">
                  <c:v>358</c:v>
                </c:pt>
                <c:pt idx="116">
                  <c:v>393</c:v>
                </c:pt>
                <c:pt idx="117">
                  <c:v>428</c:v>
                </c:pt>
                <c:pt idx="118">
                  <c:v>463</c:v>
                </c:pt>
                <c:pt idx="119">
                  <c:v>613</c:v>
                </c:pt>
                <c:pt idx="120">
                  <c:v>673</c:v>
                </c:pt>
                <c:pt idx="121">
                  <c:v>733</c:v>
                </c:pt>
                <c:pt idx="122">
                  <c:v>793</c:v>
                </c:pt>
                <c:pt idx="123">
                  <c:v>795</c:v>
                </c:pt>
                <c:pt idx="124">
                  <c:v>873</c:v>
                </c:pt>
                <c:pt idx="125">
                  <c:v>951</c:v>
                </c:pt>
                <c:pt idx="126">
                  <c:v>1029</c:v>
                </c:pt>
                <c:pt idx="127">
                  <c:v>977</c:v>
                </c:pt>
                <c:pt idx="128">
                  <c:v>1073</c:v>
                </c:pt>
                <c:pt idx="129">
                  <c:v>1169</c:v>
                </c:pt>
                <c:pt idx="130">
                  <c:v>1265</c:v>
                </c:pt>
                <c:pt idx="131">
                  <c:v>500</c:v>
                </c:pt>
                <c:pt idx="132">
                  <c:v>549</c:v>
                </c:pt>
                <c:pt idx="133">
                  <c:v>598</c:v>
                </c:pt>
                <c:pt idx="134">
                  <c:v>647</c:v>
                </c:pt>
                <c:pt idx="135">
                  <c:v>775</c:v>
                </c:pt>
                <c:pt idx="136">
                  <c:v>851</c:v>
                </c:pt>
                <c:pt idx="137">
                  <c:v>927</c:v>
                </c:pt>
                <c:pt idx="138">
                  <c:v>1003</c:v>
                </c:pt>
                <c:pt idx="139">
                  <c:v>997</c:v>
                </c:pt>
                <c:pt idx="140">
                  <c:v>1095</c:v>
                </c:pt>
                <c:pt idx="141">
                  <c:v>1193</c:v>
                </c:pt>
                <c:pt idx="142">
                  <c:v>1291</c:v>
                </c:pt>
                <c:pt idx="143">
                  <c:v>1219</c:v>
                </c:pt>
                <c:pt idx="144">
                  <c:v>1339</c:v>
                </c:pt>
                <c:pt idx="145">
                  <c:v>1459</c:v>
                </c:pt>
                <c:pt idx="146">
                  <c:v>1579</c:v>
                </c:pt>
                <c:pt idx="147">
                  <c:v>642</c:v>
                </c:pt>
                <c:pt idx="148">
                  <c:v>705</c:v>
                </c:pt>
                <c:pt idx="149">
                  <c:v>768</c:v>
                </c:pt>
                <c:pt idx="150">
                  <c:v>831</c:v>
                </c:pt>
                <c:pt idx="151">
                  <c:v>1305</c:v>
                </c:pt>
                <c:pt idx="152">
                  <c:v>1397</c:v>
                </c:pt>
                <c:pt idx="153">
                  <c:v>1489</c:v>
                </c:pt>
                <c:pt idx="154">
                  <c:v>1581</c:v>
                </c:pt>
                <c:pt idx="155">
                  <c:v>1671</c:v>
                </c:pt>
                <c:pt idx="156">
                  <c:v>1789</c:v>
                </c:pt>
                <c:pt idx="157">
                  <c:v>1907</c:v>
                </c:pt>
                <c:pt idx="158">
                  <c:v>2025</c:v>
                </c:pt>
                <c:pt idx="159">
                  <c:v>2037</c:v>
                </c:pt>
                <c:pt idx="160">
                  <c:v>2181</c:v>
                </c:pt>
                <c:pt idx="161">
                  <c:v>2325</c:v>
                </c:pt>
                <c:pt idx="162">
                  <c:v>2469</c:v>
                </c:pt>
                <c:pt idx="163">
                  <c:v>1531</c:v>
                </c:pt>
                <c:pt idx="164">
                  <c:v>1639</c:v>
                </c:pt>
                <c:pt idx="165">
                  <c:v>1747</c:v>
                </c:pt>
                <c:pt idx="166">
                  <c:v>1855</c:v>
                </c:pt>
                <c:pt idx="167">
                  <c:v>1953</c:v>
                </c:pt>
                <c:pt idx="168">
                  <c:v>2091</c:v>
                </c:pt>
                <c:pt idx="169">
                  <c:v>2229</c:v>
                </c:pt>
                <c:pt idx="170">
                  <c:v>2367</c:v>
                </c:pt>
                <c:pt idx="171">
                  <c:v>2375</c:v>
                </c:pt>
                <c:pt idx="172">
                  <c:v>2543</c:v>
                </c:pt>
                <c:pt idx="173">
                  <c:v>2711</c:v>
                </c:pt>
                <c:pt idx="174">
                  <c:v>2879</c:v>
                </c:pt>
                <c:pt idx="175">
                  <c:v>300</c:v>
                </c:pt>
                <c:pt idx="176">
                  <c:v>321</c:v>
                </c:pt>
                <c:pt idx="177">
                  <c:v>342</c:v>
                </c:pt>
                <c:pt idx="178">
                  <c:v>363</c:v>
                </c:pt>
                <c:pt idx="179">
                  <c:v>627</c:v>
                </c:pt>
                <c:pt idx="180">
                  <c:v>671</c:v>
                </c:pt>
                <c:pt idx="181">
                  <c:v>715</c:v>
                </c:pt>
                <c:pt idx="182">
                  <c:v>759</c:v>
                </c:pt>
                <c:pt idx="183">
                  <c:v>825</c:v>
                </c:pt>
                <c:pt idx="184">
                  <c:v>883</c:v>
                </c:pt>
                <c:pt idx="185">
                  <c:v>941</c:v>
                </c:pt>
                <c:pt idx="186">
                  <c:v>999</c:v>
                </c:pt>
                <c:pt idx="187">
                  <c:v>1023</c:v>
                </c:pt>
                <c:pt idx="188">
                  <c:v>1095</c:v>
                </c:pt>
                <c:pt idx="189">
                  <c:v>1167</c:v>
                </c:pt>
                <c:pt idx="190">
                  <c:v>1239</c:v>
                </c:pt>
                <c:pt idx="191">
                  <c:v>498</c:v>
                </c:pt>
                <c:pt idx="192">
                  <c:v>533</c:v>
                </c:pt>
                <c:pt idx="193">
                  <c:v>568</c:v>
                </c:pt>
                <c:pt idx="194">
                  <c:v>603</c:v>
                </c:pt>
                <c:pt idx="195">
                  <c:v>853</c:v>
                </c:pt>
                <c:pt idx="196">
                  <c:v>913</c:v>
                </c:pt>
                <c:pt idx="197">
                  <c:v>973</c:v>
                </c:pt>
                <c:pt idx="198">
                  <c:v>1033</c:v>
                </c:pt>
                <c:pt idx="199">
                  <c:v>1107</c:v>
                </c:pt>
                <c:pt idx="200">
                  <c:v>1185</c:v>
                </c:pt>
                <c:pt idx="201">
                  <c:v>1263</c:v>
                </c:pt>
                <c:pt idx="202">
                  <c:v>1341</c:v>
                </c:pt>
                <c:pt idx="203">
                  <c:v>1361</c:v>
                </c:pt>
                <c:pt idx="204">
                  <c:v>1457</c:v>
                </c:pt>
                <c:pt idx="205">
                  <c:v>1553</c:v>
                </c:pt>
                <c:pt idx="206">
                  <c:v>1649</c:v>
                </c:pt>
                <c:pt idx="207">
                  <c:v>696</c:v>
                </c:pt>
                <c:pt idx="208">
                  <c:v>745</c:v>
                </c:pt>
                <c:pt idx="209">
                  <c:v>794</c:v>
                </c:pt>
                <c:pt idx="210">
                  <c:v>843</c:v>
                </c:pt>
                <c:pt idx="211">
                  <c:v>1079</c:v>
                </c:pt>
                <c:pt idx="212">
                  <c:v>1155</c:v>
                </c:pt>
                <c:pt idx="213">
                  <c:v>1231</c:v>
                </c:pt>
                <c:pt idx="214">
                  <c:v>1307</c:v>
                </c:pt>
                <c:pt idx="215">
                  <c:v>1389</c:v>
                </c:pt>
                <c:pt idx="216">
                  <c:v>1487</c:v>
                </c:pt>
                <c:pt idx="217">
                  <c:v>1585</c:v>
                </c:pt>
                <c:pt idx="218">
                  <c:v>1683</c:v>
                </c:pt>
                <c:pt idx="219">
                  <c:v>1699</c:v>
                </c:pt>
                <c:pt idx="220">
                  <c:v>1819</c:v>
                </c:pt>
                <c:pt idx="221">
                  <c:v>1939</c:v>
                </c:pt>
                <c:pt idx="222">
                  <c:v>2059</c:v>
                </c:pt>
                <c:pt idx="223">
                  <c:v>894</c:v>
                </c:pt>
                <c:pt idx="224">
                  <c:v>957</c:v>
                </c:pt>
                <c:pt idx="225">
                  <c:v>1020</c:v>
                </c:pt>
                <c:pt idx="226">
                  <c:v>1083</c:v>
                </c:pt>
              </c:numCache>
            </c:numRef>
          </c:xVal>
          <c:yVal>
            <c:numRef>
              <c:f>Iris!$N$2:$N$228</c:f>
              <c:numCache>
                <c:formatCode>General</c:formatCode>
                <c:ptCount val="227"/>
                <c:pt idx="0">
                  <c:v>0.93256578947368418</c:v>
                </c:pt>
                <c:pt idx="1">
                  <c:v>0.93585526315789469</c:v>
                </c:pt>
                <c:pt idx="2">
                  <c:v>0.92763157894736836</c:v>
                </c:pt>
                <c:pt idx="3">
                  <c:v>0.93092105263157887</c:v>
                </c:pt>
                <c:pt idx="4">
                  <c:v>0.92434210526315785</c:v>
                </c:pt>
                <c:pt idx="5">
                  <c:v>0.91940789473684215</c:v>
                </c:pt>
                <c:pt idx="6">
                  <c:v>0.93256578947368418</c:v>
                </c:pt>
                <c:pt idx="7">
                  <c:v>0.92598684210526316</c:v>
                </c:pt>
                <c:pt idx="8">
                  <c:v>0.91940789473684204</c:v>
                </c:pt>
                <c:pt idx="9">
                  <c:v>0.93421052631578949</c:v>
                </c:pt>
                <c:pt idx="10">
                  <c:v>0.92434210526315785</c:v>
                </c:pt>
                <c:pt idx="11">
                  <c:v>0.92927631578947367</c:v>
                </c:pt>
                <c:pt idx="12">
                  <c:v>0.93092105263157898</c:v>
                </c:pt>
                <c:pt idx="13">
                  <c:v>0.92269736842105265</c:v>
                </c:pt>
                <c:pt idx="14">
                  <c:v>0.92105263157894735</c:v>
                </c:pt>
                <c:pt idx="15">
                  <c:v>0.92105263157894735</c:v>
                </c:pt>
                <c:pt idx="16">
                  <c:v>0.93421052631578949</c:v>
                </c:pt>
                <c:pt idx="17">
                  <c:v>0.92434210526315785</c:v>
                </c:pt>
                <c:pt idx="18">
                  <c:v>0.92927631578947367</c:v>
                </c:pt>
                <c:pt idx="19">
                  <c:v>0.92434210526315785</c:v>
                </c:pt>
                <c:pt idx="20">
                  <c:v>0.93256578947368418</c:v>
                </c:pt>
                <c:pt idx="21">
                  <c:v>0.92434210526315785</c:v>
                </c:pt>
                <c:pt idx="22">
                  <c:v>0.92434210526315785</c:v>
                </c:pt>
                <c:pt idx="23">
                  <c:v>0.91940789473684204</c:v>
                </c:pt>
                <c:pt idx="24">
                  <c:v>0.92269736842105265</c:v>
                </c:pt>
                <c:pt idx="25">
                  <c:v>0.92598684210526316</c:v>
                </c:pt>
                <c:pt idx="26">
                  <c:v>0.9391447368421052</c:v>
                </c:pt>
                <c:pt idx="27">
                  <c:v>0.93585526315789469</c:v>
                </c:pt>
                <c:pt idx="28">
                  <c:v>0.92434210526315785</c:v>
                </c:pt>
                <c:pt idx="29">
                  <c:v>0.91776315789473684</c:v>
                </c:pt>
                <c:pt idx="30">
                  <c:v>0.93421052631578949</c:v>
                </c:pt>
                <c:pt idx="31">
                  <c:v>0.93421052631578949</c:v>
                </c:pt>
                <c:pt idx="32">
                  <c:v>0.93092105263157887</c:v>
                </c:pt>
                <c:pt idx="33">
                  <c:v>0.93256578947368418</c:v>
                </c:pt>
                <c:pt idx="34">
                  <c:v>0.92927631578947367</c:v>
                </c:pt>
                <c:pt idx="35">
                  <c:v>0.93092105263157898</c:v>
                </c:pt>
                <c:pt idx="36">
                  <c:v>0.93256578947368418</c:v>
                </c:pt>
                <c:pt idx="37">
                  <c:v>0.91611842105263153</c:v>
                </c:pt>
                <c:pt idx="38">
                  <c:v>0.92927631578947367</c:v>
                </c:pt>
                <c:pt idx="39">
                  <c:v>0.92105263157894735</c:v>
                </c:pt>
                <c:pt idx="40">
                  <c:v>0.93421052631578938</c:v>
                </c:pt>
                <c:pt idx="41">
                  <c:v>0.93585526315789469</c:v>
                </c:pt>
                <c:pt idx="42">
                  <c:v>0.9375</c:v>
                </c:pt>
                <c:pt idx="43">
                  <c:v>0.93421052631578949</c:v>
                </c:pt>
                <c:pt idx="44">
                  <c:v>0.93585526315789469</c:v>
                </c:pt>
                <c:pt idx="45">
                  <c:v>0.93421052631578949</c:v>
                </c:pt>
                <c:pt idx="46">
                  <c:v>0.92598684210526316</c:v>
                </c:pt>
                <c:pt idx="47">
                  <c:v>0.92763157894736836</c:v>
                </c:pt>
                <c:pt idx="48">
                  <c:v>0.92763157894736836</c:v>
                </c:pt>
                <c:pt idx="49">
                  <c:v>0.92269736842105265</c:v>
                </c:pt>
                <c:pt idx="50">
                  <c:v>0.92598684210526316</c:v>
                </c:pt>
                <c:pt idx="51">
                  <c:v>0.92598684210526316</c:v>
                </c:pt>
                <c:pt idx="52">
                  <c:v>0.92598684210526316</c:v>
                </c:pt>
                <c:pt idx="53">
                  <c:v>0.91940789473684204</c:v>
                </c:pt>
                <c:pt idx="54">
                  <c:v>0.92269736842105265</c:v>
                </c:pt>
                <c:pt idx="55">
                  <c:v>0.92763157894736836</c:v>
                </c:pt>
                <c:pt idx="56">
                  <c:v>0.95559210526315785</c:v>
                </c:pt>
                <c:pt idx="57">
                  <c:v>0.92927631578947367</c:v>
                </c:pt>
                <c:pt idx="58">
                  <c:v>0.93914473684210531</c:v>
                </c:pt>
                <c:pt idx="59">
                  <c:v>0.91611842105263153</c:v>
                </c:pt>
                <c:pt idx="60">
                  <c:v>0.92927631578947367</c:v>
                </c:pt>
                <c:pt idx="61">
                  <c:v>0.92763157894736836</c:v>
                </c:pt>
                <c:pt idx="62">
                  <c:v>0.92763157894736836</c:v>
                </c:pt>
                <c:pt idx="63">
                  <c:v>0.92434210526315785</c:v>
                </c:pt>
                <c:pt idx="64">
                  <c:v>0.92434210526315785</c:v>
                </c:pt>
                <c:pt idx="65">
                  <c:v>0.92434210526315785</c:v>
                </c:pt>
                <c:pt idx="66">
                  <c:v>0.92434210526315785</c:v>
                </c:pt>
                <c:pt idx="67">
                  <c:v>0.9375</c:v>
                </c:pt>
                <c:pt idx="68">
                  <c:v>0.92269736842105265</c:v>
                </c:pt>
                <c:pt idx="69">
                  <c:v>0.92434210526315785</c:v>
                </c:pt>
                <c:pt idx="70">
                  <c:v>0.92927631578947367</c:v>
                </c:pt>
                <c:pt idx="71">
                  <c:v>0.92927631578947367</c:v>
                </c:pt>
                <c:pt idx="72">
                  <c:v>0.93421052631578938</c:v>
                </c:pt>
                <c:pt idx="73">
                  <c:v>0.92269736842105265</c:v>
                </c:pt>
                <c:pt idx="74">
                  <c:v>0.93092105263157887</c:v>
                </c:pt>
                <c:pt idx="75">
                  <c:v>0.91940789473684204</c:v>
                </c:pt>
                <c:pt idx="76">
                  <c:v>0.92927631578947367</c:v>
                </c:pt>
                <c:pt idx="77">
                  <c:v>0.92598684210526316</c:v>
                </c:pt>
                <c:pt idx="78">
                  <c:v>0.91729323308270672</c:v>
                </c:pt>
                <c:pt idx="79">
                  <c:v>0.92669172932330823</c:v>
                </c:pt>
                <c:pt idx="80">
                  <c:v>0.94078947368421051</c:v>
                </c:pt>
                <c:pt idx="81">
                  <c:v>0.93421052631578949</c:v>
                </c:pt>
                <c:pt idx="82">
                  <c:v>0.92105263157894735</c:v>
                </c:pt>
                <c:pt idx="83">
                  <c:v>0.91917293233082709</c:v>
                </c:pt>
                <c:pt idx="84">
                  <c:v>0.92598684210526316</c:v>
                </c:pt>
                <c:pt idx="85">
                  <c:v>0.92598684210526316</c:v>
                </c:pt>
                <c:pt idx="86">
                  <c:v>0.92105263157894735</c:v>
                </c:pt>
                <c:pt idx="87">
                  <c:v>0.93796992481203012</c:v>
                </c:pt>
                <c:pt idx="88">
                  <c:v>0.92434210526315785</c:v>
                </c:pt>
                <c:pt idx="89">
                  <c:v>0.91940789473684204</c:v>
                </c:pt>
                <c:pt idx="90">
                  <c:v>0.9285714285714286</c:v>
                </c:pt>
                <c:pt idx="91">
                  <c:v>0.92481203007518797</c:v>
                </c:pt>
                <c:pt idx="92">
                  <c:v>0.92105263157894735</c:v>
                </c:pt>
                <c:pt idx="93">
                  <c:v>0.92434210526315785</c:v>
                </c:pt>
                <c:pt idx="94">
                  <c:v>0.9229323308270676</c:v>
                </c:pt>
                <c:pt idx="95">
                  <c:v>0.91917293233082709</c:v>
                </c:pt>
                <c:pt idx="96">
                  <c:v>0.92598684210526316</c:v>
                </c:pt>
                <c:pt idx="97">
                  <c:v>0.92434210526315785</c:v>
                </c:pt>
                <c:pt idx="98">
                  <c:v>0.92857142857142849</c:v>
                </c:pt>
                <c:pt idx="99">
                  <c:v>0.93233082706766912</c:v>
                </c:pt>
                <c:pt idx="100">
                  <c:v>0.91282894736842102</c:v>
                </c:pt>
                <c:pt idx="101">
                  <c:v>0.92269736842105265</c:v>
                </c:pt>
                <c:pt idx="102">
                  <c:v>0.93256578947368418</c:v>
                </c:pt>
                <c:pt idx="103">
                  <c:v>0.92105263157894735</c:v>
                </c:pt>
                <c:pt idx="104">
                  <c:v>0.92434210526315785</c:v>
                </c:pt>
                <c:pt idx="105">
                  <c:v>0.93092105263157887</c:v>
                </c:pt>
                <c:pt idx="106">
                  <c:v>0.93256578947368418</c:v>
                </c:pt>
                <c:pt idx="107">
                  <c:v>0.91541353383458646</c:v>
                </c:pt>
                <c:pt idx="108">
                  <c:v>0.93585526315789469</c:v>
                </c:pt>
                <c:pt idx="109">
                  <c:v>0.91940789473684204</c:v>
                </c:pt>
                <c:pt idx="110">
                  <c:v>0.92105263157894735</c:v>
                </c:pt>
                <c:pt idx="111">
                  <c:v>0.91541353383458646</c:v>
                </c:pt>
                <c:pt idx="112">
                  <c:v>0.92269736842105265</c:v>
                </c:pt>
                <c:pt idx="113">
                  <c:v>0.92763157894736836</c:v>
                </c:pt>
                <c:pt idx="114">
                  <c:v>0.92105263157894735</c:v>
                </c:pt>
                <c:pt idx="115">
                  <c:v>0.93045112781954886</c:v>
                </c:pt>
                <c:pt idx="116">
                  <c:v>0.93092105263157898</c:v>
                </c:pt>
                <c:pt idx="117">
                  <c:v>0.94243421052631582</c:v>
                </c:pt>
                <c:pt idx="118">
                  <c:v>0.92434210526315785</c:v>
                </c:pt>
                <c:pt idx="119">
                  <c:v>0.93233082706766912</c:v>
                </c:pt>
                <c:pt idx="120">
                  <c:v>0.93585526315789469</c:v>
                </c:pt>
                <c:pt idx="121">
                  <c:v>0.92927631578947367</c:v>
                </c:pt>
                <c:pt idx="122">
                  <c:v>0.91917293233082709</c:v>
                </c:pt>
                <c:pt idx="123">
                  <c:v>0.91729323308270672</c:v>
                </c:pt>
                <c:pt idx="124">
                  <c:v>0.92763157894736836</c:v>
                </c:pt>
                <c:pt idx="125">
                  <c:v>0.91776315789473684</c:v>
                </c:pt>
                <c:pt idx="126">
                  <c:v>0.91729323308270672</c:v>
                </c:pt>
                <c:pt idx="127">
                  <c:v>0.9135338345864662</c:v>
                </c:pt>
                <c:pt idx="128">
                  <c:v>0.92105263157894735</c:v>
                </c:pt>
                <c:pt idx="129">
                  <c:v>0.93092105263157898</c:v>
                </c:pt>
                <c:pt idx="130">
                  <c:v>0.91541353383458646</c:v>
                </c:pt>
                <c:pt idx="131">
                  <c:v>0.93233082706766912</c:v>
                </c:pt>
                <c:pt idx="132">
                  <c:v>0.92434210526315785</c:v>
                </c:pt>
                <c:pt idx="133">
                  <c:v>0.93914473684210531</c:v>
                </c:pt>
                <c:pt idx="134">
                  <c:v>0.91447368421052633</c:v>
                </c:pt>
                <c:pt idx="135">
                  <c:v>0.92105263157894735</c:v>
                </c:pt>
                <c:pt idx="136">
                  <c:v>0.91940789473684204</c:v>
                </c:pt>
                <c:pt idx="137">
                  <c:v>0.91611842105263153</c:v>
                </c:pt>
                <c:pt idx="138">
                  <c:v>0.91729323308270672</c:v>
                </c:pt>
                <c:pt idx="139">
                  <c:v>0.9135338345864662</c:v>
                </c:pt>
                <c:pt idx="140">
                  <c:v>0.91776315789473684</c:v>
                </c:pt>
                <c:pt idx="141">
                  <c:v>0.93092105263157887</c:v>
                </c:pt>
                <c:pt idx="142">
                  <c:v>0.91541353383458646</c:v>
                </c:pt>
                <c:pt idx="143">
                  <c:v>0.93045112781954886</c:v>
                </c:pt>
                <c:pt idx="144">
                  <c:v>0.93914473684210531</c:v>
                </c:pt>
                <c:pt idx="145">
                  <c:v>0.92927631578947367</c:v>
                </c:pt>
                <c:pt idx="146">
                  <c:v>0.92481203007518797</c:v>
                </c:pt>
                <c:pt idx="147">
                  <c:v>0.91917293233082709</c:v>
                </c:pt>
                <c:pt idx="148">
                  <c:v>0.93256578947368418</c:v>
                </c:pt>
                <c:pt idx="149">
                  <c:v>0.92269736842105265</c:v>
                </c:pt>
                <c:pt idx="150">
                  <c:v>0.91118421052631582</c:v>
                </c:pt>
                <c:pt idx="151">
                  <c:v>0.9229323308270676</c:v>
                </c:pt>
                <c:pt idx="152">
                  <c:v>0.92669172932330823</c:v>
                </c:pt>
                <c:pt idx="153">
                  <c:v>0.91541353383458646</c:v>
                </c:pt>
                <c:pt idx="154">
                  <c:v>0.92481203007518797</c:v>
                </c:pt>
                <c:pt idx="155">
                  <c:v>0.92105263157894735</c:v>
                </c:pt>
                <c:pt idx="156">
                  <c:v>0.93233082706766912</c:v>
                </c:pt>
                <c:pt idx="157">
                  <c:v>0.92481203007518797</c:v>
                </c:pt>
                <c:pt idx="158">
                  <c:v>0.9229323308270676</c:v>
                </c:pt>
                <c:pt idx="159">
                  <c:v>0.9229323308270676</c:v>
                </c:pt>
                <c:pt idx="160">
                  <c:v>0.91917293233082709</c:v>
                </c:pt>
                <c:pt idx="161">
                  <c:v>0.9229323308270676</c:v>
                </c:pt>
                <c:pt idx="162">
                  <c:v>0.91917293233082709</c:v>
                </c:pt>
                <c:pt idx="163">
                  <c:v>0.92669172932330823</c:v>
                </c:pt>
                <c:pt idx="164">
                  <c:v>0.9135338345864662</c:v>
                </c:pt>
                <c:pt idx="165">
                  <c:v>0.91729323308270672</c:v>
                </c:pt>
                <c:pt idx="166">
                  <c:v>0.92105263157894735</c:v>
                </c:pt>
                <c:pt idx="167">
                  <c:v>0.92105263157894735</c:v>
                </c:pt>
                <c:pt idx="168">
                  <c:v>0.92481203007518797</c:v>
                </c:pt>
                <c:pt idx="169">
                  <c:v>0.9229323308270676</c:v>
                </c:pt>
                <c:pt idx="170">
                  <c:v>0.93609022556390975</c:v>
                </c:pt>
                <c:pt idx="171">
                  <c:v>0.91917293233082709</c:v>
                </c:pt>
                <c:pt idx="172">
                  <c:v>0.91541353383458646</c:v>
                </c:pt>
                <c:pt idx="173">
                  <c:v>0.91541353383458646</c:v>
                </c:pt>
                <c:pt idx="174">
                  <c:v>0.91729323308270672</c:v>
                </c:pt>
                <c:pt idx="175">
                  <c:v>0.93045112781954886</c:v>
                </c:pt>
                <c:pt idx="176">
                  <c:v>0.92481203007518797</c:v>
                </c:pt>
                <c:pt idx="177">
                  <c:v>0.92481203007518797</c:v>
                </c:pt>
                <c:pt idx="178">
                  <c:v>0.91729323308270672</c:v>
                </c:pt>
                <c:pt idx="179">
                  <c:v>0.92105263157894735</c:v>
                </c:pt>
                <c:pt idx="180">
                  <c:v>0.93984962406015038</c:v>
                </c:pt>
                <c:pt idx="181">
                  <c:v>0.93045112781954886</c:v>
                </c:pt>
                <c:pt idx="182">
                  <c:v>0.92669172932330823</c:v>
                </c:pt>
                <c:pt idx="183">
                  <c:v>0.9229323308270676</c:v>
                </c:pt>
                <c:pt idx="184">
                  <c:v>0.92481203007518797</c:v>
                </c:pt>
                <c:pt idx="185">
                  <c:v>0.9285714285714286</c:v>
                </c:pt>
                <c:pt idx="186">
                  <c:v>0.92669172932330823</c:v>
                </c:pt>
                <c:pt idx="187">
                  <c:v>0.92481203007518797</c:v>
                </c:pt>
                <c:pt idx="188">
                  <c:v>0.92857142857142849</c:v>
                </c:pt>
                <c:pt idx="189">
                  <c:v>0.92105263157894735</c:v>
                </c:pt>
                <c:pt idx="190">
                  <c:v>0.93045112781954886</c:v>
                </c:pt>
                <c:pt idx="191">
                  <c:v>0.91917293233082709</c:v>
                </c:pt>
                <c:pt idx="192">
                  <c:v>0.92481203007518797</c:v>
                </c:pt>
                <c:pt idx="193">
                  <c:v>0.93233082706766912</c:v>
                </c:pt>
                <c:pt idx="194">
                  <c:v>0.93233082706766912</c:v>
                </c:pt>
                <c:pt idx="195">
                  <c:v>0.93045112781954886</c:v>
                </c:pt>
                <c:pt idx="196">
                  <c:v>0.91917293233082709</c:v>
                </c:pt>
                <c:pt idx="197">
                  <c:v>0.91917293233082709</c:v>
                </c:pt>
                <c:pt idx="198">
                  <c:v>0.91729323308270672</c:v>
                </c:pt>
                <c:pt idx="199">
                  <c:v>0.92105263157894735</c:v>
                </c:pt>
                <c:pt idx="200">
                  <c:v>0.9229323308270676</c:v>
                </c:pt>
                <c:pt idx="201">
                  <c:v>0.92481203007518797</c:v>
                </c:pt>
                <c:pt idx="202">
                  <c:v>0.91917293233082709</c:v>
                </c:pt>
                <c:pt idx="203">
                  <c:v>0.9229323308270676</c:v>
                </c:pt>
                <c:pt idx="204">
                  <c:v>0.9285714285714286</c:v>
                </c:pt>
                <c:pt idx="205">
                  <c:v>0.92669172932330823</c:v>
                </c:pt>
                <c:pt idx="206">
                  <c:v>0.91917293233082709</c:v>
                </c:pt>
                <c:pt idx="207">
                  <c:v>0.92105263157894735</c:v>
                </c:pt>
                <c:pt idx="208">
                  <c:v>0.93045112781954886</c:v>
                </c:pt>
                <c:pt idx="209">
                  <c:v>0.90977443609022557</c:v>
                </c:pt>
                <c:pt idx="210">
                  <c:v>0.9285714285714286</c:v>
                </c:pt>
                <c:pt idx="211">
                  <c:v>0.92669172932330823</c:v>
                </c:pt>
                <c:pt idx="212">
                  <c:v>0.92481203007518797</c:v>
                </c:pt>
                <c:pt idx="213">
                  <c:v>0.91917293233082709</c:v>
                </c:pt>
                <c:pt idx="214">
                  <c:v>0.91165413533834583</c:v>
                </c:pt>
                <c:pt idx="215">
                  <c:v>0.9285714285714286</c:v>
                </c:pt>
                <c:pt idx="216">
                  <c:v>0.91729323308270672</c:v>
                </c:pt>
                <c:pt idx="217">
                  <c:v>0.9229323308270676</c:v>
                </c:pt>
                <c:pt idx="218">
                  <c:v>0.92105263157894735</c:v>
                </c:pt>
                <c:pt idx="219">
                  <c:v>0.92105263157894735</c:v>
                </c:pt>
                <c:pt idx="220">
                  <c:v>0.9229323308270676</c:v>
                </c:pt>
                <c:pt idx="221">
                  <c:v>0.92105263157894735</c:v>
                </c:pt>
                <c:pt idx="222">
                  <c:v>0.92481203007518797</c:v>
                </c:pt>
                <c:pt idx="223">
                  <c:v>0.92669172932330823</c:v>
                </c:pt>
                <c:pt idx="224">
                  <c:v>0.91729323308270672</c:v>
                </c:pt>
                <c:pt idx="225">
                  <c:v>0.92105263157894735</c:v>
                </c:pt>
                <c:pt idx="226">
                  <c:v>0.91165413533834583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72-4C08-BD9A-346AB622E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7487808"/>
        <c:axId val="2007488768"/>
      </c:scatterChart>
      <c:valAx>
        <c:axId val="200748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07488768"/>
        <c:crosses val="autoZero"/>
        <c:crossBetween val="midCat"/>
      </c:valAx>
      <c:valAx>
        <c:axId val="200748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07487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Wine G:6 K:2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'Wine pres final'!$AA$1</c:f>
              <c:strCache>
                <c:ptCount val="1"/>
                <c:pt idx="0">
                  <c:v>KAN - 4 warstwy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'Wine pres final'!$Z$2:$Z$604</c:f>
              <c:strCache>
                <c:ptCount val="44"/>
                <c:pt idx="8">
                  <c:v>0,783333346</c:v>
                </c:pt>
                <c:pt idx="10">
                  <c:v>0,661111124</c:v>
                </c:pt>
                <c:pt idx="11">
                  <c:v>0,516666682</c:v>
                </c:pt>
                <c:pt idx="13">
                  <c:v>0,568518529</c:v>
                </c:pt>
                <c:pt idx="14">
                  <c:v>0,505555569</c:v>
                </c:pt>
                <c:pt idx="15">
                  <c:v>0,527777791</c:v>
                </c:pt>
                <c:pt idx="16">
                  <c:v>0,583333351</c:v>
                </c:pt>
                <c:pt idx="17">
                  <c:v>0,561111127</c:v>
                </c:pt>
                <c:pt idx="18">
                  <c:v>0,575925941</c:v>
                </c:pt>
                <c:pt idx="19">
                  <c:v>0,579629647</c:v>
                </c:pt>
                <c:pt idx="20">
                  <c:v>0,52962964</c:v>
                </c:pt>
                <c:pt idx="21">
                  <c:v>0,524074091</c:v>
                </c:pt>
                <c:pt idx="22">
                  <c:v>0,524074085</c:v>
                </c:pt>
                <c:pt idx="23">
                  <c:v>0,540740758</c:v>
                </c:pt>
                <c:pt idx="24">
                  <c:v>0,507407419</c:v>
                </c:pt>
                <c:pt idx="25">
                  <c:v>0,570370385</c:v>
                </c:pt>
                <c:pt idx="26">
                  <c:v>0,488888899</c:v>
                </c:pt>
                <c:pt idx="27">
                  <c:v>0,462962975</c:v>
                </c:pt>
                <c:pt idx="28">
                  <c:v>0,577777795</c:v>
                </c:pt>
                <c:pt idx="29">
                  <c:v>0,592592609</c:v>
                </c:pt>
                <c:pt idx="30">
                  <c:v>0,62777779</c:v>
                </c:pt>
                <c:pt idx="31">
                  <c:v>0,537037052</c:v>
                </c:pt>
                <c:pt idx="32">
                  <c:v>0,459259272</c:v>
                </c:pt>
                <c:pt idx="33">
                  <c:v>0,644444463</c:v>
                </c:pt>
                <c:pt idx="34">
                  <c:v>0,603703717</c:v>
                </c:pt>
                <c:pt idx="35">
                  <c:v>0,55185187</c:v>
                </c:pt>
                <c:pt idx="36">
                  <c:v>0,624074092</c:v>
                </c:pt>
                <c:pt idx="37">
                  <c:v>0,587037054</c:v>
                </c:pt>
                <c:pt idx="38">
                  <c:v>0,516666682</c:v>
                </c:pt>
                <c:pt idx="39">
                  <c:v>0,555555572</c:v>
                </c:pt>
                <c:pt idx="40">
                  <c:v>0,492592605</c:v>
                </c:pt>
                <c:pt idx="41">
                  <c:v>0,559259273</c:v>
                </c:pt>
                <c:pt idx="42">
                  <c:v>0,52354499</c:v>
                </c:pt>
                <c:pt idx="43">
                  <c:v>0,523544992</c:v>
                </c:pt>
              </c:strCache>
            </c:strRef>
          </c:xVal>
          <c:yVal>
            <c:numRef>
              <c:f>'Wine pres final'!$AA$2:$AA$604</c:f>
              <c:numCache>
                <c:formatCode>General</c:formatCode>
                <c:ptCount val="44"/>
                <c:pt idx="0">
                  <c:v>0.64814816663662589</c:v>
                </c:pt>
                <c:pt idx="1">
                  <c:v>0.74074075371026993</c:v>
                </c:pt>
                <c:pt idx="2">
                  <c:v>0.75925927360852563</c:v>
                </c:pt>
                <c:pt idx="3">
                  <c:v>0.71296297758817673</c:v>
                </c:pt>
                <c:pt idx="4">
                  <c:v>0.76851852983236313</c:v>
                </c:pt>
                <c:pt idx="5">
                  <c:v>0.82962963978449511</c:v>
                </c:pt>
                <c:pt idx="6">
                  <c:v>0.8333333432674408</c:v>
                </c:pt>
                <c:pt idx="7">
                  <c:v>0.8259259363015492</c:v>
                </c:pt>
                <c:pt idx="8">
                  <c:v>0</c:v>
                </c:pt>
                <c:pt idx="9">
                  <c:v>0.81481482585271192</c:v>
                </c:pt>
                <c:pt idx="10">
                  <c:v>0</c:v>
                </c:pt>
                <c:pt idx="11">
                  <c:v>0</c:v>
                </c:pt>
                <c:pt idx="12">
                  <c:v>0.81851852933565783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2E-4BFB-8189-637EE67B861B}"/>
            </c:ext>
          </c:extLst>
        </c:ser>
        <c:ser>
          <c:idx val="1"/>
          <c:order val="1"/>
          <c:tx>
            <c:strRef>
              <c:f>'Wine pres final'!$AB$1</c:f>
              <c:strCache>
                <c:ptCount val="1"/>
                <c:pt idx="0">
                  <c:v>mniejszy MLP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'Wine pres final'!$Z$2:$Z$604</c:f>
              <c:strCache>
                <c:ptCount val="44"/>
                <c:pt idx="8">
                  <c:v>0,783333346</c:v>
                </c:pt>
                <c:pt idx="10">
                  <c:v>0,661111124</c:v>
                </c:pt>
                <c:pt idx="11">
                  <c:v>0,516666682</c:v>
                </c:pt>
                <c:pt idx="13">
                  <c:v>0,568518529</c:v>
                </c:pt>
                <c:pt idx="14">
                  <c:v>0,505555569</c:v>
                </c:pt>
                <c:pt idx="15">
                  <c:v>0,527777791</c:v>
                </c:pt>
                <c:pt idx="16">
                  <c:v>0,583333351</c:v>
                </c:pt>
                <c:pt idx="17">
                  <c:v>0,561111127</c:v>
                </c:pt>
                <c:pt idx="18">
                  <c:v>0,575925941</c:v>
                </c:pt>
                <c:pt idx="19">
                  <c:v>0,579629647</c:v>
                </c:pt>
                <c:pt idx="20">
                  <c:v>0,52962964</c:v>
                </c:pt>
                <c:pt idx="21">
                  <c:v>0,524074091</c:v>
                </c:pt>
                <c:pt idx="22">
                  <c:v>0,524074085</c:v>
                </c:pt>
                <c:pt idx="23">
                  <c:v>0,540740758</c:v>
                </c:pt>
                <c:pt idx="24">
                  <c:v>0,507407419</c:v>
                </c:pt>
                <c:pt idx="25">
                  <c:v>0,570370385</c:v>
                </c:pt>
                <c:pt idx="26">
                  <c:v>0,488888899</c:v>
                </c:pt>
                <c:pt idx="27">
                  <c:v>0,462962975</c:v>
                </c:pt>
                <c:pt idx="28">
                  <c:v>0,577777795</c:v>
                </c:pt>
                <c:pt idx="29">
                  <c:v>0,592592609</c:v>
                </c:pt>
                <c:pt idx="30">
                  <c:v>0,62777779</c:v>
                </c:pt>
                <c:pt idx="31">
                  <c:v>0,537037052</c:v>
                </c:pt>
                <c:pt idx="32">
                  <c:v>0,459259272</c:v>
                </c:pt>
                <c:pt idx="33">
                  <c:v>0,644444463</c:v>
                </c:pt>
                <c:pt idx="34">
                  <c:v>0,603703717</c:v>
                </c:pt>
                <c:pt idx="35">
                  <c:v>0,55185187</c:v>
                </c:pt>
                <c:pt idx="36">
                  <c:v>0,624074092</c:v>
                </c:pt>
                <c:pt idx="37">
                  <c:v>0,587037054</c:v>
                </c:pt>
                <c:pt idx="38">
                  <c:v>0,516666682</c:v>
                </c:pt>
                <c:pt idx="39">
                  <c:v>0,555555572</c:v>
                </c:pt>
                <c:pt idx="40">
                  <c:v>0,492592605</c:v>
                </c:pt>
                <c:pt idx="41">
                  <c:v>0,559259273</c:v>
                </c:pt>
                <c:pt idx="42">
                  <c:v>0,52354499</c:v>
                </c:pt>
                <c:pt idx="43">
                  <c:v>0,523544992</c:v>
                </c:pt>
              </c:strCache>
            </c:strRef>
          </c:xVal>
          <c:yVal>
            <c:numRef>
              <c:f>'Wine pres final'!$AB$2:$AB$604</c:f>
              <c:numCache>
                <c:formatCode>General</c:formatCode>
                <c:ptCount val="44"/>
                <c:pt idx="0">
                  <c:v>0.72222222222222221</c:v>
                </c:pt>
                <c:pt idx="1">
                  <c:v>0.67777777777777781</c:v>
                </c:pt>
                <c:pt idx="2">
                  <c:v>0.69259259259259265</c:v>
                </c:pt>
                <c:pt idx="3">
                  <c:v>0.71666666666666656</c:v>
                </c:pt>
                <c:pt idx="4">
                  <c:v>0.69814814814814818</c:v>
                </c:pt>
                <c:pt idx="5">
                  <c:v>0.72222222222222221</c:v>
                </c:pt>
                <c:pt idx="6">
                  <c:v>0.73888888888888893</c:v>
                </c:pt>
                <c:pt idx="7">
                  <c:v>0.74814814814814823</c:v>
                </c:pt>
                <c:pt idx="8">
                  <c:v>0.76481481481481484</c:v>
                </c:pt>
                <c:pt idx="9">
                  <c:v>0.73703703703703705</c:v>
                </c:pt>
                <c:pt idx="10">
                  <c:v>0.76851851851851849</c:v>
                </c:pt>
                <c:pt idx="11">
                  <c:v>0.78148148148148144</c:v>
                </c:pt>
                <c:pt idx="12">
                  <c:v>0.73703703703703705</c:v>
                </c:pt>
                <c:pt idx="13">
                  <c:v>0.75370370370370365</c:v>
                </c:pt>
                <c:pt idx="14">
                  <c:v>0.77037037037037037</c:v>
                </c:pt>
                <c:pt idx="15">
                  <c:v>0.72962962962962963</c:v>
                </c:pt>
                <c:pt idx="16">
                  <c:v>0.72777777777777786</c:v>
                </c:pt>
                <c:pt idx="17">
                  <c:v>0.72592592592592586</c:v>
                </c:pt>
                <c:pt idx="18">
                  <c:v>0.70925925925925926</c:v>
                </c:pt>
                <c:pt idx="19">
                  <c:v>0.70370370370370372</c:v>
                </c:pt>
                <c:pt idx="20">
                  <c:v>0.71111111111111103</c:v>
                </c:pt>
                <c:pt idx="21">
                  <c:v>0.7</c:v>
                </c:pt>
                <c:pt idx="22">
                  <c:v>0.687037037037037</c:v>
                </c:pt>
                <c:pt idx="23">
                  <c:v>0.71481481481481479</c:v>
                </c:pt>
                <c:pt idx="24">
                  <c:v>0.71111111111111103</c:v>
                </c:pt>
                <c:pt idx="25">
                  <c:v>0.7314814814814814</c:v>
                </c:pt>
                <c:pt idx="26">
                  <c:v>0.73888888888888893</c:v>
                </c:pt>
                <c:pt idx="27">
                  <c:v>0.74629629629629624</c:v>
                </c:pt>
                <c:pt idx="28">
                  <c:v>0.75185185185185188</c:v>
                </c:pt>
                <c:pt idx="29">
                  <c:v>0.76111111111111107</c:v>
                </c:pt>
                <c:pt idx="30">
                  <c:v>0.75185185185185177</c:v>
                </c:pt>
                <c:pt idx="31">
                  <c:v>0.73333333333333339</c:v>
                </c:pt>
                <c:pt idx="32">
                  <c:v>0.75</c:v>
                </c:pt>
                <c:pt idx="33">
                  <c:v>0.76296296296296295</c:v>
                </c:pt>
                <c:pt idx="34">
                  <c:v>0.74814814814814812</c:v>
                </c:pt>
                <c:pt idx="35">
                  <c:v>0.75740740740740742</c:v>
                </c:pt>
                <c:pt idx="36">
                  <c:v>0.76481481481481484</c:v>
                </c:pt>
                <c:pt idx="37">
                  <c:v>0.75</c:v>
                </c:pt>
                <c:pt idx="38">
                  <c:v>0.76481481481481484</c:v>
                </c:pt>
                <c:pt idx="39">
                  <c:v>0.75370370370370376</c:v>
                </c:pt>
                <c:pt idx="40">
                  <c:v>0.73518518518518516</c:v>
                </c:pt>
                <c:pt idx="41">
                  <c:v>0.70370370370370372</c:v>
                </c:pt>
                <c:pt idx="42">
                  <c:v>0.73544973544973546</c:v>
                </c:pt>
                <c:pt idx="43">
                  <c:v>0.74841269841269842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2E-4BFB-8189-637EE67B861B}"/>
            </c:ext>
          </c:extLst>
        </c:ser>
        <c:ser>
          <c:idx val="2"/>
          <c:order val="2"/>
          <c:tx>
            <c:strRef>
              <c:f>'Wine pres final'!$AC$1</c:f>
              <c:strCache>
                <c:ptCount val="1"/>
                <c:pt idx="0">
                  <c:v>większy MLP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'Wine pres final'!$Z$2:$Z$604</c:f>
              <c:strCache>
                <c:ptCount val="44"/>
                <c:pt idx="8">
                  <c:v>0,783333346</c:v>
                </c:pt>
                <c:pt idx="10">
                  <c:v>0,661111124</c:v>
                </c:pt>
                <c:pt idx="11">
                  <c:v>0,516666682</c:v>
                </c:pt>
                <c:pt idx="13">
                  <c:v>0,568518529</c:v>
                </c:pt>
                <c:pt idx="14">
                  <c:v>0,505555569</c:v>
                </c:pt>
                <c:pt idx="15">
                  <c:v>0,527777791</c:v>
                </c:pt>
                <c:pt idx="16">
                  <c:v>0,583333351</c:v>
                </c:pt>
                <c:pt idx="17">
                  <c:v>0,561111127</c:v>
                </c:pt>
                <c:pt idx="18">
                  <c:v>0,575925941</c:v>
                </c:pt>
                <c:pt idx="19">
                  <c:v>0,579629647</c:v>
                </c:pt>
                <c:pt idx="20">
                  <c:v>0,52962964</c:v>
                </c:pt>
                <c:pt idx="21">
                  <c:v>0,524074091</c:v>
                </c:pt>
                <c:pt idx="22">
                  <c:v>0,524074085</c:v>
                </c:pt>
                <c:pt idx="23">
                  <c:v>0,540740758</c:v>
                </c:pt>
                <c:pt idx="24">
                  <c:v>0,507407419</c:v>
                </c:pt>
                <c:pt idx="25">
                  <c:v>0,570370385</c:v>
                </c:pt>
                <c:pt idx="26">
                  <c:v>0,488888899</c:v>
                </c:pt>
                <c:pt idx="27">
                  <c:v>0,462962975</c:v>
                </c:pt>
                <c:pt idx="28">
                  <c:v>0,577777795</c:v>
                </c:pt>
                <c:pt idx="29">
                  <c:v>0,592592609</c:v>
                </c:pt>
                <c:pt idx="30">
                  <c:v>0,62777779</c:v>
                </c:pt>
                <c:pt idx="31">
                  <c:v>0,537037052</c:v>
                </c:pt>
                <c:pt idx="32">
                  <c:v>0,459259272</c:v>
                </c:pt>
                <c:pt idx="33">
                  <c:v>0,644444463</c:v>
                </c:pt>
                <c:pt idx="34">
                  <c:v>0,603703717</c:v>
                </c:pt>
                <c:pt idx="35">
                  <c:v>0,55185187</c:v>
                </c:pt>
                <c:pt idx="36">
                  <c:v>0,624074092</c:v>
                </c:pt>
                <c:pt idx="37">
                  <c:v>0,587037054</c:v>
                </c:pt>
                <c:pt idx="38">
                  <c:v>0,516666682</c:v>
                </c:pt>
                <c:pt idx="39">
                  <c:v>0,555555572</c:v>
                </c:pt>
                <c:pt idx="40">
                  <c:v>0,492592605</c:v>
                </c:pt>
                <c:pt idx="41">
                  <c:v>0,559259273</c:v>
                </c:pt>
                <c:pt idx="42">
                  <c:v>0,52354499</c:v>
                </c:pt>
                <c:pt idx="43">
                  <c:v>0,523544992</c:v>
                </c:pt>
              </c:strCache>
            </c:strRef>
          </c:xVal>
          <c:yVal>
            <c:numRef>
              <c:f>'Wine pres final'!$AC$2:$AC$604</c:f>
              <c:numCache>
                <c:formatCode>General</c:formatCode>
                <c:ptCount val="44"/>
                <c:pt idx="0">
                  <c:v>0.72592592592592586</c:v>
                </c:pt>
                <c:pt idx="1">
                  <c:v>0.73703703703703705</c:v>
                </c:pt>
                <c:pt idx="2">
                  <c:v>0.72592592592592586</c:v>
                </c:pt>
                <c:pt idx="3">
                  <c:v>0.71481481481481479</c:v>
                </c:pt>
                <c:pt idx="4">
                  <c:v>0.72222222222222221</c:v>
                </c:pt>
                <c:pt idx="5">
                  <c:v>0.74444444444444446</c:v>
                </c:pt>
                <c:pt idx="6">
                  <c:v>0.74444444444444446</c:v>
                </c:pt>
                <c:pt idx="7">
                  <c:v>0.76481481481481484</c:v>
                </c:pt>
                <c:pt idx="8">
                  <c:v>0.75555555555555554</c:v>
                </c:pt>
                <c:pt idx="9">
                  <c:v>0.7592592592592593</c:v>
                </c:pt>
                <c:pt idx="10">
                  <c:v>0.77222222222222225</c:v>
                </c:pt>
                <c:pt idx="11">
                  <c:v>0.67962962962962958</c:v>
                </c:pt>
                <c:pt idx="12">
                  <c:v>0.7314814814814814</c:v>
                </c:pt>
                <c:pt idx="13">
                  <c:v>0.75370370370370376</c:v>
                </c:pt>
                <c:pt idx="14">
                  <c:v>0.69444444444444442</c:v>
                </c:pt>
                <c:pt idx="15">
                  <c:v>0.75</c:v>
                </c:pt>
                <c:pt idx="16">
                  <c:v>0.73518518518518516</c:v>
                </c:pt>
                <c:pt idx="17">
                  <c:v>0.75740740740740742</c:v>
                </c:pt>
                <c:pt idx="18">
                  <c:v>0.76851851851851849</c:v>
                </c:pt>
                <c:pt idx="19">
                  <c:v>0.71296296296296302</c:v>
                </c:pt>
                <c:pt idx="20">
                  <c:v>0.7592592592592593</c:v>
                </c:pt>
                <c:pt idx="21">
                  <c:v>0.74629629629629624</c:v>
                </c:pt>
                <c:pt idx="22">
                  <c:v>0.74629629629629624</c:v>
                </c:pt>
                <c:pt idx="23">
                  <c:v>0.68518518518518523</c:v>
                </c:pt>
                <c:pt idx="24">
                  <c:v>0.72037037037037033</c:v>
                </c:pt>
                <c:pt idx="25">
                  <c:v>0.69814814814814818</c:v>
                </c:pt>
                <c:pt idx="26">
                  <c:v>0.78518518518518521</c:v>
                </c:pt>
                <c:pt idx="27">
                  <c:v>0.72592592592592586</c:v>
                </c:pt>
                <c:pt idx="28">
                  <c:v>0.70185185185185195</c:v>
                </c:pt>
                <c:pt idx="29">
                  <c:v>0.71111111111111103</c:v>
                </c:pt>
                <c:pt idx="30">
                  <c:v>0.68333333333333335</c:v>
                </c:pt>
                <c:pt idx="31">
                  <c:v>0.7314814814814814</c:v>
                </c:pt>
                <c:pt idx="32">
                  <c:v>0.71111111111111114</c:v>
                </c:pt>
                <c:pt idx="33">
                  <c:v>0.76296296296296295</c:v>
                </c:pt>
                <c:pt idx="34">
                  <c:v>0.68888888888888888</c:v>
                </c:pt>
                <c:pt idx="35">
                  <c:v>0.72037037037037033</c:v>
                </c:pt>
                <c:pt idx="36">
                  <c:v>0.7592592592592593</c:v>
                </c:pt>
                <c:pt idx="37">
                  <c:v>0.72777777777777775</c:v>
                </c:pt>
                <c:pt idx="38">
                  <c:v>0.74629629629629624</c:v>
                </c:pt>
                <c:pt idx="39">
                  <c:v>0.71111111111111114</c:v>
                </c:pt>
                <c:pt idx="40">
                  <c:v>0.72777777777777775</c:v>
                </c:pt>
                <c:pt idx="41">
                  <c:v>0.70370370370370372</c:v>
                </c:pt>
                <c:pt idx="42">
                  <c:v>0.732010582010582</c:v>
                </c:pt>
                <c:pt idx="43">
                  <c:v>0.75238095238095237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2E-4BFB-8189-637EE67B8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386224"/>
        <c:axId val="300387184"/>
      </c:scatterChart>
      <c:valAx>
        <c:axId val="30038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</a:t>
                </a:r>
                <a:r>
                  <a:rPr lang="pl-PL" baseline="0"/>
                  <a:t> parametrów KAN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00387184"/>
        <c:crosses val="autoZero"/>
        <c:crossBetween val="midCat"/>
      </c:valAx>
      <c:valAx>
        <c:axId val="300387184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Dokładność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00386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'Cancer doubles final2'!$X$1</c:f>
              <c:strCache>
                <c:ptCount val="1"/>
                <c:pt idx="0">
                  <c:v>Kan Acc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'Cancer doubles final2'!$W$2:$W$1662</c:f>
              <c:numCache>
                <c:formatCode>General</c:formatCode>
                <c:ptCount val="202"/>
                <c:pt idx="0">
                  <c:v>15249</c:v>
                </c:pt>
                <c:pt idx="1">
                  <c:v>15249</c:v>
                </c:pt>
                <c:pt idx="2">
                  <c:v>16685</c:v>
                </c:pt>
                <c:pt idx="3">
                  <c:v>16685</c:v>
                </c:pt>
                <c:pt idx="4">
                  <c:v>18185</c:v>
                </c:pt>
                <c:pt idx="5">
                  <c:v>18185</c:v>
                </c:pt>
                <c:pt idx="6">
                  <c:v>19352</c:v>
                </c:pt>
                <c:pt idx="7">
                  <c:v>19352</c:v>
                </c:pt>
                <c:pt idx="8">
                  <c:v>20964</c:v>
                </c:pt>
                <c:pt idx="9">
                  <c:v>20964</c:v>
                </c:pt>
                <c:pt idx="10">
                  <c:v>22215</c:v>
                </c:pt>
                <c:pt idx="11">
                  <c:v>22215</c:v>
                </c:pt>
                <c:pt idx="12">
                  <c:v>23939</c:v>
                </c:pt>
                <c:pt idx="13">
                  <c:v>23939</c:v>
                </c:pt>
                <c:pt idx="14">
                  <c:v>25274</c:v>
                </c:pt>
                <c:pt idx="15">
                  <c:v>25274</c:v>
                </c:pt>
                <c:pt idx="16">
                  <c:v>26645</c:v>
                </c:pt>
                <c:pt idx="17">
                  <c:v>26645</c:v>
                </c:pt>
                <c:pt idx="18">
                  <c:v>28052</c:v>
                </c:pt>
                <c:pt idx="19">
                  <c:v>28052</c:v>
                </c:pt>
                <c:pt idx="20">
                  <c:v>29495</c:v>
                </c:pt>
                <c:pt idx="21">
                  <c:v>29495</c:v>
                </c:pt>
                <c:pt idx="22">
                  <c:v>30974</c:v>
                </c:pt>
                <c:pt idx="23">
                  <c:v>30974</c:v>
                </c:pt>
                <c:pt idx="24">
                  <c:v>31980</c:v>
                </c:pt>
                <c:pt idx="25">
                  <c:v>31980</c:v>
                </c:pt>
                <c:pt idx="26">
                  <c:v>33519</c:v>
                </c:pt>
                <c:pt idx="27">
                  <c:v>33519</c:v>
                </c:pt>
                <c:pt idx="28">
                  <c:v>35094</c:v>
                </c:pt>
                <c:pt idx="29">
                  <c:v>35094</c:v>
                </c:pt>
                <c:pt idx="30">
                  <c:v>36164</c:v>
                </c:pt>
                <c:pt idx="31">
                  <c:v>36164</c:v>
                </c:pt>
                <c:pt idx="32">
                  <c:v>37799</c:v>
                </c:pt>
                <c:pt idx="33">
                  <c:v>37799</c:v>
                </c:pt>
                <c:pt idx="34">
                  <c:v>39470</c:v>
                </c:pt>
                <c:pt idx="35">
                  <c:v>39470</c:v>
                </c:pt>
                <c:pt idx="36">
                  <c:v>40604</c:v>
                </c:pt>
                <c:pt idx="37">
                  <c:v>40604</c:v>
                </c:pt>
                <c:pt idx="38">
                  <c:v>40604</c:v>
                </c:pt>
                <c:pt idx="39">
                  <c:v>40604</c:v>
                </c:pt>
                <c:pt idx="40">
                  <c:v>41754</c:v>
                </c:pt>
                <c:pt idx="41">
                  <c:v>41754</c:v>
                </c:pt>
                <c:pt idx="42">
                  <c:v>42335</c:v>
                </c:pt>
                <c:pt idx="43">
                  <c:v>42335</c:v>
                </c:pt>
                <c:pt idx="44">
                  <c:v>43509</c:v>
                </c:pt>
                <c:pt idx="45">
                  <c:v>43509</c:v>
                </c:pt>
                <c:pt idx="46">
                  <c:v>43509</c:v>
                </c:pt>
                <c:pt idx="47">
                  <c:v>43509</c:v>
                </c:pt>
                <c:pt idx="48">
                  <c:v>43509</c:v>
                </c:pt>
                <c:pt idx="49">
                  <c:v>43509</c:v>
                </c:pt>
                <c:pt idx="50">
                  <c:v>44699</c:v>
                </c:pt>
                <c:pt idx="51">
                  <c:v>44699</c:v>
                </c:pt>
                <c:pt idx="52">
                  <c:v>44699</c:v>
                </c:pt>
                <c:pt idx="53">
                  <c:v>44699</c:v>
                </c:pt>
                <c:pt idx="54">
                  <c:v>45905</c:v>
                </c:pt>
                <c:pt idx="55">
                  <c:v>45905</c:v>
                </c:pt>
                <c:pt idx="56">
                  <c:v>46514</c:v>
                </c:pt>
                <c:pt idx="57">
                  <c:v>46514</c:v>
                </c:pt>
                <c:pt idx="58">
                  <c:v>46514</c:v>
                </c:pt>
                <c:pt idx="59">
                  <c:v>46514</c:v>
                </c:pt>
                <c:pt idx="60">
                  <c:v>47744</c:v>
                </c:pt>
                <c:pt idx="61">
                  <c:v>47744</c:v>
                </c:pt>
                <c:pt idx="62">
                  <c:v>47744</c:v>
                </c:pt>
                <c:pt idx="63">
                  <c:v>47744</c:v>
                </c:pt>
                <c:pt idx="64">
                  <c:v>47744</c:v>
                </c:pt>
                <c:pt idx="65">
                  <c:v>47744</c:v>
                </c:pt>
                <c:pt idx="66">
                  <c:v>48365</c:v>
                </c:pt>
                <c:pt idx="67">
                  <c:v>48365</c:v>
                </c:pt>
                <c:pt idx="68">
                  <c:v>48990</c:v>
                </c:pt>
                <c:pt idx="69">
                  <c:v>48990</c:v>
                </c:pt>
                <c:pt idx="70">
                  <c:v>48990</c:v>
                </c:pt>
                <c:pt idx="71">
                  <c:v>48990</c:v>
                </c:pt>
                <c:pt idx="72">
                  <c:v>48990</c:v>
                </c:pt>
                <c:pt idx="73">
                  <c:v>48990</c:v>
                </c:pt>
                <c:pt idx="74">
                  <c:v>50252</c:v>
                </c:pt>
                <c:pt idx="75">
                  <c:v>50252</c:v>
                </c:pt>
                <c:pt idx="76">
                  <c:v>50252</c:v>
                </c:pt>
                <c:pt idx="77">
                  <c:v>50252</c:v>
                </c:pt>
                <c:pt idx="78">
                  <c:v>50889</c:v>
                </c:pt>
                <c:pt idx="79">
                  <c:v>50889</c:v>
                </c:pt>
                <c:pt idx="80">
                  <c:v>50889</c:v>
                </c:pt>
                <c:pt idx="81">
                  <c:v>50889</c:v>
                </c:pt>
                <c:pt idx="82">
                  <c:v>51530</c:v>
                </c:pt>
                <c:pt idx="83">
                  <c:v>51530</c:v>
                </c:pt>
                <c:pt idx="84">
                  <c:v>52175</c:v>
                </c:pt>
                <c:pt idx="85">
                  <c:v>52175</c:v>
                </c:pt>
                <c:pt idx="86">
                  <c:v>52175</c:v>
                </c:pt>
                <c:pt idx="87">
                  <c:v>52175</c:v>
                </c:pt>
                <c:pt idx="88">
                  <c:v>52175</c:v>
                </c:pt>
                <c:pt idx="89">
                  <c:v>52175</c:v>
                </c:pt>
                <c:pt idx="90">
                  <c:v>52175</c:v>
                </c:pt>
                <c:pt idx="91">
                  <c:v>52175</c:v>
                </c:pt>
                <c:pt idx="92">
                  <c:v>52824</c:v>
                </c:pt>
                <c:pt idx="93">
                  <c:v>52824</c:v>
                </c:pt>
                <c:pt idx="94">
                  <c:v>53477</c:v>
                </c:pt>
                <c:pt idx="95">
                  <c:v>53477</c:v>
                </c:pt>
                <c:pt idx="96">
                  <c:v>53477</c:v>
                </c:pt>
                <c:pt idx="97">
                  <c:v>53477</c:v>
                </c:pt>
                <c:pt idx="98">
                  <c:v>53477</c:v>
                </c:pt>
                <c:pt idx="99">
                  <c:v>53477</c:v>
                </c:pt>
                <c:pt idx="100">
                  <c:v>54134</c:v>
                </c:pt>
                <c:pt idx="101">
                  <c:v>54134</c:v>
                </c:pt>
                <c:pt idx="102">
                  <c:v>54795</c:v>
                </c:pt>
                <c:pt idx="103">
                  <c:v>54795</c:v>
                </c:pt>
                <c:pt idx="104">
                  <c:v>54795</c:v>
                </c:pt>
                <c:pt idx="105">
                  <c:v>54795</c:v>
                </c:pt>
                <c:pt idx="106">
                  <c:v>55460</c:v>
                </c:pt>
                <c:pt idx="107">
                  <c:v>55460</c:v>
                </c:pt>
                <c:pt idx="108">
                  <c:v>55460</c:v>
                </c:pt>
                <c:pt idx="109">
                  <c:v>55460</c:v>
                </c:pt>
                <c:pt idx="110">
                  <c:v>55460</c:v>
                </c:pt>
                <c:pt idx="111">
                  <c:v>55460</c:v>
                </c:pt>
                <c:pt idx="112">
                  <c:v>56129</c:v>
                </c:pt>
                <c:pt idx="113">
                  <c:v>56129</c:v>
                </c:pt>
                <c:pt idx="114">
                  <c:v>56802</c:v>
                </c:pt>
                <c:pt idx="115">
                  <c:v>56802</c:v>
                </c:pt>
                <c:pt idx="116">
                  <c:v>56802</c:v>
                </c:pt>
                <c:pt idx="117">
                  <c:v>56802</c:v>
                </c:pt>
                <c:pt idx="118">
                  <c:v>56802</c:v>
                </c:pt>
                <c:pt idx="119">
                  <c:v>56802</c:v>
                </c:pt>
                <c:pt idx="120">
                  <c:v>56802</c:v>
                </c:pt>
                <c:pt idx="121">
                  <c:v>56802</c:v>
                </c:pt>
                <c:pt idx="122">
                  <c:v>57479</c:v>
                </c:pt>
                <c:pt idx="123">
                  <c:v>57479</c:v>
                </c:pt>
                <c:pt idx="124">
                  <c:v>58160</c:v>
                </c:pt>
                <c:pt idx="125">
                  <c:v>58160</c:v>
                </c:pt>
                <c:pt idx="126">
                  <c:v>58160</c:v>
                </c:pt>
                <c:pt idx="127">
                  <c:v>58160</c:v>
                </c:pt>
                <c:pt idx="128">
                  <c:v>58845</c:v>
                </c:pt>
                <c:pt idx="129">
                  <c:v>58845</c:v>
                </c:pt>
                <c:pt idx="130">
                  <c:v>58845</c:v>
                </c:pt>
                <c:pt idx="131">
                  <c:v>58845</c:v>
                </c:pt>
                <c:pt idx="132">
                  <c:v>58845</c:v>
                </c:pt>
                <c:pt idx="133">
                  <c:v>58845</c:v>
                </c:pt>
                <c:pt idx="134">
                  <c:v>59534</c:v>
                </c:pt>
                <c:pt idx="135">
                  <c:v>59534</c:v>
                </c:pt>
                <c:pt idx="136">
                  <c:v>60227</c:v>
                </c:pt>
                <c:pt idx="137">
                  <c:v>60227</c:v>
                </c:pt>
                <c:pt idx="138">
                  <c:v>60227</c:v>
                </c:pt>
                <c:pt idx="139">
                  <c:v>60227</c:v>
                </c:pt>
                <c:pt idx="140">
                  <c:v>60227</c:v>
                </c:pt>
                <c:pt idx="141">
                  <c:v>60227</c:v>
                </c:pt>
                <c:pt idx="142">
                  <c:v>60227</c:v>
                </c:pt>
                <c:pt idx="143">
                  <c:v>60227</c:v>
                </c:pt>
                <c:pt idx="144">
                  <c:v>60924</c:v>
                </c:pt>
                <c:pt idx="145">
                  <c:v>60924</c:v>
                </c:pt>
                <c:pt idx="146">
                  <c:v>61625</c:v>
                </c:pt>
                <c:pt idx="147">
                  <c:v>61625</c:v>
                </c:pt>
                <c:pt idx="148">
                  <c:v>61625</c:v>
                </c:pt>
                <c:pt idx="149">
                  <c:v>61625</c:v>
                </c:pt>
                <c:pt idx="150">
                  <c:v>61625</c:v>
                </c:pt>
                <c:pt idx="151">
                  <c:v>61625</c:v>
                </c:pt>
                <c:pt idx="152">
                  <c:v>61625</c:v>
                </c:pt>
                <c:pt idx="153">
                  <c:v>61625</c:v>
                </c:pt>
                <c:pt idx="154">
                  <c:v>63039</c:v>
                </c:pt>
                <c:pt idx="155">
                  <c:v>63039</c:v>
                </c:pt>
                <c:pt idx="156">
                  <c:v>63039</c:v>
                </c:pt>
                <c:pt idx="157">
                  <c:v>63039</c:v>
                </c:pt>
                <c:pt idx="158">
                  <c:v>63752</c:v>
                </c:pt>
                <c:pt idx="159">
                  <c:v>63752</c:v>
                </c:pt>
                <c:pt idx="160">
                  <c:v>63752</c:v>
                </c:pt>
                <c:pt idx="161">
                  <c:v>63752</c:v>
                </c:pt>
                <c:pt idx="162">
                  <c:v>64469</c:v>
                </c:pt>
                <c:pt idx="163">
                  <c:v>64469</c:v>
                </c:pt>
                <c:pt idx="164">
                  <c:v>65190</c:v>
                </c:pt>
                <c:pt idx="165">
                  <c:v>65190</c:v>
                </c:pt>
                <c:pt idx="166">
                  <c:v>65190</c:v>
                </c:pt>
                <c:pt idx="167">
                  <c:v>65190</c:v>
                </c:pt>
                <c:pt idx="168">
                  <c:v>65190</c:v>
                </c:pt>
                <c:pt idx="169">
                  <c:v>65190</c:v>
                </c:pt>
                <c:pt idx="170">
                  <c:v>65915</c:v>
                </c:pt>
                <c:pt idx="171">
                  <c:v>65915</c:v>
                </c:pt>
                <c:pt idx="172">
                  <c:v>66644</c:v>
                </c:pt>
                <c:pt idx="173">
                  <c:v>66644</c:v>
                </c:pt>
                <c:pt idx="174">
                  <c:v>66644</c:v>
                </c:pt>
                <c:pt idx="175">
                  <c:v>66644</c:v>
                </c:pt>
                <c:pt idx="176">
                  <c:v>67377</c:v>
                </c:pt>
                <c:pt idx="177">
                  <c:v>67377</c:v>
                </c:pt>
                <c:pt idx="178">
                  <c:v>68114</c:v>
                </c:pt>
                <c:pt idx="179">
                  <c:v>68114</c:v>
                </c:pt>
                <c:pt idx="180">
                  <c:v>68855</c:v>
                </c:pt>
                <c:pt idx="181">
                  <c:v>68855</c:v>
                </c:pt>
                <c:pt idx="182">
                  <c:v>68855</c:v>
                </c:pt>
                <c:pt idx="183">
                  <c:v>68855</c:v>
                </c:pt>
                <c:pt idx="184">
                  <c:v>69600</c:v>
                </c:pt>
                <c:pt idx="185">
                  <c:v>69600</c:v>
                </c:pt>
                <c:pt idx="186">
                  <c:v>70349</c:v>
                </c:pt>
                <c:pt idx="187">
                  <c:v>70349</c:v>
                </c:pt>
                <c:pt idx="188">
                  <c:v>70349</c:v>
                </c:pt>
                <c:pt idx="189">
                  <c:v>70349</c:v>
                </c:pt>
                <c:pt idx="190">
                  <c:v>71859</c:v>
                </c:pt>
                <c:pt idx="191">
                  <c:v>71859</c:v>
                </c:pt>
                <c:pt idx="192">
                  <c:v>72620</c:v>
                </c:pt>
                <c:pt idx="193">
                  <c:v>72620</c:v>
                </c:pt>
                <c:pt idx="194">
                  <c:v>73385</c:v>
                </c:pt>
                <c:pt idx="195">
                  <c:v>73385</c:v>
                </c:pt>
                <c:pt idx="196">
                  <c:v>74154</c:v>
                </c:pt>
                <c:pt idx="197">
                  <c:v>74154</c:v>
                </c:pt>
                <c:pt idx="198">
                  <c:v>75704</c:v>
                </c:pt>
                <c:pt idx="199">
                  <c:v>75704</c:v>
                </c:pt>
                <c:pt idx="200">
                  <c:v>77270</c:v>
                </c:pt>
                <c:pt idx="201">
                  <c:v>77270</c:v>
                </c:pt>
              </c:numCache>
            </c:numRef>
          </c:xVal>
          <c:yVal>
            <c:numRef>
              <c:f>'Cancer doubles final2'!$X$2:$X$1662</c:f>
              <c:numCache>
                <c:formatCode>General</c:formatCode>
                <c:ptCount val="202"/>
                <c:pt idx="0">
                  <c:v>0.96872570945156944</c:v>
                </c:pt>
                <c:pt idx="1">
                  <c:v>0.9691142116983732</c:v>
                </c:pt>
                <c:pt idx="2">
                  <c:v>0.97596153368552518</c:v>
                </c:pt>
                <c:pt idx="3">
                  <c:v>0.96707459042469668</c:v>
                </c:pt>
                <c:pt idx="4">
                  <c:v>0.95590520070658791</c:v>
                </c:pt>
                <c:pt idx="5">
                  <c:v>0.96736596524715424</c:v>
                </c:pt>
                <c:pt idx="6">
                  <c:v>0.91996891631020439</c:v>
                </c:pt>
                <c:pt idx="7">
                  <c:v>0.96882284184296918</c:v>
                </c:pt>
                <c:pt idx="8">
                  <c:v>0.9520202047295041</c:v>
                </c:pt>
                <c:pt idx="9">
                  <c:v>0.96649183829625451</c:v>
                </c:pt>
                <c:pt idx="10">
                  <c:v>0.97086247801780701</c:v>
                </c:pt>
                <c:pt idx="11">
                  <c:v>0.96299533297618234</c:v>
                </c:pt>
                <c:pt idx="12">
                  <c:v>0.95629370957612991</c:v>
                </c:pt>
                <c:pt idx="13">
                  <c:v>0.96532633403937029</c:v>
                </c:pt>
                <c:pt idx="14">
                  <c:v>0.94658119148678244</c:v>
                </c:pt>
                <c:pt idx="15">
                  <c:v>0.96503495921691262</c:v>
                </c:pt>
                <c:pt idx="16">
                  <c:v>0.96620045767890084</c:v>
                </c:pt>
                <c:pt idx="17">
                  <c:v>0.96736595779657364</c:v>
                </c:pt>
                <c:pt idx="18">
                  <c:v>0.96833720803260803</c:v>
                </c:pt>
                <c:pt idx="19">
                  <c:v>0.97173658261696494</c:v>
                </c:pt>
                <c:pt idx="20">
                  <c:v>0.9810605992873509</c:v>
                </c:pt>
                <c:pt idx="21">
                  <c:v>0.96969695885976148</c:v>
                </c:pt>
                <c:pt idx="22">
                  <c:v>0.96484070519606269</c:v>
                </c:pt>
                <c:pt idx="23">
                  <c:v>0.96911420921484626</c:v>
                </c:pt>
                <c:pt idx="24">
                  <c:v>0.97416472434997559</c:v>
                </c:pt>
                <c:pt idx="25">
                  <c:v>0.96882283935944236</c:v>
                </c:pt>
                <c:pt idx="26">
                  <c:v>0.96780302748084068</c:v>
                </c:pt>
                <c:pt idx="27">
                  <c:v>0.97086247056722641</c:v>
                </c:pt>
                <c:pt idx="28">
                  <c:v>0.96891996761163068</c:v>
                </c:pt>
                <c:pt idx="29">
                  <c:v>0.97465034574270248</c:v>
                </c:pt>
                <c:pt idx="30">
                  <c:v>0.96386946406629348</c:v>
                </c:pt>
                <c:pt idx="31">
                  <c:v>0.97406758864720666</c:v>
                </c:pt>
                <c:pt idx="32">
                  <c:v>0.96561771300103927</c:v>
                </c:pt>
                <c:pt idx="33">
                  <c:v>0.97202795992294955</c:v>
                </c:pt>
                <c:pt idx="34">
                  <c:v>0.94658118983109796</c:v>
                </c:pt>
                <c:pt idx="35">
                  <c:v>0.97406759113073349</c:v>
                </c:pt>
                <c:pt idx="36">
                  <c:v>0.96658895744217765</c:v>
                </c:pt>
                <c:pt idx="37">
                  <c:v>0.97465034325917554</c:v>
                </c:pt>
                <c:pt idx="38">
                  <c:v>0.95250582695007324</c:v>
                </c:pt>
                <c:pt idx="39">
                  <c:v>0.96532633155584335</c:v>
                </c:pt>
                <c:pt idx="40">
                  <c:v>0.94619269669055939</c:v>
                </c:pt>
                <c:pt idx="41">
                  <c:v>0.97348484148581815</c:v>
                </c:pt>
                <c:pt idx="42">
                  <c:v>0.97698135177294421</c:v>
                </c:pt>
                <c:pt idx="43">
                  <c:v>0.97086246063311887</c:v>
                </c:pt>
                <c:pt idx="44">
                  <c:v>0.95250582695007324</c:v>
                </c:pt>
                <c:pt idx="45">
                  <c:v>0.9545454507072767</c:v>
                </c:pt>
                <c:pt idx="46">
                  <c:v>0.97523309787114454</c:v>
                </c:pt>
                <c:pt idx="47">
                  <c:v>0.97435896346966422</c:v>
                </c:pt>
                <c:pt idx="48">
                  <c:v>0.97406759609778715</c:v>
                </c:pt>
                <c:pt idx="49">
                  <c:v>0.96824008474747347</c:v>
                </c:pt>
                <c:pt idx="50">
                  <c:v>0.96998834609985352</c:v>
                </c:pt>
                <c:pt idx="51">
                  <c:v>0.95279720177253091</c:v>
                </c:pt>
                <c:pt idx="52">
                  <c:v>0.95920746028423309</c:v>
                </c:pt>
                <c:pt idx="53">
                  <c:v>0.97173658510049177</c:v>
                </c:pt>
                <c:pt idx="54">
                  <c:v>0.96872571772999239</c:v>
                </c:pt>
                <c:pt idx="55">
                  <c:v>0.94463869432608283</c:v>
                </c:pt>
                <c:pt idx="56">
                  <c:v>0.95260294609599638</c:v>
                </c:pt>
                <c:pt idx="57">
                  <c:v>0.95396270106236147</c:v>
                </c:pt>
                <c:pt idx="58">
                  <c:v>0.95483683049678802</c:v>
                </c:pt>
                <c:pt idx="59">
                  <c:v>0.97115383545557654</c:v>
                </c:pt>
                <c:pt idx="60">
                  <c:v>0.97785546630620956</c:v>
                </c:pt>
                <c:pt idx="61">
                  <c:v>0.96095571170250571</c:v>
                </c:pt>
                <c:pt idx="62">
                  <c:v>0.96600621110863161</c:v>
                </c:pt>
                <c:pt idx="63">
                  <c:v>0.94522144148747134</c:v>
                </c:pt>
                <c:pt idx="64">
                  <c:v>0.97231934716304147</c:v>
                </c:pt>
                <c:pt idx="65">
                  <c:v>0.941142184038957</c:v>
                </c:pt>
                <c:pt idx="66">
                  <c:v>0.97086246560017275</c:v>
                </c:pt>
                <c:pt idx="67">
                  <c:v>0.9548368205626806</c:v>
                </c:pt>
                <c:pt idx="68">
                  <c:v>0.97785547044542098</c:v>
                </c:pt>
                <c:pt idx="69">
                  <c:v>0.96008158475160599</c:v>
                </c:pt>
                <c:pt idx="70">
                  <c:v>0.9664918308456738</c:v>
                </c:pt>
                <c:pt idx="71">
                  <c:v>0.9688228418429693</c:v>
                </c:pt>
                <c:pt idx="72">
                  <c:v>0.95959595342477166</c:v>
                </c:pt>
                <c:pt idx="73">
                  <c:v>0.9577505812048912</c:v>
                </c:pt>
                <c:pt idx="74">
                  <c:v>0.97261072198549903</c:v>
                </c:pt>
                <c:pt idx="75">
                  <c:v>0.9504661882917087</c:v>
                </c:pt>
                <c:pt idx="76">
                  <c:v>0.93531467765569687</c:v>
                </c:pt>
                <c:pt idx="77">
                  <c:v>0.96707459042469668</c:v>
                </c:pt>
                <c:pt idx="78">
                  <c:v>0.97202796737353003</c:v>
                </c:pt>
                <c:pt idx="79">
                  <c:v>0.96066433191299438</c:v>
                </c:pt>
                <c:pt idx="80">
                  <c:v>0.95949882517258323</c:v>
                </c:pt>
                <c:pt idx="81">
                  <c:v>0.96008158226807916</c:v>
                </c:pt>
                <c:pt idx="82">
                  <c:v>0.94269619219832945</c:v>
                </c:pt>
                <c:pt idx="83">
                  <c:v>0.95571094503005338</c:v>
                </c:pt>
                <c:pt idx="84">
                  <c:v>0.96095571418603265</c:v>
                </c:pt>
                <c:pt idx="85">
                  <c:v>0.94900930921236681</c:v>
                </c:pt>
                <c:pt idx="86">
                  <c:v>0.94055943191051483</c:v>
                </c:pt>
                <c:pt idx="87">
                  <c:v>0.9691142116983732</c:v>
                </c:pt>
                <c:pt idx="88">
                  <c:v>0.94944638386368752</c:v>
                </c:pt>
                <c:pt idx="89">
                  <c:v>0.96212120354175568</c:v>
                </c:pt>
                <c:pt idx="90">
                  <c:v>0.96270395567019784</c:v>
                </c:pt>
                <c:pt idx="91">
                  <c:v>0.9583333283662796</c:v>
                </c:pt>
                <c:pt idx="92">
                  <c:v>0.98076923439900077</c:v>
                </c:pt>
                <c:pt idx="93">
                  <c:v>0.94755243758360552</c:v>
                </c:pt>
                <c:pt idx="94">
                  <c:v>0.94230768581231439</c:v>
                </c:pt>
                <c:pt idx="95">
                  <c:v>0.97057108332713449</c:v>
                </c:pt>
                <c:pt idx="96">
                  <c:v>0.97435897588729858</c:v>
                </c:pt>
                <c:pt idx="97">
                  <c:v>0.96182982871929801</c:v>
                </c:pt>
                <c:pt idx="98">
                  <c:v>0.97377620885769534</c:v>
                </c:pt>
                <c:pt idx="99">
                  <c:v>0.94726106772820151</c:v>
                </c:pt>
                <c:pt idx="100">
                  <c:v>0.96794871985912323</c:v>
                </c:pt>
                <c:pt idx="101">
                  <c:v>0.93706293155749643</c:v>
                </c:pt>
                <c:pt idx="102">
                  <c:v>0.98106060425440467</c:v>
                </c:pt>
                <c:pt idx="103">
                  <c:v>0.95104894042015076</c:v>
                </c:pt>
                <c:pt idx="104">
                  <c:v>0.92773892647690237</c:v>
                </c:pt>
                <c:pt idx="105">
                  <c:v>0.96649183332920074</c:v>
                </c:pt>
                <c:pt idx="106">
                  <c:v>0.93783993522326148</c:v>
                </c:pt>
                <c:pt idx="107">
                  <c:v>0.94609555602073669</c:v>
                </c:pt>
                <c:pt idx="108">
                  <c:v>0.9449300691485405</c:v>
                </c:pt>
                <c:pt idx="109">
                  <c:v>0.95658507198095322</c:v>
                </c:pt>
                <c:pt idx="110">
                  <c:v>0.95600232978661859</c:v>
                </c:pt>
                <c:pt idx="111">
                  <c:v>0.95716782410939538</c:v>
                </c:pt>
                <c:pt idx="112">
                  <c:v>0.94900932659705484</c:v>
                </c:pt>
                <c:pt idx="113">
                  <c:v>0.96561770886182785</c:v>
                </c:pt>
                <c:pt idx="114">
                  <c:v>0.98106060425440478</c:v>
                </c:pt>
                <c:pt idx="115">
                  <c:v>0.96095570176839828</c:v>
                </c:pt>
                <c:pt idx="116">
                  <c:v>0.94493007039030386</c:v>
                </c:pt>
                <c:pt idx="117">
                  <c:v>0.95600232233603799</c:v>
                </c:pt>
                <c:pt idx="118">
                  <c:v>0.95017481843630469</c:v>
                </c:pt>
                <c:pt idx="119">
                  <c:v>0.96416082978248596</c:v>
                </c:pt>
                <c:pt idx="120">
                  <c:v>0.96425795720683205</c:v>
                </c:pt>
                <c:pt idx="121">
                  <c:v>0.96503496170043945</c:v>
                </c:pt>
                <c:pt idx="122">
                  <c:v>0.97533022363980615</c:v>
                </c:pt>
                <c:pt idx="123">
                  <c:v>0.958916075527668</c:v>
                </c:pt>
                <c:pt idx="124">
                  <c:v>0.97756410141785943</c:v>
                </c:pt>
                <c:pt idx="125">
                  <c:v>0.95279719680547714</c:v>
                </c:pt>
                <c:pt idx="126">
                  <c:v>0.96066433191299438</c:v>
                </c:pt>
                <c:pt idx="127">
                  <c:v>0.96241258084774017</c:v>
                </c:pt>
                <c:pt idx="128">
                  <c:v>0.93492618037594688</c:v>
                </c:pt>
                <c:pt idx="129">
                  <c:v>0.96241258084774017</c:v>
                </c:pt>
                <c:pt idx="130">
                  <c:v>0.96620046595732367</c:v>
                </c:pt>
                <c:pt idx="131">
                  <c:v>0.96095570673545194</c:v>
                </c:pt>
                <c:pt idx="132">
                  <c:v>0.93628593782583869</c:v>
                </c:pt>
                <c:pt idx="133">
                  <c:v>0.95571094503005349</c:v>
                </c:pt>
                <c:pt idx="134">
                  <c:v>0.96678321311871218</c:v>
                </c:pt>
                <c:pt idx="135">
                  <c:v>0.96416082729895902</c:v>
                </c:pt>
                <c:pt idx="136">
                  <c:v>0.97785548120737076</c:v>
                </c:pt>
                <c:pt idx="137">
                  <c:v>0.93735430637995409</c:v>
                </c:pt>
                <c:pt idx="138">
                  <c:v>0.93803419007195377</c:v>
                </c:pt>
                <c:pt idx="139">
                  <c:v>0.95775057375431061</c:v>
                </c:pt>
                <c:pt idx="140">
                  <c:v>0.97202795909510709</c:v>
                </c:pt>
                <c:pt idx="141">
                  <c:v>0.96270396063725161</c:v>
                </c:pt>
                <c:pt idx="142">
                  <c:v>0.95687645673751831</c:v>
                </c:pt>
                <c:pt idx="143">
                  <c:v>0.96124707659085595</c:v>
                </c:pt>
                <c:pt idx="144">
                  <c:v>0.94842656701803207</c:v>
                </c:pt>
                <c:pt idx="145">
                  <c:v>0.95367132375637698</c:v>
                </c:pt>
                <c:pt idx="146">
                  <c:v>0.97523310283819831</c:v>
                </c:pt>
                <c:pt idx="147">
                  <c:v>0.94784381737311685</c:v>
                </c:pt>
                <c:pt idx="148">
                  <c:v>0.949592078725497</c:v>
                </c:pt>
                <c:pt idx="149">
                  <c:v>0.96066432446241379</c:v>
                </c:pt>
                <c:pt idx="150">
                  <c:v>0.96299532800912857</c:v>
                </c:pt>
                <c:pt idx="151">
                  <c:v>0.9583333283662796</c:v>
                </c:pt>
                <c:pt idx="152">
                  <c:v>0.94696969538927078</c:v>
                </c:pt>
                <c:pt idx="153">
                  <c:v>0.96095570921897888</c:v>
                </c:pt>
                <c:pt idx="154">
                  <c:v>0.93618880709012342</c:v>
                </c:pt>
                <c:pt idx="155">
                  <c:v>0.95541957269112265</c:v>
                </c:pt>
                <c:pt idx="156">
                  <c:v>0.94463869432608283</c:v>
                </c:pt>
                <c:pt idx="157">
                  <c:v>0.95833332588275277</c:v>
                </c:pt>
                <c:pt idx="158">
                  <c:v>0.97639859964450193</c:v>
                </c:pt>
                <c:pt idx="159">
                  <c:v>0.95949882517258334</c:v>
                </c:pt>
                <c:pt idx="160">
                  <c:v>0.93278942505518592</c:v>
                </c:pt>
                <c:pt idx="161">
                  <c:v>0.95221444716056192</c:v>
                </c:pt>
                <c:pt idx="162">
                  <c:v>0.94755245000123978</c:v>
                </c:pt>
                <c:pt idx="163">
                  <c:v>0.95017482091983163</c:v>
                </c:pt>
                <c:pt idx="164">
                  <c:v>0.96153845638036728</c:v>
                </c:pt>
                <c:pt idx="165">
                  <c:v>0.96037295709053672</c:v>
                </c:pt>
                <c:pt idx="166">
                  <c:v>0.97843822588523222</c:v>
                </c:pt>
                <c:pt idx="167">
                  <c:v>0.95571094503005338</c:v>
                </c:pt>
                <c:pt idx="168">
                  <c:v>0.95425406595071149</c:v>
                </c:pt>
                <c:pt idx="169">
                  <c:v>0.95862470070521033</c:v>
                </c:pt>
                <c:pt idx="170">
                  <c:v>0.97668997446695971</c:v>
                </c:pt>
                <c:pt idx="171">
                  <c:v>0.94055943191051483</c:v>
                </c:pt>
                <c:pt idx="172">
                  <c:v>0.93356642789310884</c:v>
                </c:pt>
                <c:pt idx="173">
                  <c:v>0.95600232978661848</c:v>
                </c:pt>
                <c:pt idx="174">
                  <c:v>0.94842656205097831</c:v>
                </c:pt>
                <c:pt idx="175">
                  <c:v>0.96328671028216672</c:v>
                </c:pt>
                <c:pt idx="176">
                  <c:v>0.9778554762403171</c:v>
                </c:pt>
                <c:pt idx="177">
                  <c:v>0.95804194857676828</c:v>
                </c:pt>
                <c:pt idx="178">
                  <c:v>0.93026417824957108</c:v>
                </c:pt>
                <c:pt idx="179">
                  <c:v>0.95308857411146164</c:v>
                </c:pt>
                <c:pt idx="180">
                  <c:v>0.93706294066376161</c:v>
                </c:pt>
                <c:pt idx="181">
                  <c:v>0.96037295957406354</c:v>
                </c:pt>
                <c:pt idx="182">
                  <c:v>0.97902098546425509</c:v>
                </c:pt>
                <c:pt idx="183">
                  <c:v>0.96212120354175568</c:v>
                </c:pt>
                <c:pt idx="184">
                  <c:v>0.93822843829790759</c:v>
                </c:pt>
                <c:pt idx="185">
                  <c:v>0.95833332588275277</c:v>
                </c:pt>
                <c:pt idx="186">
                  <c:v>0.95702213918169343</c:v>
                </c:pt>
                <c:pt idx="187">
                  <c:v>0.96066432942946756</c:v>
                </c:pt>
                <c:pt idx="188">
                  <c:v>0.98018648475408554</c:v>
                </c:pt>
                <c:pt idx="189">
                  <c:v>0.96474358439445496</c:v>
                </c:pt>
                <c:pt idx="190">
                  <c:v>0.93745143711566925</c:v>
                </c:pt>
                <c:pt idx="191">
                  <c:v>0.96212119857470202</c:v>
                </c:pt>
                <c:pt idx="192">
                  <c:v>0.98222610851128889</c:v>
                </c:pt>
                <c:pt idx="193">
                  <c:v>0.96561771382888162</c:v>
                </c:pt>
                <c:pt idx="194">
                  <c:v>0.94667831808328629</c:v>
                </c:pt>
                <c:pt idx="195">
                  <c:v>0.9629953230420748</c:v>
                </c:pt>
                <c:pt idx="196">
                  <c:v>0.98251748333374667</c:v>
                </c:pt>
                <c:pt idx="197">
                  <c:v>0.96416083971659339</c:v>
                </c:pt>
                <c:pt idx="198">
                  <c:v>0.98397435496250796</c:v>
                </c:pt>
                <c:pt idx="199">
                  <c:v>0.96124708404143644</c:v>
                </c:pt>
                <c:pt idx="200">
                  <c:v>0.98339160531759262</c:v>
                </c:pt>
                <c:pt idx="201">
                  <c:v>0.95745920389890671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A2-4DD5-8400-FAC0AAEF77E2}"/>
            </c:ext>
          </c:extLst>
        </c:ser>
        <c:ser>
          <c:idx val="1"/>
          <c:order val="1"/>
          <c:tx>
            <c:strRef>
              <c:f>'Cancer doubles final2'!$Y$1</c:f>
              <c:strCache>
                <c:ptCount val="1"/>
                <c:pt idx="0">
                  <c:v>Small MLP acc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'Cancer doubles final2'!$W$2:$W$1662</c:f>
              <c:numCache>
                <c:formatCode>General</c:formatCode>
                <c:ptCount val="202"/>
                <c:pt idx="0">
                  <c:v>15249</c:v>
                </c:pt>
                <c:pt idx="1">
                  <c:v>15249</c:v>
                </c:pt>
                <c:pt idx="2">
                  <c:v>16685</c:v>
                </c:pt>
                <c:pt idx="3">
                  <c:v>16685</c:v>
                </c:pt>
                <c:pt idx="4">
                  <c:v>18185</c:v>
                </c:pt>
                <c:pt idx="5">
                  <c:v>18185</c:v>
                </c:pt>
                <c:pt idx="6">
                  <c:v>19352</c:v>
                </c:pt>
                <c:pt idx="7">
                  <c:v>19352</c:v>
                </c:pt>
                <c:pt idx="8">
                  <c:v>20964</c:v>
                </c:pt>
                <c:pt idx="9">
                  <c:v>20964</c:v>
                </c:pt>
                <c:pt idx="10">
                  <c:v>22215</c:v>
                </c:pt>
                <c:pt idx="11">
                  <c:v>22215</c:v>
                </c:pt>
                <c:pt idx="12">
                  <c:v>23939</c:v>
                </c:pt>
                <c:pt idx="13">
                  <c:v>23939</c:v>
                </c:pt>
                <c:pt idx="14">
                  <c:v>25274</c:v>
                </c:pt>
                <c:pt idx="15">
                  <c:v>25274</c:v>
                </c:pt>
                <c:pt idx="16">
                  <c:v>26645</c:v>
                </c:pt>
                <c:pt idx="17">
                  <c:v>26645</c:v>
                </c:pt>
                <c:pt idx="18">
                  <c:v>28052</c:v>
                </c:pt>
                <c:pt idx="19">
                  <c:v>28052</c:v>
                </c:pt>
                <c:pt idx="20">
                  <c:v>29495</c:v>
                </c:pt>
                <c:pt idx="21">
                  <c:v>29495</c:v>
                </c:pt>
                <c:pt idx="22">
                  <c:v>30974</c:v>
                </c:pt>
                <c:pt idx="23">
                  <c:v>30974</c:v>
                </c:pt>
                <c:pt idx="24">
                  <c:v>31980</c:v>
                </c:pt>
                <c:pt idx="25">
                  <c:v>31980</c:v>
                </c:pt>
                <c:pt idx="26">
                  <c:v>33519</c:v>
                </c:pt>
                <c:pt idx="27">
                  <c:v>33519</c:v>
                </c:pt>
                <c:pt idx="28">
                  <c:v>35094</c:v>
                </c:pt>
                <c:pt idx="29">
                  <c:v>35094</c:v>
                </c:pt>
                <c:pt idx="30">
                  <c:v>36164</c:v>
                </c:pt>
                <c:pt idx="31">
                  <c:v>36164</c:v>
                </c:pt>
                <c:pt idx="32">
                  <c:v>37799</c:v>
                </c:pt>
                <c:pt idx="33">
                  <c:v>37799</c:v>
                </c:pt>
                <c:pt idx="34">
                  <c:v>39470</c:v>
                </c:pt>
                <c:pt idx="35">
                  <c:v>39470</c:v>
                </c:pt>
                <c:pt idx="36">
                  <c:v>40604</c:v>
                </c:pt>
                <c:pt idx="37">
                  <c:v>40604</c:v>
                </c:pt>
                <c:pt idx="38">
                  <c:v>40604</c:v>
                </c:pt>
                <c:pt idx="39">
                  <c:v>40604</c:v>
                </c:pt>
                <c:pt idx="40">
                  <c:v>41754</c:v>
                </c:pt>
                <c:pt idx="41">
                  <c:v>41754</c:v>
                </c:pt>
                <c:pt idx="42">
                  <c:v>42335</c:v>
                </c:pt>
                <c:pt idx="43">
                  <c:v>42335</c:v>
                </c:pt>
                <c:pt idx="44">
                  <c:v>43509</c:v>
                </c:pt>
                <c:pt idx="45">
                  <c:v>43509</c:v>
                </c:pt>
                <c:pt idx="46">
                  <c:v>43509</c:v>
                </c:pt>
                <c:pt idx="47">
                  <c:v>43509</c:v>
                </c:pt>
                <c:pt idx="48">
                  <c:v>43509</c:v>
                </c:pt>
                <c:pt idx="49">
                  <c:v>43509</c:v>
                </c:pt>
                <c:pt idx="50">
                  <c:v>44699</c:v>
                </c:pt>
                <c:pt idx="51">
                  <c:v>44699</c:v>
                </c:pt>
                <c:pt idx="52">
                  <c:v>44699</c:v>
                </c:pt>
                <c:pt idx="53">
                  <c:v>44699</c:v>
                </c:pt>
                <c:pt idx="54">
                  <c:v>45905</c:v>
                </c:pt>
                <c:pt idx="55">
                  <c:v>45905</c:v>
                </c:pt>
                <c:pt idx="56">
                  <c:v>46514</c:v>
                </c:pt>
                <c:pt idx="57">
                  <c:v>46514</c:v>
                </c:pt>
                <c:pt idx="58">
                  <c:v>46514</c:v>
                </c:pt>
                <c:pt idx="59">
                  <c:v>46514</c:v>
                </c:pt>
                <c:pt idx="60">
                  <c:v>47744</c:v>
                </c:pt>
                <c:pt idx="61">
                  <c:v>47744</c:v>
                </c:pt>
                <c:pt idx="62">
                  <c:v>47744</c:v>
                </c:pt>
                <c:pt idx="63">
                  <c:v>47744</c:v>
                </c:pt>
                <c:pt idx="64">
                  <c:v>47744</c:v>
                </c:pt>
                <c:pt idx="65">
                  <c:v>47744</c:v>
                </c:pt>
                <c:pt idx="66">
                  <c:v>48365</c:v>
                </c:pt>
                <c:pt idx="67">
                  <c:v>48365</c:v>
                </c:pt>
                <c:pt idx="68">
                  <c:v>48990</c:v>
                </c:pt>
                <c:pt idx="69">
                  <c:v>48990</c:v>
                </c:pt>
                <c:pt idx="70">
                  <c:v>48990</c:v>
                </c:pt>
                <c:pt idx="71">
                  <c:v>48990</c:v>
                </c:pt>
                <c:pt idx="72">
                  <c:v>48990</c:v>
                </c:pt>
                <c:pt idx="73">
                  <c:v>48990</c:v>
                </c:pt>
                <c:pt idx="74">
                  <c:v>50252</c:v>
                </c:pt>
                <c:pt idx="75">
                  <c:v>50252</c:v>
                </c:pt>
                <c:pt idx="76">
                  <c:v>50252</c:v>
                </c:pt>
                <c:pt idx="77">
                  <c:v>50252</c:v>
                </c:pt>
                <c:pt idx="78">
                  <c:v>50889</c:v>
                </c:pt>
                <c:pt idx="79">
                  <c:v>50889</c:v>
                </c:pt>
                <c:pt idx="80">
                  <c:v>50889</c:v>
                </c:pt>
                <c:pt idx="81">
                  <c:v>50889</c:v>
                </c:pt>
                <c:pt idx="82">
                  <c:v>51530</c:v>
                </c:pt>
                <c:pt idx="83">
                  <c:v>51530</c:v>
                </c:pt>
                <c:pt idx="84">
                  <c:v>52175</c:v>
                </c:pt>
                <c:pt idx="85">
                  <c:v>52175</c:v>
                </c:pt>
                <c:pt idx="86">
                  <c:v>52175</c:v>
                </c:pt>
                <c:pt idx="87">
                  <c:v>52175</c:v>
                </c:pt>
                <c:pt idx="88">
                  <c:v>52175</c:v>
                </c:pt>
                <c:pt idx="89">
                  <c:v>52175</c:v>
                </c:pt>
                <c:pt idx="90">
                  <c:v>52175</c:v>
                </c:pt>
                <c:pt idx="91">
                  <c:v>52175</c:v>
                </c:pt>
                <c:pt idx="92">
                  <c:v>52824</c:v>
                </c:pt>
                <c:pt idx="93">
                  <c:v>52824</c:v>
                </c:pt>
                <c:pt idx="94">
                  <c:v>53477</c:v>
                </c:pt>
                <c:pt idx="95">
                  <c:v>53477</c:v>
                </c:pt>
                <c:pt idx="96">
                  <c:v>53477</c:v>
                </c:pt>
                <c:pt idx="97">
                  <c:v>53477</c:v>
                </c:pt>
                <c:pt idx="98">
                  <c:v>53477</c:v>
                </c:pt>
                <c:pt idx="99">
                  <c:v>53477</c:v>
                </c:pt>
                <c:pt idx="100">
                  <c:v>54134</c:v>
                </c:pt>
                <c:pt idx="101">
                  <c:v>54134</c:v>
                </c:pt>
                <c:pt idx="102">
                  <c:v>54795</c:v>
                </c:pt>
                <c:pt idx="103">
                  <c:v>54795</c:v>
                </c:pt>
                <c:pt idx="104">
                  <c:v>54795</c:v>
                </c:pt>
                <c:pt idx="105">
                  <c:v>54795</c:v>
                </c:pt>
                <c:pt idx="106">
                  <c:v>55460</c:v>
                </c:pt>
                <c:pt idx="107">
                  <c:v>55460</c:v>
                </c:pt>
                <c:pt idx="108">
                  <c:v>55460</c:v>
                </c:pt>
                <c:pt idx="109">
                  <c:v>55460</c:v>
                </c:pt>
                <c:pt idx="110">
                  <c:v>55460</c:v>
                </c:pt>
                <c:pt idx="111">
                  <c:v>55460</c:v>
                </c:pt>
                <c:pt idx="112">
                  <c:v>56129</c:v>
                </c:pt>
                <c:pt idx="113">
                  <c:v>56129</c:v>
                </c:pt>
                <c:pt idx="114">
                  <c:v>56802</c:v>
                </c:pt>
                <c:pt idx="115">
                  <c:v>56802</c:v>
                </c:pt>
                <c:pt idx="116">
                  <c:v>56802</c:v>
                </c:pt>
                <c:pt idx="117">
                  <c:v>56802</c:v>
                </c:pt>
                <c:pt idx="118">
                  <c:v>56802</c:v>
                </c:pt>
                <c:pt idx="119">
                  <c:v>56802</c:v>
                </c:pt>
                <c:pt idx="120">
                  <c:v>56802</c:v>
                </c:pt>
                <c:pt idx="121">
                  <c:v>56802</c:v>
                </c:pt>
                <c:pt idx="122">
                  <c:v>57479</c:v>
                </c:pt>
                <c:pt idx="123">
                  <c:v>57479</c:v>
                </c:pt>
                <c:pt idx="124">
                  <c:v>58160</c:v>
                </c:pt>
                <c:pt idx="125">
                  <c:v>58160</c:v>
                </c:pt>
                <c:pt idx="126">
                  <c:v>58160</c:v>
                </c:pt>
                <c:pt idx="127">
                  <c:v>58160</c:v>
                </c:pt>
                <c:pt idx="128">
                  <c:v>58845</c:v>
                </c:pt>
                <c:pt idx="129">
                  <c:v>58845</c:v>
                </c:pt>
                <c:pt idx="130">
                  <c:v>58845</c:v>
                </c:pt>
                <c:pt idx="131">
                  <c:v>58845</c:v>
                </c:pt>
                <c:pt idx="132">
                  <c:v>58845</c:v>
                </c:pt>
                <c:pt idx="133">
                  <c:v>58845</c:v>
                </c:pt>
                <c:pt idx="134">
                  <c:v>59534</c:v>
                </c:pt>
                <c:pt idx="135">
                  <c:v>59534</c:v>
                </c:pt>
                <c:pt idx="136">
                  <c:v>60227</c:v>
                </c:pt>
                <c:pt idx="137">
                  <c:v>60227</c:v>
                </c:pt>
                <c:pt idx="138">
                  <c:v>60227</c:v>
                </c:pt>
                <c:pt idx="139">
                  <c:v>60227</c:v>
                </c:pt>
                <c:pt idx="140">
                  <c:v>60227</c:v>
                </c:pt>
                <c:pt idx="141">
                  <c:v>60227</c:v>
                </c:pt>
                <c:pt idx="142">
                  <c:v>60227</c:v>
                </c:pt>
                <c:pt idx="143">
                  <c:v>60227</c:v>
                </c:pt>
                <c:pt idx="144">
                  <c:v>60924</c:v>
                </c:pt>
                <c:pt idx="145">
                  <c:v>60924</c:v>
                </c:pt>
                <c:pt idx="146">
                  <c:v>61625</c:v>
                </c:pt>
                <c:pt idx="147">
                  <c:v>61625</c:v>
                </c:pt>
                <c:pt idx="148">
                  <c:v>61625</c:v>
                </c:pt>
                <c:pt idx="149">
                  <c:v>61625</c:v>
                </c:pt>
                <c:pt idx="150">
                  <c:v>61625</c:v>
                </c:pt>
                <c:pt idx="151">
                  <c:v>61625</c:v>
                </c:pt>
                <c:pt idx="152">
                  <c:v>61625</c:v>
                </c:pt>
                <c:pt idx="153">
                  <c:v>61625</c:v>
                </c:pt>
                <c:pt idx="154">
                  <c:v>63039</c:v>
                </c:pt>
                <c:pt idx="155">
                  <c:v>63039</c:v>
                </c:pt>
                <c:pt idx="156">
                  <c:v>63039</c:v>
                </c:pt>
                <c:pt idx="157">
                  <c:v>63039</c:v>
                </c:pt>
                <c:pt idx="158">
                  <c:v>63752</c:v>
                </c:pt>
                <c:pt idx="159">
                  <c:v>63752</c:v>
                </c:pt>
                <c:pt idx="160">
                  <c:v>63752</c:v>
                </c:pt>
                <c:pt idx="161">
                  <c:v>63752</c:v>
                </c:pt>
                <c:pt idx="162">
                  <c:v>64469</c:v>
                </c:pt>
                <c:pt idx="163">
                  <c:v>64469</c:v>
                </c:pt>
                <c:pt idx="164">
                  <c:v>65190</c:v>
                </c:pt>
                <c:pt idx="165">
                  <c:v>65190</c:v>
                </c:pt>
                <c:pt idx="166">
                  <c:v>65190</c:v>
                </c:pt>
                <c:pt idx="167">
                  <c:v>65190</c:v>
                </c:pt>
                <c:pt idx="168">
                  <c:v>65190</c:v>
                </c:pt>
                <c:pt idx="169">
                  <c:v>65190</c:v>
                </c:pt>
                <c:pt idx="170">
                  <c:v>65915</c:v>
                </c:pt>
                <c:pt idx="171">
                  <c:v>65915</c:v>
                </c:pt>
                <c:pt idx="172">
                  <c:v>66644</c:v>
                </c:pt>
                <c:pt idx="173">
                  <c:v>66644</c:v>
                </c:pt>
                <c:pt idx="174">
                  <c:v>66644</c:v>
                </c:pt>
                <c:pt idx="175">
                  <c:v>66644</c:v>
                </c:pt>
                <c:pt idx="176">
                  <c:v>67377</c:v>
                </c:pt>
                <c:pt idx="177">
                  <c:v>67377</c:v>
                </c:pt>
                <c:pt idx="178">
                  <c:v>68114</c:v>
                </c:pt>
                <c:pt idx="179">
                  <c:v>68114</c:v>
                </c:pt>
                <c:pt idx="180">
                  <c:v>68855</c:v>
                </c:pt>
                <c:pt idx="181">
                  <c:v>68855</c:v>
                </c:pt>
                <c:pt idx="182">
                  <c:v>68855</c:v>
                </c:pt>
                <c:pt idx="183">
                  <c:v>68855</c:v>
                </c:pt>
                <c:pt idx="184">
                  <c:v>69600</c:v>
                </c:pt>
                <c:pt idx="185">
                  <c:v>69600</c:v>
                </c:pt>
                <c:pt idx="186">
                  <c:v>70349</c:v>
                </c:pt>
                <c:pt idx="187">
                  <c:v>70349</c:v>
                </c:pt>
                <c:pt idx="188">
                  <c:v>70349</c:v>
                </c:pt>
                <c:pt idx="189">
                  <c:v>70349</c:v>
                </c:pt>
                <c:pt idx="190">
                  <c:v>71859</c:v>
                </c:pt>
                <c:pt idx="191">
                  <c:v>71859</c:v>
                </c:pt>
                <c:pt idx="192">
                  <c:v>72620</c:v>
                </c:pt>
                <c:pt idx="193">
                  <c:v>72620</c:v>
                </c:pt>
                <c:pt idx="194">
                  <c:v>73385</c:v>
                </c:pt>
                <c:pt idx="195">
                  <c:v>73385</c:v>
                </c:pt>
                <c:pt idx="196">
                  <c:v>74154</c:v>
                </c:pt>
                <c:pt idx="197">
                  <c:v>74154</c:v>
                </c:pt>
                <c:pt idx="198">
                  <c:v>75704</c:v>
                </c:pt>
                <c:pt idx="199">
                  <c:v>75704</c:v>
                </c:pt>
                <c:pt idx="200">
                  <c:v>77270</c:v>
                </c:pt>
                <c:pt idx="201">
                  <c:v>77270</c:v>
                </c:pt>
              </c:numCache>
            </c:numRef>
          </c:xVal>
          <c:yVal>
            <c:numRef>
              <c:f>'Cancer doubles final2'!$Y$2:$Y$1662</c:f>
              <c:numCache>
                <c:formatCode>General</c:formatCode>
                <c:ptCount val="202"/>
                <c:pt idx="0">
                  <c:v>0.94347319347319347</c:v>
                </c:pt>
                <c:pt idx="1">
                  <c:v>0.93269230769230771</c:v>
                </c:pt>
                <c:pt idx="2">
                  <c:v>0.93560606060606055</c:v>
                </c:pt>
                <c:pt idx="3">
                  <c:v>0.93181818181818188</c:v>
                </c:pt>
                <c:pt idx="4">
                  <c:v>0.94308469308469312</c:v>
                </c:pt>
                <c:pt idx="5">
                  <c:v>0.92832167832167833</c:v>
                </c:pt>
                <c:pt idx="6">
                  <c:v>0.92637917637917644</c:v>
                </c:pt>
                <c:pt idx="7">
                  <c:v>0.92890442890442892</c:v>
                </c:pt>
                <c:pt idx="8">
                  <c:v>0.92404817404817396</c:v>
                </c:pt>
                <c:pt idx="9">
                  <c:v>0.93269230769230771</c:v>
                </c:pt>
                <c:pt idx="10">
                  <c:v>0.95804195804195791</c:v>
                </c:pt>
                <c:pt idx="11">
                  <c:v>0.93240093240093247</c:v>
                </c:pt>
                <c:pt idx="12">
                  <c:v>0.9481351981351982</c:v>
                </c:pt>
                <c:pt idx="13">
                  <c:v>0.93210955710955723</c:v>
                </c:pt>
                <c:pt idx="14">
                  <c:v>0.92191142191142195</c:v>
                </c:pt>
                <c:pt idx="15">
                  <c:v>0.93152680652680653</c:v>
                </c:pt>
                <c:pt idx="16">
                  <c:v>0.94852369852369856</c:v>
                </c:pt>
                <c:pt idx="17">
                  <c:v>0.93036130536130535</c:v>
                </c:pt>
                <c:pt idx="18">
                  <c:v>0.94774669774669773</c:v>
                </c:pt>
                <c:pt idx="19">
                  <c:v>0.93385780885780889</c:v>
                </c:pt>
                <c:pt idx="20">
                  <c:v>0.94667832167832167</c:v>
                </c:pt>
                <c:pt idx="21">
                  <c:v>0.93531468531468531</c:v>
                </c:pt>
                <c:pt idx="22">
                  <c:v>0.94813519813519809</c:v>
                </c:pt>
                <c:pt idx="23">
                  <c:v>0.93414918414918424</c:v>
                </c:pt>
                <c:pt idx="24">
                  <c:v>0.94930069930069927</c:v>
                </c:pt>
                <c:pt idx="25">
                  <c:v>0.93123543123543129</c:v>
                </c:pt>
                <c:pt idx="26">
                  <c:v>0.93079836829836826</c:v>
                </c:pt>
                <c:pt idx="27">
                  <c:v>0.92919580419580416</c:v>
                </c:pt>
                <c:pt idx="28">
                  <c:v>0.94580419580419584</c:v>
                </c:pt>
                <c:pt idx="29">
                  <c:v>0.93094405594405605</c:v>
                </c:pt>
                <c:pt idx="30">
                  <c:v>0.9442501942501943</c:v>
                </c:pt>
                <c:pt idx="31">
                  <c:v>0.93123543123543129</c:v>
                </c:pt>
                <c:pt idx="32">
                  <c:v>0.9456099456099456</c:v>
                </c:pt>
                <c:pt idx="33">
                  <c:v>0.92890442890442892</c:v>
                </c:pt>
                <c:pt idx="34">
                  <c:v>0.92016317016317017</c:v>
                </c:pt>
                <c:pt idx="35">
                  <c:v>0.9274475524475525</c:v>
                </c:pt>
                <c:pt idx="36">
                  <c:v>0.9436674436674436</c:v>
                </c:pt>
                <c:pt idx="37">
                  <c:v>0.92890442890442881</c:v>
                </c:pt>
                <c:pt idx="38">
                  <c:v>0.91870629370629375</c:v>
                </c:pt>
                <c:pt idx="39">
                  <c:v>0.94376456876456882</c:v>
                </c:pt>
                <c:pt idx="40">
                  <c:v>0.92191142191142184</c:v>
                </c:pt>
                <c:pt idx="41">
                  <c:v>0.92890442890442892</c:v>
                </c:pt>
                <c:pt idx="42">
                  <c:v>0.95046620046620045</c:v>
                </c:pt>
                <c:pt idx="43">
                  <c:v>0.92365967365967361</c:v>
                </c:pt>
                <c:pt idx="44">
                  <c:v>0.94930069930069938</c:v>
                </c:pt>
                <c:pt idx="45">
                  <c:v>0.93822843822843827</c:v>
                </c:pt>
                <c:pt idx="46">
                  <c:v>0.94318181818181812</c:v>
                </c:pt>
                <c:pt idx="47">
                  <c:v>0.92657342657342656</c:v>
                </c:pt>
                <c:pt idx="48">
                  <c:v>0.9443473193473193</c:v>
                </c:pt>
                <c:pt idx="49">
                  <c:v>0.93123543123543129</c:v>
                </c:pt>
                <c:pt idx="50">
                  <c:v>0.94230769230769229</c:v>
                </c:pt>
                <c:pt idx="51">
                  <c:v>0.9391025641025641</c:v>
                </c:pt>
                <c:pt idx="52">
                  <c:v>0.91958041958041958</c:v>
                </c:pt>
                <c:pt idx="53">
                  <c:v>0.93006993006993011</c:v>
                </c:pt>
                <c:pt idx="54">
                  <c:v>0.94094794094794099</c:v>
                </c:pt>
                <c:pt idx="55">
                  <c:v>0.93648018648018649</c:v>
                </c:pt>
                <c:pt idx="56">
                  <c:v>0.94133644133644134</c:v>
                </c:pt>
                <c:pt idx="57">
                  <c:v>0.93735431235431244</c:v>
                </c:pt>
                <c:pt idx="58">
                  <c:v>0.9189976689976691</c:v>
                </c:pt>
                <c:pt idx="59">
                  <c:v>0.93094405594405605</c:v>
                </c:pt>
                <c:pt idx="60">
                  <c:v>0.94318181818181812</c:v>
                </c:pt>
                <c:pt idx="61">
                  <c:v>0.93851981351981362</c:v>
                </c:pt>
                <c:pt idx="62">
                  <c:v>0.94522144522144524</c:v>
                </c:pt>
                <c:pt idx="63">
                  <c:v>0.91870629370629375</c:v>
                </c:pt>
                <c:pt idx="64">
                  <c:v>0.94551282051282048</c:v>
                </c:pt>
                <c:pt idx="65">
                  <c:v>0.94114219114219111</c:v>
                </c:pt>
                <c:pt idx="66">
                  <c:v>0.94318181818181823</c:v>
                </c:pt>
                <c:pt idx="67">
                  <c:v>0.94085081585081587</c:v>
                </c:pt>
                <c:pt idx="68">
                  <c:v>0.93570318570318578</c:v>
                </c:pt>
                <c:pt idx="69">
                  <c:v>0.94143356643356646</c:v>
                </c:pt>
                <c:pt idx="70">
                  <c:v>0.92045454545454541</c:v>
                </c:pt>
                <c:pt idx="71">
                  <c:v>0.9306526806526807</c:v>
                </c:pt>
                <c:pt idx="72">
                  <c:v>0.94153069153069158</c:v>
                </c:pt>
                <c:pt idx="73">
                  <c:v>0.94114219114219111</c:v>
                </c:pt>
                <c:pt idx="74">
                  <c:v>0.93881118881118886</c:v>
                </c:pt>
                <c:pt idx="75">
                  <c:v>0.94201631701631705</c:v>
                </c:pt>
                <c:pt idx="76">
                  <c:v>0.92453379953379955</c:v>
                </c:pt>
                <c:pt idx="77">
                  <c:v>0.93006993006993011</c:v>
                </c:pt>
                <c:pt idx="78">
                  <c:v>0.93414918414918413</c:v>
                </c:pt>
                <c:pt idx="79">
                  <c:v>0.94230769230769229</c:v>
                </c:pt>
                <c:pt idx="80">
                  <c:v>0.91783216783216781</c:v>
                </c:pt>
                <c:pt idx="81">
                  <c:v>0.93997668997668993</c:v>
                </c:pt>
                <c:pt idx="82">
                  <c:v>0.93958818958818957</c:v>
                </c:pt>
                <c:pt idx="83">
                  <c:v>0.93968531468531469</c:v>
                </c:pt>
                <c:pt idx="84">
                  <c:v>0.94434731934731941</c:v>
                </c:pt>
                <c:pt idx="85">
                  <c:v>0.94085081585081587</c:v>
                </c:pt>
                <c:pt idx="86">
                  <c:v>0.92045454545454541</c:v>
                </c:pt>
                <c:pt idx="87">
                  <c:v>0.93006993006993011</c:v>
                </c:pt>
                <c:pt idx="88">
                  <c:v>0.94551282051282048</c:v>
                </c:pt>
                <c:pt idx="89">
                  <c:v>0.94055944055944063</c:v>
                </c:pt>
                <c:pt idx="90">
                  <c:v>0.91958041958041958</c:v>
                </c:pt>
                <c:pt idx="91">
                  <c:v>0.93822843822843827</c:v>
                </c:pt>
                <c:pt idx="92">
                  <c:v>0.95017482517482521</c:v>
                </c:pt>
                <c:pt idx="93">
                  <c:v>0.93851981351981351</c:v>
                </c:pt>
                <c:pt idx="94">
                  <c:v>0.92249417249417243</c:v>
                </c:pt>
                <c:pt idx="95">
                  <c:v>0.93006993006993011</c:v>
                </c:pt>
                <c:pt idx="96">
                  <c:v>0.94522144522144524</c:v>
                </c:pt>
                <c:pt idx="97">
                  <c:v>0.9364801864801866</c:v>
                </c:pt>
                <c:pt idx="98">
                  <c:v>0.94871794871794868</c:v>
                </c:pt>
                <c:pt idx="99">
                  <c:v>0.94259906759906764</c:v>
                </c:pt>
                <c:pt idx="100">
                  <c:v>0.94405594405594406</c:v>
                </c:pt>
                <c:pt idx="101">
                  <c:v>0.93939393939393945</c:v>
                </c:pt>
                <c:pt idx="102">
                  <c:v>0.94930069930069938</c:v>
                </c:pt>
                <c:pt idx="103">
                  <c:v>0.94085081585081587</c:v>
                </c:pt>
                <c:pt idx="104">
                  <c:v>0.93919968919968921</c:v>
                </c:pt>
                <c:pt idx="105">
                  <c:v>0.93181818181818188</c:v>
                </c:pt>
                <c:pt idx="106">
                  <c:v>0.9222999222999223</c:v>
                </c:pt>
                <c:pt idx="107">
                  <c:v>0.9332750582750583</c:v>
                </c:pt>
                <c:pt idx="108">
                  <c:v>0.92657342657342656</c:v>
                </c:pt>
                <c:pt idx="109">
                  <c:v>0.93968531468531469</c:v>
                </c:pt>
                <c:pt idx="110">
                  <c:v>0.94332750582750591</c:v>
                </c:pt>
                <c:pt idx="111">
                  <c:v>0.94026806526806528</c:v>
                </c:pt>
                <c:pt idx="112">
                  <c:v>0.91870629370629375</c:v>
                </c:pt>
                <c:pt idx="113">
                  <c:v>0.93414918414918424</c:v>
                </c:pt>
                <c:pt idx="114">
                  <c:v>0.94930069930069927</c:v>
                </c:pt>
                <c:pt idx="115">
                  <c:v>0.93939393939393945</c:v>
                </c:pt>
                <c:pt idx="116">
                  <c:v>0.92934149184149184</c:v>
                </c:pt>
                <c:pt idx="117">
                  <c:v>0.93997668997668993</c:v>
                </c:pt>
                <c:pt idx="118">
                  <c:v>0.91987179487179493</c:v>
                </c:pt>
                <c:pt idx="119">
                  <c:v>0.94201631701631705</c:v>
                </c:pt>
                <c:pt idx="120">
                  <c:v>0.94094794094794099</c:v>
                </c:pt>
                <c:pt idx="121">
                  <c:v>0.93997668997668993</c:v>
                </c:pt>
                <c:pt idx="122">
                  <c:v>0.9378399378399378</c:v>
                </c:pt>
                <c:pt idx="123">
                  <c:v>0.93764568764568768</c:v>
                </c:pt>
                <c:pt idx="124">
                  <c:v>0.95017482517482521</c:v>
                </c:pt>
                <c:pt idx="125">
                  <c:v>0.9358974358974359</c:v>
                </c:pt>
                <c:pt idx="126">
                  <c:v>0.91958041958041958</c:v>
                </c:pt>
                <c:pt idx="127">
                  <c:v>0.93997668997669004</c:v>
                </c:pt>
                <c:pt idx="128">
                  <c:v>0.92074592074592065</c:v>
                </c:pt>
                <c:pt idx="129">
                  <c:v>0.93939393939393945</c:v>
                </c:pt>
                <c:pt idx="130">
                  <c:v>0.9184149184149184</c:v>
                </c:pt>
                <c:pt idx="131">
                  <c:v>0.93822843822843827</c:v>
                </c:pt>
                <c:pt idx="132">
                  <c:v>0.92016317016317017</c:v>
                </c:pt>
                <c:pt idx="133">
                  <c:v>0.93968531468531469</c:v>
                </c:pt>
                <c:pt idx="134">
                  <c:v>0.94318181818181812</c:v>
                </c:pt>
                <c:pt idx="135">
                  <c:v>0.9332750582750583</c:v>
                </c:pt>
                <c:pt idx="136">
                  <c:v>0.94900932400932403</c:v>
                </c:pt>
                <c:pt idx="137">
                  <c:v>0.93822843822843827</c:v>
                </c:pt>
                <c:pt idx="138">
                  <c:v>0.94405594405594406</c:v>
                </c:pt>
                <c:pt idx="139">
                  <c:v>0.93822843822843827</c:v>
                </c:pt>
                <c:pt idx="140">
                  <c:v>0.93842268842268839</c:v>
                </c:pt>
                <c:pt idx="141">
                  <c:v>0.93793706293706292</c:v>
                </c:pt>
                <c:pt idx="142">
                  <c:v>0.94201631701631705</c:v>
                </c:pt>
                <c:pt idx="143">
                  <c:v>0.93851981351981362</c:v>
                </c:pt>
                <c:pt idx="144">
                  <c:v>0.95454545454545459</c:v>
                </c:pt>
                <c:pt idx="145">
                  <c:v>0.94085081585081587</c:v>
                </c:pt>
                <c:pt idx="146">
                  <c:v>0.94871794871794868</c:v>
                </c:pt>
                <c:pt idx="147">
                  <c:v>0.9417249417249417</c:v>
                </c:pt>
                <c:pt idx="148">
                  <c:v>0.91812354312354305</c:v>
                </c:pt>
                <c:pt idx="149">
                  <c:v>0.94259906759906764</c:v>
                </c:pt>
                <c:pt idx="150">
                  <c:v>0.9157925407925408</c:v>
                </c:pt>
                <c:pt idx="151">
                  <c:v>0.93735431235431244</c:v>
                </c:pt>
                <c:pt idx="152">
                  <c:v>0.94099650349650354</c:v>
                </c:pt>
                <c:pt idx="153">
                  <c:v>0.9396853146853148</c:v>
                </c:pt>
                <c:pt idx="154">
                  <c:v>0.95454545454545459</c:v>
                </c:pt>
                <c:pt idx="155">
                  <c:v>0.94230769230769229</c:v>
                </c:pt>
                <c:pt idx="156">
                  <c:v>0.93628593628593626</c:v>
                </c:pt>
                <c:pt idx="157">
                  <c:v>0.94230769230769229</c:v>
                </c:pt>
                <c:pt idx="158">
                  <c:v>0.94667832167832167</c:v>
                </c:pt>
                <c:pt idx="159">
                  <c:v>0.93968531468531469</c:v>
                </c:pt>
                <c:pt idx="160">
                  <c:v>0.93861693861693862</c:v>
                </c:pt>
                <c:pt idx="161">
                  <c:v>0.94055944055944063</c:v>
                </c:pt>
                <c:pt idx="162">
                  <c:v>0.91287878787878785</c:v>
                </c:pt>
                <c:pt idx="163">
                  <c:v>0.94172494172494181</c:v>
                </c:pt>
                <c:pt idx="164">
                  <c:v>0.95629370629370636</c:v>
                </c:pt>
                <c:pt idx="165">
                  <c:v>0.94055944055944063</c:v>
                </c:pt>
                <c:pt idx="166">
                  <c:v>0.94609557109557108</c:v>
                </c:pt>
                <c:pt idx="167">
                  <c:v>0.9391025641025641</c:v>
                </c:pt>
                <c:pt idx="168">
                  <c:v>0.91754079254079257</c:v>
                </c:pt>
                <c:pt idx="169">
                  <c:v>0.93997668997669004</c:v>
                </c:pt>
                <c:pt idx="170">
                  <c:v>0.94405594405594406</c:v>
                </c:pt>
                <c:pt idx="171">
                  <c:v>0.93094405594405594</c:v>
                </c:pt>
                <c:pt idx="172">
                  <c:v>0.93764568764568768</c:v>
                </c:pt>
                <c:pt idx="173">
                  <c:v>0.9391025641025641</c:v>
                </c:pt>
                <c:pt idx="174">
                  <c:v>0.91812354312354305</c:v>
                </c:pt>
                <c:pt idx="175">
                  <c:v>0.9396853146853148</c:v>
                </c:pt>
                <c:pt idx="176">
                  <c:v>0.94842657342657344</c:v>
                </c:pt>
                <c:pt idx="177">
                  <c:v>0.94172494172494181</c:v>
                </c:pt>
                <c:pt idx="178">
                  <c:v>0.93842268842268839</c:v>
                </c:pt>
                <c:pt idx="179">
                  <c:v>0.93764568764568768</c:v>
                </c:pt>
                <c:pt idx="180">
                  <c:v>0.91822066822066817</c:v>
                </c:pt>
                <c:pt idx="181">
                  <c:v>0.94026806526806528</c:v>
                </c:pt>
                <c:pt idx="182">
                  <c:v>0.95104895104895104</c:v>
                </c:pt>
                <c:pt idx="183">
                  <c:v>0.93939393939393945</c:v>
                </c:pt>
                <c:pt idx="184">
                  <c:v>0.91860916860916864</c:v>
                </c:pt>
                <c:pt idx="185">
                  <c:v>0.93793706293706292</c:v>
                </c:pt>
                <c:pt idx="186">
                  <c:v>0.94114219114219111</c:v>
                </c:pt>
                <c:pt idx="187">
                  <c:v>0.94172494172494181</c:v>
                </c:pt>
                <c:pt idx="188">
                  <c:v>0.94930069930069927</c:v>
                </c:pt>
                <c:pt idx="189">
                  <c:v>0.93939393939393945</c:v>
                </c:pt>
                <c:pt idx="190">
                  <c:v>0.91958041958041958</c:v>
                </c:pt>
                <c:pt idx="191">
                  <c:v>0.94376456876456882</c:v>
                </c:pt>
                <c:pt idx="192">
                  <c:v>0.94405594405594406</c:v>
                </c:pt>
                <c:pt idx="193">
                  <c:v>0.94405594405594406</c:v>
                </c:pt>
                <c:pt idx="194">
                  <c:v>0.95134032634032639</c:v>
                </c:pt>
                <c:pt idx="195">
                  <c:v>0.94318181818181812</c:v>
                </c:pt>
                <c:pt idx="196">
                  <c:v>0.9391025641025641</c:v>
                </c:pt>
                <c:pt idx="197">
                  <c:v>0.94172494172494181</c:v>
                </c:pt>
                <c:pt idx="198">
                  <c:v>0.94114219114219111</c:v>
                </c:pt>
                <c:pt idx="199">
                  <c:v>0.93677156177156173</c:v>
                </c:pt>
                <c:pt idx="200">
                  <c:v>0.94900932400932403</c:v>
                </c:pt>
                <c:pt idx="201">
                  <c:v>0.93793706293706292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A2-4DD5-8400-FAC0AAEF77E2}"/>
            </c:ext>
          </c:extLst>
        </c:ser>
        <c:ser>
          <c:idx val="2"/>
          <c:order val="2"/>
          <c:tx>
            <c:strRef>
              <c:f>'Cancer doubles final2'!$Z$1</c:f>
              <c:strCache>
                <c:ptCount val="1"/>
                <c:pt idx="0">
                  <c:v>Big MLP acc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'Cancer doubles final2'!$W$2:$W$1662</c:f>
              <c:numCache>
                <c:formatCode>General</c:formatCode>
                <c:ptCount val="202"/>
                <c:pt idx="0">
                  <c:v>15249</c:v>
                </c:pt>
                <c:pt idx="1">
                  <c:v>15249</c:v>
                </c:pt>
                <c:pt idx="2">
                  <c:v>16685</c:v>
                </c:pt>
                <c:pt idx="3">
                  <c:v>16685</c:v>
                </c:pt>
                <c:pt idx="4">
                  <c:v>18185</c:v>
                </c:pt>
                <c:pt idx="5">
                  <c:v>18185</c:v>
                </c:pt>
                <c:pt idx="6">
                  <c:v>19352</c:v>
                </c:pt>
                <c:pt idx="7">
                  <c:v>19352</c:v>
                </c:pt>
                <c:pt idx="8">
                  <c:v>20964</c:v>
                </c:pt>
                <c:pt idx="9">
                  <c:v>20964</c:v>
                </c:pt>
                <c:pt idx="10">
                  <c:v>22215</c:v>
                </c:pt>
                <c:pt idx="11">
                  <c:v>22215</c:v>
                </c:pt>
                <c:pt idx="12">
                  <c:v>23939</c:v>
                </c:pt>
                <c:pt idx="13">
                  <c:v>23939</c:v>
                </c:pt>
                <c:pt idx="14">
                  <c:v>25274</c:v>
                </c:pt>
                <c:pt idx="15">
                  <c:v>25274</c:v>
                </c:pt>
                <c:pt idx="16">
                  <c:v>26645</c:v>
                </c:pt>
                <c:pt idx="17">
                  <c:v>26645</c:v>
                </c:pt>
                <c:pt idx="18">
                  <c:v>28052</c:v>
                </c:pt>
                <c:pt idx="19">
                  <c:v>28052</c:v>
                </c:pt>
                <c:pt idx="20">
                  <c:v>29495</c:v>
                </c:pt>
                <c:pt idx="21">
                  <c:v>29495</c:v>
                </c:pt>
                <c:pt idx="22">
                  <c:v>30974</c:v>
                </c:pt>
                <c:pt idx="23">
                  <c:v>30974</c:v>
                </c:pt>
                <c:pt idx="24">
                  <c:v>31980</c:v>
                </c:pt>
                <c:pt idx="25">
                  <c:v>31980</c:v>
                </c:pt>
                <c:pt idx="26">
                  <c:v>33519</c:v>
                </c:pt>
                <c:pt idx="27">
                  <c:v>33519</c:v>
                </c:pt>
                <c:pt idx="28">
                  <c:v>35094</c:v>
                </c:pt>
                <c:pt idx="29">
                  <c:v>35094</c:v>
                </c:pt>
                <c:pt idx="30">
                  <c:v>36164</c:v>
                </c:pt>
                <c:pt idx="31">
                  <c:v>36164</c:v>
                </c:pt>
                <c:pt idx="32">
                  <c:v>37799</c:v>
                </c:pt>
                <c:pt idx="33">
                  <c:v>37799</c:v>
                </c:pt>
                <c:pt idx="34">
                  <c:v>39470</c:v>
                </c:pt>
                <c:pt idx="35">
                  <c:v>39470</c:v>
                </c:pt>
                <c:pt idx="36">
                  <c:v>40604</c:v>
                </c:pt>
                <c:pt idx="37">
                  <c:v>40604</c:v>
                </c:pt>
                <c:pt idx="38">
                  <c:v>40604</c:v>
                </c:pt>
                <c:pt idx="39">
                  <c:v>40604</c:v>
                </c:pt>
                <c:pt idx="40">
                  <c:v>41754</c:v>
                </c:pt>
                <c:pt idx="41">
                  <c:v>41754</c:v>
                </c:pt>
                <c:pt idx="42">
                  <c:v>42335</c:v>
                </c:pt>
                <c:pt idx="43">
                  <c:v>42335</c:v>
                </c:pt>
                <c:pt idx="44">
                  <c:v>43509</c:v>
                </c:pt>
                <c:pt idx="45">
                  <c:v>43509</c:v>
                </c:pt>
                <c:pt idx="46">
                  <c:v>43509</c:v>
                </c:pt>
                <c:pt idx="47">
                  <c:v>43509</c:v>
                </c:pt>
                <c:pt idx="48">
                  <c:v>43509</c:v>
                </c:pt>
                <c:pt idx="49">
                  <c:v>43509</c:v>
                </c:pt>
                <c:pt idx="50">
                  <c:v>44699</c:v>
                </c:pt>
                <c:pt idx="51">
                  <c:v>44699</c:v>
                </c:pt>
                <c:pt idx="52">
                  <c:v>44699</c:v>
                </c:pt>
                <c:pt idx="53">
                  <c:v>44699</c:v>
                </c:pt>
                <c:pt idx="54">
                  <c:v>45905</c:v>
                </c:pt>
                <c:pt idx="55">
                  <c:v>45905</c:v>
                </c:pt>
                <c:pt idx="56">
                  <c:v>46514</c:v>
                </c:pt>
                <c:pt idx="57">
                  <c:v>46514</c:v>
                </c:pt>
                <c:pt idx="58">
                  <c:v>46514</c:v>
                </c:pt>
                <c:pt idx="59">
                  <c:v>46514</c:v>
                </c:pt>
                <c:pt idx="60">
                  <c:v>47744</c:v>
                </c:pt>
                <c:pt idx="61">
                  <c:v>47744</c:v>
                </c:pt>
                <c:pt idx="62">
                  <c:v>47744</c:v>
                </c:pt>
                <c:pt idx="63">
                  <c:v>47744</c:v>
                </c:pt>
                <c:pt idx="64">
                  <c:v>47744</c:v>
                </c:pt>
                <c:pt idx="65">
                  <c:v>47744</c:v>
                </c:pt>
                <c:pt idx="66">
                  <c:v>48365</c:v>
                </c:pt>
                <c:pt idx="67">
                  <c:v>48365</c:v>
                </c:pt>
                <c:pt idx="68">
                  <c:v>48990</c:v>
                </c:pt>
                <c:pt idx="69">
                  <c:v>48990</c:v>
                </c:pt>
                <c:pt idx="70">
                  <c:v>48990</c:v>
                </c:pt>
                <c:pt idx="71">
                  <c:v>48990</c:v>
                </c:pt>
                <c:pt idx="72">
                  <c:v>48990</c:v>
                </c:pt>
                <c:pt idx="73">
                  <c:v>48990</c:v>
                </c:pt>
                <c:pt idx="74">
                  <c:v>50252</c:v>
                </c:pt>
                <c:pt idx="75">
                  <c:v>50252</c:v>
                </c:pt>
                <c:pt idx="76">
                  <c:v>50252</c:v>
                </c:pt>
                <c:pt idx="77">
                  <c:v>50252</c:v>
                </c:pt>
                <c:pt idx="78">
                  <c:v>50889</c:v>
                </c:pt>
                <c:pt idx="79">
                  <c:v>50889</c:v>
                </c:pt>
                <c:pt idx="80">
                  <c:v>50889</c:v>
                </c:pt>
                <c:pt idx="81">
                  <c:v>50889</c:v>
                </c:pt>
                <c:pt idx="82">
                  <c:v>51530</c:v>
                </c:pt>
                <c:pt idx="83">
                  <c:v>51530</c:v>
                </c:pt>
                <c:pt idx="84">
                  <c:v>52175</c:v>
                </c:pt>
                <c:pt idx="85">
                  <c:v>52175</c:v>
                </c:pt>
                <c:pt idx="86">
                  <c:v>52175</c:v>
                </c:pt>
                <c:pt idx="87">
                  <c:v>52175</c:v>
                </c:pt>
                <c:pt idx="88">
                  <c:v>52175</c:v>
                </c:pt>
                <c:pt idx="89">
                  <c:v>52175</c:v>
                </c:pt>
                <c:pt idx="90">
                  <c:v>52175</c:v>
                </c:pt>
                <c:pt idx="91">
                  <c:v>52175</c:v>
                </c:pt>
                <c:pt idx="92">
                  <c:v>52824</c:v>
                </c:pt>
                <c:pt idx="93">
                  <c:v>52824</c:v>
                </c:pt>
                <c:pt idx="94">
                  <c:v>53477</c:v>
                </c:pt>
                <c:pt idx="95">
                  <c:v>53477</c:v>
                </c:pt>
                <c:pt idx="96">
                  <c:v>53477</c:v>
                </c:pt>
                <c:pt idx="97">
                  <c:v>53477</c:v>
                </c:pt>
                <c:pt idx="98">
                  <c:v>53477</c:v>
                </c:pt>
                <c:pt idx="99">
                  <c:v>53477</c:v>
                </c:pt>
                <c:pt idx="100">
                  <c:v>54134</c:v>
                </c:pt>
                <c:pt idx="101">
                  <c:v>54134</c:v>
                </c:pt>
                <c:pt idx="102">
                  <c:v>54795</c:v>
                </c:pt>
                <c:pt idx="103">
                  <c:v>54795</c:v>
                </c:pt>
                <c:pt idx="104">
                  <c:v>54795</c:v>
                </c:pt>
                <c:pt idx="105">
                  <c:v>54795</c:v>
                </c:pt>
                <c:pt idx="106">
                  <c:v>55460</c:v>
                </c:pt>
                <c:pt idx="107">
                  <c:v>55460</c:v>
                </c:pt>
                <c:pt idx="108">
                  <c:v>55460</c:v>
                </c:pt>
                <c:pt idx="109">
                  <c:v>55460</c:v>
                </c:pt>
                <c:pt idx="110">
                  <c:v>55460</c:v>
                </c:pt>
                <c:pt idx="111">
                  <c:v>55460</c:v>
                </c:pt>
                <c:pt idx="112">
                  <c:v>56129</c:v>
                </c:pt>
                <c:pt idx="113">
                  <c:v>56129</c:v>
                </c:pt>
                <c:pt idx="114">
                  <c:v>56802</c:v>
                </c:pt>
                <c:pt idx="115">
                  <c:v>56802</c:v>
                </c:pt>
                <c:pt idx="116">
                  <c:v>56802</c:v>
                </c:pt>
                <c:pt idx="117">
                  <c:v>56802</c:v>
                </c:pt>
                <c:pt idx="118">
                  <c:v>56802</c:v>
                </c:pt>
                <c:pt idx="119">
                  <c:v>56802</c:v>
                </c:pt>
                <c:pt idx="120">
                  <c:v>56802</c:v>
                </c:pt>
                <c:pt idx="121">
                  <c:v>56802</c:v>
                </c:pt>
                <c:pt idx="122">
                  <c:v>57479</c:v>
                </c:pt>
                <c:pt idx="123">
                  <c:v>57479</c:v>
                </c:pt>
                <c:pt idx="124">
                  <c:v>58160</c:v>
                </c:pt>
                <c:pt idx="125">
                  <c:v>58160</c:v>
                </c:pt>
                <c:pt idx="126">
                  <c:v>58160</c:v>
                </c:pt>
                <c:pt idx="127">
                  <c:v>58160</c:v>
                </c:pt>
                <c:pt idx="128">
                  <c:v>58845</c:v>
                </c:pt>
                <c:pt idx="129">
                  <c:v>58845</c:v>
                </c:pt>
                <c:pt idx="130">
                  <c:v>58845</c:v>
                </c:pt>
                <c:pt idx="131">
                  <c:v>58845</c:v>
                </c:pt>
                <c:pt idx="132">
                  <c:v>58845</c:v>
                </c:pt>
                <c:pt idx="133">
                  <c:v>58845</c:v>
                </c:pt>
                <c:pt idx="134">
                  <c:v>59534</c:v>
                </c:pt>
                <c:pt idx="135">
                  <c:v>59534</c:v>
                </c:pt>
                <c:pt idx="136">
                  <c:v>60227</c:v>
                </c:pt>
                <c:pt idx="137">
                  <c:v>60227</c:v>
                </c:pt>
                <c:pt idx="138">
                  <c:v>60227</c:v>
                </c:pt>
                <c:pt idx="139">
                  <c:v>60227</c:v>
                </c:pt>
                <c:pt idx="140">
                  <c:v>60227</c:v>
                </c:pt>
                <c:pt idx="141">
                  <c:v>60227</c:v>
                </c:pt>
                <c:pt idx="142">
                  <c:v>60227</c:v>
                </c:pt>
                <c:pt idx="143">
                  <c:v>60227</c:v>
                </c:pt>
                <c:pt idx="144">
                  <c:v>60924</c:v>
                </c:pt>
                <c:pt idx="145">
                  <c:v>60924</c:v>
                </c:pt>
                <c:pt idx="146">
                  <c:v>61625</c:v>
                </c:pt>
                <c:pt idx="147">
                  <c:v>61625</c:v>
                </c:pt>
                <c:pt idx="148">
                  <c:v>61625</c:v>
                </c:pt>
                <c:pt idx="149">
                  <c:v>61625</c:v>
                </c:pt>
                <c:pt idx="150">
                  <c:v>61625</c:v>
                </c:pt>
                <c:pt idx="151">
                  <c:v>61625</c:v>
                </c:pt>
                <c:pt idx="152">
                  <c:v>61625</c:v>
                </c:pt>
                <c:pt idx="153">
                  <c:v>61625</c:v>
                </c:pt>
                <c:pt idx="154">
                  <c:v>63039</c:v>
                </c:pt>
                <c:pt idx="155">
                  <c:v>63039</c:v>
                </c:pt>
                <c:pt idx="156">
                  <c:v>63039</c:v>
                </c:pt>
                <c:pt idx="157">
                  <c:v>63039</c:v>
                </c:pt>
                <c:pt idx="158">
                  <c:v>63752</c:v>
                </c:pt>
                <c:pt idx="159">
                  <c:v>63752</c:v>
                </c:pt>
                <c:pt idx="160">
                  <c:v>63752</c:v>
                </c:pt>
                <c:pt idx="161">
                  <c:v>63752</c:v>
                </c:pt>
                <c:pt idx="162">
                  <c:v>64469</c:v>
                </c:pt>
                <c:pt idx="163">
                  <c:v>64469</c:v>
                </c:pt>
                <c:pt idx="164">
                  <c:v>65190</c:v>
                </c:pt>
                <c:pt idx="165">
                  <c:v>65190</c:v>
                </c:pt>
                <c:pt idx="166">
                  <c:v>65190</c:v>
                </c:pt>
                <c:pt idx="167">
                  <c:v>65190</c:v>
                </c:pt>
                <c:pt idx="168">
                  <c:v>65190</c:v>
                </c:pt>
                <c:pt idx="169">
                  <c:v>65190</c:v>
                </c:pt>
                <c:pt idx="170">
                  <c:v>65915</c:v>
                </c:pt>
                <c:pt idx="171">
                  <c:v>65915</c:v>
                </c:pt>
                <c:pt idx="172">
                  <c:v>66644</c:v>
                </c:pt>
                <c:pt idx="173">
                  <c:v>66644</c:v>
                </c:pt>
                <c:pt idx="174">
                  <c:v>66644</c:v>
                </c:pt>
                <c:pt idx="175">
                  <c:v>66644</c:v>
                </c:pt>
                <c:pt idx="176">
                  <c:v>67377</c:v>
                </c:pt>
                <c:pt idx="177">
                  <c:v>67377</c:v>
                </c:pt>
                <c:pt idx="178">
                  <c:v>68114</c:v>
                </c:pt>
                <c:pt idx="179">
                  <c:v>68114</c:v>
                </c:pt>
                <c:pt idx="180">
                  <c:v>68855</c:v>
                </c:pt>
                <c:pt idx="181">
                  <c:v>68855</c:v>
                </c:pt>
                <c:pt idx="182">
                  <c:v>68855</c:v>
                </c:pt>
                <c:pt idx="183">
                  <c:v>68855</c:v>
                </c:pt>
                <c:pt idx="184">
                  <c:v>69600</c:v>
                </c:pt>
                <c:pt idx="185">
                  <c:v>69600</c:v>
                </c:pt>
                <c:pt idx="186">
                  <c:v>70349</c:v>
                </c:pt>
                <c:pt idx="187">
                  <c:v>70349</c:v>
                </c:pt>
                <c:pt idx="188">
                  <c:v>70349</c:v>
                </c:pt>
                <c:pt idx="189">
                  <c:v>70349</c:v>
                </c:pt>
                <c:pt idx="190">
                  <c:v>71859</c:v>
                </c:pt>
                <c:pt idx="191">
                  <c:v>71859</c:v>
                </c:pt>
                <c:pt idx="192">
                  <c:v>72620</c:v>
                </c:pt>
                <c:pt idx="193">
                  <c:v>72620</c:v>
                </c:pt>
                <c:pt idx="194">
                  <c:v>73385</c:v>
                </c:pt>
                <c:pt idx="195">
                  <c:v>73385</c:v>
                </c:pt>
                <c:pt idx="196">
                  <c:v>74154</c:v>
                </c:pt>
                <c:pt idx="197">
                  <c:v>74154</c:v>
                </c:pt>
                <c:pt idx="198">
                  <c:v>75704</c:v>
                </c:pt>
                <c:pt idx="199">
                  <c:v>75704</c:v>
                </c:pt>
                <c:pt idx="200">
                  <c:v>77270</c:v>
                </c:pt>
                <c:pt idx="201">
                  <c:v>77270</c:v>
                </c:pt>
              </c:numCache>
            </c:numRef>
          </c:xVal>
          <c:yVal>
            <c:numRef>
              <c:f>'Cancer doubles final2'!$Z$2:$Z$1662</c:f>
              <c:numCache>
                <c:formatCode>General</c:formatCode>
                <c:ptCount val="202"/>
                <c:pt idx="0">
                  <c:v>0.94852369852369856</c:v>
                </c:pt>
                <c:pt idx="1">
                  <c:v>0.92832167832167833</c:v>
                </c:pt>
                <c:pt idx="2">
                  <c:v>0.93502331002331007</c:v>
                </c:pt>
                <c:pt idx="3">
                  <c:v>0.92890442890442892</c:v>
                </c:pt>
                <c:pt idx="4">
                  <c:v>0.94055944055944052</c:v>
                </c:pt>
                <c:pt idx="5">
                  <c:v>0.92861305361305368</c:v>
                </c:pt>
                <c:pt idx="6">
                  <c:v>0.92307692307692302</c:v>
                </c:pt>
                <c:pt idx="7">
                  <c:v>0.9306526806526807</c:v>
                </c:pt>
                <c:pt idx="8">
                  <c:v>0.92074592074592077</c:v>
                </c:pt>
                <c:pt idx="9">
                  <c:v>0.93414918414918424</c:v>
                </c:pt>
                <c:pt idx="10">
                  <c:v>0.95425407925407923</c:v>
                </c:pt>
                <c:pt idx="11">
                  <c:v>0.93298368298368295</c:v>
                </c:pt>
                <c:pt idx="12">
                  <c:v>0.94318181818181812</c:v>
                </c:pt>
                <c:pt idx="13">
                  <c:v>0.9306526806526807</c:v>
                </c:pt>
                <c:pt idx="14">
                  <c:v>0.91996891996891994</c:v>
                </c:pt>
                <c:pt idx="15">
                  <c:v>0.92861305361305368</c:v>
                </c:pt>
                <c:pt idx="16">
                  <c:v>0.94522144522144524</c:v>
                </c:pt>
                <c:pt idx="17">
                  <c:v>0.92832167832167833</c:v>
                </c:pt>
                <c:pt idx="18">
                  <c:v>0.9456099456099456</c:v>
                </c:pt>
                <c:pt idx="19">
                  <c:v>0.92569930069930073</c:v>
                </c:pt>
                <c:pt idx="20">
                  <c:v>0.94463869463869465</c:v>
                </c:pt>
                <c:pt idx="21">
                  <c:v>0.92482517482517479</c:v>
                </c:pt>
                <c:pt idx="22">
                  <c:v>0.94813519813519809</c:v>
                </c:pt>
                <c:pt idx="23">
                  <c:v>0.92977855477855487</c:v>
                </c:pt>
                <c:pt idx="24">
                  <c:v>0.94871794871794868</c:v>
                </c:pt>
                <c:pt idx="25">
                  <c:v>0.93210955710955723</c:v>
                </c:pt>
                <c:pt idx="26">
                  <c:v>0.92992424242424243</c:v>
                </c:pt>
                <c:pt idx="27">
                  <c:v>0.93210955710955712</c:v>
                </c:pt>
                <c:pt idx="28">
                  <c:v>0.94774669774669773</c:v>
                </c:pt>
                <c:pt idx="29">
                  <c:v>0.93298368298368306</c:v>
                </c:pt>
                <c:pt idx="30">
                  <c:v>0.93958818958818957</c:v>
                </c:pt>
                <c:pt idx="31">
                  <c:v>0.93269230769230771</c:v>
                </c:pt>
                <c:pt idx="32">
                  <c:v>0.9442501942501943</c:v>
                </c:pt>
                <c:pt idx="33">
                  <c:v>0.93210955710955712</c:v>
                </c:pt>
                <c:pt idx="34">
                  <c:v>0.92152292152292159</c:v>
                </c:pt>
                <c:pt idx="35">
                  <c:v>0.9332750582750583</c:v>
                </c:pt>
                <c:pt idx="36">
                  <c:v>0.94269619269619276</c:v>
                </c:pt>
                <c:pt idx="37">
                  <c:v>0.93210955710955712</c:v>
                </c:pt>
                <c:pt idx="38">
                  <c:v>0.92191142191142195</c:v>
                </c:pt>
                <c:pt idx="39">
                  <c:v>0.94667832167832167</c:v>
                </c:pt>
                <c:pt idx="40">
                  <c:v>0.9242424242424242</c:v>
                </c:pt>
                <c:pt idx="41">
                  <c:v>0.93210955710955723</c:v>
                </c:pt>
                <c:pt idx="42">
                  <c:v>0.94930069930069927</c:v>
                </c:pt>
                <c:pt idx="43">
                  <c:v>0.92278554778554778</c:v>
                </c:pt>
                <c:pt idx="44">
                  <c:v>0.94696969696969702</c:v>
                </c:pt>
                <c:pt idx="45">
                  <c:v>0.93735431235431244</c:v>
                </c:pt>
                <c:pt idx="46">
                  <c:v>0.94638694638694632</c:v>
                </c:pt>
                <c:pt idx="47">
                  <c:v>0.93123543123543118</c:v>
                </c:pt>
                <c:pt idx="48">
                  <c:v>0.94580419580419584</c:v>
                </c:pt>
                <c:pt idx="49">
                  <c:v>0.93414918414918413</c:v>
                </c:pt>
                <c:pt idx="50">
                  <c:v>0.94201631701631705</c:v>
                </c:pt>
                <c:pt idx="51">
                  <c:v>0.93851981351981351</c:v>
                </c:pt>
                <c:pt idx="52">
                  <c:v>0.91870629370629375</c:v>
                </c:pt>
                <c:pt idx="53">
                  <c:v>0.92948717948717952</c:v>
                </c:pt>
                <c:pt idx="54">
                  <c:v>0.94114219114219122</c:v>
                </c:pt>
                <c:pt idx="55">
                  <c:v>0.94114219114219122</c:v>
                </c:pt>
                <c:pt idx="56">
                  <c:v>0.93900543900543909</c:v>
                </c:pt>
                <c:pt idx="57">
                  <c:v>0.93648018648018649</c:v>
                </c:pt>
                <c:pt idx="58">
                  <c:v>0.92074592074592077</c:v>
                </c:pt>
                <c:pt idx="59">
                  <c:v>0.9274475524475525</c:v>
                </c:pt>
                <c:pt idx="60">
                  <c:v>0.93881118881118886</c:v>
                </c:pt>
                <c:pt idx="61">
                  <c:v>0.9417249417249417</c:v>
                </c:pt>
                <c:pt idx="62">
                  <c:v>0.94658119658119666</c:v>
                </c:pt>
                <c:pt idx="63">
                  <c:v>0.91958041958041958</c:v>
                </c:pt>
                <c:pt idx="64">
                  <c:v>0.9443473193473193</c:v>
                </c:pt>
                <c:pt idx="65">
                  <c:v>0.94026806526806528</c:v>
                </c:pt>
                <c:pt idx="66">
                  <c:v>0.9396853146853148</c:v>
                </c:pt>
                <c:pt idx="67">
                  <c:v>0.93997668997669004</c:v>
                </c:pt>
                <c:pt idx="68">
                  <c:v>0.93278943278943283</c:v>
                </c:pt>
                <c:pt idx="69">
                  <c:v>0.93822843822843827</c:v>
                </c:pt>
                <c:pt idx="70">
                  <c:v>0.91870629370629375</c:v>
                </c:pt>
                <c:pt idx="71">
                  <c:v>0.93036130536130535</c:v>
                </c:pt>
                <c:pt idx="72">
                  <c:v>0.9442501942501943</c:v>
                </c:pt>
                <c:pt idx="73">
                  <c:v>0.93793706293706292</c:v>
                </c:pt>
                <c:pt idx="74">
                  <c:v>0.9396853146853148</c:v>
                </c:pt>
                <c:pt idx="75">
                  <c:v>0.94026806526806528</c:v>
                </c:pt>
                <c:pt idx="76">
                  <c:v>0.91987179487179482</c:v>
                </c:pt>
                <c:pt idx="77">
                  <c:v>0.93210955710955712</c:v>
                </c:pt>
                <c:pt idx="78">
                  <c:v>0.92803030303030298</c:v>
                </c:pt>
                <c:pt idx="79">
                  <c:v>0.93881118881118875</c:v>
                </c:pt>
                <c:pt idx="80">
                  <c:v>0.91113053613053618</c:v>
                </c:pt>
                <c:pt idx="81">
                  <c:v>0.93881118881118875</c:v>
                </c:pt>
                <c:pt idx="82">
                  <c:v>0.93997668997668993</c:v>
                </c:pt>
                <c:pt idx="83">
                  <c:v>0.93735431235431244</c:v>
                </c:pt>
                <c:pt idx="84">
                  <c:v>0.94522144522144524</c:v>
                </c:pt>
                <c:pt idx="85">
                  <c:v>0.9391025641025641</c:v>
                </c:pt>
                <c:pt idx="86">
                  <c:v>0.92307692307692313</c:v>
                </c:pt>
                <c:pt idx="87">
                  <c:v>0.93123543123543129</c:v>
                </c:pt>
                <c:pt idx="88">
                  <c:v>0.94303613053613056</c:v>
                </c:pt>
                <c:pt idx="89">
                  <c:v>0.93648018648018649</c:v>
                </c:pt>
                <c:pt idx="90">
                  <c:v>0.91142191142191142</c:v>
                </c:pt>
                <c:pt idx="91">
                  <c:v>0.93881118881118886</c:v>
                </c:pt>
                <c:pt idx="92">
                  <c:v>0.94522144522144524</c:v>
                </c:pt>
                <c:pt idx="93">
                  <c:v>0.93764568764568768</c:v>
                </c:pt>
                <c:pt idx="94">
                  <c:v>0.9242424242424242</c:v>
                </c:pt>
                <c:pt idx="95">
                  <c:v>0.93094405594405605</c:v>
                </c:pt>
                <c:pt idx="96">
                  <c:v>0.94667832167832167</c:v>
                </c:pt>
                <c:pt idx="97">
                  <c:v>0.93531468531468531</c:v>
                </c:pt>
                <c:pt idx="98">
                  <c:v>0.94347319347319347</c:v>
                </c:pt>
                <c:pt idx="99">
                  <c:v>0.94143356643356646</c:v>
                </c:pt>
                <c:pt idx="100">
                  <c:v>0.94376456876456882</c:v>
                </c:pt>
                <c:pt idx="101">
                  <c:v>0.9391025641025641</c:v>
                </c:pt>
                <c:pt idx="102">
                  <c:v>0.94551282051282048</c:v>
                </c:pt>
                <c:pt idx="103">
                  <c:v>0.93939393939393945</c:v>
                </c:pt>
                <c:pt idx="104">
                  <c:v>0.94133644133644134</c:v>
                </c:pt>
                <c:pt idx="105">
                  <c:v>0.93385780885780889</c:v>
                </c:pt>
                <c:pt idx="106">
                  <c:v>0.92152292152292159</c:v>
                </c:pt>
                <c:pt idx="107">
                  <c:v>0.92890442890442881</c:v>
                </c:pt>
                <c:pt idx="108">
                  <c:v>0.92715617715617715</c:v>
                </c:pt>
                <c:pt idx="109">
                  <c:v>0.94085081585081587</c:v>
                </c:pt>
                <c:pt idx="110">
                  <c:v>0.94449300699300698</c:v>
                </c:pt>
                <c:pt idx="111">
                  <c:v>0.94026806526806528</c:v>
                </c:pt>
                <c:pt idx="112">
                  <c:v>0.91346153846153844</c:v>
                </c:pt>
                <c:pt idx="113">
                  <c:v>0.93706293706293708</c:v>
                </c:pt>
                <c:pt idx="114">
                  <c:v>0.94493006993007</c:v>
                </c:pt>
                <c:pt idx="115">
                  <c:v>0.94259906759906764</c:v>
                </c:pt>
                <c:pt idx="116">
                  <c:v>0.9306526806526807</c:v>
                </c:pt>
                <c:pt idx="117">
                  <c:v>0.94318181818181812</c:v>
                </c:pt>
                <c:pt idx="118">
                  <c:v>0.91899766899766899</c:v>
                </c:pt>
                <c:pt idx="119">
                  <c:v>0.94055944055944063</c:v>
                </c:pt>
                <c:pt idx="120">
                  <c:v>0.94211344211344217</c:v>
                </c:pt>
                <c:pt idx="121">
                  <c:v>0.94055944055944063</c:v>
                </c:pt>
                <c:pt idx="122">
                  <c:v>0.93667443667443673</c:v>
                </c:pt>
                <c:pt idx="123">
                  <c:v>0.94114219114219111</c:v>
                </c:pt>
                <c:pt idx="124">
                  <c:v>0.9443473193473193</c:v>
                </c:pt>
                <c:pt idx="125">
                  <c:v>0.94376456876456882</c:v>
                </c:pt>
                <c:pt idx="126">
                  <c:v>0.91928904428904434</c:v>
                </c:pt>
                <c:pt idx="127">
                  <c:v>0.94114219114219111</c:v>
                </c:pt>
                <c:pt idx="128">
                  <c:v>0.9184149184149184</c:v>
                </c:pt>
                <c:pt idx="129">
                  <c:v>0.94259906759906764</c:v>
                </c:pt>
                <c:pt idx="130">
                  <c:v>0.91783216783216792</c:v>
                </c:pt>
                <c:pt idx="131">
                  <c:v>0.94172494172494181</c:v>
                </c:pt>
                <c:pt idx="132">
                  <c:v>0.92074592074592077</c:v>
                </c:pt>
                <c:pt idx="133">
                  <c:v>0.94230769230769229</c:v>
                </c:pt>
                <c:pt idx="134">
                  <c:v>0.94055944055944063</c:v>
                </c:pt>
                <c:pt idx="135">
                  <c:v>0.93356643356643365</c:v>
                </c:pt>
                <c:pt idx="136">
                  <c:v>0.94405594405594417</c:v>
                </c:pt>
                <c:pt idx="137">
                  <c:v>0.94114219114219122</c:v>
                </c:pt>
                <c:pt idx="138">
                  <c:v>0.94114219114219111</c:v>
                </c:pt>
                <c:pt idx="139">
                  <c:v>0.94055944055944063</c:v>
                </c:pt>
                <c:pt idx="140">
                  <c:v>0.93745143745143744</c:v>
                </c:pt>
                <c:pt idx="141">
                  <c:v>0.93910256410256421</c:v>
                </c:pt>
                <c:pt idx="142">
                  <c:v>0.93997668997669004</c:v>
                </c:pt>
                <c:pt idx="143">
                  <c:v>0.93881118881118875</c:v>
                </c:pt>
                <c:pt idx="144">
                  <c:v>0.95192307692307698</c:v>
                </c:pt>
                <c:pt idx="145">
                  <c:v>0.93618881118881125</c:v>
                </c:pt>
                <c:pt idx="146">
                  <c:v>0.9443473193473193</c:v>
                </c:pt>
                <c:pt idx="147">
                  <c:v>0.9364801864801866</c:v>
                </c:pt>
                <c:pt idx="148">
                  <c:v>0.91491841491841497</c:v>
                </c:pt>
                <c:pt idx="149">
                  <c:v>0.93764568764568768</c:v>
                </c:pt>
                <c:pt idx="150">
                  <c:v>0.91550116550116556</c:v>
                </c:pt>
                <c:pt idx="151">
                  <c:v>0.93648018648018649</c:v>
                </c:pt>
                <c:pt idx="152">
                  <c:v>0.9391025641025641</c:v>
                </c:pt>
                <c:pt idx="153">
                  <c:v>0.93764568764568768</c:v>
                </c:pt>
                <c:pt idx="154">
                  <c:v>0.95192307692307687</c:v>
                </c:pt>
                <c:pt idx="155">
                  <c:v>0.93851981351981351</c:v>
                </c:pt>
                <c:pt idx="156">
                  <c:v>0.93220668220668224</c:v>
                </c:pt>
                <c:pt idx="157">
                  <c:v>0.93881118881118875</c:v>
                </c:pt>
                <c:pt idx="158">
                  <c:v>0.94667832167832167</c:v>
                </c:pt>
                <c:pt idx="159">
                  <c:v>0.9358974358974359</c:v>
                </c:pt>
                <c:pt idx="160">
                  <c:v>0.93686868686868696</c:v>
                </c:pt>
                <c:pt idx="161">
                  <c:v>0.93997668997668993</c:v>
                </c:pt>
                <c:pt idx="162">
                  <c:v>0.9184149184149184</c:v>
                </c:pt>
                <c:pt idx="163">
                  <c:v>0.93997668997668993</c:v>
                </c:pt>
                <c:pt idx="164">
                  <c:v>0.95075757575757569</c:v>
                </c:pt>
                <c:pt idx="165">
                  <c:v>0.9391025641025641</c:v>
                </c:pt>
                <c:pt idx="166">
                  <c:v>0.94900932400932403</c:v>
                </c:pt>
                <c:pt idx="167">
                  <c:v>0.93851981351981351</c:v>
                </c:pt>
                <c:pt idx="168">
                  <c:v>0.91958041958041958</c:v>
                </c:pt>
                <c:pt idx="169">
                  <c:v>0.93939393939393945</c:v>
                </c:pt>
                <c:pt idx="170">
                  <c:v>0.94318181818181812</c:v>
                </c:pt>
                <c:pt idx="171">
                  <c:v>0.93123543123543118</c:v>
                </c:pt>
                <c:pt idx="172">
                  <c:v>0.93706293706293708</c:v>
                </c:pt>
                <c:pt idx="173">
                  <c:v>0.93764568764568768</c:v>
                </c:pt>
                <c:pt idx="174">
                  <c:v>0.91695804195804198</c:v>
                </c:pt>
                <c:pt idx="175">
                  <c:v>0.94085081585081587</c:v>
                </c:pt>
                <c:pt idx="176">
                  <c:v>0.94959207459207462</c:v>
                </c:pt>
                <c:pt idx="177">
                  <c:v>0.94201631701631705</c:v>
                </c:pt>
                <c:pt idx="178">
                  <c:v>0.93997668997668993</c:v>
                </c:pt>
                <c:pt idx="179">
                  <c:v>0.93793706293706292</c:v>
                </c:pt>
                <c:pt idx="180">
                  <c:v>0.91996891996891994</c:v>
                </c:pt>
                <c:pt idx="181">
                  <c:v>0.94259906759906764</c:v>
                </c:pt>
                <c:pt idx="182">
                  <c:v>0.94609557109557108</c:v>
                </c:pt>
                <c:pt idx="183">
                  <c:v>0.94347319347319347</c:v>
                </c:pt>
                <c:pt idx="184">
                  <c:v>0.91899766899766899</c:v>
                </c:pt>
                <c:pt idx="185">
                  <c:v>0.93793706293706303</c:v>
                </c:pt>
                <c:pt idx="186">
                  <c:v>0.94361888111888115</c:v>
                </c:pt>
                <c:pt idx="187">
                  <c:v>0.94143356643356646</c:v>
                </c:pt>
                <c:pt idx="188">
                  <c:v>0.94289044289044299</c:v>
                </c:pt>
                <c:pt idx="189">
                  <c:v>0.9417249417249417</c:v>
                </c:pt>
                <c:pt idx="190">
                  <c:v>0.92074592074592077</c:v>
                </c:pt>
                <c:pt idx="191">
                  <c:v>0.93881118881118875</c:v>
                </c:pt>
                <c:pt idx="192">
                  <c:v>0.94522144522144524</c:v>
                </c:pt>
                <c:pt idx="193">
                  <c:v>0.93822843822843827</c:v>
                </c:pt>
                <c:pt idx="194">
                  <c:v>0.9560023310023309</c:v>
                </c:pt>
                <c:pt idx="195">
                  <c:v>0.93618881118881125</c:v>
                </c:pt>
                <c:pt idx="196">
                  <c:v>0.94667832167832167</c:v>
                </c:pt>
                <c:pt idx="197">
                  <c:v>0.93822843822843827</c:v>
                </c:pt>
                <c:pt idx="198">
                  <c:v>0.94318181818181812</c:v>
                </c:pt>
                <c:pt idx="199">
                  <c:v>0.93939393939393945</c:v>
                </c:pt>
                <c:pt idx="200">
                  <c:v>0.94580419580419584</c:v>
                </c:pt>
                <c:pt idx="201">
                  <c:v>0.93939393939393945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A2-4DD5-8400-FAC0AAEF7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722272"/>
        <c:axId val="237732832"/>
      </c:scatterChart>
      <c:valAx>
        <c:axId val="237722272"/>
        <c:scaling>
          <c:orientation val="minMax"/>
          <c:max val="61000"/>
          <c:min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37732832"/>
        <c:crosses val="autoZero"/>
        <c:crossBetween val="midCat"/>
      </c:valAx>
      <c:valAx>
        <c:axId val="237732832"/>
        <c:scaling>
          <c:orientation val="minMax"/>
          <c:max val="1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37722272"/>
        <c:crosses val="autoZero"/>
        <c:crossBetween val="midCat"/>
        <c:majorUnit val="5.000000000000001E-2"/>
        <c:minorUnit val="1.0000000000000002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'Digits pres final'!$X$1</c:f>
              <c:strCache>
                <c:ptCount val="1"/>
                <c:pt idx="0">
                  <c:v>Kan Acc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'Digits pres final'!$W$2:$W$461</c:f>
              <c:numCache>
                <c:formatCode>General</c:formatCode>
                <c:ptCount val="70"/>
                <c:pt idx="0">
                  <c:v>35578</c:v>
                </c:pt>
                <c:pt idx="1">
                  <c:v>37060</c:v>
                </c:pt>
                <c:pt idx="2">
                  <c:v>38542</c:v>
                </c:pt>
                <c:pt idx="3">
                  <c:v>40024</c:v>
                </c:pt>
                <c:pt idx="4">
                  <c:v>41506</c:v>
                </c:pt>
                <c:pt idx="5">
                  <c:v>42988</c:v>
                </c:pt>
                <c:pt idx="6">
                  <c:v>44470</c:v>
                </c:pt>
                <c:pt idx="7">
                  <c:v>45952</c:v>
                </c:pt>
                <c:pt idx="8">
                  <c:v>47434</c:v>
                </c:pt>
                <c:pt idx="9">
                  <c:v>48916</c:v>
                </c:pt>
                <c:pt idx="10">
                  <c:v>50398</c:v>
                </c:pt>
                <c:pt idx="11">
                  <c:v>51880</c:v>
                </c:pt>
                <c:pt idx="12">
                  <c:v>53362</c:v>
                </c:pt>
                <c:pt idx="13">
                  <c:v>54844</c:v>
                </c:pt>
                <c:pt idx="14">
                  <c:v>56326</c:v>
                </c:pt>
                <c:pt idx="15">
                  <c:v>57808</c:v>
                </c:pt>
                <c:pt idx="16">
                  <c:v>59290</c:v>
                </c:pt>
                <c:pt idx="17">
                  <c:v>60772</c:v>
                </c:pt>
                <c:pt idx="18">
                  <c:v>62254</c:v>
                </c:pt>
                <c:pt idx="19">
                  <c:v>63736</c:v>
                </c:pt>
                <c:pt idx="20">
                  <c:v>65218</c:v>
                </c:pt>
                <c:pt idx="21">
                  <c:v>66700</c:v>
                </c:pt>
                <c:pt idx="22">
                  <c:v>68182</c:v>
                </c:pt>
                <c:pt idx="23">
                  <c:v>69664</c:v>
                </c:pt>
                <c:pt idx="24">
                  <c:v>71146</c:v>
                </c:pt>
                <c:pt idx="25">
                  <c:v>72628</c:v>
                </c:pt>
                <c:pt idx="26">
                  <c:v>74110</c:v>
                </c:pt>
                <c:pt idx="27">
                  <c:v>75592</c:v>
                </c:pt>
                <c:pt idx="28">
                  <c:v>77074</c:v>
                </c:pt>
                <c:pt idx="29">
                  <c:v>78556</c:v>
                </c:pt>
                <c:pt idx="30">
                  <c:v>80038</c:v>
                </c:pt>
                <c:pt idx="31">
                  <c:v>81520</c:v>
                </c:pt>
                <c:pt idx="32">
                  <c:v>83002</c:v>
                </c:pt>
                <c:pt idx="33">
                  <c:v>84484</c:v>
                </c:pt>
                <c:pt idx="34">
                  <c:v>85966</c:v>
                </c:pt>
                <c:pt idx="35">
                  <c:v>87448</c:v>
                </c:pt>
                <c:pt idx="36">
                  <c:v>88458</c:v>
                </c:pt>
                <c:pt idx="37">
                  <c:v>88930</c:v>
                </c:pt>
                <c:pt idx="38">
                  <c:v>89940</c:v>
                </c:pt>
                <c:pt idx="39">
                  <c:v>90412</c:v>
                </c:pt>
                <c:pt idx="40">
                  <c:v>91422</c:v>
                </c:pt>
                <c:pt idx="41">
                  <c:v>91894</c:v>
                </c:pt>
                <c:pt idx="42">
                  <c:v>92904</c:v>
                </c:pt>
                <c:pt idx="43">
                  <c:v>93376</c:v>
                </c:pt>
                <c:pt idx="44">
                  <c:v>94386</c:v>
                </c:pt>
                <c:pt idx="45">
                  <c:v>94858</c:v>
                </c:pt>
                <c:pt idx="46">
                  <c:v>95868</c:v>
                </c:pt>
                <c:pt idx="47">
                  <c:v>96340</c:v>
                </c:pt>
                <c:pt idx="48">
                  <c:v>97350</c:v>
                </c:pt>
                <c:pt idx="49">
                  <c:v>98832</c:v>
                </c:pt>
                <c:pt idx="50">
                  <c:v>100314</c:v>
                </c:pt>
                <c:pt idx="51">
                  <c:v>101796</c:v>
                </c:pt>
                <c:pt idx="52">
                  <c:v>103278</c:v>
                </c:pt>
                <c:pt idx="53">
                  <c:v>104760</c:v>
                </c:pt>
                <c:pt idx="54">
                  <c:v>106242</c:v>
                </c:pt>
                <c:pt idx="55">
                  <c:v>107724</c:v>
                </c:pt>
                <c:pt idx="56">
                  <c:v>109206</c:v>
                </c:pt>
                <c:pt idx="57">
                  <c:v>110688</c:v>
                </c:pt>
                <c:pt idx="58">
                  <c:v>112170</c:v>
                </c:pt>
                <c:pt idx="59">
                  <c:v>113652</c:v>
                </c:pt>
                <c:pt idx="60">
                  <c:v>115134</c:v>
                </c:pt>
                <c:pt idx="61">
                  <c:v>116616</c:v>
                </c:pt>
                <c:pt idx="62">
                  <c:v>118098</c:v>
                </c:pt>
                <c:pt idx="63">
                  <c:v>119580</c:v>
                </c:pt>
                <c:pt idx="64">
                  <c:v>121062</c:v>
                </c:pt>
                <c:pt idx="65">
                  <c:v>122544</c:v>
                </c:pt>
                <c:pt idx="66">
                  <c:v>124026</c:v>
                </c:pt>
                <c:pt idx="67">
                  <c:v>125508</c:v>
                </c:pt>
                <c:pt idx="68">
                  <c:v>126990</c:v>
                </c:pt>
                <c:pt idx="69">
                  <c:v>128472</c:v>
                </c:pt>
              </c:numCache>
            </c:numRef>
          </c:xVal>
          <c:yVal>
            <c:numRef>
              <c:f>'Digits pres final'!$X$2:$X$461</c:f>
              <c:numCache>
                <c:formatCode>General</c:formatCode>
                <c:ptCount val="70"/>
                <c:pt idx="0">
                  <c:v>0.95740741491317749</c:v>
                </c:pt>
                <c:pt idx="1">
                  <c:v>0.95907407502333319</c:v>
                </c:pt>
                <c:pt idx="2">
                  <c:v>0.96203703681627906</c:v>
                </c:pt>
                <c:pt idx="3">
                  <c:v>0.96018518507480621</c:v>
                </c:pt>
                <c:pt idx="4">
                  <c:v>0.95481482148170471</c:v>
                </c:pt>
                <c:pt idx="5">
                  <c:v>0.95907407999038696</c:v>
                </c:pt>
                <c:pt idx="6">
                  <c:v>0.96555555363496148</c:v>
                </c:pt>
                <c:pt idx="7">
                  <c:v>0.96703703701496124</c:v>
                </c:pt>
                <c:pt idx="8">
                  <c:v>0.96407407522201538</c:v>
                </c:pt>
                <c:pt idx="9">
                  <c:v>0.95888888835906982</c:v>
                </c:pt>
                <c:pt idx="10">
                  <c:v>0.95925925672054291</c:v>
                </c:pt>
                <c:pt idx="11">
                  <c:v>0.95629629492759705</c:v>
                </c:pt>
                <c:pt idx="12">
                  <c:v>0.95962963004906976</c:v>
                </c:pt>
                <c:pt idx="13">
                  <c:v>0.96314814686775208</c:v>
                </c:pt>
                <c:pt idx="14">
                  <c:v>0.96296296020348859</c:v>
                </c:pt>
                <c:pt idx="15">
                  <c:v>0.96240740021069837</c:v>
                </c:pt>
                <c:pt idx="16">
                  <c:v>0.95851850509643555</c:v>
                </c:pt>
                <c:pt idx="17">
                  <c:v>0.95666665832201647</c:v>
                </c:pt>
                <c:pt idx="18">
                  <c:v>0.95777777830759692</c:v>
                </c:pt>
                <c:pt idx="19">
                  <c:v>0.95703703661759698</c:v>
                </c:pt>
                <c:pt idx="20">
                  <c:v>0.95574073990186059</c:v>
                </c:pt>
                <c:pt idx="21">
                  <c:v>0.94981481631596887</c:v>
                </c:pt>
                <c:pt idx="22">
                  <c:v>0.94722222288449609</c:v>
                </c:pt>
                <c:pt idx="23">
                  <c:v>0.94777777294317889</c:v>
                </c:pt>
                <c:pt idx="24">
                  <c:v>0.95185184478759766</c:v>
                </c:pt>
                <c:pt idx="25">
                  <c:v>0.95648148159186053</c:v>
                </c:pt>
                <c:pt idx="26">
                  <c:v>0.9583333283662796</c:v>
                </c:pt>
                <c:pt idx="27">
                  <c:v>0.95870370666186022</c:v>
                </c:pt>
                <c:pt idx="28">
                  <c:v>0.95870371162891388</c:v>
                </c:pt>
                <c:pt idx="29">
                  <c:v>0.9607407351334889</c:v>
                </c:pt>
                <c:pt idx="30">
                  <c:v>0.9612962851921717</c:v>
                </c:pt>
                <c:pt idx="31">
                  <c:v>0.96129629015922546</c:v>
                </c:pt>
                <c:pt idx="32">
                  <c:v>0.95925925175348925</c:v>
                </c:pt>
                <c:pt idx="33">
                  <c:v>0.95777776837348938</c:v>
                </c:pt>
                <c:pt idx="34">
                  <c:v>0.95574073493480682</c:v>
                </c:pt>
                <c:pt idx="35">
                  <c:v>0.954999993244807</c:v>
                </c:pt>
                <c:pt idx="36">
                  <c:v>0.9496296296517055</c:v>
                </c:pt>
                <c:pt idx="37">
                  <c:v>0.95222221314907074</c:v>
                </c:pt>
                <c:pt idx="38">
                  <c:v>0.94537036617596937</c:v>
                </c:pt>
                <c:pt idx="39">
                  <c:v>0.95592592159907019</c:v>
                </c:pt>
                <c:pt idx="40">
                  <c:v>0.94648147622744239</c:v>
                </c:pt>
                <c:pt idx="41">
                  <c:v>0.95740740994612372</c:v>
                </c:pt>
                <c:pt idx="42">
                  <c:v>0.94592592120170593</c:v>
                </c:pt>
                <c:pt idx="43">
                  <c:v>0.95388889312744141</c:v>
                </c:pt>
                <c:pt idx="44">
                  <c:v>0.94611111283302307</c:v>
                </c:pt>
                <c:pt idx="45">
                  <c:v>0.95666667322317767</c:v>
                </c:pt>
                <c:pt idx="46">
                  <c:v>0.94981482128302253</c:v>
                </c:pt>
                <c:pt idx="47">
                  <c:v>0.9568518648544948</c:v>
                </c:pt>
                <c:pt idx="48">
                  <c:v>0.94629629453023267</c:v>
                </c:pt>
                <c:pt idx="49">
                  <c:v>0.95022221803665163</c:v>
                </c:pt>
                <c:pt idx="50">
                  <c:v>0.95762962996959688</c:v>
                </c:pt>
                <c:pt idx="51">
                  <c:v>0.96074074506759644</c:v>
                </c:pt>
                <c:pt idx="52">
                  <c:v>0.96018519004185987</c:v>
                </c:pt>
                <c:pt idx="53">
                  <c:v>0.96462963024775183</c:v>
                </c:pt>
                <c:pt idx="54">
                  <c:v>0.96666666368643439</c:v>
                </c:pt>
                <c:pt idx="55">
                  <c:v>0.96555554370085395</c:v>
                </c:pt>
                <c:pt idx="56">
                  <c:v>0.96537035206953681</c:v>
                </c:pt>
                <c:pt idx="57">
                  <c:v>0.96074073016643524</c:v>
                </c:pt>
                <c:pt idx="58">
                  <c:v>0.95777777830759692</c:v>
                </c:pt>
                <c:pt idx="59">
                  <c:v>0.95666666825612379</c:v>
                </c:pt>
                <c:pt idx="60">
                  <c:v>0.9637037068605423</c:v>
                </c:pt>
                <c:pt idx="61">
                  <c:v>0.96351853013038635</c:v>
                </c:pt>
                <c:pt idx="62">
                  <c:v>0.95574074983596802</c:v>
                </c:pt>
                <c:pt idx="63">
                  <c:v>0.95767195380869363</c:v>
                </c:pt>
                <c:pt idx="64">
                  <c:v>0.95767194884163986</c:v>
                </c:pt>
                <c:pt idx="65">
                  <c:v>0.95481481154759718</c:v>
                </c:pt>
                <c:pt idx="66">
                  <c:v>0.96018518507480621</c:v>
                </c:pt>
                <c:pt idx="67">
                  <c:v>0.95796296497186029</c:v>
                </c:pt>
                <c:pt idx="68">
                  <c:v>0.95240740974744165</c:v>
                </c:pt>
                <c:pt idx="69">
                  <c:v>0.94981481631596887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3B-4078-9695-DF17E2E72554}"/>
            </c:ext>
          </c:extLst>
        </c:ser>
        <c:ser>
          <c:idx val="1"/>
          <c:order val="1"/>
          <c:tx>
            <c:strRef>
              <c:f>'Digits pres final'!$Y$1</c:f>
              <c:strCache>
                <c:ptCount val="1"/>
                <c:pt idx="0">
                  <c:v>Small MLP acc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'Digits pres final'!$W$2:$W$461</c:f>
              <c:numCache>
                <c:formatCode>General</c:formatCode>
                <c:ptCount val="70"/>
                <c:pt idx="0">
                  <c:v>35578</c:v>
                </c:pt>
                <c:pt idx="1">
                  <c:v>37060</c:v>
                </c:pt>
                <c:pt idx="2">
                  <c:v>38542</c:v>
                </c:pt>
                <c:pt idx="3">
                  <c:v>40024</c:v>
                </c:pt>
                <c:pt idx="4">
                  <c:v>41506</c:v>
                </c:pt>
                <c:pt idx="5">
                  <c:v>42988</c:v>
                </c:pt>
                <c:pt idx="6">
                  <c:v>44470</c:v>
                </c:pt>
                <c:pt idx="7">
                  <c:v>45952</c:v>
                </c:pt>
                <c:pt idx="8">
                  <c:v>47434</c:v>
                </c:pt>
                <c:pt idx="9">
                  <c:v>48916</c:v>
                </c:pt>
                <c:pt idx="10">
                  <c:v>50398</c:v>
                </c:pt>
                <c:pt idx="11">
                  <c:v>51880</c:v>
                </c:pt>
                <c:pt idx="12">
                  <c:v>53362</c:v>
                </c:pt>
                <c:pt idx="13">
                  <c:v>54844</c:v>
                </c:pt>
                <c:pt idx="14">
                  <c:v>56326</c:v>
                </c:pt>
                <c:pt idx="15">
                  <c:v>57808</c:v>
                </c:pt>
                <c:pt idx="16">
                  <c:v>59290</c:v>
                </c:pt>
                <c:pt idx="17">
                  <c:v>60772</c:v>
                </c:pt>
                <c:pt idx="18">
                  <c:v>62254</c:v>
                </c:pt>
                <c:pt idx="19">
                  <c:v>63736</c:v>
                </c:pt>
                <c:pt idx="20">
                  <c:v>65218</c:v>
                </c:pt>
                <c:pt idx="21">
                  <c:v>66700</c:v>
                </c:pt>
                <c:pt idx="22">
                  <c:v>68182</c:v>
                </c:pt>
                <c:pt idx="23">
                  <c:v>69664</c:v>
                </c:pt>
                <c:pt idx="24">
                  <c:v>71146</c:v>
                </c:pt>
                <c:pt idx="25">
                  <c:v>72628</c:v>
                </c:pt>
                <c:pt idx="26">
                  <c:v>74110</c:v>
                </c:pt>
                <c:pt idx="27">
                  <c:v>75592</c:v>
                </c:pt>
                <c:pt idx="28">
                  <c:v>77074</c:v>
                </c:pt>
                <c:pt idx="29">
                  <c:v>78556</c:v>
                </c:pt>
                <c:pt idx="30">
                  <c:v>80038</c:v>
                </c:pt>
                <c:pt idx="31">
                  <c:v>81520</c:v>
                </c:pt>
                <c:pt idx="32">
                  <c:v>83002</c:v>
                </c:pt>
                <c:pt idx="33">
                  <c:v>84484</c:v>
                </c:pt>
                <c:pt idx="34">
                  <c:v>85966</c:v>
                </c:pt>
                <c:pt idx="35">
                  <c:v>87448</c:v>
                </c:pt>
                <c:pt idx="36">
                  <c:v>88458</c:v>
                </c:pt>
                <c:pt idx="37">
                  <c:v>88930</c:v>
                </c:pt>
                <c:pt idx="38">
                  <c:v>89940</c:v>
                </c:pt>
                <c:pt idx="39">
                  <c:v>90412</c:v>
                </c:pt>
                <c:pt idx="40">
                  <c:v>91422</c:v>
                </c:pt>
                <c:pt idx="41">
                  <c:v>91894</c:v>
                </c:pt>
                <c:pt idx="42">
                  <c:v>92904</c:v>
                </c:pt>
                <c:pt idx="43">
                  <c:v>93376</c:v>
                </c:pt>
                <c:pt idx="44">
                  <c:v>94386</c:v>
                </c:pt>
                <c:pt idx="45">
                  <c:v>94858</c:v>
                </c:pt>
                <c:pt idx="46">
                  <c:v>95868</c:v>
                </c:pt>
                <c:pt idx="47">
                  <c:v>96340</c:v>
                </c:pt>
                <c:pt idx="48">
                  <c:v>97350</c:v>
                </c:pt>
                <c:pt idx="49">
                  <c:v>98832</c:v>
                </c:pt>
                <c:pt idx="50">
                  <c:v>100314</c:v>
                </c:pt>
                <c:pt idx="51">
                  <c:v>101796</c:v>
                </c:pt>
                <c:pt idx="52">
                  <c:v>103278</c:v>
                </c:pt>
                <c:pt idx="53">
                  <c:v>104760</c:v>
                </c:pt>
                <c:pt idx="54">
                  <c:v>106242</c:v>
                </c:pt>
                <c:pt idx="55">
                  <c:v>107724</c:v>
                </c:pt>
                <c:pt idx="56">
                  <c:v>109206</c:v>
                </c:pt>
                <c:pt idx="57">
                  <c:v>110688</c:v>
                </c:pt>
                <c:pt idx="58">
                  <c:v>112170</c:v>
                </c:pt>
                <c:pt idx="59">
                  <c:v>113652</c:v>
                </c:pt>
                <c:pt idx="60">
                  <c:v>115134</c:v>
                </c:pt>
                <c:pt idx="61">
                  <c:v>116616</c:v>
                </c:pt>
                <c:pt idx="62">
                  <c:v>118098</c:v>
                </c:pt>
                <c:pt idx="63">
                  <c:v>119580</c:v>
                </c:pt>
                <c:pt idx="64">
                  <c:v>121062</c:v>
                </c:pt>
                <c:pt idx="65">
                  <c:v>122544</c:v>
                </c:pt>
                <c:pt idx="66">
                  <c:v>124026</c:v>
                </c:pt>
                <c:pt idx="67">
                  <c:v>125508</c:v>
                </c:pt>
                <c:pt idx="68">
                  <c:v>126990</c:v>
                </c:pt>
                <c:pt idx="69">
                  <c:v>128472</c:v>
                </c:pt>
              </c:numCache>
            </c:numRef>
          </c:xVal>
          <c:yVal>
            <c:numRef>
              <c:f>'Digits pres final'!$Y$2:$Y$461</c:f>
              <c:numCache>
                <c:formatCode>General</c:formatCode>
                <c:ptCount val="70"/>
                <c:pt idx="0">
                  <c:v>0.96</c:v>
                </c:pt>
                <c:pt idx="1">
                  <c:v>0.95407407407407407</c:v>
                </c:pt>
                <c:pt idx="2">
                  <c:v>0.94888888888888889</c:v>
                </c:pt>
                <c:pt idx="3">
                  <c:v>0.95259259259259266</c:v>
                </c:pt>
                <c:pt idx="4">
                  <c:v>0.95462962962962972</c:v>
                </c:pt>
                <c:pt idx="5">
                  <c:v>0.95537037037037043</c:v>
                </c:pt>
                <c:pt idx="6">
                  <c:v>0.95370370370370372</c:v>
                </c:pt>
                <c:pt idx="7">
                  <c:v>0.94907407407407407</c:v>
                </c:pt>
                <c:pt idx="8">
                  <c:v>0.95166666666666666</c:v>
                </c:pt>
                <c:pt idx="9">
                  <c:v>0.96537037037037043</c:v>
                </c:pt>
                <c:pt idx="10">
                  <c:v>0.95666666666666667</c:v>
                </c:pt>
                <c:pt idx="11">
                  <c:v>0.95111111111111113</c:v>
                </c:pt>
                <c:pt idx="12">
                  <c:v>0.95185185185185195</c:v>
                </c:pt>
                <c:pt idx="13">
                  <c:v>0.95203703703703701</c:v>
                </c:pt>
                <c:pt idx="14">
                  <c:v>0.95240740740740737</c:v>
                </c:pt>
                <c:pt idx="15">
                  <c:v>0.95314814814814819</c:v>
                </c:pt>
                <c:pt idx="16">
                  <c:v>0.95092592592592595</c:v>
                </c:pt>
                <c:pt idx="17">
                  <c:v>0.95037037037037031</c:v>
                </c:pt>
                <c:pt idx="18">
                  <c:v>0.95185185185185184</c:v>
                </c:pt>
                <c:pt idx="19">
                  <c:v>0.95314814814814808</c:v>
                </c:pt>
                <c:pt idx="20">
                  <c:v>0.95333333333333337</c:v>
                </c:pt>
                <c:pt idx="21">
                  <c:v>0.95037037037037031</c:v>
                </c:pt>
                <c:pt idx="22">
                  <c:v>0.95407407407407407</c:v>
                </c:pt>
                <c:pt idx="23">
                  <c:v>0.96166666666666667</c:v>
                </c:pt>
                <c:pt idx="24">
                  <c:v>0.95907407407407408</c:v>
                </c:pt>
                <c:pt idx="25">
                  <c:v>0.95500000000000007</c:v>
                </c:pt>
                <c:pt idx="26">
                  <c:v>0.96574074074074079</c:v>
                </c:pt>
                <c:pt idx="27">
                  <c:v>0.9598148148148149</c:v>
                </c:pt>
                <c:pt idx="28">
                  <c:v>0.95518518518518525</c:v>
                </c:pt>
                <c:pt idx="29">
                  <c:v>0.9555555555555556</c:v>
                </c:pt>
                <c:pt idx="30">
                  <c:v>0.95740740740740748</c:v>
                </c:pt>
                <c:pt idx="31">
                  <c:v>0.95703703703703713</c:v>
                </c:pt>
                <c:pt idx="32">
                  <c:v>0.95407407407407407</c:v>
                </c:pt>
                <c:pt idx="33">
                  <c:v>0.95074074074074078</c:v>
                </c:pt>
                <c:pt idx="34">
                  <c:v>0.95351851851851854</c:v>
                </c:pt>
                <c:pt idx="35">
                  <c:v>0.95870370370370372</c:v>
                </c:pt>
                <c:pt idx="36">
                  <c:v>0.96601851851851861</c:v>
                </c:pt>
                <c:pt idx="37">
                  <c:v>0.95944444444444443</c:v>
                </c:pt>
                <c:pt idx="38">
                  <c:v>0.95916666666666672</c:v>
                </c:pt>
                <c:pt idx="39">
                  <c:v>0.96074074074074067</c:v>
                </c:pt>
                <c:pt idx="40">
                  <c:v>0.95537037037037043</c:v>
                </c:pt>
                <c:pt idx="41">
                  <c:v>0.95981481481481479</c:v>
                </c:pt>
                <c:pt idx="42">
                  <c:v>0.95685185185185184</c:v>
                </c:pt>
                <c:pt idx="43">
                  <c:v>0.95685185185185184</c:v>
                </c:pt>
                <c:pt idx="44">
                  <c:v>0.95907407407407408</c:v>
                </c:pt>
                <c:pt idx="45">
                  <c:v>0.95555555555555549</c:v>
                </c:pt>
                <c:pt idx="46">
                  <c:v>0.96111111111111103</c:v>
                </c:pt>
                <c:pt idx="47">
                  <c:v>0.95740740740740737</c:v>
                </c:pt>
                <c:pt idx="48">
                  <c:v>0.96111111111111103</c:v>
                </c:pt>
                <c:pt idx="49">
                  <c:v>0.96425925925925926</c:v>
                </c:pt>
                <c:pt idx="50">
                  <c:v>0.96611111111111114</c:v>
                </c:pt>
                <c:pt idx="51">
                  <c:v>0.96685185185185185</c:v>
                </c:pt>
                <c:pt idx="52">
                  <c:v>0.96796296296296291</c:v>
                </c:pt>
                <c:pt idx="53">
                  <c:v>0.96888888888888891</c:v>
                </c:pt>
                <c:pt idx="54">
                  <c:v>0.96907407407407409</c:v>
                </c:pt>
                <c:pt idx="55">
                  <c:v>0.9655555555555555</c:v>
                </c:pt>
                <c:pt idx="56">
                  <c:v>0.96703703703703692</c:v>
                </c:pt>
                <c:pt idx="57">
                  <c:v>0.96962962962962962</c:v>
                </c:pt>
                <c:pt idx="58">
                  <c:v>0.96740740740740749</c:v>
                </c:pt>
                <c:pt idx="59">
                  <c:v>0.96740740740740749</c:v>
                </c:pt>
                <c:pt idx="60">
                  <c:v>0.95907407407407408</c:v>
                </c:pt>
                <c:pt idx="61">
                  <c:v>0.9655555555555555</c:v>
                </c:pt>
                <c:pt idx="62">
                  <c:v>0.96888888888888891</c:v>
                </c:pt>
                <c:pt idx="63">
                  <c:v>0.96759259259259256</c:v>
                </c:pt>
                <c:pt idx="64">
                  <c:v>0.96574074074074079</c:v>
                </c:pt>
                <c:pt idx="65">
                  <c:v>0.9655555555555555</c:v>
                </c:pt>
                <c:pt idx="66">
                  <c:v>0.96444444444444444</c:v>
                </c:pt>
                <c:pt idx="67">
                  <c:v>0.96092592592592596</c:v>
                </c:pt>
                <c:pt idx="68">
                  <c:v>0.96259259259259267</c:v>
                </c:pt>
                <c:pt idx="69">
                  <c:v>0.9664814814814815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3B-4078-9695-DF17E2E72554}"/>
            </c:ext>
          </c:extLst>
        </c:ser>
        <c:ser>
          <c:idx val="2"/>
          <c:order val="2"/>
          <c:tx>
            <c:strRef>
              <c:f>'Digits pres final'!$Z$1</c:f>
              <c:strCache>
                <c:ptCount val="1"/>
                <c:pt idx="0">
                  <c:v>Big MLP acc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'Digits pres final'!$W$2:$W$461</c:f>
              <c:numCache>
                <c:formatCode>General</c:formatCode>
                <c:ptCount val="70"/>
                <c:pt idx="0">
                  <c:v>35578</c:v>
                </c:pt>
                <c:pt idx="1">
                  <c:v>37060</c:v>
                </c:pt>
                <c:pt idx="2">
                  <c:v>38542</c:v>
                </c:pt>
                <c:pt idx="3">
                  <c:v>40024</c:v>
                </c:pt>
                <c:pt idx="4">
                  <c:v>41506</c:v>
                </c:pt>
                <c:pt idx="5">
                  <c:v>42988</c:v>
                </c:pt>
                <c:pt idx="6">
                  <c:v>44470</c:v>
                </c:pt>
                <c:pt idx="7">
                  <c:v>45952</c:v>
                </c:pt>
                <c:pt idx="8">
                  <c:v>47434</c:v>
                </c:pt>
                <c:pt idx="9">
                  <c:v>48916</c:v>
                </c:pt>
                <c:pt idx="10">
                  <c:v>50398</c:v>
                </c:pt>
                <c:pt idx="11">
                  <c:v>51880</c:v>
                </c:pt>
                <c:pt idx="12">
                  <c:v>53362</c:v>
                </c:pt>
                <c:pt idx="13">
                  <c:v>54844</c:v>
                </c:pt>
                <c:pt idx="14">
                  <c:v>56326</c:v>
                </c:pt>
                <c:pt idx="15">
                  <c:v>57808</c:v>
                </c:pt>
                <c:pt idx="16">
                  <c:v>59290</c:v>
                </c:pt>
                <c:pt idx="17">
                  <c:v>60772</c:v>
                </c:pt>
                <c:pt idx="18">
                  <c:v>62254</c:v>
                </c:pt>
                <c:pt idx="19">
                  <c:v>63736</c:v>
                </c:pt>
                <c:pt idx="20">
                  <c:v>65218</c:v>
                </c:pt>
                <c:pt idx="21">
                  <c:v>66700</c:v>
                </c:pt>
                <c:pt idx="22">
                  <c:v>68182</c:v>
                </c:pt>
                <c:pt idx="23">
                  <c:v>69664</c:v>
                </c:pt>
                <c:pt idx="24">
                  <c:v>71146</c:v>
                </c:pt>
                <c:pt idx="25">
                  <c:v>72628</c:v>
                </c:pt>
                <c:pt idx="26">
                  <c:v>74110</c:v>
                </c:pt>
                <c:pt idx="27">
                  <c:v>75592</c:v>
                </c:pt>
                <c:pt idx="28">
                  <c:v>77074</c:v>
                </c:pt>
                <c:pt idx="29">
                  <c:v>78556</c:v>
                </c:pt>
                <c:pt idx="30">
                  <c:v>80038</c:v>
                </c:pt>
                <c:pt idx="31">
                  <c:v>81520</c:v>
                </c:pt>
                <c:pt idx="32">
                  <c:v>83002</c:v>
                </c:pt>
                <c:pt idx="33">
                  <c:v>84484</c:v>
                </c:pt>
                <c:pt idx="34">
                  <c:v>85966</c:v>
                </c:pt>
                <c:pt idx="35">
                  <c:v>87448</c:v>
                </c:pt>
                <c:pt idx="36">
                  <c:v>88458</c:v>
                </c:pt>
                <c:pt idx="37">
                  <c:v>88930</c:v>
                </c:pt>
                <c:pt idx="38">
                  <c:v>89940</c:v>
                </c:pt>
                <c:pt idx="39">
                  <c:v>90412</c:v>
                </c:pt>
                <c:pt idx="40">
                  <c:v>91422</c:v>
                </c:pt>
                <c:pt idx="41">
                  <c:v>91894</c:v>
                </c:pt>
                <c:pt idx="42">
                  <c:v>92904</c:v>
                </c:pt>
                <c:pt idx="43">
                  <c:v>93376</c:v>
                </c:pt>
                <c:pt idx="44">
                  <c:v>94386</c:v>
                </c:pt>
                <c:pt idx="45">
                  <c:v>94858</c:v>
                </c:pt>
                <c:pt idx="46">
                  <c:v>95868</c:v>
                </c:pt>
                <c:pt idx="47">
                  <c:v>96340</c:v>
                </c:pt>
                <c:pt idx="48">
                  <c:v>97350</c:v>
                </c:pt>
                <c:pt idx="49">
                  <c:v>98832</c:v>
                </c:pt>
                <c:pt idx="50">
                  <c:v>100314</c:v>
                </c:pt>
                <c:pt idx="51">
                  <c:v>101796</c:v>
                </c:pt>
                <c:pt idx="52">
                  <c:v>103278</c:v>
                </c:pt>
                <c:pt idx="53">
                  <c:v>104760</c:v>
                </c:pt>
                <c:pt idx="54">
                  <c:v>106242</c:v>
                </c:pt>
                <c:pt idx="55">
                  <c:v>107724</c:v>
                </c:pt>
                <c:pt idx="56">
                  <c:v>109206</c:v>
                </c:pt>
                <c:pt idx="57">
                  <c:v>110688</c:v>
                </c:pt>
                <c:pt idx="58">
                  <c:v>112170</c:v>
                </c:pt>
                <c:pt idx="59">
                  <c:v>113652</c:v>
                </c:pt>
                <c:pt idx="60">
                  <c:v>115134</c:v>
                </c:pt>
                <c:pt idx="61">
                  <c:v>116616</c:v>
                </c:pt>
                <c:pt idx="62">
                  <c:v>118098</c:v>
                </c:pt>
                <c:pt idx="63">
                  <c:v>119580</c:v>
                </c:pt>
                <c:pt idx="64">
                  <c:v>121062</c:v>
                </c:pt>
                <c:pt idx="65">
                  <c:v>122544</c:v>
                </c:pt>
                <c:pt idx="66">
                  <c:v>124026</c:v>
                </c:pt>
                <c:pt idx="67">
                  <c:v>125508</c:v>
                </c:pt>
                <c:pt idx="68">
                  <c:v>126990</c:v>
                </c:pt>
                <c:pt idx="69">
                  <c:v>128472</c:v>
                </c:pt>
              </c:numCache>
            </c:numRef>
          </c:xVal>
          <c:yVal>
            <c:numRef>
              <c:f>'Digits pres final'!$Z$2:$Z$461</c:f>
              <c:numCache>
                <c:formatCode>General</c:formatCode>
                <c:ptCount val="70"/>
                <c:pt idx="0">
                  <c:v>0.95518518518518514</c:v>
                </c:pt>
                <c:pt idx="1">
                  <c:v>0.95814814814814819</c:v>
                </c:pt>
                <c:pt idx="2">
                  <c:v>0.95851851851851855</c:v>
                </c:pt>
                <c:pt idx="3">
                  <c:v>0.95444444444444443</c:v>
                </c:pt>
                <c:pt idx="4">
                  <c:v>0.95555555555555549</c:v>
                </c:pt>
                <c:pt idx="5">
                  <c:v>0.95814814814814808</c:v>
                </c:pt>
                <c:pt idx="6">
                  <c:v>0.95814814814814808</c:v>
                </c:pt>
                <c:pt idx="7">
                  <c:v>0.95814814814814819</c:v>
                </c:pt>
                <c:pt idx="8">
                  <c:v>0.95500000000000007</c:v>
                </c:pt>
                <c:pt idx="9">
                  <c:v>0.96481481481481479</c:v>
                </c:pt>
                <c:pt idx="10">
                  <c:v>0.95870370370370372</c:v>
                </c:pt>
                <c:pt idx="11">
                  <c:v>0.95111111111111113</c:v>
                </c:pt>
                <c:pt idx="12">
                  <c:v>0.95148148148148148</c:v>
                </c:pt>
                <c:pt idx="13">
                  <c:v>0.95407407407407407</c:v>
                </c:pt>
                <c:pt idx="14">
                  <c:v>0.95370370370370372</c:v>
                </c:pt>
                <c:pt idx="15">
                  <c:v>0.95629629629629631</c:v>
                </c:pt>
                <c:pt idx="16">
                  <c:v>0.95851851851851855</c:v>
                </c:pt>
                <c:pt idx="17">
                  <c:v>0.95481481481481478</c:v>
                </c:pt>
                <c:pt idx="18">
                  <c:v>0.95277777777777783</c:v>
                </c:pt>
                <c:pt idx="19">
                  <c:v>0.95203703703703701</c:v>
                </c:pt>
                <c:pt idx="20">
                  <c:v>0.95333333333333337</c:v>
                </c:pt>
                <c:pt idx="21">
                  <c:v>0.95574074074074078</c:v>
                </c:pt>
                <c:pt idx="22">
                  <c:v>0.9572222222222222</c:v>
                </c:pt>
                <c:pt idx="23">
                  <c:v>0.95962962962962961</c:v>
                </c:pt>
                <c:pt idx="24">
                  <c:v>0.9572222222222222</c:v>
                </c:pt>
                <c:pt idx="25">
                  <c:v>0.95259259259259266</c:v>
                </c:pt>
                <c:pt idx="26">
                  <c:v>0.96592592592592597</c:v>
                </c:pt>
                <c:pt idx="27">
                  <c:v>0.96425925925925937</c:v>
                </c:pt>
                <c:pt idx="28">
                  <c:v>0.9555555555555556</c:v>
                </c:pt>
                <c:pt idx="29">
                  <c:v>0.95370370370370372</c:v>
                </c:pt>
                <c:pt idx="30">
                  <c:v>0.95629629629629631</c:v>
                </c:pt>
                <c:pt idx="31">
                  <c:v>0.9598148148148149</c:v>
                </c:pt>
                <c:pt idx="32">
                  <c:v>0.95666666666666667</c:v>
                </c:pt>
                <c:pt idx="33">
                  <c:v>0.9562962962962962</c:v>
                </c:pt>
                <c:pt idx="34">
                  <c:v>0.95851851851851855</c:v>
                </c:pt>
                <c:pt idx="35">
                  <c:v>0.95555555555555549</c:v>
                </c:pt>
                <c:pt idx="36">
                  <c:v>0.96370370370370373</c:v>
                </c:pt>
                <c:pt idx="37">
                  <c:v>0.95685185185185184</c:v>
                </c:pt>
                <c:pt idx="38">
                  <c:v>0.95925925925925926</c:v>
                </c:pt>
                <c:pt idx="39">
                  <c:v>0.96129629629629632</c:v>
                </c:pt>
                <c:pt idx="40">
                  <c:v>0.95518518518518514</c:v>
                </c:pt>
                <c:pt idx="41">
                  <c:v>0.96166666666666667</c:v>
                </c:pt>
                <c:pt idx="42">
                  <c:v>0.95351851851851854</c:v>
                </c:pt>
                <c:pt idx="43">
                  <c:v>0.95944444444444443</c:v>
                </c:pt>
                <c:pt idx="44">
                  <c:v>0.95407407407407407</c:v>
                </c:pt>
                <c:pt idx="45">
                  <c:v>0.95611111111111113</c:v>
                </c:pt>
                <c:pt idx="46">
                  <c:v>0.95314814814814808</c:v>
                </c:pt>
                <c:pt idx="47">
                  <c:v>0.95407407407407407</c:v>
                </c:pt>
                <c:pt idx="48">
                  <c:v>0.95129629629629631</c:v>
                </c:pt>
                <c:pt idx="49">
                  <c:v>0.95907407407407408</c:v>
                </c:pt>
                <c:pt idx="50">
                  <c:v>0.96962962962962962</c:v>
                </c:pt>
                <c:pt idx="51">
                  <c:v>0.97111111111111104</c:v>
                </c:pt>
                <c:pt idx="52">
                  <c:v>0.97074074074074068</c:v>
                </c:pt>
                <c:pt idx="53">
                  <c:v>0.97129629629629632</c:v>
                </c:pt>
                <c:pt idx="54">
                  <c:v>0.97037037037037033</c:v>
                </c:pt>
                <c:pt idx="55">
                  <c:v>0.96870370370370362</c:v>
                </c:pt>
                <c:pt idx="56">
                  <c:v>0.9681481481481482</c:v>
                </c:pt>
                <c:pt idx="57">
                  <c:v>0.97018518518518526</c:v>
                </c:pt>
                <c:pt idx="58">
                  <c:v>0.96925925925925926</c:v>
                </c:pt>
                <c:pt idx="59">
                  <c:v>0.96611111111111114</c:v>
                </c:pt>
                <c:pt idx="60">
                  <c:v>0.95277777777777772</c:v>
                </c:pt>
                <c:pt idx="61">
                  <c:v>0.96</c:v>
                </c:pt>
                <c:pt idx="62">
                  <c:v>0.96611111111111114</c:v>
                </c:pt>
                <c:pt idx="63">
                  <c:v>0.96502645502645501</c:v>
                </c:pt>
                <c:pt idx="64">
                  <c:v>0.96391534391534395</c:v>
                </c:pt>
                <c:pt idx="65">
                  <c:v>0.96444444444444444</c:v>
                </c:pt>
                <c:pt idx="66">
                  <c:v>0.96407407407407408</c:v>
                </c:pt>
                <c:pt idx="67">
                  <c:v>0.96240740740740738</c:v>
                </c:pt>
                <c:pt idx="68">
                  <c:v>0.9622222222222222</c:v>
                </c:pt>
                <c:pt idx="69">
                  <c:v>0.9638888888888888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3B-4078-9695-DF17E2E72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171856"/>
        <c:axId val="1343172336"/>
      </c:scatterChart>
      <c:valAx>
        <c:axId val="1343171856"/>
        <c:scaling>
          <c:orientation val="minMax"/>
          <c:max val="140000"/>
          <c:min val="2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43172336"/>
        <c:crosses val="autoZero"/>
        <c:crossBetween val="midCat"/>
        <c:majorUnit val="20000"/>
      </c:valAx>
      <c:valAx>
        <c:axId val="134317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43171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19</xdr:col>
      <xdr:colOff>76841</xdr:colOff>
      <xdr:row>0</xdr:row>
      <xdr:rowOff>103974</xdr:rowOff>
    </xdr:from>
    <xdr:to>
      <xdr:col>34</xdr:col>
      <xdr:colOff>389805</xdr:colOff>
      <xdr:row>34</xdr:row>
      <xdr:rowOff>40021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CDA8FB9D-0235-2EE8-3BB3-6EBB198B6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813549</xdr:colOff>
      <xdr:row>9</xdr:row>
      <xdr:rowOff>176491</xdr:rowOff>
    </xdr:from>
    <xdr:to>
      <xdr:col>12</xdr:col>
      <xdr:colOff>291353</xdr:colOff>
      <xdr:row>61</xdr:row>
      <xdr:rowOff>156882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181C4B77-CBB0-4861-8015-C2765F734C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1419348</xdr:colOff>
      <xdr:row>52</xdr:row>
      <xdr:rowOff>171699</xdr:rowOff>
    </xdr:from>
    <xdr:to>
      <xdr:col>36</xdr:col>
      <xdr:colOff>231321</xdr:colOff>
      <xdr:row>345</xdr:row>
      <xdr:rowOff>122465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3B734E13-7E6F-4833-846A-C917A88233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312163</xdr:colOff>
      <xdr:row>0</xdr:row>
      <xdr:rowOff>0</xdr:rowOff>
    </xdr:from>
    <xdr:to>
      <xdr:col>31</xdr:col>
      <xdr:colOff>390605</xdr:colOff>
      <xdr:row>101</xdr:row>
      <xdr:rowOff>13608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7A39B34D-E943-4085-8068-C1642CBC3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D7DDDA7-B624-44CF-A397-277FF56A5EB8}" autoFormatId="16" applyNumberFormats="0" applyBorderFormats="0" applyFontFormats="0" applyPatternFormats="0" applyAlignmentFormats="0" applyWidthHeightFormats="0">
  <queryTableRefresh nextId="21">
    <queryTableFields count="2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AB74983B-49EE-4350-8D74-987BF7357C3C}" autoFormatId="16" applyNumberFormats="0" applyBorderFormats="0" applyFontFormats="0" applyPatternFormats="0" applyAlignmentFormats="0" applyWidthHeightFormats="0">
  <queryTableRefresh nextId="20">
    <queryTableFields count="1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86B7F17-13B6-4DF0-BE10-9079380BBF27}" autoFormatId="16" applyNumberFormats="0" applyBorderFormats="0" applyFontFormats="0" applyPatternFormats="0" applyAlignmentFormats="0" applyWidthHeightFormats="0">
  <queryTableRefresh nextId="20">
    <queryTableFields count="1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05E5AAD6-C6F9-4E01-8EBB-DE0EA699A26D}" autoFormatId="16" applyNumberFormats="0" applyBorderFormats="0" applyFontFormats="0" applyPatternFormats="0" applyAlignmentFormats="0" applyWidthHeightFormats="0">
  <queryTableRefresh nextId="20">
    <queryTableFields count="19">
      <queryTableField id="1" name="dataset_name" tableColumnId="1"/>
      <queryTableField id="2" name="kan_grid" tableColumnId="2"/>
      <queryTableField id="3" name="kan_degree" tableColumnId="3"/>
      <queryTableField id="4" name="kan_lam" tableColumnId="4"/>
      <queryTableField id="5" name="kan_width" tableColumnId="5"/>
      <queryTableField id="6" name="kan_params" tableColumnId="6"/>
      <queryTableField id="7" name="kan_time_difference" tableColumnId="7"/>
      <queryTableField id="8" name="kan_test_acc" tableColumnId="8"/>
      <queryTableField id="9" name="mlp_test_acc" tableColumnId="9"/>
      <queryTableField id="10" name="mlp_time_difference" tableColumnId="10"/>
      <queryTableField id="11" name="mlp_params" tableColumnId="11"/>
      <queryTableField id="12" name="mlp_no_layers" tableColumnId="12"/>
      <queryTableField id="13" name="mlp_width_layers" tableColumnId="13"/>
      <queryTableField id="14" name="mlp_test_acc2" tableColumnId="14"/>
      <queryTableField id="15" name="mlp2_time_difference" tableColumnId="15"/>
      <queryTableField id="16" name="mlp_params2" tableColumnId="16"/>
      <queryTableField id="17" name="no_layers2" tableColumnId="17"/>
      <queryTableField id="18" name="width_layers2" tableColumnId="18"/>
      <queryTableField id="19" name="Column1" tableColumnId="1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3C0283A-59D1-4C48-9F94-7BFA074534C2}" autoFormatId="16" applyNumberFormats="0" applyBorderFormats="0" applyFontFormats="0" applyPatternFormats="0" applyAlignmentFormats="0" applyWidthHeightFormats="0">
  <queryTableRefresh nextId="20">
    <queryTableFields count="19">
      <queryTableField id="1" name="dataset_name" tableColumnId="1"/>
      <queryTableField id="2" name="kan_grid" tableColumnId="2"/>
      <queryTableField id="3" name="kan_degree" tableColumnId="3"/>
      <queryTableField id="4" name="kan_lam" tableColumnId="4"/>
      <queryTableField id="5" name="kan_width" tableColumnId="5"/>
      <queryTableField id="6" name="kan_params" tableColumnId="6"/>
      <queryTableField id="7" name="kan_time_difference" tableColumnId="7"/>
      <queryTableField id="8" name="kan_test_acc" tableColumnId="8"/>
      <queryTableField id="9" name="mlp_test_acc" tableColumnId="9"/>
      <queryTableField id="10" name="mlp_time_difference" tableColumnId="10"/>
      <queryTableField id="11" name="mlp_params" tableColumnId="11"/>
      <queryTableField id="12" name="mlp_no_layers" tableColumnId="12"/>
      <queryTableField id="13" name="mlp_width_layers" tableColumnId="13"/>
      <queryTableField id="14" name="mlp_test_acc2" tableColumnId="14"/>
      <queryTableField id="15" name="mlp2_time_difference" tableColumnId="15"/>
      <queryTableField id="16" name="mlp_params2" tableColumnId="16"/>
      <queryTableField id="17" name="no_layers2" tableColumnId="17"/>
      <queryTableField id="18" name="width_layers2" tableColumnId="18"/>
      <queryTableField id="19" name="Column1" tableColumnId="1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307E1CF-D926-45C7-B9B2-2E379C3C5023}" autoFormatId="16" applyNumberFormats="0" applyBorderFormats="0" applyFontFormats="0" applyPatternFormats="0" applyAlignmentFormats="0" applyWidthHeightFormats="0">
  <queryTableRefresh nextId="20">
    <queryTableFields count="1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B674C9A-A2D7-45D0-A189-D893760085A4}" autoFormatId="16" applyNumberFormats="0" applyBorderFormats="0" applyFontFormats="0" applyPatternFormats="0" applyAlignmentFormats="0" applyWidthHeightFormats="0">
  <queryTableRefresh nextId="20">
    <queryTableFields count="19">
      <queryTableField id="1" name="dataset_name" tableColumnId="1"/>
      <queryTableField id="2" name="kan_grid" tableColumnId="2"/>
      <queryTableField id="3" name="kan_degree" tableColumnId="3"/>
      <queryTableField id="4" name="kan_lam" tableColumnId="4"/>
      <queryTableField id="5" name="kan_width" tableColumnId="5"/>
      <queryTableField id="6" name="kan_params" tableColumnId="6"/>
      <queryTableField id="7" name="kan_time_difference" tableColumnId="7"/>
      <queryTableField id="8" name="kan_test_acc" tableColumnId="8"/>
      <queryTableField id="9" name="mlp_test_acc" tableColumnId="9"/>
      <queryTableField id="10" name="mlp_time_difference" tableColumnId="10"/>
      <queryTableField id="11" name="mlp_params" tableColumnId="11"/>
      <queryTableField id="12" name="mlp_no_layers" tableColumnId="12"/>
      <queryTableField id="13" name="mlp_width_layers" tableColumnId="13"/>
      <queryTableField id="14" name="mlp_test_acc2" tableColumnId="14"/>
      <queryTableField id="15" name="mlp2_time_difference" tableColumnId="15"/>
      <queryTableField id="16" name="mlp_params2" tableColumnId="16"/>
      <queryTableField id="17" name="no_layers2" tableColumnId="17"/>
      <queryTableField id="18" name="width_layers2" tableColumnId="18"/>
      <queryTableField id="19" name="Column1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83BBB3-F4E9-49FE-BA1E-26BFC26C0822}" name="mnist_s_final2" displayName="mnist_s_final2" ref="A1:T10" tableType="queryTable" totalsRowShown="0">
  <autoFilter ref="A1:T10" xr:uid="{923574E3-50EB-452A-9195-5F16E28A3076}"/>
  <sortState xmlns:xlrd2="http://schemas.microsoft.com/office/spreadsheetml/2017/richdata2" ref="A2:T10">
    <sortCondition ref="T1:T10"/>
  </sortState>
  <tableColumns count="20">
    <tableColumn id="1" xr3:uid="{29DE0884-FD00-4E91-8C35-57DA63A2F03B}" uniqueName="1" name="dataset_name" queryTableFieldId="1" dataDxfId="19"/>
    <tableColumn id="2" xr3:uid="{147EFDC1-F8A9-4EBC-AE54-A04BCE7BA05B}" uniqueName="2" name="kan_real_grid" queryTableFieldId="2"/>
    <tableColumn id="3" xr3:uid="{903FA650-1B19-4279-B084-4F78AE36F461}" uniqueName="3" name="kan_grid" queryTableFieldId="3"/>
    <tableColumn id="4" xr3:uid="{2A7C7085-1B39-4538-BE01-894BFAF47817}" uniqueName="4" name="kan_degree" queryTableFieldId="4"/>
    <tableColumn id="5" xr3:uid="{F285C728-56FF-4801-B3F8-A0DCEA106E8C}" uniqueName="5" name="kan_lam" queryTableFieldId="5"/>
    <tableColumn id="6" xr3:uid="{FE9CB542-1D32-4C95-A2AE-CD5ADA690293}" uniqueName="6" name="kan_width" queryTableFieldId="6" dataDxfId="18"/>
    <tableColumn id="7" xr3:uid="{F29C95D1-40AF-429F-A9AF-33528C99B663}" uniqueName="7" name="kan_params" queryTableFieldId="7"/>
    <tableColumn id="8" xr3:uid="{775EB612-AA3E-4106-9363-2B33CA94346C}" uniqueName="8" name="kan_time_difference" queryTableFieldId="8"/>
    <tableColumn id="9" xr3:uid="{3E68E688-F719-4DF4-9A89-0D1276D38B71}" uniqueName="9" name="kan_test_acc" queryTableFieldId="9"/>
    <tableColumn id="10" xr3:uid="{B3D91E20-BBB5-40AC-BD60-A127BFA4EB28}" uniqueName="10" name="mlp_test_acc" queryTableFieldId="10"/>
    <tableColumn id="11" xr3:uid="{6C8082B4-30AD-4D71-8195-48609ED2CC20}" uniqueName="11" name="mlp_time_difference" queryTableFieldId="11"/>
    <tableColumn id="12" xr3:uid="{8712EC50-9D35-4B9A-94F5-FBAD9FA23AD5}" uniqueName="12" name="mlp_params" queryTableFieldId="12"/>
    <tableColumn id="13" xr3:uid="{D7536A4F-A3D2-4E2A-B8A1-01BF4F82782B}" uniqueName="13" name="mlp_no_layers" queryTableFieldId="13"/>
    <tableColumn id="14" xr3:uid="{D626AAB6-DE9F-4C0F-9B60-E347CF4AEEEF}" uniqueName="14" name="mlp_width_layers" queryTableFieldId="14"/>
    <tableColumn id="15" xr3:uid="{F4ACBAD6-4189-4E6A-ADEC-EC5BE8324F6D}" uniqueName="15" name="mlp_test_acc2" queryTableFieldId="15"/>
    <tableColumn id="16" xr3:uid="{A046415C-167D-4E7D-A189-746F7B4843DD}" uniqueName="16" name="mlp2_time_difference" queryTableFieldId="16"/>
    <tableColumn id="17" xr3:uid="{ED4781F1-F4D7-44C1-B635-F5D913AE8BD3}" uniqueName="17" name="mlp_params2" queryTableFieldId="17"/>
    <tableColumn id="18" xr3:uid="{B9F5851F-ACEA-4412-AB3A-83A5611E3D17}" uniqueName="18" name="no_layers2" queryTableFieldId="18"/>
    <tableColumn id="19" xr3:uid="{79F6AB12-7FAD-4C25-BC39-230FAAD7F4C6}" uniqueName="19" name="width_layers2" queryTableFieldId="19"/>
    <tableColumn id="20" xr3:uid="{C712A3C7-B4AA-4055-A693-FDFF05B14EC6}" uniqueName="20" name="Column1" queryTableFieldId="20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022186F-21F4-4D7B-9BC9-DA65DCEA8E2B}" name="Mnist_full_output" displayName="Mnist_full_output" ref="A1:S22" tableType="queryTable" totalsRowShown="0">
  <autoFilter ref="A1:S22" xr:uid="{C022186F-21F4-4D7B-9BC9-DA65DCEA8E2B}"/>
  <tableColumns count="19">
    <tableColumn id="1" xr3:uid="{FFDD2B6C-9A43-466B-AF0D-34D47B0AEE24}" uniqueName="1" name="dataset_name" queryTableFieldId="1" dataDxfId="16"/>
    <tableColumn id="2" xr3:uid="{141644D7-9C12-4043-A7F7-1DD07BF77EE8}" uniqueName="2" name="real_kan_grid" queryTableFieldId="2"/>
    <tableColumn id="3" xr3:uid="{2634665F-8B9D-4A09-847A-4375FC4CC3FD}" uniqueName="3" name="kan_grid" queryTableFieldId="3"/>
    <tableColumn id="4" xr3:uid="{361427B5-77DB-4717-A82C-CE7EC1174089}" uniqueName="4" name="kan_degree" queryTableFieldId="4"/>
    <tableColumn id="5" xr3:uid="{004139B5-5306-47FF-822F-248C5723578E}" uniqueName="5" name="kan_lam" queryTableFieldId="5"/>
    <tableColumn id="6" xr3:uid="{8D7FEE06-A1A2-4C52-9205-187FE5E5873E}" uniqueName="6" name="kan_width" queryTableFieldId="6" dataDxfId="15"/>
    <tableColumn id="7" xr3:uid="{6584BFEA-700B-4E57-81EB-B6A57754D5EC}" uniqueName="7" name="kan_params" queryTableFieldId="7"/>
    <tableColumn id="8" xr3:uid="{F6C69275-C90E-431A-9A88-C45BEAFCADBA}" uniqueName="8" name="kan_time_difference" queryTableFieldId="8"/>
    <tableColumn id="9" xr3:uid="{286F3D9C-7CE0-4A8A-AE5B-F263DD1B2201}" uniqueName="9" name="kan_test_acc" queryTableFieldId="9"/>
    <tableColumn id="10" xr3:uid="{041E6115-036A-42BA-B6D9-71F485847C03}" uniqueName="10" name="mlp_test_acc" queryTableFieldId="10"/>
    <tableColumn id="11" xr3:uid="{BF7502DC-DBA7-4508-B97D-0079AAEFA010}" uniqueName="11" name="mlp_time_difference" queryTableFieldId="11"/>
    <tableColumn id="12" xr3:uid="{E1B11033-73B4-4189-A272-2B1D28DC4238}" uniqueName="12" name="mlp_params" queryTableFieldId="12"/>
    <tableColumn id="13" xr3:uid="{D934D3C3-FAD3-46A2-8997-06201FF71041}" uniqueName="13" name="mlp_no_layers" queryTableFieldId="13"/>
    <tableColumn id="14" xr3:uid="{E3D25F6E-1F2F-44A1-88D5-C7747B6683D7}" uniqueName="14" name="mlp_width_layers" queryTableFieldId="14"/>
    <tableColumn id="15" xr3:uid="{2DD78451-B96C-4D6E-B506-4D8CDC5920BA}" uniqueName="15" name="mlp_test_acc2" queryTableFieldId="15"/>
    <tableColumn id="16" xr3:uid="{90FF5476-9EDF-46B6-A03A-557618D17565}" uniqueName="16" name="mlp2_time_difference" queryTableFieldId="16"/>
    <tableColumn id="17" xr3:uid="{C476304E-7D3E-460C-9103-D197D1D39597}" uniqueName="17" name="mlp_params2" queryTableFieldId="17"/>
    <tableColumn id="18" xr3:uid="{14D0BFC4-8140-4360-8750-B08FF680E2BF}" uniqueName="18" name="no_layers2" queryTableFieldId="18"/>
    <tableColumn id="19" xr3:uid="{0FE0CE3A-F95A-4AF7-AEEA-AB94D473C05B}" uniqueName="19" name="width_layers2" queryTableField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114191-5B52-4BBF-AB37-96F52DC227C2}" name="iris_s_final2" displayName="iris_s_final2" ref="A1:S228" tableType="queryTable" totalsRowShown="0">
  <autoFilter ref="A1:S228" xr:uid="{77B8E6C1-AF73-4247-A9C8-72C8A6A320B2}"/>
  <sortState xmlns:xlrd2="http://schemas.microsoft.com/office/spreadsheetml/2017/richdata2" ref="A2:S228">
    <sortCondition ref="S1:S228"/>
  </sortState>
  <tableColumns count="19">
    <tableColumn id="1" xr3:uid="{3CFC089C-8613-4FAB-9FDA-0176125658F6}" uniqueName="1" name="dataset_name" queryTableFieldId="1" dataDxfId="14"/>
    <tableColumn id="2" xr3:uid="{505F4F99-D617-4069-AE48-3FC6EE5A0D18}" uniqueName="2" name="kan_grid" queryTableFieldId="2"/>
    <tableColumn id="3" xr3:uid="{D9ADAF13-8A1C-4B7C-8847-14D011A7B87C}" uniqueName="3" name="kan_degree" queryTableFieldId="3"/>
    <tableColumn id="4" xr3:uid="{D1C26662-E5D1-4CDF-AF85-E2EEFA8F5B6D}" uniqueName="4" name="kan_lam" queryTableFieldId="4"/>
    <tableColumn id="5" xr3:uid="{EF9486C1-B8D7-4BB0-95C7-1072A5DA0F48}" uniqueName="5" name="kan_width" queryTableFieldId="5" dataDxfId="13"/>
    <tableColumn id="6" xr3:uid="{43304211-3880-4D9C-A642-A290EE28BB72}" uniqueName="6" name="kan_params" queryTableFieldId="6"/>
    <tableColumn id="7" xr3:uid="{12A3707C-2E61-438D-80FA-CA9D29861DE9}" uniqueName="7" name="kan_time_difference" queryTableFieldId="7"/>
    <tableColumn id="8" xr3:uid="{1FB953BD-2BA4-4F0A-8B26-E9A79528FB83}" uniqueName="8" name="kan_test_acc" queryTableFieldId="8"/>
    <tableColumn id="9" xr3:uid="{6A233E5A-E02C-40A8-8B5B-AABD85F869F0}" uniqueName="9" name="mlp_test_acc" queryTableFieldId="9"/>
    <tableColumn id="10" xr3:uid="{E5D9B0AE-1E57-4499-B37F-B5C0177019EF}" uniqueName="10" name="mlp_time_difference" queryTableFieldId="10"/>
    <tableColumn id="11" xr3:uid="{B4D63D56-88A3-4304-A768-1C1939BA34F2}" uniqueName="11" name="mlp_params" queryTableFieldId="11"/>
    <tableColumn id="12" xr3:uid="{1BAB3684-E52D-43F7-9BCF-DC087C24FF0F}" uniqueName="12" name="mlp_no_layers" queryTableFieldId="12"/>
    <tableColumn id="13" xr3:uid="{72ADBDF1-4FB4-4BF5-880E-42042EC30B61}" uniqueName="13" name="mlp_width_layers" queryTableFieldId="13"/>
    <tableColumn id="14" xr3:uid="{4EDCDFF0-4ED8-4C65-A618-0CB3ABFC19DD}" uniqueName="14" name="mlp_test_acc2" queryTableFieldId="14"/>
    <tableColumn id="15" xr3:uid="{100645C1-9DDD-45FC-BC61-DFD063B731B8}" uniqueName="15" name="mlp2_time_difference" queryTableFieldId="15"/>
    <tableColumn id="16" xr3:uid="{13A63CCC-D6CF-47F0-8881-8448CC4B8E91}" uniqueName="16" name="mlp_params2" queryTableFieldId="16"/>
    <tableColumn id="17" xr3:uid="{B202CE12-1148-491F-9FC4-B8DBA3E7C0F9}" uniqueName="17" name="no_layers2" queryTableFieldId="17"/>
    <tableColumn id="18" xr3:uid="{C9620806-BF49-49E6-9A99-B778ED7A5BD9}" uniqueName="18" name="width_layers2" queryTableFieldId="18"/>
    <tableColumn id="19" xr3:uid="{50797F34-9CDD-4102-A4E1-2078E4511087}" uniqueName="19" name="Column1" queryTableFieldId="19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67EF62-E799-4761-BFC7-294BAD92B254}" name="Wine_pres_final" displayName="Wine_pres_final" ref="A1:S604" tableType="queryTable" totalsRowShown="0">
  <autoFilter ref="A1:S604" xr:uid="{E367EF62-E799-4761-BFC7-294BAD92B254}">
    <filterColumn colId="1">
      <filters>
        <filter val="9"/>
      </filters>
    </filterColumn>
    <filterColumn colId="2">
      <filters>
        <filter val="5"/>
      </filters>
    </filterColumn>
  </autoFilter>
  <sortState xmlns:xlrd2="http://schemas.microsoft.com/office/spreadsheetml/2017/richdata2" ref="A2:S343">
    <sortCondition ref="K1:K604"/>
  </sortState>
  <tableColumns count="19">
    <tableColumn id="1" xr3:uid="{59F9A72A-EB55-42AD-9110-FD4CAFF8E521}" uniqueName="1" name="dataset_name" queryTableFieldId="1" dataDxfId="11"/>
    <tableColumn id="2" xr3:uid="{2F64741E-56BB-4823-A75B-6D7BFCCE9FB3}" uniqueName="2" name="kan_grid" queryTableFieldId="2"/>
    <tableColumn id="3" xr3:uid="{D297176B-9CD6-4E1A-A982-44E9227B55B5}" uniqueName="3" name="kan_degree" queryTableFieldId="3"/>
    <tableColumn id="4" xr3:uid="{DFC7F249-1877-40D9-B5AB-44568BF03909}" uniqueName="4" name="kan_lam" queryTableFieldId="4"/>
    <tableColumn id="5" xr3:uid="{D80F741F-D043-4307-BBE9-835F4A8322E4}" uniqueName="5" name="kan_width" queryTableFieldId="5" dataDxfId="10"/>
    <tableColumn id="6" xr3:uid="{5EF51188-69F8-4D9A-827D-AFA988898DBD}" uniqueName="6" name="kan_params" queryTableFieldId="6"/>
    <tableColumn id="7" xr3:uid="{2294F53A-BB23-40F0-ACC0-987A8E44F0F1}" uniqueName="7" name="kan_time_difference" queryTableFieldId="7"/>
    <tableColumn id="8" xr3:uid="{72D7FD51-1E7C-4E12-8083-A909712B3B15}" uniqueName="8" name="kan_test_acc" queryTableFieldId="8"/>
    <tableColumn id="9" xr3:uid="{95475C2E-ABBB-4205-803C-D1581ADEC715}" uniqueName="9" name="mlp_test_acc" queryTableFieldId="9"/>
    <tableColumn id="10" xr3:uid="{E8B22A19-4307-4597-B982-D469E125E1DE}" uniqueName="10" name="mlp_time_difference" queryTableFieldId="10"/>
    <tableColumn id="11" xr3:uid="{EFAAE8D9-53E8-4D28-9150-FD43166A83BF}" uniqueName="11" name="mlp_params" queryTableFieldId="11"/>
    <tableColumn id="12" xr3:uid="{F422E8B0-872D-48E0-9313-B686863A40E0}" uniqueName="12" name="mlp_no_layers" queryTableFieldId="12"/>
    <tableColumn id="13" xr3:uid="{9BBE2E74-BF17-4F33-ADD9-BDC88ACE217F}" uniqueName="13" name="mlp_width_layers" queryTableFieldId="13"/>
    <tableColumn id="14" xr3:uid="{381CCCC4-37C8-4FA1-8D95-0B438AD0C5AF}" uniqueName="14" name="mlp_test_acc2" queryTableFieldId="14"/>
    <tableColumn id="15" xr3:uid="{0CBE378A-A7DD-4C03-A5EF-7808289A8BE2}" uniqueName="15" name="mlp2_time_difference" queryTableFieldId="15"/>
    <tableColumn id="16" xr3:uid="{B4DBDE24-2BFB-4223-9A96-B536EA65F779}" uniqueName="16" name="mlp_params2" queryTableFieldId="16"/>
    <tableColumn id="17" xr3:uid="{E9715B08-425E-49FC-9A62-6EDC7A3C0CA5}" uniqueName="17" name="no_layers2" queryTableFieldId="17"/>
    <tableColumn id="18" xr3:uid="{B6D9E208-E6FC-47B7-9448-331796C52389}" uniqueName="18" name="width_layers2" queryTableFieldId="18"/>
    <tableColumn id="19" xr3:uid="{4BCD0B88-4939-4335-B9DA-62D3A314660D}" uniqueName="19" name="Column1" queryTableFieldId="19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946445-0DB8-4A30-A5A2-4AA9EDDDB243}" name="Cancer_doubles_final2" displayName="Cancer_doubles_final2" ref="A1:S1662" tableType="queryTable" totalsRowShown="0">
  <autoFilter ref="A1:S1662" xr:uid="{41946445-0DB8-4A30-A5A2-4AA9EDDDB243}">
    <filterColumn colId="1">
      <filters>
        <filter val="3"/>
      </filters>
    </filterColumn>
    <filterColumn colId="2">
      <filters>
        <filter val="5"/>
      </filters>
    </filterColumn>
  </autoFilter>
  <sortState xmlns:xlrd2="http://schemas.microsoft.com/office/spreadsheetml/2017/richdata2" ref="A2:S1662">
    <sortCondition ref="F1:F1662"/>
  </sortState>
  <tableColumns count="19">
    <tableColumn id="1" xr3:uid="{B0197DD6-D919-42DB-B6D9-AC30EDB3282E}" uniqueName="1" name="dataset_name" queryTableFieldId="1" dataDxfId="8"/>
    <tableColumn id="2" xr3:uid="{93934157-C105-43F9-9341-E7AC4869944A}" uniqueName="2" name="kan_grid" queryTableFieldId="2"/>
    <tableColumn id="3" xr3:uid="{BBC73D18-7142-4EEC-9966-1ADF7A3661A5}" uniqueName="3" name="kan_degree" queryTableFieldId="3"/>
    <tableColumn id="4" xr3:uid="{E15F5A94-1589-4E5E-8EF1-65642F6F64C8}" uniqueName="4" name="kan_lam" queryTableFieldId="4"/>
    <tableColumn id="5" xr3:uid="{A7F18C1A-2482-470B-A9E0-2761F976BB6E}" uniqueName="5" name="kan_width" queryTableFieldId="5" dataDxfId="7"/>
    <tableColumn id="6" xr3:uid="{7AF55823-DD27-4C6E-A823-B4A1F179467A}" uniqueName="6" name="kan_params" queryTableFieldId="6"/>
    <tableColumn id="7" xr3:uid="{92E6606E-D5D9-4B87-9EFF-E204FBB8A34B}" uniqueName="7" name="kan_time_difference" queryTableFieldId="7"/>
    <tableColumn id="8" xr3:uid="{F14C80D8-327F-4FDE-B484-E74888D796A1}" uniqueName="8" name="kan_test_acc" queryTableFieldId="8"/>
    <tableColumn id="9" xr3:uid="{64AF342A-656F-4932-A637-281F635118B0}" uniqueName="9" name="mlp_test_acc" queryTableFieldId="9"/>
    <tableColumn id="10" xr3:uid="{CA5404E0-8F21-4AED-8626-C474678B4EAE}" uniqueName="10" name="mlp_time_difference" queryTableFieldId="10"/>
    <tableColumn id="11" xr3:uid="{80F5E4BD-8278-4710-BCB2-FCFB3DD2125E}" uniqueName="11" name="mlp_params" queryTableFieldId="11"/>
    <tableColumn id="12" xr3:uid="{970EEFC1-9CAC-4C8B-AB53-A7AE65ABBDBE}" uniqueName="12" name="mlp_no_layers" queryTableFieldId="12"/>
    <tableColumn id="13" xr3:uid="{82E3F377-6445-4376-96B9-92FDB87811B0}" uniqueName="13" name="mlp_width_layers" queryTableFieldId="13"/>
    <tableColumn id="14" xr3:uid="{EDBA0271-7300-41E5-B4F9-6753E7F55F6E}" uniqueName="14" name="mlp_test_acc2" queryTableFieldId="14"/>
    <tableColumn id="15" xr3:uid="{6A5168CF-1253-48B4-BE34-127EAF0BE535}" uniqueName="15" name="mlp2_time_difference" queryTableFieldId="15"/>
    <tableColumn id="16" xr3:uid="{9C38195E-F869-4482-8059-E9D1FA6ACE12}" uniqueName="16" name="mlp_params2" queryTableFieldId="16"/>
    <tableColumn id="17" xr3:uid="{BF9029C7-0AB2-498B-9AEF-D0A57D72BD91}" uniqueName="17" name="no_layers2" queryTableFieldId="17"/>
    <tableColumn id="18" xr3:uid="{E3AED11F-E7B6-47A3-8042-84BDC020CF60}" uniqueName="18" name="width_layers2" queryTableFieldId="18"/>
    <tableColumn id="19" xr3:uid="{BD4F97E1-3ED8-47CB-9859-29E9AF5E91EC}" uniqueName="19" name="Column1" queryTableFieldId="19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1E43E8-1EF9-451C-9B75-8C2A949D4E77}" name="digits_presorted" displayName="digits_presorted" ref="A1:S474" tableType="queryTable" totalsRowShown="0">
  <autoFilter ref="A1:S474" xr:uid="{C61E43E8-1EF9-451C-9B75-8C2A949D4E77}"/>
  <tableColumns count="19">
    <tableColumn id="1" xr3:uid="{43360144-4880-465B-ABCC-E5279A77B90C}" uniqueName="1" name="Column1" queryTableFieldId="1" dataDxfId="5"/>
    <tableColumn id="2" xr3:uid="{2820CB02-1BC2-45AA-8AA7-CA5CE6CD5A01}" uniqueName="2" name="Column2" queryTableFieldId="2"/>
    <tableColumn id="3" xr3:uid="{B9C64700-23AC-4486-8BCC-1E9BCBAFF199}" uniqueName="3" name="Column3" queryTableFieldId="3"/>
    <tableColumn id="4" xr3:uid="{D4B309E6-1C4E-4765-8D0B-236264F1CF2A}" uniqueName="4" name="Column4" queryTableFieldId="4"/>
    <tableColumn id="5" xr3:uid="{FC6E0CD7-39B0-4380-97BB-4A29240C4BCF}" uniqueName="5" name="Column5" queryTableFieldId="5" dataDxfId="4"/>
    <tableColumn id="6" xr3:uid="{541FD7AF-2F9F-48E3-80E1-3E0950C6DACE}" uniqueName="6" name="Column6" queryTableFieldId="6"/>
    <tableColumn id="7" xr3:uid="{441D3C05-A854-47E6-9AB7-983008A9F3DD}" uniqueName="7" name="Column7" queryTableFieldId="7"/>
    <tableColumn id="8" xr3:uid="{6CE09848-164E-4F63-8720-64F8BAD79768}" uniqueName="8" name="Column8" queryTableFieldId="8"/>
    <tableColumn id="9" xr3:uid="{1D4D1957-45AA-4286-8AD7-73F5ACBB2A4A}" uniqueName="9" name="Column9" queryTableFieldId="9"/>
    <tableColumn id="10" xr3:uid="{2D520C1A-1370-4805-B351-3EE516853B24}" uniqueName="10" name="Column10" queryTableFieldId="10"/>
    <tableColumn id="11" xr3:uid="{C4FBC9A1-DB3C-4824-9E40-76DBA96B4B2D}" uniqueName="11" name="Column11" queryTableFieldId="11"/>
    <tableColumn id="12" xr3:uid="{DEB3BE88-62C2-4139-BB2E-7853D5D04816}" uniqueName="12" name="Column12" queryTableFieldId="12"/>
    <tableColumn id="13" xr3:uid="{80D87A9D-CBB6-42CD-B773-5FE1F80FDC0A}" uniqueName="13" name="Column13" queryTableFieldId="13"/>
    <tableColumn id="14" xr3:uid="{CED53215-2030-400D-9B7C-3DB9C239E941}" uniqueName="14" name="Column14" queryTableFieldId="14"/>
    <tableColumn id="15" xr3:uid="{DD19C3EC-E83C-4DB7-81B5-6915BA62CA55}" uniqueName="15" name="Column15" queryTableFieldId="15"/>
    <tableColumn id="16" xr3:uid="{1220763D-C3E8-4233-91AC-B75456096B69}" uniqueName="16" name="Column16" queryTableFieldId="16"/>
    <tableColumn id="17" xr3:uid="{F9B4E605-CBF5-4661-9269-E3D0188399BE}" uniqueName="17" name="Column17" queryTableFieldId="17"/>
    <tableColumn id="18" xr3:uid="{89635DCC-08A4-4F86-91EB-75EB5BB3A5BB}" uniqueName="18" name="Column18" queryTableFieldId="18"/>
    <tableColumn id="19" xr3:uid="{271681C2-4185-4078-A75F-6C4D0EF4CD07}" uniqueName="19" name="Column19" queryTableFieldId="19" dataDxf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1032B9-A6DA-4B0E-B0F5-CA170DB157E1}" name="Digits_pres_final" displayName="Digits_pres_final" ref="A1:S461" tableType="queryTable" totalsRowShown="0">
  <autoFilter ref="A1:S461" xr:uid="{401032B9-A6DA-4B0E-B0F5-CA170DB157E1}">
    <filterColumn colId="2">
      <filters>
        <filter val="4"/>
      </filters>
    </filterColumn>
  </autoFilter>
  <sortState xmlns:xlrd2="http://schemas.microsoft.com/office/spreadsheetml/2017/richdata2" ref="A2:S461">
    <sortCondition ref="F1:F461"/>
  </sortState>
  <tableColumns count="19">
    <tableColumn id="1" xr3:uid="{564CB7C9-A93C-4480-8AEB-BF76CAC00B76}" uniqueName="1" name="dataset_name" queryTableFieldId="1" dataDxfId="2"/>
    <tableColumn id="2" xr3:uid="{A4CC191E-F554-4E01-9AAD-4FBF34E3F7D6}" uniqueName="2" name="kan_grid" queryTableFieldId="2"/>
    <tableColumn id="3" xr3:uid="{907966EE-8B88-46DA-8507-EB17ABF59187}" uniqueName="3" name="kan_degree" queryTableFieldId="3"/>
    <tableColumn id="4" xr3:uid="{BFF4AC4A-7528-4DD1-9DD4-F9ABDBF92C2A}" uniqueName="4" name="kan_lam" queryTableFieldId="4"/>
    <tableColumn id="5" xr3:uid="{9C79CD7B-2C35-47D8-B42C-D5681DC71386}" uniqueName="5" name="kan_width" queryTableFieldId="5" dataDxfId="1"/>
    <tableColumn id="6" xr3:uid="{BBD40188-8D39-4559-9837-792E682E83AC}" uniqueName="6" name="kan_params" queryTableFieldId="6"/>
    <tableColumn id="7" xr3:uid="{0DD3F8EB-FC63-4ECB-BFFC-5F6BE4FEC073}" uniqueName="7" name="kan_time_difference" queryTableFieldId="7"/>
    <tableColumn id="8" xr3:uid="{951F0339-EF8A-42C9-B3B4-0A80733434AE}" uniqueName="8" name="kan_test_acc" queryTableFieldId="8"/>
    <tableColumn id="9" xr3:uid="{9A402EC1-C137-4618-9C5C-DAF7ABF29552}" uniqueName="9" name="mlp_test_acc" queryTableFieldId="9"/>
    <tableColumn id="10" xr3:uid="{696655E2-B5CC-4DF4-BD0D-2BADE8A30810}" uniqueName="10" name="mlp_time_difference" queryTableFieldId="10"/>
    <tableColumn id="11" xr3:uid="{1F1BF02C-56F0-47A6-BDE7-54198F1BCE7F}" uniqueName="11" name="mlp_params" queryTableFieldId="11"/>
    <tableColumn id="12" xr3:uid="{8E4CF431-946C-4A01-8C2D-D7C9075287EC}" uniqueName="12" name="mlp_no_layers" queryTableFieldId="12"/>
    <tableColumn id="13" xr3:uid="{60B54349-27EC-446F-9163-20DD089D1E68}" uniqueName="13" name="mlp_width_layers" queryTableFieldId="13"/>
    <tableColumn id="14" xr3:uid="{CF16656E-1E2B-4441-A706-E14BF56C8A6E}" uniqueName="14" name="mlp_test_acc2" queryTableFieldId="14"/>
    <tableColumn id="15" xr3:uid="{5E7E3818-5EA1-40E6-AAF3-82515439EB3C}" uniqueName="15" name="mlp2_time_difference" queryTableFieldId="15"/>
    <tableColumn id="16" xr3:uid="{E56A90CE-0690-44BF-AA71-135769028A34}" uniqueName="16" name="mlp_params2" queryTableFieldId="16"/>
    <tableColumn id="17" xr3:uid="{D449811B-B7FB-427C-8488-21CE1DA1E46C}" uniqueName="17" name="no_layers2" queryTableFieldId="17"/>
    <tableColumn id="18" xr3:uid="{46783A15-06FC-4953-BA51-498AAC2D6C32}" uniqueName="18" name="width_layers2" queryTableFieldId="18"/>
    <tableColumn id="19" xr3:uid="{F4BF5814-A84C-4611-BD80-5E178E069CE3}" uniqueName="19" name="Column1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DAEC5-1A36-4DB1-9245-7350D4834F08}">
  <dimension ref="A1:T10"/>
  <sheetViews>
    <sheetView zoomScaleNormal="100" workbookViewId="0">
      <selection activeCell="J16" sqref="J16"/>
    </sheetView>
  </sheetViews>
  <sheetFormatPr defaultRowHeight="15" x14ac:dyDescent="0.25"/>
  <cols>
    <col min="1" max="5" width="11.42578125" bestFit="1" customWidth="1"/>
    <col min="6" max="6" width="13.28515625" bestFit="1" customWidth="1"/>
    <col min="7" max="7" width="11.42578125" bestFit="1" customWidth="1"/>
    <col min="8" max="9" width="12" bestFit="1" customWidth="1"/>
    <col min="10" max="19" width="12.42578125" bestFit="1" customWidth="1"/>
    <col min="20" max="20" width="18.42578125" bestFit="1" customWidth="1"/>
  </cols>
  <sheetData>
    <row r="1" spans="1:20" x14ac:dyDescent="0.25">
      <c r="A1" t="s">
        <v>0</v>
      </c>
      <c r="B1" t="s">
        <v>2931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 t="s">
        <v>2914</v>
      </c>
      <c r="B2">
        <v>8</v>
      </c>
      <c r="C2">
        <v>3</v>
      </c>
      <c r="D2">
        <v>2</v>
      </c>
      <c r="E2">
        <v>0</v>
      </c>
      <c r="F2" t="s">
        <v>2930</v>
      </c>
      <c r="G2">
        <v>4078</v>
      </c>
      <c r="H2">
        <v>7412718442</v>
      </c>
      <c r="I2">
        <v>0.84860000014305115</v>
      </c>
      <c r="J2">
        <v>0.66595000000000004</v>
      </c>
      <c r="K2">
        <v>56985342.5</v>
      </c>
      <c r="L2">
        <v>4000</v>
      </c>
      <c r="M2">
        <v>2</v>
      </c>
      <c r="N2">
        <v>38</v>
      </c>
      <c r="O2">
        <v>0.63634999999999997</v>
      </c>
      <c r="P2">
        <v>57560610.5</v>
      </c>
      <c r="Q2">
        <v>4183</v>
      </c>
      <c r="R2">
        <v>2</v>
      </c>
      <c r="S2">
        <v>39</v>
      </c>
      <c r="T2" t="s">
        <v>2929</v>
      </c>
    </row>
    <row r="3" spans="1:20" x14ac:dyDescent="0.25">
      <c r="A3" t="s">
        <v>2914</v>
      </c>
      <c r="B3">
        <v>8</v>
      </c>
      <c r="C3">
        <v>3</v>
      </c>
      <c r="D3">
        <v>2</v>
      </c>
      <c r="E3">
        <v>0</v>
      </c>
      <c r="F3" t="s">
        <v>2928</v>
      </c>
      <c r="G3">
        <v>8778</v>
      </c>
      <c r="H3">
        <v>16476942664</v>
      </c>
      <c r="I3">
        <v>0.84549999237060547</v>
      </c>
      <c r="J3">
        <v>0.66549999999999998</v>
      </c>
      <c r="K3">
        <v>68378613.5</v>
      </c>
      <c r="L3">
        <v>8683</v>
      </c>
      <c r="M3">
        <v>2</v>
      </c>
      <c r="N3">
        <v>59</v>
      </c>
      <c r="O3">
        <v>0.63735000000000008</v>
      </c>
      <c r="P3">
        <v>67307603.5</v>
      </c>
      <c r="Q3">
        <v>8950</v>
      </c>
      <c r="R3">
        <v>2</v>
      </c>
      <c r="S3">
        <v>60</v>
      </c>
      <c r="T3" t="s">
        <v>2927</v>
      </c>
    </row>
    <row r="4" spans="1:20" x14ac:dyDescent="0.25">
      <c r="A4" t="s">
        <v>2914</v>
      </c>
      <c r="B4">
        <v>8</v>
      </c>
      <c r="C4">
        <v>3</v>
      </c>
      <c r="D4">
        <v>2</v>
      </c>
      <c r="E4">
        <v>0</v>
      </c>
      <c r="F4" t="s">
        <v>2926</v>
      </c>
      <c r="G4">
        <v>10473</v>
      </c>
      <c r="H4">
        <v>15378111218</v>
      </c>
      <c r="I4">
        <v>0.85529999434947968</v>
      </c>
      <c r="J4">
        <v>0.64234999999999998</v>
      </c>
      <c r="K4">
        <v>57488234.75</v>
      </c>
      <c r="L4">
        <v>10345</v>
      </c>
      <c r="M4">
        <v>2</v>
      </c>
      <c r="N4">
        <v>65</v>
      </c>
      <c r="O4">
        <v>0.64877499999999999</v>
      </c>
      <c r="P4">
        <v>55776381</v>
      </c>
      <c r="Q4">
        <v>10636</v>
      </c>
      <c r="R4">
        <v>2</v>
      </c>
      <c r="S4">
        <v>66</v>
      </c>
      <c r="T4" t="s">
        <v>2925</v>
      </c>
    </row>
    <row r="5" spans="1:20" x14ac:dyDescent="0.25">
      <c r="A5" t="s">
        <v>2914</v>
      </c>
      <c r="B5">
        <v>8</v>
      </c>
      <c r="C5">
        <v>3</v>
      </c>
      <c r="D5">
        <v>2</v>
      </c>
      <c r="E5">
        <v>0</v>
      </c>
      <c r="F5" t="s">
        <v>2924</v>
      </c>
      <c r="G5">
        <v>12168</v>
      </c>
      <c r="H5">
        <v>16382067700</v>
      </c>
      <c r="I5">
        <v>0.85319998860359192</v>
      </c>
      <c r="J5">
        <v>0.64284999999999992</v>
      </c>
      <c r="K5">
        <v>56477644.5</v>
      </c>
      <c r="L5">
        <v>12151</v>
      </c>
      <c r="M5">
        <v>2</v>
      </c>
      <c r="N5">
        <v>71</v>
      </c>
      <c r="O5">
        <v>0.6342000000000001</v>
      </c>
      <c r="P5">
        <v>58079385.5</v>
      </c>
      <c r="Q5">
        <v>12466</v>
      </c>
      <c r="R5">
        <v>2</v>
      </c>
      <c r="S5">
        <v>72</v>
      </c>
      <c r="T5" t="s">
        <v>2923</v>
      </c>
    </row>
    <row r="6" spans="1:20" x14ac:dyDescent="0.25">
      <c r="A6" t="s">
        <v>2914</v>
      </c>
      <c r="B6">
        <v>8</v>
      </c>
      <c r="C6">
        <v>3</v>
      </c>
      <c r="D6">
        <v>2</v>
      </c>
      <c r="E6">
        <v>0</v>
      </c>
      <c r="F6" t="s">
        <v>2922</v>
      </c>
      <c r="G6">
        <v>13863</v>
      </c>
      <c r="H6">
        <v>10262077656.5</v>
      </c>
      <c r="I6">
        <v>0.84212499856948853</v>
      </c>
      <c r="J6">
        <v>0.62122499999999992</v>
      </c>
      <c r="K6">
        <v>50559376</v>
      </c>
      <c r="L6">
        <v>13766</v>
      </c>
      <c r="M6">
        <v>2</v>
      </c>
      <c r="N6">
        <v>76</v>
      </c>
      <c r="O6">
        <v>0.62955000000000005</v>
      </c>
      <c r="P6">
        <v>51420180.25</v>
      </c>
      <c r="Q6">
        <v>14101</v>
      </c>
      <c r="R6">
        <v>2</v>
      </c>
      <c r="S6">
        <v>77</v>
      </c>
      <c r="T6" t="s">
        <v>2921</v>
      </c>
    </row>
    <row r="7" spans="1:20" x14ac:dyDescent="0.25">
      <c r="A7" t="s">
        <v>2914</v>
      </c>
      <c r="B7">
        <v>8</v>
      </c>
      <c r="C7">
        <v>3</v>
      </c>
      <c r="D7">
        <v>2</v>
      </c>
      <c r="E7">
        <v>0</v>
      </c>
      <c r="F7" t="s">
        <v>2920</v>
      </c>
      <c r="G7">
        <v>5773</v>
      </c>
      <c r="H7">
        <v>8774587205.5</v>
      </c>
      <c r="I7">
        <v>0.86439999938011169</v>
      </c>
      <c r="J7">
        <v>0.64859999999999995</v>
      </c>
      <c r="K7">
        <v>59377872.75</v>
      </c>
      <c r="L7">
        <v>5576</v>
      </c>
      <c r="M7">
        <v>2</v>
      </c>
      <c r="N7">
        <v>46</v>
      </c>
      <c r="O7">
        <v>0.627</v>
      </c>
      <c r="P7">
        <v>59870406.75</v>
      </c>
      <c r="Q7">
        <v>5791</v>
      </c>
      <c r="R7">
        <v>2</v>
      </c>
      <c r="S7">
        <v>47</v>
      </c>
      <c r="T7" t="s">
        <v>2919</v>
      </c>
    </row>
    <row r="8" spans="1:20" x14ac:dyDescent="0.25">
      <c r="A8" t="s">
        <v>2914</v>
      </c>
      <c r="B8">
        <v>8</v>
      </c>
      <c r="C8">
        <v>3</v>
      </c>
      <c r="D8">
        <v>2</v>
      </c>
      <c r="E8">
        <v>0</v>
      </c>
      <c r="F8" t="s">
        <v>2918</v>
      </c>
      <c r="G8">
        <v>7468</v>
      </c>
      <c r="H8">
        <v>8027535131</v>
      </c>
      <c r="I8">
        <v>0.88003333409627282</v>
      </c>
      <c r="J8">
        <v>0.6532</v>
      </c>
      <c r="K8">
        <v>43422126</v>
      </c>
      <c r="L8">
        <v>7408</v>
      </c>
      <c r="M8">
        <v>2</v>
      </c>
      <c r="N8">
        <v>54</v>
      </c>
      <c r="O8">
        <v>0.62660000000000005</v>
      </c>
      <c r="P8">
        <v>45699277</v>
      </c>
      <c r="Q8">
        <v>7655</v>
      </c>
      <c r="R8">
        <v>2</v>
      </c>
      <c r="S8">
        <v>55</v>
      </c>
      <c r="T8" t="s">
        <v>2917</v>
      </c>
    </row>
    <row r="9" spans="1:20" x14ac:dyDescent="0.25">
      <c r="A9" t="s">
        <v>2914</v>
      </c>
      <c r="B9">
        <v>8</v>
      </c>
      <c r="C9">
        <v>3</v>
      </c>
      <c r="D9">
        <v>2</v>
      </c>
      <c r="E9">
        <v>0</v>
      </c>
      <c r="F9" t="s">
        <v>2916</v>
      </c>
      <c r="G9">
        <v>9163</v>
      </c>
      <c r="H9">
        <v>13173379195.75</v>
      </c>
      <c r="I9">
        <v>0.87702500820159912</v>
      </c>
      <c r="J9">
        <v>0.64949999999999997</v>
      </c>
      <c r="K9">
        <v>46582895.25</v>
      </c>
      <c r="L9">
        <v>8950</v>
      </c>
      <c r="M9">
        <v>2</v>
      </c>
      <c r="N9">
        <v>60</v>
      </c>
      <c r="O9">
        <v>0.66172500000000001</v>
      </c>
      <c r="P9">
        <v>46865039.75</v>
      </c>
      <c r="Q9">
        <v>9221</v>
      </c>
      <c r="R9">
        <v>2</v>
      </c>
      <c r="S9">
        <v>61</v>
      </c>
      <c r="T9" t="s">
        <v>2915</v>
      </c>
    </row>
    <row r="10" spans="1:20" x14ac:dyDescent="0.25">
      <c r="A10" t="s">
        <v>2914</v>
      </c>
      <c r="B10">
        <v>8</v>
      </c>
      <c r="C10">
        <v>3</v>
      </c>
      <c r="D10">
        <v>2</v>
      </c>
      <c r="E10">
        <v>0</v>
      </c>
      <c r="F10" t="s">
        <v>2913</v>
      </c>
      <c r="G10">
        <v>10858</v>
      </c>
      <c r="H10">
        <v>19717771174</v>
      </c>
      <c r="I10">
        <v>0.8867499828338623</v>
      </c>
      <c r="J10">
        <v>0.70124999999999993</v>
      </c>
      <c r="K10">
        <v>97988779.5</v>
      </c>
      <c r="L10">
        <v>10636</v>
      </c>
      <c r="M10">
        <v>2</v>
      </c>
      <c r="N10">
        <v>66</v>
      </c>
      <c r="O10">
        <v>0.70035000000000003</v>
      </c>
      <c r="P10">
        <v>93833976.5</v>
      </c>
      <c r="Q10">
        <v>10931</v>
      </c>
      <c r="R10">
        <v>2</v>
      </c>
      <c r="S10">
        <v>67</v>
      </c>
      <c r="T10" t="s">
        <v>2912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2D3F1-71FD-4FDC-85DB-07FBEEB51A79}">
  <dimension ref="A1:S22"/>
  <sheetViews>
    <sheetView workbookViewId="0">
      <selection activeCell="F22" sqref="F3:F22"/>
    </sheetView>
  </sheetViews>
  <sheetFormatPr defaultRowHeight="15" x14ac:dyDescent="0.25"/>
  <cols>
    <col min="1" max="5" width="11.42578125" bestFit="1" customWidth="1"/>
    <col min="6" max="6" width="13.28515625" bestFit="1" customWidth="1"/>
    <col min="7" max="7" width="11.42578125" bestFit="1" customWidth="1"/>
    <col min="8" max="9" width="12" bestFit="1" customWidth="1"/>
    <col min="10" max="19" width="12.42578125" bestFit="1" customWidth="1"/>
  </cols>
  <sheetData>
    <row r="1" spans="1:19" x14ac:dyDescent="0.25">
      <c r="A1" t="s">
        <v>0</v>
      </c>
      <c r="B1" t="s">
        <v>3407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2914</v>
      </c>
      <c r="B2">
        <v>8</v>
      </c>
      <c r="C2">
        <v>3</v>
      </c>
      <c r="D2">
        <v>2</v>
      </c>
      <c r="E2">
        <v>0</v>
      </c>
      <c r="F2" t="s">
        <v>3406</v>
      </c>
      <c r="G2">
        <v>40622</v>
      </c>
      <c r="H2">
        <v>30269940128</v>
      </c>
      <c r="I2">
        <v>0.89819997549057007</v>
      </c>
      <c r="J2">
        <v>0.76910000000000001</v>
      </c>
      <c r="K2">
        <v>153350099</v>
      </c>
      <c r="L2">
        <v>40269</v>
      </c>
      <c r="M2">
        <v>2</v>
      </c>
      <c r="N2">
        <v>127</v>
      </c>
      <c r="O2">
        <v>0.74339999999999995</v>
      </c>
      <c r="P2">
        <v>146643675</v>
      </c>
      <c r="Q2">
        <v>40842</v>
      </c>
      <c r="R2">
        <v>2</v>
      </c>
      <c r="S2">
        <v>128</v>
      </c>
    </row>
    <row r="3" spans="1:19" x14ac:dyDescent="0.25">
      <c r="A3" t="s">
        <v>2914</v>
      </c>
      <c r="B3">
        <v>8</v>
      </c>
      <c r="C3">
        <v>3</v>
      </c>
      <c r="D3">
        <v>2</v>
      </c>
      <c r="E3">
        <v>0</v>
      </c>
      <c r="F3" t="s">
        <v>2916</v>
      </c>
      <c r="G3">
        <v>9163</v>
      </c>
      <c r="H3">
        <v>3995746590</v>
      </c>
      <c r="I3">
        <v>0.88200002908706665</v>
      </c>
      <c r="J3">
        <v>0.62549999999999994</v>
      </c>
      <c r="K3">
        <v>37535841</v>
      </c>
      <c r="L3">
        <v>8950</v>
      </c>
      <c r="M3">
        <v>2</v>
      </c>
      <c r="N3">
        <v>60</v>
      </c>
      <c r="O3">
        <v>0.65280000000000005</v>
      </c>
      <c r="P3">
        <v>37192341</v>
      </c>
      <c r="Q3">
        <v>9221</v>
      </c>
      <c r="R3">
        <v>2</v>
      </c>
      <c r="S3">
        <v>61</v>
      </c>
    </row>
    <row r="4" spans="1:19" x14ac:dyDescent="0.25">
      <c r="A4" t="s">
        <v>2914</v>
      </c>
      <c r="B4">
        <v>8</v>
      </c>
      <c r="C4">
        <v>3</v>
      </c>
      <c r="D4">
        <v>2</v>
      </c>
      <c r="E4">
        <v>0</v>
      </c>
      <c r="F4" t="s">
        <v>2916</v>
      </c>
      <c r="G4">
        <v>9163</v>
      </c>
      <c r="H4">
        <v>8069330818</v>
      </c>
      <c r="I4">
        <v>0.88099998235702515</v>
      </c>
      <c r="J4">
        <v>0.65600000000000003</v>
      </c>
      <c r="K4">
        <v>35378552</v>
      </c>
      <c r="L4">
        <v>8950</v>
      </c>
      <c r="M4">
        <v>2</v>
      </c>
      <c r="N4">
        <v>60</v>
      </c>
      <c r="O4">
        <v>0.62890000000000001</v>
      </c>
      <c r="P4">
        <v>35594376</v>
      </c>
      <c r="Q4">
        <v>9221</v>
      </c>
      <c r="R4">
        <v>2</v>
      </c>
      <c r="S4">
        <v>61</v>
      </c>
    </row>
    <row r="5" spans="1:19" x14ac:dyDescent="0.25">
      <c r="A5" t="s">
        <v>2914</v>
      </c>
      <c r="B5">
        <v>8</v>
      </c>
      <c r="C5">
        <v>3</v>
      </c>
      <c r="D5">
        <v>2</v>
      </c>
      <c r="E5">
        <v>0</v>
      </c>
      <c r="F5" t="s">
        <v>2913</v>
      </c>
      <c r="G5">
        <v>10858</v>
      </c>
      <c r="H5">
        <v>9165602220</v>
      </c>
      <c r="I5">
        <v>0.87529999017715454</v>
      </c>
      <c r="J5">
        <v>0.63339999999999996</v>
      </c>
      <c r="K5">
        <v>42627460</v>
      </c>
      <c r="L5">
        <v>10636</v>
      </c>
      <c r="M5">
        <v>2</v>
      </c>
      <c r="N5">
        <v>66</v>
      </c>
      <c r="O5">
        <v>0.6573</v>
      </c>
      <c r="P5">
        <v>41024278</v>
      </c>
      <c r="Q5">
        <v>10931</v>
      </c>
      <c r="R5">
        <v>2</v>
      </c>
      <c r="S5">
        <v>67</v>
      </c>
    </row>
    <row r="6" spans="1:19" x14ac:dyDescent="0.25">
      <c r="A6" t="s">
        <v>2914</v>
      </c>
      <c r="B6">
        <v>8</v>
      </c>
      <c r="C6">
        <v>3</v>
      </c>
      <c r="D6">
        <v>2</v>
      </c>
      <c r="E6">
        <v>0</v>
      </c>
      <c r="F6" t="s">
        <v>2913</v>
      </c>
      <c r="G6">
        <v>10858</v>
      </c>
      <c r="H6">
        <v>8601168226</v>
      </c>
      <c r="I6">
        <v>0.87730002403259277</v>
      </c>
      <c r="J6">
        <v>0.67810000000000004</v>
      </c>
      <c r="K6">
        <v>39810124</v>
      </c>
      <c r="L6">
        <v>10636</v>
      </c>
      <c r="M6">
        <v>2</v>
      </c>
      <c r="N6">
        <v>66</v>
      </c>
      <c r="O6">
        <v>0.66449999999999998</v>
      </c>
      <c r="P6">
        <v>38177369</v>
      </c>
      <c r="Q6">
        <v>10931</v>
      </c>
      <c r="R6">
        <v>2</v>
      </c>
      <c r="S6">
        <v>67</v>
      </c>
    </row>
    <row r="7" spans="1:19" x14ac:dyDescent="0.25">
      <c r="A7" t="s">
        <v>2914</v>
      </c>
      <c r="B7">
        <v>8</v>
      </c>
      <c r="C7">
        <v>3</v>
      </c>
      <c r="D7">
        <v>2</v>
      </c>
      <c r="E7">
        <v>0</v>
      </c>
      <c r="F7" t="s">
        <v>2926</v>
      </c>
      <c r="G7">
        <v>10473</v>
      </c>
      <c r="H7">
        <v>21526310524</v>
      </c>
      <c r="I7">
        <v>0.84689998626708984</v>
      </c>
      <c r="J7">
        <v>0.65610000000000002</v>
      </c>
      <c r="K7">
        <v>69559224</v>
      </c>
      <c r="L7">
        <v>10345</v>
      </c>
      <c r="M7">
        <v>2</v>
      </c>
      <c r="N7">
        <v>65</v>
      </c>
      <c r="O7">
        <v>0.64480000000000004</v>
      </c>
      <c r="P7">
        <v>69061272</v>
      </c>
      <c r="Q7">
        <v>10636</v>
      </c>
      <c r="R7">
        <v>2</v>
      </c>
      <c r="S7">
        <v>66</v>
      </c>
    </row>
    <row r="8" spans="1:19" x14ac:dyDescent="0.25">
      <c r="A8" t="s">
        <v>2914</v>
      </c>
      <c r="B8">
        <v>8</v>
      </c>
      <c r="C8">
        <v>3</v>
      </c>
      <c r="D8">
        <v>2</v>
      </c>
      <c r="E8">
        <v>0</v>
      </c>
      <c r="F8" t="s">
        <v>2924</v>
      </c>
      <c r="G8">
        <v>12168</v>
      </c>
      <c r="H8">
        <v>16065159222</v>
      </c>
      <c r="I8">
        <v>0.85780000686645508</v>
      </c>
      <c r="J8">
        <v>0.66149999999999998</v>
      </c>
      <c r="K8">
        <v>68070012</v>
      </c>
      <c r="L8">
        <v>12151</v>
      </c>
      <c r="M8">
        <v>2</v>
      </c>
      <c r="N8">
        <v>71</v>
      </c>
      <c r="O8">
        <v>0.65880000000000005</v>
      </c>
      <c r="P8">
        <v>72680327</v>
      </c>
      <c r="Q8">
        <v>12466</v>
      </c>
      <c r="R8">
        <v>2</v>
      </c>
      <c r="S8">
        <v>72</v>
      </c>
    </row>
    <row r="9" spans="1:19" x14ac:dyDescent="0.25">
      <c r="A9" t="s">
        <v>2914</v>
      </c>
      <c r="B9">
        <v>8</v>
      </c>
      <c r="C9">
        <v>3</v>
      </c>
      <c r="D9">
        <v>2</v>
      </c>
      <c r="E9">
        <v>0</v>
      </c>
      <c r="F9" t="s">
        <v>2930</v>
      </c>
      <c r="G9">
        <v>4078</v>
      </c>
      <c r="H9">
        <v>3397862080</v>
      </c>
      <c r="I9">
        <v>0.8531000018119812</v>
      </c>
      <c r="J9">
        <v>0.65700000000000003</v>
      </c>
      <c r="K9">
        <v>46772682</v>
      </c>
      <c r="L9">
        <v>4000</v>
      </c>
      <c r="M9">
        <v>2</v>
      </c>
      <c r="N9">
        <v>38</v>
      </c>
      <c r="O9">
        <v>0.64280000000000004</v>
      </c>
      <c r="P9">
        <v>49567286</v>
      </c>
      <c r="Q9">
        <v>4183</v>
      </c>
      <c r="R9">
        <v>2</v>
      </c>
      <c r="S9">
        <v>39</v>
      </c>
    </row>
    <row r="10" spans="1:19" x14ac:dyDescent="0.25">
      <c r="A10" t="s">
        <v>2914</v>
      </c>
      <c r="B10">
        <v>8</v>
      </c>
      <c r="C10">
        <v>3</v>
      </c>
      <c r="D10">
        <v>2</v>
      </c>
      <c r="E10">
        <v>0</v>
      </c>
      <c r="F10" t="s">
        <v>2930</v>
      </c>
      <c r="G10">
        <v>4078</v>
      </c>
      <c r="H10">
        <v>6148738475</v>
      </c>
      <c r="I10">
        <v>0.85409998893737793</v>
      </c>
      <c r="J10">
        <v>0.61460000000000004</v>
      </c>
      <c r="K10">
        <v>47617463</v>
      </c>
      <c r="L10">
        <v>4000</v>
      </c>
      <c r="M10">
        <v>2</v>
      </c>
      <c r="N10">
        <v>38</v>
      </c>
      <c r="O10">
        <v>0.67969999999999997</v>
      </c>
      <c r="P10">
        <v>45625586</v>
      </c>
      <c r="Q10">
        <v>4183</v>
      </c>
      <c r="R10">
        <v>2</v>
      </c>
      <c r="S10">
        <v>39</v>
      </c>
    </row>
    <row r="11" spans="1:19" x14ac:dyDescent="0.25">
      <c r="A11" t="s">
        <v>2914</v>
      </c>
      <c r="B11">
        <v>8</v>
      </c>
      <c r="C11">
        <v>3</v>
      </c>
      <c r="D11">
        <v>2</v>
      </c>
      <c r="E11">
        <v>0</v>
      </c>
      <c r="F11" t="s">
        <v>2930</v>
      </c>
      <c r="G11">
        <v>4078</v>
      </c>
      <c r="H11">
        <v>6590383745</v>
      </c>
      <c r="I11">
        <v>0.85140001773834229</v>
      </c>
      <c r="J11">
        <v>0.68169999999999997</v>
      </c>
      <c r="K11">
        <v>48359196</v>
      </c>
      <c r="L11">
        <v>4000</v>
      </c>
      <c r="M11">
        <v>2</v>
      </c>
      <c r="N11">
        <v>38</v>
      </c>
      <c r="O11">
        <v>0.65369999999999995</v>
      </c>
      <c r="P11">
        <v>48702838</v>
      </c>
      <c r="Q11">
        <v>4183</v>
      </c>
      <c r="R11">
        <v>2</v>
      </c>
      <c r="S11">
        <v>39</v>
      </c>
    </row>
    <row r="12" spans="1:19" x14ac:dyDescent="0.25">
      <c r="A12" t="s">
        <v>2914</v>
      </c>
      <c r="B12">
        <v>8</v>
      </c>
      <c r="C12">
        <v>3</v>
      </c>
      <c r="D12">
        <v>2</v>
      </c>
      <c r="E12">
        <v>0</v>
      </c>
      <c r="F12" t="s">
        <v>2920</v>
      </c>
      <c r="G12">
        <v>5773</v>
      </c>
      <c r="H12">
        <v>7843165996</v>
      </c>
      <c r="I12">
        <v>0.83190000057220459</v>
      </c>
      <c r="J12">
        <v>0.65959999999999996</v>
      </c>
      <c r="K12">
        <v>52127651</v>
      </c>
      <c r="L12">
        <v>5576</v>
      </c>
      <c r="M12">
        <v>2</v>
      </c>
      <c r="N12">
        <v>46</v>
      </c>
      <c r="O12">
        <v>0.6069</v>
      </c>
      <c r="P12">
        <v>53727627</v>
      </c>
      <c r="Q12">
        <v>5791</v>
      </c>
      <c r="R12">
        <v>2</v>
      </c>
      <c r="S12">
        <v>47</v>
      </c>
    </row>
    <row r="13" spans="1:19" x14ac:dyDescent="0.25">
      <c r="A13" t="s">
        <v>2914</v>
      </c>
      <c r="B13">
        <v>8</v>
      </c>
      <c r="C13">
        <v>3</v>
      </c>
      <c r="D13">
        <v>2</v>
      </c>
      <c r="E13">
        <v>0</v>
      </c>
      <c r="F13" t="s">
        <v>2920</v>
      </c>
      <c r="G13">
        <v>5773</v>
      </c>
      <c r="H13">
        <v>7965867011</v>
      </c>
      <c r="I13">
        <v>0.84240001440048218</v>
      </c>
      <c r="J13">
        <v>0.66569999999999996</v>
      </c>
      <c r="K13">
        <v>54374330</v>
      </c>
      <c r="L13">
        <v>5576</v>
      </c>
      <c r="M13">
        <v>2</v>
      </c>
      <c r="N13">
        <v>46</v>
      </c>
      <c r="O13">
        <v>0.67359999999999998</v>
      </c>
      <c r="P13">
        <v>51718597</v>
      </c>
      <c r="Q13">
        <v>5791</v>
      </c>
      <c r="R13">
        <v>2</v>
      </c>
      <c r="S13">
        <v>47</v>
      </c>
    </row>
    <row r="14" spans="1:19" x14ac:dyDescent="0.25">
      <c r="A14" t="s">
        <v>2914</v>
      </c>
      <c r="B14">
        <v>8</v>
      </c>
      <c r="C14">
        <v>3</v>
      </c>
      <c r="D14">
        <v>2</v>
      </c>
      <c r="E14">
        <v>0</v>
      </c>
      <c r="F14" t="s">
        <v>2920</v>
      </c>
      <c r="G14">
        <v>5773</v>
      </c>
      <c r="H14">
        <v>8540301441</v>
      </c>
      <c r="I14">
        <v>0.84560000896453857</v>
      </c>
      <c r="J14">
        <v>0.53539999999999999</v>
      </c>
      <c r="K14">
        <v>50850246</v>
      </c>
      <c r="L14">
        <v>5576</v>
      </c>
      <c r="M14">
        <v>2</v>
      </c>
      <c r="N14">
        <v>46</v>
      </c>
      <c r="O14">
        <v>0.62809999999999999</v>
      </c>
      <c r="P14">
        <v>56756053</v>
      </c>
      <c r="Q14">
        <v>5791</v>
      </c>
      <c r="R14">
        <v>2</v>
      </c>
      <c r="S14">
        <v>47</v>
      </c>
    </row>
    <row r="15" spans="1:19" x14ac:dyDescent="0.25">
      <c r="A15" t="s">
        <v>2914</v>
      </c>
      <c r="B15">
        <v>8</v>
      </c>
      <c r="C15">
        <v>3</v>
      </c>
      <c r="D15">
        <v>2</v>
      </c>
      <c r="E15">
        <v>0</v>
      </c>
      <c r="F15" t="s">
        <v>2918</v>
      </c>
      <c r="G15">
        <v>7468</v>
      </c>
      <c r="H15">
        <v>12017527985</v>
      </c>
      <c r="I15">
        <v>0.87709999084472656</v>
      </c>
      <c r="J15">
        <v>0.67810000000000004</v>
      </c>
      <c r="K15">
        <v>57351985</v>
      </c>
      <c r="L15">
        <v>7408</v>
      </c>
      <c r="M15">
        <v>2</v>
      </c>
      <c r="N15">
        <v>54</v>
      </c>
      <c r="O15">
        <v>0.59809999999999997</v>
      </c>
      <c r="P15">
        <v>64311114</v>
      </c>
      <c r="Q15">
        <v>7655</v>
      </c>
      <c r="R15">
        <v>2</v>
      </c>
      <c r="S15">
        <v>55</v>
      </c>
    </row>
    <row r="16" spans="1:19" x14ac:dyDescent="0.25">
      <c r="A16" t="s">
        <v>2914</v>
      </c>
      <c r="B16">
        <v>8</v>
      </c>
      <c r="C16">
        <v>3</v>
      </c>
      <c r="D16">
        <v>2</v>
      </c>
      <c r="E16">
        <v>0</v>
      </c>
      <c r="F16" t="s">
        <v>2918</v>
      </c>
      <c r="G16">
        <v>7468</v>
      </c>
      <c r="H16">
        <v>6365699268</v>
      </c>
      <c r="I16">
        <v>0.87379997968673706</v>
      </c>
      <c r="J16">
        <v>0.60599999999999998</v>
      </c>
      <c r="K16">
        <v>65761729</v>
      </c>
      <c r="L16">
        <v>7408</v>
      </c>
      <c r="M16">
        <v>2</v>
      </c>
      <c r="N16">
        <v>54</v>
      </c>
      <c r="O16">
        <v>0.64810000000000001</v>
      </c>
      <c r="P16">
        <v>61333135</v>
      </c>
      <c r="Q16">
        <v>7655</v>
      </c>
      <c r="R16">
        <v>2</v>
      </c>
      <c r="S16">
        <v>55</v>
      </c>
    </row>
    <row r="17" spans="1:19" x14ac:dyDescent="0.25">
      <c r="A17" t="s">
        <v>2914</v>
      </c>
      <c r="B17">
        <v>8</v>
      </c>
      <c r="C17">
        <v>3</v>
      </c>
      <c r="D17">
        <v>2</v>
      </c>
      <c r="E17">
        <v>0</v>
      </c>
      <c r="F17" t="s">
        <v>2918</v>
      </c>
      <c r="G17">
        <v>7468</v>
      </c>
      <c r="H17">
        <v>8871955573</v>
      </c>
      <c r="I17">
        <v>0.87480002641677856</v>
      </c>
      <c r="J17">
        <v>0.65069999999999995</v>
      </c>
      <c r="K17">
        <v>62270126</v>
      </c>
      <c r="L17">
        <v>7408</v>
      </c>
      <c r="M17">
        <v>2</v>
      </c>
      <c r="N17">
        <v>54</v>
      </c>
      <c r="O17">
        <v>0.65490000000000004</v>
      </c>
      <c r="P17">
        <v>60109751</v>
      </c>
      <c r="Q17">
        <v>7655</v>
      </c>
      <c r="R17">
        <v>2</v>
      </c>
      <c r="S17">
        <v>55</v>
      </c>
    </row>
    <row r="18" spans="1:19" x14ac:dyDescent="0.25">
      <c r="A18" t="s">
        <v>2914</v>
      </c>
      <c r="B18">
        <v>8</v>
      </c>
      <c r="C18">
        <v>3</v>
      </c>
      <c r="D18">
        <v>2</v>
      </c>
      <c r="E18">
        <v>0</v>
      </c>
      <c r="F18" t="s">
        <v>2913</v>
      </c>
      <c r="G18">
        <v>10858</v>
      </c>
      <c r="H18">
        <v>30930999747</v>
      </c>
      <c r="I18">
        <v>0.87349998950958252</v>
      </c>
      <c r="J18">
        <v>0.66100000000000003</v>
      </c>
      <c r="K18">
        <v>66358156</v>
      </c>
      <c r="L18">
        <v>10636</v>
      </c>
      <c r="M18">
        <v>2</v>
      </c>
      <c r="N18">
        <v>66</v>
      </c>
      <c r="O18">
        <v>0.67230000000000001</v>
      </c>
      <c r="P18">
        <v>71066171</v>
      </c>
      <c r="Q18">
        <v>10931</v>
      </c>
      <c r="R18">
        <v>2</v>
      </c>
      <c r="S18">
        <v>67</v>
      </c>
    </row>
    <row r="19" spans="1:19" x14ac:dyDescent="0.25">
      <c r="A19" t="s">
        <v>2914</v>
      </c>
      <c r="B19">
        <v>8</v>
      </c>
      <c r="C19">
        <v>3</v>
      </c>
      <c r="D19">
        <v>2</v>
      </c>
      <c r="E19">
        <v>0</v>
      </c>
      <c r="F19" t="s">
        <v>2928</v>
      </c>
      <c r="G19">
        <v>8778</v>
      </c>
      <c r="H19">
        <v>11427574804</v>
      </c>
      <c r="I19">
        <v>0.84409999847412109</v>
      </c>
      <c r="J19">
        <v>0.67490000000000006</v>
      </c>
      <c r="K19">
        <v>67198003</v>
      </c>
      <c r="L19">
        <v>8683</v>
      </c>
      <c r="M19">
        <v>2</v>
      </c>
      <c r="N19">
        <v>59</v>
      </c>
      <c r="O19">
        <v>0.62990000000000002</v>
      </c>
      <c r="P19">
        <v>65553935</v>
      </c>
      <c r="Q19">
        <v>8950</v>
      </c>
      <c r="R19">
        <v>2</v>
      </c>
      <c r="S19">
        <v>60</v>
      </c>
    </row>
    <row r="20" spans="1:19" x14ac:dyDescent="0.25">
      <c r="A20" t="s">
        <v>2914</v>
      </c>
      <c r="B20">
        <v>8</v>
      </c>
      <c r="C20">
        <v>3</v>
      </c>
      <c r="D20">
        <v>2</v>
      </c>
      <c r="E20">
        <v>0</v>
      </c>
      <c r="F20" t="s">
        <v>2924</v>
      </c>
      <c r="G20">
        <v>12168</v>
      </c>
      <c r="H20">
        <v>10471502098</v>
      </c>
      <c r="I20">
        <v>0.85710000991821289</v>
      </c>
      <c r="J20">
        <v>0.61939999999999995</v>
      </c>
      <c r="K20">
        <v>46947113</v>
      </c>
      <c r="L20">
        <v>12151</v>
      </c>
      <c r="M20">
        <v>2</v>
      </c>
      <c r="N20">
        <v>71</v>
      </c>
      <c r="O20">
        <v>0.65239999999999998</v>
      </c>
      <c r="P20">
        <v>40410331</v>
      </c>
      <c r="Q20">
        <v>12466</v>
      </c>
      <c r="R20">
        <v>2</v>
      </c>
      <c r="S20">
        <v>72</v>
      </c>
    </row>
    <row r="21" spans="1:19" x14ac:dyDescent="0.25">
      <c r="A21" t="s">
        <v>2914</v>
      </c>
      <c r="B21">
        <v>8</v>
      </c>
      <c r="C21">
        <v>3</v>
      </c>
      <c r="D21">
        <v>2</v>
      </c>
      <c r="E21">
        <v>0</v>
      </c>
      <c r="F21" t="s">
        <v>2924</v>
      </c>
      <c r="G21">
        <v>12168</v>
      </c>
      <c r="H21">
        <v>13449473028</v>
      </c>
      <c r="I21">
        <v>0.85939997434616089</v>
      </c>
      <c r="J21">
        <v>0.63239999999999996</v>
      </c>
      <c r="K21">
        <v>45376590</v>
      </c>
      <c r="L21">
        <v>12151</v>
      </c>
      <c r="M21">
        <v>2</v>
      </c>
      <c r="N21">
        <v>71</v>
      </c>
      <c r="O21">
        <v>0.6391</v>
      </c>
      <c r="P21">
        <v>40953594</v>
      </c>
      <c r="Q21">
        <v>12466</v>
      </c>
      <c r="R21">
        <v>2</v>
      </c>
      <c r="S21">
        <v>72</v>
      </c>
    </row>
    <row r="22" spans="1:19" x14ac:dyDescent="0.25">
      <c r="A22" t="s">
        <v>2914</v>
      </c>
      <c r="B22">
        <v>8</v>
      </c>
      <c r="C22">
        <v>3</v>
      </c>
      <c r="D22">
        <v>2</v>
      </c>
      <c r="E22">
        <v>0</v>
      </c>
      <c r="F22" t="s">
        <v>2922</v>
      </c>
      <c r="G22">
        <v>13863</v>
      </c>
      <c r="H22">
        <v>16698976178</v>
      </c>
      <c r="I22">
        <v>0.84859997034072876</v>
      </c>
      <c r="J22">
        <v>0.62419999999999998</v>
      </c>
      <c r="K22">
        <v>44885277</v>
      </c>
      <c r="L22">
        <v>13766</v>
      </c>
      <c r="M22">
        <v>2</v>
      </c>
      <c r="N22">
        <v>76</v>
      </c>
      <c r="O22">
        <v>0.60960000000000003</v>
      </c>
      <c r="P22">
        <v>43478444</v>
      </c>
      <c r="Q22">
        <v>14101</v>
      </c>
      <c r="R22">
        <v>2</v>
      </c>
      <c r="S22">
        <v>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CB42-B843-4321-92C5-53DAD9705C20}">
  <dimension ref="A1:BK228"/>
  <sheetViews>
    <sheetView zoomScale="85" zoomScaleNormal="85" workbookViewId="0">
      <selection activeCell="E3" sqref="E3:E12"/>
    </sheetView>
  </sheetViews>
  <sheetFormatPr defaultRowHeight="15" x14ac:dyDescent="0.25"/>
  <cols>
    <col min="1" max="6" width="11.42578125" bestFit="1" customWidth="1"/>
    <col min="7" max="9" width="12" bestFit="1" customWidth="1"/>
    <col min="10" max="10" width="12.42578125" bestFit="1" customWidth="1"/>
    <col min="11" max="12" width="12.42578125" hidden="1" customWidth="1"/>
    <col min="13" max="15" width="12.42578125" bestFit="1" customWidth="1"/>
    <col min="16" max="17" width="12.42578125" hidden="1" customWidth="1"/>
    <col min="18" max="18" width="12.42578125" bestFit="1" customWidth="1"/>
    <col min="19" max="19" width="15.28515625" hidden="1" customWidth="1"/>
    <col min="22" max="22" width="11.140625" bestFit="1" customWidth="1"/>
    <col min="23" max="23" width="12" bestFit="1" customWidth="1"/>
    <col min="24" max="24" width="13.7109375" bestFit="1" customWidth="1"/>
    <col min="25" max="25" width="12" bestFit="1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63" x14ac:dyDescent="0.25">
      <c r="A2" t="s">
        <v>2649</v>
      </c>
      <c r="B2">
        <v>3</v>
      </c>
      <c r="C2">
        <v>3</v>
      </c>
      <c r="D2">
        <v>0</v>
      </c>
      <c r="E2" t="s">
        <v>2739</v>
      </c>
      <c r="F2">
        <v>845</v>
      </c>
      <c r="G2">
        <v>3602283.125</v>
      </c>
      <c r="H2">
        <v>0.94078948348760605</v>
      </c>
      <c r="I2">
        <v>0.9375</v>
      </c>
      <c r="J2">
        <v>209627.75</v>
      </c>
      <c r="K2">
        <v>1395</v>
      </c>
      <c r="L2">
        <v>2</v>
      </c>
      <c r="M2">
        <v>24</v>
      </c>
      <c r="N2">
        <v>0.93256578947368418</v>
      </c>
      <c r="O2">
        <v>284364.25</v>
      </c>
      <c r="P2">
        <v>1503</v>
      </c>
      <c r="Q2">
        <v>2</v>
      </c>
      <c r="R2">
        <v>25</v>
      </c>
      <c r="S2" t="s">
        <v>2893</v>
      </c>
      <c r="BK2" t="s">
        <v>2932</v>
      </c>
    </row>
    <row r="3" spans="1:63" x14ac:dyDescent="0.25">
      <c r="A3" t="s">
        <v>2649</v>
      </c>
      <c r="B3">
        <v>3</v>
      </c>
      <c r="C3">
        <v>4</v>
      </c>
      <c r="D3">
        <v>0</v>
      </c>
      <c r="E3" t="s">
        <v>2739</v>
      </c>
      <c r="F3">
        <v>937</v>
      </c>
      <c r="G3">
        <v>4901539.0625</v>
      </c>
      <c r="H3">
        <v>0.92105264216661453</v>
      </c>
      <c r="I3">
        <v>0.92269736842105265</v>
      </c>
      <c r="J3">
        <v>215851.375</v>
      </c>
      <c r="K3">
        <v>1731</v>
      </c>
      <c r="L3">
        <v>2</v>
      </c>
      <c r="M3">
        <v>27</v>
      </c>
      <c r="N3">
        <v>0.93585526315789469</v>
      </c>
      <c r="O3">
        <v>337866.0625</v>
      </c>
      <c r="P3">
        <v>1851</v>
      </c>
      <c r="Q3">
        <v>2</v>
      </c>
      <c r="R3">
        <v>28</v>
      </c>
      <c r="S3" t="s">
        <v>2892</v>
      </c>
    </row>
    <row r="4" spans="1:63" x14ac:dyDescent="0.25">
      <c r="A4" t="s">
        <v>2649</v>
      </c>
      <c r="B4">
        <v>3</v>
      </c>
      <c r="C4">
        <v>5</v>
      </c>
      <c r="D4">
        <v>0</v>
      </c>
      <c r="E4" t="s">
        <v>2739</v>
      </c>
      <c r="F4">
        <v>1029</v>
      </c>
      <c r="G4">
        <v>6067309.8125</v>
      </c>
      <c r="H4">
        <v>0.87993421778082848</v>
      </c>
      <c r="I4">
        <v>0.92927631578947367</v>
      </c>
      <c r="J4">
        <v>406682.625</v>
      </c>
      <c r="K4">
        <v>1975</v>
      </c>
      <c r="L4">
        <v>2</v>
      </c>
      <c r="M4">
        <v>29</v>
      </c>
      <c r="N4">
        <v>0.92763157894736836</v>
      </c>
      <c r="O4">
        <v>339598.0625</v>
      </c>
      <c r="P4">
        <v>2103</v>
      </c>
      <c r="Q4">
        <v>2</v>
      </c>
      <c r="R4">
        <v>30</v>
      </c>
      <c r="S4" t="s">
        <v>2891</v>
      </c>
    </row>
    <row r="5" spans="1:63" x14ac:dyDescent="0.25">
      <c r="A5" t="s">
        <v>2649</v>
      </c>
      <c r="B5">
        <v>3</v>
      </c>
      <c r="C5">
        <v>2</v>
      </c>
      <c r="D5">
        <v>0</v>
      </c>
      <c r="E5" t="s">
        <v>2734</v>
      </c>
      <c r="F5">
        <v>963</v>
      </c>
      <c r="G5">
        <v>6795539.75</v>
      </c>
      <c r="H5">
        <v>0.82730263471603394</v>
      </c>
      <c r="I5">
        <v>0.93585526315789469</v>
      </c>
      <c r="J5">
        <v>424813.3125</v>
      </c>
      <c r="K5">
        <v>1503</v>
      </c>
      <c r="L5">
        <v>2</v>
      </c>
      <c r="M5">
        <v>25</v>
      </c>
      <c r="N5">
        <v>0.93092105263157887</v>
      </c>
      <c r="O5">
        <v>232182.5625</v>
      </c>
      <c r="P5">
        <v>1615</v>
      </c>
      <c r="Q5">
        <v>2</v>
      </c>
      <c r="R5">
        <v>26</v>
      </c>
      <c r="S5" t="s">
        <v>2890</v>
      </c>
    </row>
    <row r="6" spans="1:63" x14ac:dyDescent="0.25">
      <c r="A6" t="s">
        <v>2649</v>
      </c>
      <c r="B6">
        <v>3</v>
      </c>
      <c r="C6">
        <v>3</v>
      </c>
      <c r="D6">
        <v>0</v>
      </c>
      <c r="E6" t="s">
        <v>2734</v>
      </c>
      <c r="F6">
        <v>1081</v>
      </c>
      <c r="G6">
        <v>4115761.625</v>
      </c>
      <c r="H6">
        <v>0.94901316985487938</v>
      </c>
      <c r="I6">
        <v>0.9375</v>
      </c>
      <c r="J6">
        <v>256560.3125</v>
      </c>
      <c r="K6">
        <v>1851</v>
      </c>
      <c r="L6">
        <v>2</v>
      </c>
      <c r="M6">
        <v>28</v>
      </c>
      <c r="N6">
        <v>0.92434210526315785</v>
      </c>
      <c r="O6">
        <v>197967.3125</v>
      </c>
      <c r="P6">
        <v>1975</v>
      </c>
      <c r="Q6">
        <v>2</v>
      </c>
      <c r="R6">
        <v>29</v>
      </c>
      <c r="S6" t="s">
        <v>2889</v>
      </c>
    </row>
    <row r="7" spans="1:63" x14ac:dyDescent="0.25">
      <c r="A7" t="s">
        <v>2649</v>
      </c>
      <c r="B7">
        <v>3</v>
      </c>
      <c r="C7">
        <v>4</v>
      </c>
      <c r="D7">
        <v>0</v>
      </c>
      <c r="E7" t="s">
        <v>2734</v>
      </c>
      <c r="F7">
        <v>1199</v>
      </c>
      <c r="G7">
        <v>5245966.1875</v>
      </c>
      <c r="H7">
        <v>0.94572368636727333</v>
      </c>
      <c r="I7">
        <v>0.92598684210526316</v>
      </c>
      <c r="J7">
        <v>325622.875</v>
      </c>
      <c r="K7">
        <v>2235</v>
      </c>
      <c r="L7">
        <v>2</v>
      </c>
      <c r="M7">
        <v>31</v>
      </c>
      <c r="N7">
        <v>0.91940789473684215</v>
      </c>
      <c r="O7">
        <v>420216.625</v>
      </c>
      <c r="P7">
        <v>2371</v>
      </c>
      <c r="Q7">
        <v>2</v>
      </c>
      <c r="R7">
        <v>32</v>
      </c>
      <c r="S7" t="s">
        <v>2888</v>
      </c>
    </row>
    <row r="8" spans="1:63" x14ac:dyDescent="0.25">
      <c r="A8" t="s">
        <v>2649</v>
      </c>
      <c r="B8">
        <v>3</v>
      </c>
      <c r="C8">
        <v>5</v>
      </c>
      <c r="D8">
        <v>0</v>
      </c>
      <c r="E8" t="s">
        <v>2734</v>
      </c>
      <c r="F8">
        <v>1317</v>
      </c>
      <c r="G8">
        <v>5510902.9375</v>
      </c>
      <c r="H8">
        <v>0.93421053513884544</v>
      </c>
      <c r="I8">
        <v>0.92598684210526316</v>
      </c>
      <c r="J8">
        <v>454701.125</v>
      </c>
      <c r="K8">
        <v>2511</v>
      </c>
      <c r="L8">
        <v>2</v>
      </c>
      <c r="M8">
        <v>33</v>
      </c>
      <c r="N8">
        <v>0.93256578947368418</v>
      </c>
      <c r="O8">
        <v>241646.5</v>
      </c>
      <c r="P8">
        <v>2655</v>
      </c>
      <c r="Q8">
        <v>2</v>
      </c>
      <c r="R8">
        <v>34</v>
      </c>
      <c r="S8" t="s">
        <v>2887</v>
      </c>
    </row>
    <row r="9" spans="1:63" x14ac:dyDescent="0.25">
      <c r="A9" t="s">
        <v>2649</v>
      </c>
      <c r="B9">
        <v>3</v>
      </c>
      <c r="C9">
        <v>2</v>
      </c>
      <c r="D9">
        <v>0</v>
      </c>
      <c r="E9" t="s">
        <v>2729</v>
      </c>
      <c r="F9">
        <v>1173</v>
      </c>
      <c r="G9">
        <v>6024093.875</v>
      </c>
      <c r="H9">
        <v>0.92269736900925636</v>
      </c>
      <c r="I9">
        <v>0.92763157894736836</v>
      </c>
      <c r="J9">
        <v>424448.1875</v>
      </c>
      <c r="K9">
        <v>1851</v>
      </c>
      <c r="L9">
        <v>2</v>
      </c>
      <c r="M9">
        <v>28</v>
      </c>
      <c r="N9">
        <v>0.92598684210526316</v>
      </c>
      <c r="O9">
        <v>325847.375</v>
      </c>
      <c r="P9">
        <v>1975</v>
      </c>
      <c r="Q9">
        <v>2</v>
      </c>
      <c r="R9">
        <v>29</v>
      </c>
      <c r="S9" t="s">
        <v>2886</v>
      </c>
    </row>
    <row r="10" spans="1:63" x14ac:dyDescent="0.25">
      <c r="A10" t="s">
        <v>2649</v>
      </c>
      <c r="B10">
        <v>3</v>
      </c>
      <c r="C10">
        <v>3</v>
      </c>
      <c r="D10">
        <v>0</v>
      </c>
      <c r="E10" t="s">
        <v>2729</v>
      </c>
      <c r="F10">
        <v>1317</v>
      </c>
      <c r="G10">
        <v>3917328.125</v>
      </c>
      <c r="H10">
        <v>0.94243421778082848</v>
      </c>
      <c r="I10">
        <v>0.93421052631578949</v>
      </c>
      <c r="J10">
        <v>313968.0625</v>
      </c>
      <c r="K10">
        <v>2235</v>
      </c>
      <c r="L10">
        <v>2</v>
      </c>
      <c r="M10">
        <v>31</v>
      </c>
      <c r="N10">
        <v>0.91940789473684204</v>
      </c>
      <c r="O10">
        <v>250207.75</v>
      </c>
      <c r="P10">
        <v>2371</v>
      </c>
      <c r="Q10">
        <v>2</v>
      </c>
      <c r="R10">
        <v>32</v>
      </c>
      <c r="S10" t="s">
        <v>2885</v>
      </c>
    </row>
    <row r="11" spans="1:63" x14ac:dyDescent="0.25">
      <c r="A11" t="s">
        <v>2649</v>
      </c>
      <c r="B11">
        <v>3</v>
      </c>
      <c r="C11">
        <v>4</v>
      </c>
      <c r="D11">
        <v>0</v>
      </c>
      <c r="E11" t="s">
        <v>2729</v>
      </c>
      <c r="F11">
        <v>1461</v>
      </c>
      <c r="G11">
        <v>5214898.8125</v>
      </c>
      <c r="H11">
        <v>0.94572368636727333</v>
      </c>
      <c r="I11">
        <v>0.92598684210526316</v>
      </c>
      <c r="J11">
        <v>264966.8125</v>
      </c>
      <c r="K11">
        <v>2655</v>
      </c>
      <c r="L11">
        <v>2</v>
      </c>
      <c r="M11">
        <v>34</v>
      </c>
      <c r="N11">
        <v>0.93421052631578949</v>
      </c>
      <c r="O11">
        <v>273176.6875</v>
      </c>
      <c r="P11">
        <v>2803</v>
      </c>
      <c r="Q11">
        <v>2</v>
      </c>
      <c r="R11">
        <v>35</v>
      </c>
      <c r="S11" t="s">
        <v>2884</v>
      </c>
    </row>
    <row r="12" spans="1:63" x14ac:dyDescent="0.25">
      <c r="A12" t="s">
        <v>2649</v>
      </c>
      <c r="B12">
        <v>3</v>
      </c>
      <c r="C12">
        <v>5</v>
      </c>
      <c r="D12">
        <v>0</v>
      </c>
      <c r="E12" t="s">
        <v>2729</v>
      </c>
      <c r="F12">
        <v>1605</v>
      </c>
      <c r="G12">
        <v>6800395.125</v>
      </c>
      <c r="H12">
        <v>0.93256578966975212</v>
      </c>
      <c r="I12">
        <v>0.92434210526315785</v>
      </c>
      <c r="J12">
        <v>331039</v>
      </c>
      <c r="K12">
        <v>3111</v>
      </c>
      <c r="L12">
        <v>2</v>
      </c>
      <c r="M12">
        <v>37</v>
      </c>
      <c r="N12">
        <v>0.92434210526315785</v>
      </c>
      <c r="O12">
        <v>435507.0625</v>
      </c>
      <c r="P12">
        <v>3271</v>
      </c>
      <c r="Q12">
        <v>2</v>
      </c>
      <c r="R12">
        <v>38</v>
      </c>
      <c r="S12" t="s">
        <v>2883</v>
      </c>
    </row>
    <row r="13" spans="1:63" x14ac:dyDescent="0.25">
      <c r="A13" t="s">
        <v>2649</v>
      </c>
      <c r="B13">
        <v>3</v>
      </c>
      <c r="C13">
        <v>2</v>
      </c>
      <c r="D13">
        <v>0</v>
      </c>
      <c r="E13" t="s">
        <v>2724</v>
      </c>
      <c r="F13">
        <v>883</v>
      </c>
      <c r="G13">
        <v>6542661.125</v>
      </c>
      <c r="H13">
        <v>0.86842106282711029</v>
      </c>
      <c r="I13">
        <v>0.91940789473684204</v>
      </c>
      <c r="J13">
        <v>338493.5</v>
      </c>
      <c r="K13">
        <v>1395</v>
      </c>
      <c r="L13">
        <v>2</v>
      </c>
      <c r="M13">
        <v>24</v>
      </c>
      <c r="N13">
        <v>0.92927631578947367</v>
      </c>
      <c r="O13">
        <v>265938.5</v>
      </c>
      <c r="P13">
        <v>1503</v>
      </c>
      <c r="Q13">
        <v>2</v>
      </c>
      <c r="R13">
        <v>25</v>
      </c>
      <c r="S13" t="s">
        <v>2882</v>
      </c>
    </row>
    <row r="14" spans="1:63" x14ac:dyDescent="0.25">
      <c r="A14" t="s">
        <v>2649</v>
      </c>
      <c r="B14">
        <v>3</v>
      </c>
      <c r="C14">
        <v>3</v>
      </c>
      <c r="D14">
        <v>0</v>
      </c>
      <c r="E14" t="s">
        <v>2724</v>
      </c>
      <c r="F14">
        <v>991</v>
      </c>
      <c r="G14">
        <v>4035898.0625</v>
      </c>
      <c r="H14">
        <v>0.94243421778082848</v>
      </c>
      <c r="I14">
        <v>0.92269736842105265</v>
      </c>
      <c r="J14">
        <v>223002.3125</v>
      </c>
      <c r="K14">
        <v>1731</v>
      </c>
      <c r="L14">
        <v>2</v>
      </c>
      <c r="M14">
        <v>27</v>
      </c>
      <c r="N14">
        <v>0.93092105263157898</v>
      </c>
      <c r="O14">
        <v>319403.875</v>
      </c>
      <c r="P14">
        <v>1851</v>
      </c>
      <c r="Q14">
        <v>2</v>
      </c>
      <c r="R14">
        <v>28</v>
      </c>
      <c r="S14" t="s">
        <v>2881</v>
      </c>
    </row>
    <row r="15" spans="1:63" x14ac:dyDescent="0.25">
      <c r="A15" t="s">
        <v>2649</v>
      </c>
      <c r="B15">
        <v>3</v>
      </c>
      <c r="C15">
        <v>4</v>
      </c>
      <c r="D15">
        <v>0</v>
      </c>
      <c r="E15" t="s">
        <v>2724</v>
      </c>
      <c r="F15">
        <v>1099</v>
      </c>
      <c r="G15">
        <v>6310357.625</v>
      </c>
      <c r="H15">
        <v>0.94078947976231575</v>
      </c>
      <c r="I15">
        <v>0.92763157894736836</v>
      </c>
      <c r="J15">
        <v>383249.0625</v>
      </c>
      <c r="K15">
        <v>1975</v>
      </c>
      <c r="L15">
        <v>2</v>
      </c>
      <c r="M15">
        <v>29</v>
      </c>
      <c r="N15">
        <v>0.92269736842105265</v>
      </c>
      <c r="O15">
        <v>396060.875</v>
      </c>
      <c r="P15">
        <v>2103</v>
      </c>
      <c r="Q15">
        <v>2</v>
      </c>
      <c r="R15">
        <v>30</v>
      </c>
      <c r="S15" t="s">
        <v>2880</v>
      </c>
    </row>
    <row r="16" spans="1:63" x14ac:dyDescent="0.25">
      <c r="A16" t="s">
        <v>2649</v>
      </c>
      <c r="B16">
        <v>3</v>
      </c>
      <c r="C16">
        <v>5</v>
      </c>
      <c r="D16">
        <v>0</v>
      </c>
      <c r="E16" t="s">
        <v>2724</v>
      </c>
      <c r="F16">
        <v>1207</v>
      </c>
      <c r="G16">
        <v>6545604.4375</v>
      </c>
      <c r="H16">
        <v>0.89473684877157211</v>
      </c>
      <c r="I16">
        <v>0.92434210526315785</v>
      </c>
      <c r="J16">
        <v>397821.75</v>
      </c>
      <c r="K16">
        <v>2371</v>
      </c>
      <c r="L16">
        <v>2</v>
      </c>
      <c r="M16">
        <v>32</v>
      </c>
      <c r="N16">
        <v>0.92105263157894735</v>
      </c>
      <c r="O16">
        <v>414582.25</v>
      </c>
      <c r="P16">
        <v>2511</v>
      </c>
      <c r="Q16">
        <v>2</v>
      </c>
      <c r="R16">
        <v>33</v>
      </c>
      <c r="S16" t="s">
        <v>2879</v>
      </c>
    </row>
    <row r="17" spans="1:19" x14ac:dyDescent="0.25">
      <c r="A17" t="s">
        <v>2649</v>
      </c>
      <c r="B17">
        <v>3</v>
      </c>
      <c r="C17">
        <v>2</v>
      </c>
      <c r="D17">
        <v>0</v>
      </c>
      <c r="E17" t="s">
        <v>2719</v>
      </c>
      <c r="F17">
        <v>1125</v>
      </c>
      <c r="G17">
        <v>6467249.8125</v>
      </c>
      <c r="H17">
        <v>0.86019737180322409</v>
      </c>
      <c r="I17">
        <v>0.92763157894736836</v>
      </c>
      <c r="J17">
        <v>424659.875</v>
      </c>
      <c r="K17">
        <v>1731</v>
      </c>
      <c r="L17">
        <v>2</v>
      </c>
      <c r="M17">
        <v>27</v>
      </c>
      <c r="N17">
        <v>0.92105263157894735</v>
      </c>
      <c r="O17">
        <v>352014.25</v>
      </c>
      <c r="P17">
        <v>1851</v>
      </c>
      <c r="Q17">
        <v>2</v>
      </c>
      <c r="R17">
        <v>28</v>
      </c>
      <c r="S17" t="s">
        <v>2878</v>
      </c>
    </row>
    <row r="18" spans="1:19" x14ac:dyDescent="0.25">
      <c r="A18" t="s">
        <v>2649</v>
      </c>
      <c r="B18">
        <v>3</v>
      </c>
      <c r="C18">
        <v>3</v>
      </c>
      <c r="D18">
        <v>0</v>
      </c>
      <c r="E18" t="s">
        <v>2719</v>
      </c>
      <c r="F18">
        <v>1263</v>
      </c>
      <c r="G18">
        <v>4037748.4375</v>
      </c>
      <c r="H18">
        <v>0.94243422150611877</v>
      </c>
      <c r="I18">
        <v>0.92927631578947367</v>
      </c>
      <c r="J18">
        <v>354714.5</v>
      </c>
      <c r="K18">
        <v>2103</v>
      </c>
      <c r="L18">
        <v>2</v>
      </c>
      <c r="M18">
        <v>30</v>
      </c>
      <c r="N18">
        <v>0.93421052631578949</v>
      </c>
      <c r="O18">
        <v>255010.125</v>
      </c>
      <c r="P18">
        <v>2235</v>
      </c>
      <c r="Q18">
        <v>2</v>
      </c>
      <c r="R18">
        <v>31</v>
      </c>
      <c r="S18" t="s">
        <v>2877</v>
      </c>
    </row>
    <row r="19" spans="1:19" x14ac:dyDescent="0.25">
      <c r="A19" t="s">
        <v>2649</v>
      </c>
      <c r="B19">
        <v>3</v>
      </c>
      <c r="C19">
        <v>4</v>
      </c>
      <c r="D19">
        <v>0</v>
      </c>
      <c r="E19" t="s">
        <v>2719</v>
      </c>
      <c r="F19">
        <v>1401</v>
      </c>
      <c r="G19">
        <v>4848114</v>
      </c>
      <c r="H19">
        <v>0.93585526198148727</v>
      </c>
      <c r="I19">
        <v>0.91447368421052633</v>
      </c>
      <c r="J19">
        <v>380099.75</v>
      </c>
      <c r="K19">
        <v>2511</v>
      </c>
      <c r="L19">
        <v>2</v>
      </c>
      <c r="M19">
        <v>33</v>
      </c>
      <c r="N19">
        <v>0.92434210526315785</v>
      </c>
      <c r="O19">
        <v>399870.0625</v>
      </c>
      <c r="P19">
        <v>2655</v>
      </c>
      <c r="Q19">
        <v>2</v>
      </c>
      <c r="R19">
        <v>34</v>
      </c>
      <c r="S19" t="s">
        <v>2876</v>
      </c>
    </row>
    <row r="20" spans="1:19" x14ac:dyDescent="0.25">
      <c r="A20" t="s">
        <v>2649</v>
      </c>
      <c r="B20">
        <v>3</v>
      </c>
      <c r="C20">
        <v>5</v>
      </c>
      <c r="D20">
        <v>0</v>
      </c>
      <c r="E20" t="s">
        <v>2719</v>
      </c>
      <c r="F20">
        <v>1539</v>
      </c>
      <c r="G20">
        <v>5351755.75</v>
      </c>
      <c r="H20">
        <v>0.91940790042281151</v>
      </c>
      <c r="I20">
        <v>0.92927631578947367</v>
      </c>
      <c r="J20">
        <v>408073.25</v>
      </c>
      <c r="K20">
        <v>2955</v>
      </c>
      <c r="L20">
        <v>2</v>
      </c>
      <c r="M20">
        <v>36</v>
      </c>
      <c r="N20">
        <v>0.92927631578947367</v>
      </c>
      <c r="O20">
        <v>272204.4375</v>
      </c>
      <c r="P20">
        <v>3111</v>
      </c>
      <c r="Q20">
        <v>2</v>
      </c>
      <c r="R20">
        <v>37</v>
      </c>
      <c r="S20" t="s">
        <v>2875</v>
      </c>
    </row>
    <row r="21" spans="1:19" x14ac:dyDescent="0.25">
      <c r="A21" t="s">
        <v>2649</v>
      </c>
      <c r="B21">
        <v>3</v>
      </c>
      <c r="C21">
        <v>2</v>
      </c>
      <c r="D21">
        <v>0</v>
      </c>
      <c r="E21" t="s">
        <v>2714</v>
      </c>
      <c r="F21">
        <v>1367</v>
      </c>
      <c r="G21">
        <v>6406518.875</v>
      </c>
      <c r="H21">
        <v>0.87828947231173515</v>
      </c>
      <c r="I21">
        <v>0.92105263157894735</v>
      </c>
      <c r="J21">
        <v>530373.5</v>
      </c>
      <c r="K21">
        <v>2103</v>
      </c>
      <c r="L21">
        <v>2</v>
      </c>
      <c r="M21">
        <v>30</v>
      </c>
      <c r="N21">
        <v>0.92434210526315785</v>
      </c>
      <c r="O21">
        <v>376414.5</v>
      </c>
      <c r="P21">
        <v>2235</v>
      </c>
      <c r="Q21">
        <v>2</v>
      </c>
      <c r="R21">
        <v>31</v>
      </c>
      <c r="S21" t="s">
        <v>2874</v>
      </c>
    </row>
    <row r="22" spans="1:19" x14ac:dyDescent="0.25">
      <c r="A22" t="s">
        <v>2649</v>
      </c>
      <c r="B22">
        <v>3</v>
      </c>
      <c r="C22">
        <v>3</v>
      </c>
      <c r="D22">
        <v>0</v>
      </c>
      <c r="E22" t="s">
        <v>2714</v>
      </c>
      <c r="F22">
        <v>1535</v>
      </c>
      <c r="G22">
        <v>3877102.125</v>
      </c>
      <c r="H22">
        <v>0.9375000074505806</v>
      </c>
      <c r="I22">
        <v>0.91611842105263153</v>
      </c>
      <c r="J22">
        <v>304254.75</v>
      </c>
      <c r="K22">
        <v>2655</v>
      </c>
      <c r="L22">
        <v>2</v>
      </c>
      <c r="M22">
        <v>34</v>
      </c>
      <c r="N22">
        <v>0.93256578947368418</v>
      </c>
      <c r="O22">
        <v>401398.75</v>
      </c>
      <c r="P22">
        <v>2803</v>
      </c>
      <c r="Q22">
        <v>2</v>
      </c>
      <c r="R22">
        <v>35</v>
      </c>
      <c r="S22" t="s">
        <v>2873</v>
      </c>
    </row>
    <row r="23" spans="1:19" x14ac:dyDescent="0.25">
      <c r="A23" t="s">
        <v>2649</v>
      </c>
      <c r="B23">
        <v>3</v>
      </c>
      <c r="C23">
        <v>4</v>
      </c>
      <c r="D23">
        <v>0</v>
      </c>
      <c r="E23" t="s">
        <v>2714</v>
      </c>
      <c r="F23">
        <v>1703</v>
      </c>
      <c r="G23">
        <v>4609783.8125</v>
      </c>
      <c r="H23">
        <v>0.9440789483487606</v>
      </c>
      <c r="I23">
        <v>0.92434210526315785</v>
      </c>
      <c r="J23">
        <v>409996.3125</v>
      </c>
      <c r="K23">
        <v>3111</v>
      </c>
      <c r="L23">
        <v>2</v>
      </c>
      <c r="M23">
        <v>37</v>
      </c>
      <c r="N23">
        <v>0.92434210526315785</v>
      </c>
      <c r="O23">
        <v>296265.875</v>
      </c>
      <c r="P23">
        <v>3271</v>
      </c>
      <c r="Q23">
        <v>2</v>
      </c>
      <c r="R23">
        <v>38</v>
      </c>
      <c r="S23" t="s">
        <v>2872</v>
      </c>
    </row>
    <row r="24" spans="1:19" x14ac:dyDescent="0.25">
      <c r="A24" t="s">
        <v>2649</v>
      </c>
      <c r="B24">
        <v>3</v>
      </c>
      <c r="C24">
        <v>5</v>
      </c>
      <c r="D24">
        <v>0</v>
      </c>
      <c r="E24" t="s">
        <v>2714</v>
      </c>
      <c r="F24">
        <v>1871</v>
      </c>
      <c r="G24">
        <v>5787068.8125</v>
      </c>
      <c r="H24">
        <v>0.89473685622215271</v>
      </c>
      <c r="I24">
        <v>0.92434210526315785</v>
      </c>
      <c r="J24">
        <v>394638.375</v>
      </c>
      <c r="K24">
        <v>3603</v>
      </c>
      <c r="L24">
        <v>2</v>
      </c>
      <c r="M24">
        <v>40</v>
      </c>
      <c r="N24">
        <v>0.92434210526315785</v>
      </c>
      <c r="O24">
        <v>347561.3125</v>
      </c>
      <c r="P24">
        <v>3775</v>
      </c>
      <c r="Q24">
        <v>2</v>
      </c>
      <c r="R24">
        <v>41</v>
      </c>
      <c r="S24" t="s">
        <v>2871</v>
      </c>
    </row>
    <row r="25" spans="1:19" x14ac:dyDescent="0.25">
      <c r="A25" t="s">
        <v>2649</v>
      </c>
      <c r="B25">
        <v>3</v>
      </c>
      <c r="C25">
        <v>3</v>
      </c>
      <c r="D25">
        <v>0</v>
      </c>
      <c r="E25" t="s">
        <v>2709</v>
      </c>
      <c r="F25">
        <v>195</v>
      </c>
      <c r="G25">
        <v>6737236.25</v>
      </c>
      <c r="H25">
        <v>0.89309210330247879</v>
      </c>
      <c r="I25">
        <v>0.92927631578947367</v>
      </c>
      <c r="J25">
        <v>430812.1875</v>
      </c>
      <c r="K25">
        <v>303</v>
      </c>
      <c r="L25">
        <v>2</v>
      </c>
      <c r="M25">
        <v>10</v>
      </c>
      <c r="N25">
        <v>0.91940789473684204</v>
      </c>
      <c r="O25">
        <v>219311.5625</v>
      </c>
      <c r="P25">
        <v>355</v>
      </c>
      <c r="Q25">
        <v>2</v>
      </c>
      <c r="R25">
        <v>11</v>
      </c>
      <c r="S25" t="s">
        <v>2870</v>
      </c>
    </row>
    <row r="26" spans="1:19" x14ac:dyDescent="0.25">
      <c r="A26" t="s">
        <v>2649</v>
      </c>
      <c r="B26">
        <v>3</v>
      </c>
      <c r="C26">
        <v>4</v>
      </c>
      <c r="D26">
        <v>0</v>
      </c>
      <c r="E26" t="s">
        <v>2709</v>
      </c>
      <c r="F26">
        <v>216</v>
      </c>
      <c r="G26">
        <v>2705340.25</v>
      </c>
      <c r="H26">
        <v>0.94572367891669273</v>
      </c>
      <c r="I26">
        <v>0.95394736842105265</v>
      </c>
      <c r="J26">
        <v>228034</v>
      </c>
      <c r="K26">
        <v>355</v>
      </c>
      <c r="L26">
        <v>2</v>
      </c>
      <c r="M26">
        <v>11</v>
      </c>
      <c r="N26">
        <v>0.92269736842105265</v>
      </c>
      <c r="O26">
        <v>191861.0625</v>
      </c>
      <c r="P26">
        <v>411</v>
      </c>
      <c r="Q26">
        <v>2</v>
      </c>
      <c r="R26">
        <v>12</v>
      </c>
      <c r="S26" t="s">
        <v>2869</v>
      </c>
    </row>
    <row r="27" spans="1:19" x14ac:dyDescent="0.25">
      <c r="A27" t="s">
        <v>2649</v>
      </c>
      <c r="B27">
        <v>3</v>
      </c>
      <c r="C27">
        <v>5</v>
      </c>
      <c r="D27">
        <v>0</v>
      </c>
      <c r="E27" t="s">
        <v>2709</v>
      </c>
      <c r="F27">
        <v>237</v>
      </c>
      <c r="G27">
        <v>3417038.5625</v>
      </c>
      <c r="H27">
        <v>0.94078947976231575</v>
      </c>
      <c r="I27">
        <v>0.93092105263157898</v>
      </c>
      <c r="J27">
        <v>233571.4375</v>
      </c>
      <c r="K27">
        <v>411</v>
      </c>
      <c r="L27">
        <v>2</v>
      </c>
      <c r="M27">
        <v>12</v>
      </c>
      <c r="N27">
        <v>0.92598684210526316</v>
      </c>
      <c r="O27">
        <v>238459.4375</v>
      </c>
      <c r="P27">
        <v>471</v>
      </c>
      <c r="Q27">
        <v>2</v>
      </c>
      <c r="R27">
        <v>13</v>
      </c>
      <c r="S27" t="s">
        <v>2868</v>
      </c>
    </row>
    <row r="28" spans="1:19" x14ac:dyDescent="0.25">
      <c r="A28" t="s">
        <v>2649</v>
      </c>
      <c r="B28">
        <v>3</v>
      </c>
      <c r="C28">
        <v>2</v>
      </c>
      <c r="D28">
        <v>0</v>
      </c>
      <c r="E28" t="s">
        <v>2709</v>
      </c>
      <c r="F28">
        <v>174</v>
      </c>
      <c r="G28">
        <v>3509114.75</v>
      </c>
      <c r="H28">
        <v>0.93585526198148727</v>
      </c>
      <c r="I28">
        <v>0.92598684210526316</v>
      </c>
      <c r="J28">
        <v>302579.3125</v>
      </c>
      <c r="K28">
        <v>255</v>
      </c>
      <c r="L28">
        <v>2</v>
      </c>
      <c r="M28">
        <v>9</v>
      </c>
      <c r="N28">
        <v>0.9391447368421052</v>
      </c>
      <c r="O28">
        <v>229823.5625</v>
      </c>
      <c r="P28">
        <v>303</v>
      </c>
      <c r="Q28">
        <v>2</v>
      </c>
      <c r="R28">
        <v>10</v>
      </c>
      <c r="S28" t="s">
        <v>2867</v>
      </c>
    </row>
    <row r="29" spans="1:19" x14ac:dyDescent="0.25">
      <c r="A29" t="s">
        <v>2649</v>
      </c>
      <c r="B29">
        <v>3</v>
      </c>
      <c r="C29">
        <v>2</v>
      </c>
      <c r="D29">
        <v>0</v>
      </c>
      <c r="E29" t="s">
        <v>2704</v>
      </c>
      <c r="F29">
        <v>363</v>
      </c>
      <c r="G29">
        <v>4287207.625</v>
      </c>
      <c r="H29">
        <v>0.94243420660495758</v>
      </c>
      <c r="I29">
        <v>0.93421052631578949</v>
      </c>
      <c r="J29">
        <v>250632</v>
      </c>
      <c r="K29">
        <v>535</v>
      </c>
      <c r="L29">
        <v>2</v>
      </c>
      <c r="M29">
        <v>14</v>
      </c>
      <c r="N29">
        <v>0.93585526315789469</v>
      </c>
      <c r="O29">
        <v>292420.0625</v>
      </c>
      <c r="P29">
        <v>603</v>
      </c>
      <c r="Q29">
        <v>2</v>
      </c>
      <c r="R29">
        <v>15</v>
      </c>
      <c r="S29" t="s">
        <v>2866</v>
      </c>
    </row>
    <row r="30" spans="1:19" x14ac:dyDescent="0.25">
      <c r="A30" t="s">
        <v>2649</v>
      </c>
      <c r="B30">
        <v>3</v>
      </c>
      <c r="C30">
        <v>3</v>
      </c>
      <c r="D30">
        <v>0</v>
      </c>
      <c r="E30" t="s">
        <v>2704</v>
      </c>
      <c r="F30">
        <v>407</v>
      </c>
      <c r="G30">
        <v>3608515.9375</v>
      </c>
      <c r="H30">
        <v>0.94736842811107635</v>
      </c>
      <c r="I30">
        <v>0.91940789473684215</v>
      </c>
      <c r="J30">
        <v>198597.6875</v>
      </c>
      <c r="K30">
        <v>675</v>
      </c>
      <c r="L30">
        <v>2</v>
      </c>
      <c r="M30">
        <v>16</v>
      </c>
      <c r="N30">
        <v>0.92434210526315785</v>
      </c>
      <c r="O30">
        <v>128320</v>
      </c>
      <c r="P30">
        <v>751</v>
      </c>
      <c r="Q30">
        <v>2</v>
      </c>
      <c r="R30">
        <v>17</v>
      </c>
      <c r="S30" t="s">
        <v>2865</v>
      </c>
    </row>
    <row r="31" spans="1:19" x14ac:dyDescent="0.25">
      <c r="A31" t="s">
        <v>2649</v>
      </c>
      <c r="B31">
        <v>3</v>
      </c>
      <c r="C31">
        <v>4</v>
      </c>
      <c r="D31">
        <v>0</v>
      </c>
      <c r="E31" t="s">
        <v>2704</v>
      </c>
      <c r="F31">
        <v>451</v>
      </c>
      <c r="G31">
        <v>4386647.75</v>
      </c>
      <c r="H31">
        <v>0.94078947976231575</v>
      </c>
      <c r="I31">
        <v>0.92927631578947367</v>
      </c>
      <c r="J31">
        <v>303655.625</v>
      </c>
      <c r="K31">
        <v>831</v>
      </c>
      <c r="L31">
        <v>2</v>
      </c>
      <c r="M31">
        <v>18</v>
      </c>
      <c r="N31">
        <v>0.91776315789473684</v>
      </c>
      <c r="O31">
        <v>307793.125</v>
      </c>
      <c r="P31">
        <v>915</v>
      </c>
      <c r="Q31">
        <v>2</v>
      </c>
      <c r="R31">
        <v>19</v>
      </c>
      <c r="S31" t="s">
        <v>2864</v>
      </c>
    </row>
    <row r="32" spans="1:19" x14ac:dyDescent="0.25">
      <c r="A32" t="s">
        <v>2649</v>
      </c>
      <c r="B32">
        <v>3</v>
      </c>
      <c r="C32">
        <v>5</v>
      </c>
      <c r="D32">
        <v>0</v>
      </c>
      <c r="E32" t="s">
        <v>2704</v>
      </c>
      <c r="F32">
        <v>495</v>
      </c>
      <c r="G32">
        <v>5690128.75</v>
      </c>
      <c r="H32">
        <v>0.91118421033024788</v>
      </c>
      <c r="I32">
        <v>0.92598684210526316</v>
      </c>
      <c r="J32">
        <v>228629.75</v>
      </c>
      <c r="K32">
        <v>915</v>
      </c>
      <c r="L32">
        <v>2</v>
      </c>
      <c r="M32">
        <v>19</v>
      </c>
      <c r="N32">
        <v>0.93421052631578949</v>
      </c>
      <c r="O32">
        <v>238676.3125</v>
      </c>
      <c r="P32">
        <v>1003</v>
      </c>
      <c r="Q32">
        <v>2</v>
      </c>
      <c r="R32">
        <v>20</v>
      </c>
      <c r="S32" t="s">
        <v>2863</v>
      </c>
    </row>
    <row r="33" spans="1:19" x14ac:dyDescent="0.25">
      <c r="A33" t="s">
        <v>2649</v>
      </c>
      <c r="B33">
        <v>3</v>
      </c>
      <c r="C33">
        <v>2</v>
      </c>
      <c r="D33">
        <v>0</v>
      </c>
      <c r="E33" t="s">
        <v>2699</v>
      </c>
      <c r="F33">
        <v>477</v>
      </c>
      <c r="G33">
        <v>5734044.9375</v>
      </c>
      <c r="H33">
        <v>0.81907895021140575</v>
      </c>
      <c r="I33">
        <v>0.92927631578947367</v>
      </c>
      <c r="J33">
        <v>307199.875</v>
      </c>
      <c r="K33">
        <v>751</v>
      </c>
      <c r="L33">
        <v>2</v>
      </c>
      <c r="M33">
        <v>17</v>
      </c>
      <c r="N33">
        <v>0.93421052631578949</v>
      </c>
      <c r="O33">
        <v>281981.375</v>
      </c>
      <c r="P33">
        <v>831</v>
      </c>
      <c r="Q33">
        <v>2</v>
      </c>
      <c r="R33">
        <v>18</v>
      </c>
      <c r="S33" t="s">
        <v>2862</v>
      </c>
    </row>
    <row r="34" spans="1:19" x14ac:dyDescent="0.25">
      <c r="A34" t="s">
        <v>2649</v>
      </c>
      <c r="B34">
        <v>3</v>
      </c>
      <c r="C34">
        <v>3</v>
      </c>
      <c r="D34">
        <v>0</v>
      </c>
      <c r="E34" t="s">
        <v>2699</v>
      </c>
      <c r="F34">
        <v>535</v>
      </c>
      <c r="G34">
        <v>3733168.875</v>
      </c>
      <c r="H34">
        <v>0.95723684132099152</v>
      </c>
      <c r="I34">
        <v>0.92598684210526316</v>
      </c>
      <c r="J34">
        <v>202713.25</v>
      </c>
      <c r="K34">
        <v>915</v>
      </c>
      <c r="L34">
        <v>2</v>
      </c>
      <c r="M34">
        <v>19</v>
      </c>
      <c r="N34">
        <v>0.93092105263157887</v>
      </c>
      <c r="O34">
        <v>250143.375</v>
      </c>
      <c r="P34">
        <v>1003</v>
      </c>
      <c r="Q34">
        <v>2</v>
      </c>
      <c r="R34">
        <v>20</v>
      </c>
      <c r="S34" t="s">
        <v>2861</v>
      </c>
    </row>
    <row r="35" spans="1:19" x14ac:dyDescent="0.25">
      <c r="A35" t="s">
        <v>2649</v>
      </c>
      <c r="B35">
        <v>3</v>
      </c>
      <c r="C35">
        <v>4</v>
      </c>
      <c r="D35">
        <v>0</v>
      </c>
      <c r="E35" t="s">
        <v>2699</v>
      </c>
      <c r="F35">
        <v>593</v>
      </c>
      <c r="G35">
        <v>4154740.125</v>
      </c>
      <c r="H35">
        <v>0.95888157188892365</v>
      </c>
      <c r="I35">
        <v>0.92598684210526316</v>
      </c>
      <c r="J35">
        <v>237827</v>
      </c>
      <c r="K35">
        <v>1095</v>
      </c>
      <c r="L35">
        <v>2</v>
      </c>
      <c r="M35">
        <v>21</v>
      </c>
      <c r="N35">
        <v>0.93256578947368418</v>
      </c>
      <c r="O35">
        <v>210149.375</v>
      </c>
      <c r="P35">
        <v>1191</v>
      </c>
      <c r="Q35">
        <v>2</v>
      </c>
      <c r="R35">
        <v>22</v>
      </c>
      <c r="S35" t="s">
        <v>2860</v>
      </c>
    </row>
    <row r="36" spans="1:19" x14ac:dyDescent="0.25">
      <c r="A36" t="s">
        <v>2649</v>
      </c>
      <c r="B36">
        <v>3</v>
      </c>
      <c r="C36">
        <v>5</v>
      </c>
      <c r="D36">
        <v>0</v>
      </c>
      <c r="E36" t="s">
        <v>2699</v>
      </c>
      <c r="F36">
        <v>651</v>
      </c>
      <c r="G36">
        <v>5272905.0625</v>
      </c>
      <c r="H36">
        <v>0.90789473801851273</v>
      </c>
      <c r="I36">
        <v>0.93092105263157887</v>
      </c>
      <c r="J36">
        <v>356589.125</v>
      </c>
      <c r="K36">
        <v>1191</v>
      </c>
      <c r="L36">
        <v>2</v>
      </c>
      <c r="M36">
        <v>22</v>
      </c>
      <c r="N36">
        <v>0.92927631578947367</v>
      </c>
      <c r="O36">
        <v>185315.125</v>
      </c>
      <c r="P36">
        <v>1291</v>
      </c>
      <c r="Q36">
        <v>2</v>
      </c>
      <c r="R36">
        <v>23</v>
      </c>
      <c r="S36" t="s">
        <v>2859</v>
      </c>
    </row>
    <row r="37" spans="1:19" x14ac:dyDescent="0.25">
      <c r="A37" t="s">
        <v>2649</v>
      </c>
      <c r="B37">
        <v>3</v>
      </c>
      <c r="C37">
        <v>2</v>
      </c>
      <c r="D37">
        <v>0</v>
      </c>
      <c r="E37" t="s">
        <v>2694</v>
      </c>
      <c r="F37">
        <v>591</v>
      </c>
      <c r="G37">
        <v>5453544.5625</v>
      </c>
      <c r="H37">
        <v>0.86019737645983696</v>
      </c>
      <c r="I37">
        <v>0.92434210526315785</v>
      </c>
      <c r="J37">
        <v>327358.9375</v>
      </c>
      <c r="K37">
        <v>915</v>
      </c>
      <c r="L37">
        <v>2</v>
      </c>
      <c r="M37">
        <v>19</v>
      </c>
      <c r="N37">
        <v>0.93092105263157898</v>
      </c>
      <c r="O37">
        <v>235168.4375</v>
      </c>
      <c r="P37">
        <v>1003</v>
      </c>
      <c r="Q37">
        <v>2</v>
      </c>
      <c r="R37">
        <v>20</v>
      </c>
      <c r="S37" t="s">
        <v>2858</v>
      </c>
    </row>
    <row r="38" spans="1:19" x14ac:dyDescent="0.25">
      <c r="A38" t="s">
        <v>2649</v>
      </c>
      <c r="B38">
        <v>3</v>
      </c>
      <c r="C38">
        <v>3</v>
      </c>
      <c r="D38">
        <v>0</v>
      </c>
      <c r="E38" t="s">
        <v>2694</v>
      </c>
      <c r="F38">
        <v>663</v>
      </c>
      <c r="G38">
        <v>3764217.875</v>
      </c>
      <c r="H38">
        <v>0.94736842811107635</v>
      </c>
      <c r="I38">
        <v>0.93092105263157887</v>
      </c>
      <c r="J38">
        <v>219408.1875</v>
      </c>
      <c r="K38">
        <v>1095</v>
      </c>
      <c r="L38">
        <v>2</v>
      </c>
      <c r="M38">
        <v>21</v>
      </c>
      <c r="N38">
        <v>0.93256578947368418</v>
      </c>
      <c r="O38">
        <v>204896.0625</v>
      </c>
      <c r="P38">
        <v>1191</v>
      </c>
      <c r="Q38">
        <v>2</v>
      </c>
      <c r="R38">
        <v>22</v>
      </c>
      <c r="S38" t="s">
        <v>2857</v>
      </c>
    </row>
    <row r="39" spans="1:19" x14ac:dyDescent="0.25">
      <c r="A39" t="s">
        <v>2649</v>
      </c>
      <c r="B39">
        <v>3</v>
      </c>
      <c r="C39">
        <v>4</v>
      </c>
      <c r="D39">
        <v>0</v>
      </c>
      <c r="E39" t="s">
        <v>2694</v>
      </c>
      <c r="F39">
        <v>735</v>
      </c>
      <c r="G39">
        <v>4732845.75</v>
      </c>
      <c r="H39">
        <v>0.95394736528396606</v>
      </c>
      <c r="I39">
        <v>0.93256578947368418</v>
      </c>
      <c r="J39">
        <v>266533.9375</v>
      </c>
      <c r="K39">
        <v>1291</v>
      </c>
      <c r="L39">
        <v>2</v>
      </c>
      <c r="M39">
        <v>23</v>
      </c>
      <c r="N39">
        <v>0.91611842105263153</v>
      </c>
      <c r="O39">
        <v>213825.5625</v>
      </c>
      <c r="P39">
        <v>1395</v>
      </c>
      <c r="Q39">
        <v>2</v>
      </c>
      <c r="R39">
        <v>24</v>
      </c>
      <c r="S39" t="s">
        <v>2856</v>
      </c>
    </row>
    <row r="40" spans="1:19" x14ac:dyDescent="0.25">
      <c r="A40" t="s">
        <v>2649</v>
      </c>
      <c r="B40">
        <v>3</v>
      </c>
      <c r="C40">
        <v>5</v>
      </c>
      <c r="D40">
        <v>0</v>
      </c>
      <c r="E40" t="s">
        <v>2694</v>
      </c>
      <c r="F40">
        <v>807</v>
      </c>
      <c r="G40">
        <v>6213942.1875</v>
      </c>
      <c r="H40">
        <v>0.92927632108330727</v>
      </c>
      <c r="I40">
        <v>0.93421052631578949</v>
      </c>
      <c r="J40">
        <v>367905.25</v>
      </c>
      <c r="K40">
        <v>1503</v>
      </c>
      <c r="L40">
        <v>2</v>
      </c>
      <c r="M40">
        <v>25</v>
      </c>
      <c r="N40">
        <v>0.92927631578947367</v>
      </c>
      <c r="O40">
        <v>334505.6875</v>
      </c>
      <c r="P40">
        <v>1615</v>
      </c>
      <c r="Q40">
        <v>2</v>
      </c>
      <c r="R40">
        <v>26</v>
      </c>
      <c r="S40" t="s">
        <v>2855</v>
      </c>
    </row>
    <row r="41" spans="1:19" x14ac:dyDescent="0.25">
      <c r="A41" t="s">
        <v>2649</v>
      </c>
      <c r="B41">
        <v>3</v>
      </c>
      <c r="C41">
        <v>2</v>
      </c>
      <c r="D41">
        <v>0</v>
      </c>
      <c r="E41" t="s">
        <v>2689</v>
      </c>
      <c r="F41">
        <v>288</v>
      </c>
      <c r="G41">
        <v>5787135.75</v>
      </c>
      <c r="H41">
        <v>0.88980262912809849</v>
      </c>
      <c r="I41">
        <v>0.92763157894736836</v>
      </c>
      <c r="J41">
        <v>429570.25</v>
      </c>
      <c r="K41">
        <v>411</v>
      </c>
      <c r="L41">
        <v>2</v>
      </c>
      <c r="M41">
        <v>12</v>
      </c>
      <c r="N41">
        <v>0.92105263157894735</v>
      </c>
      <c r="O41">
        <v>318506.3125</v>
      </c>
      <c r="P41">
        <v>471</v>
      </c>
      <c r="Q41">
        <v>2</v>
      </c>
      <c r="R41">
        <v>13</v>
      </c>
      <c r="S41" t="s">
        <v>2854</v>
      </c>
    </row>
    <row r="42" spans="1:19" x14ac:dyDescent="0.25">
      <c r="A42" t="s">
        <v>2649</v>
      </c>
      <c r="B42">
        <v>3</v>
      </c>
      <c r="C42">
        <v>3</v>
      </c>
      <c r="D42">
        <v>0</v>
      </c>
      <c r="E42" t="s">
        <v>2689</v>
      </c>
      <c r="F42">
        <v>323</v>
      </c>
      <c r="G42">
        <v>2264085.0625</v>
      </c>
      <c r="H42">
        <v>0.92763159051537514</v>
      </c>
      <c r="I42">
        <v>0.91776315789473684</v>
      </c>
      <c r="J42">
        <v>273221.1875</v>
      </c>
      <c r="K42">
        <v>535</v>
      </c>
      <c r="L42">
        <v>2</v>
      </c>
      <c r="M42">
        <v>14</v>
      </c>
      <c r="N42">
        <v>0.93421052631578938</v>
      </c>
      <c r="O42">
        <v>241614.875</v>
      </c>
      <c r="P42">
        <v>603</v>
      </c>
      <c r="Q42">
        <v>2</v>
      </c>
      <c r="R42">
        <v>15</v>
      </c>
      <c r="S42" t="s">
        <v>2853</v>
      </c>
    </row>
    <row r="43" spans="1:19" x14ac:dyDescent="0.25">
      <c r="A43" t="s">
        <v>2649</v>
      </c>
      <c r="B43">
        <v>3</v>
      </c>
      <c r="C43">
        <v>4</v>
      </c>
      <c r="D43">
        <v>0</v>
      </c>
      <c r="E43" t="s">
        <v>2689</v>
      </c>
      <c r="F43">
        <v>358</v>
      </c>
      <c r="G43">
        <v>2595984.5625</v>
      </c>
      <c r="H43">
        <v>0.94572368636727333</v>
      </c>
      <c r="I43">
        <v>0.93914473684210531</v>
      </c>
      <c r="J43">
        <v>217639.9375</v>
      </c>
      <c r="K43">
        <v>603</v>
      </c>
      <c r="L43">
        <v>2</v>
      </c>
      <c r="M43">
        <v>15</v>
      </c>
      <c r="N43">
        <v>0.93585526315789469</v>
      </c>
      <c r="O43">
        <v>122447</v>
      </c>
      <c r="P43">
        <v>675</v>
      </c>
      <c r="Q43">
        <v>2</v>
      </c>
      <c r="R43">
        <v>16</v>
      </c>
      <c r="S43" t="s">
        <v>2852</v>
      </c>
    </row>
    <row r="44" spans="1:19" x14ac:dyDescent="0.25">
      <c r="A44" t="s">
        <v>2649</v>
      </c>
      <c r="B44">
        <v>3</v>
      </c>
      <c r="C44">
        <v>5</v>
      </c>
      <c r="D44">
        <v>0</v>
      </c>
      <c r="E44" t="s">
        <v>2689</v>
      </c>
      <c r="F44">
        <v>393</v>
      </c>
      <c r="G44">
        <v>2847739.25</v>
      </c>
      <c r="H44">
        <v>0.92927632480859756</v>
      </c>
      <c r="I44">
        <v>0.93256578947368418</v>
      </c>
      <c r="J44">
        <v>305884.125</v>
      </c>
      <c r="K44">
        <v>751</v>
      </c>
      <c r="L44">
        <v>2</v>
      </c>
      <c r="M44">
        <v>17</v>
      </c>
      <c r="N44">
        <v>0.9375</v>
      </c>
      <c r="O44">
        <v>374591.4375</v>
      </c>
      <c r="P44">
        <v>831</v>
      </c>
      <c r="Q44">
        <v>2</v>
      </c>
      <c r="R44">
        <v>18</v>
      </c>
      <c r="S44" t="s">
        <v>2851</v>
      </c>
    </row>
    <row r="45" spans="1:19" x14ac:dyDescent="0.25">
      <c r="A45" t="s">
        <v>2649</v>
      </c>
      <c r="B45">
        <v>3</v>
      </c>
      <c r="C45">
        <v>2</v>
      </c>
      <c r="D45">
        <v>0</v>
      </c>
      <c r="E45" t="s">
        <v>2684</v>
      </c>
      <c r="F45">
        <v>493</v>
      </c>
      <c r="G45">
        <v>3180241.875</v>
      </c>
      <c r="H45">
        <v>0.94572368636727333</v>
      </c>
      <c r="I45">
        <v>0.92763157894736836</v>
      </c>
      <c r="J45">
        <v>365477.875</v>
      </c>
      <c r="K45">
        <v>751</v>
      </c>
      <c r="L45">
        <v>2</v>
      </c>
      <c r="M45">
        <v>17</v>
      </c>
      <c r="N45">
        <v>0.93421052631578949</v>
      </c>
      <c r="O45">
        <v>438960.9375</v>
      </c>
      <c r="P45">
        <v>831</v>
      </c>
      <c r="Q45">
        <v>2</v>
      </c>
      <c r="R45">
        <v>18</v>
      </c>
      <c r="S45" t="s">
        <v>2850</v>
      </c>
    </row>
    <row r="46" spans="1:19" x14ac:dyDescent="0.25">
      <c r="A46" t="s">
        <v>2649</v>
      </c>
      <c r="B46">
        <v>3</v>
      </c>
      <c r="C46">
        <v>3</v>
      </c>
      <c r="D46">
        <v>0</v>
      </c>
      <c r="E46" t="s">
        <v>2684</v>
      </c>
      <c r="F46">
        <v>553</v>
      </c>
      <c r="G46">
        <v>3766597.3125</v>
      </c>
      <c r="H46">
        <v>0.94736842438578606</v>
      </c>
      <c r="I46">
        <v>0.92434210526315785</v>
      </c>
      <c r="J46">
        <v>230297.3125</v>
      </c>
      <c r="K46">
        <v>915</v>
      </c>
      <c r="L46">
        <v>2</v>
      </c>
      <c r="M46">
        <v>19</v>
      </c>
      <c r="N46">
        <v>0.93585526315789469</v>
      </c>
      <c r="O46">
        <v>331649.75</v>
      </c>
      <c r="P46">
        <v>1003</v>
      </c>
      <c r="Q46">
        <v>2</v>
      </c>
      <c r="R46">
        <v>20</v>
      </c>
      <c r="S46" t="s">
        <v>2849</v>
      </c>
    </row>
    <row r="47" spans="1:19" x14ac:dyDescent="0.25">
      <c r="A47" t="s">
        <v>2649</v>
      </c>
      <c r="B47">
        <v>3</v>
      </c>
      <c r="C47">
        <v>4</v>
      </c>
      <c r="D47">
        <v>0</v>
      </c>
      <c r="E47" t="s">
        <v>2684</v>
      </c>
      <c r="F47">
        <v>613</v>
      </c>
      <c r="G47">
        <v>4824978.0625</v>
      </c>
      <c r="H47">
        <v>0.9375000074505806</v>
      </c>
      <c r="I47">
        <v>0.92434210526315785</v>
      </c>
      <c r="J47">
        <v>253950.875</v>
      </c>
      <c r="K47">
        <v>1095</v>
      </c>
      <c r="L47">
        <v>2</v>
      </c>
      <c r="M47">
        <v>21</v>
      </c>
      <c r="N47">
        <v>0.93421052631578949</v>
      </c>
      <c r="O47">
        <v>217691.625</v>
      </c>
      <c r="P47">
        <v>1191</v>
      </c>
      <c r="Q47">
        <v>2</v>
      </c>
      <c r="R47">
        <v>22</v>
      </c>
      <c r="S47" t="s">
        <v>2848</v>
      </c>
    </row>
    <row r="48" spans="1:19" x14ac:dyDescent="0.25">
      <c r="A48" t="s">
        <v>2649</v>
      </c>
      <c r="B48">
        <v>3</v>
      </c>
      <c r="C48">
        <v>5</v>
      </c>
      <c r="D48">
        <v>0</v>
      </c>
      <c r="E48" t="s">
        <v>2684</v>
      </c>
      <c r="F48">
        <v>673</v>
      </c>
      <c r="G48">
        <v>5014816.9375</v>
      </c>
      <c r="H48">
        <v>0.85197368264198303</v>
      </c>
      <c r="I48">
        <v>0.93092105263157887</v>
      </c>
      <c r="J48">
        <v>296791.9375</v>
      </c>
      <c r="K48">
        <v>1291</v>
      </c>
      <c r="L48">
        <v>2</v>
      </c>
      <c r="M48">
        <v>23</v>
      </c>
      <c r="N48">
        <v>0.92598684210526316</v>
      </c>
      <c r="O48">
        <v>243142.875</v>
      </c>
      <c r="P48">
        <v>1395</v>
      </c>
      <c r="Q48">
        <v>2</v>
      </c>
      <c r="R48">
        <v>24</v>
      </c>
      <c r="S48" t="s">
        <v>2847</v>
      </c>
    </row>
    <row r="49" spans="1:19" x14ac:dyDescent="0.25">
      <c r="A49" t="s">
        <v>2649</v>
      </c>
      <c r="B49">
        <v>3</v>
      </c>
      <c r="C49">
        <v>2</v>
      </c>
      <c r="D49">
        <v>0</v>
      </c>
      <c r="E49" t="s">
        <v>2679</v>
      </c>
      <c r="F49">
        <v>639</v>
      </c>
      <c r="G49">
        <v>6366368.75</v>
      </c>
      <c r="H49">
        <v>0.87171053513884544</v>
      </c>
      <c r="I49">
        <v>0.92763157894736836</v>
      </c>
      <c r="J49">
        <v>364917.875</v>
      </c>
      <c r="K49">
        <v>1003</v>
      </c>
      <c r="L49">
        <v>2</v>
      </c>
      <c r="M49">
        <v>20</v>
      </c>
      <c r="N49">
        <v>0.92763157894736836</v>
      </c>
      <c r="O49">
        <v>366550.5</v>
      </c>
      <c r="P49">
        <v>1095</v>
      </c>
      <c r="Q49">
        <v>2</v>
      </c>
      <c r="R49">
        <v>21</v>
      </c>
      <c r="S49" t="s">
        <v>2846</v>
      </c>
    </row>
    <row r="50" spans="1:19" x14ac:dyDescent="0.25">
      <c r="A50" t="s">
        <v>2649</v>
      </c>
      <c r="B50">
        <v>3</v>
      </c>
      <c r="C50">
        <v>3</v>
      </c>
      <c r="D50">
        <v>0</v>
      </c>
      <c r="E50" t="s">
        <v>2679</v>
      </c>
      <c r="F50">
        <v>717</v>
      </c>
      <c r="G50">
        <v>3644215.9375</v>
      </c>
      <c r="H50">
        <v>0.94078948721289635</v>
      </c>
      <c r="I50">
        <v>0.92763157894736836</v>
      </c>
      <c r="J50">
        <v>198453.125</v>
      </c>
      <c r="K50">
        <v>1191</v>
      </c>
      <c r="L50">
        <v>2</v>
      </c>
      <c r="M50">
        <v>22</v>
      </c>
      <c r="N50">
        <v>0.92763157894736836</v>
      </c>
      <c r="O50">
        <v>223055.3125</v>
      </c>
      <c r="P50">
        <v>1291</v>
      </c>
      <c r="Q50">
        <v>2</v>
      </c>
      <c r="R50">
        <v>23</v>
      </c>
      <c r="S50" t="s">
        <v>2845</v>
      </c>
    </row>
    <row r="51" spans="1:19" x14ac:dyDescent="0.25">
      <c r="A51" t="s">
        <v>2649</v>
      </c>
      <c r="B51">
        <v>3</v>
      </c>
      <c r="C51">
        <v>4</v>
      </c>
      <c r="D51">
        <v>0</v>
      </c>
      <c r="E51" t="s">
        <v>2679</v>
      </c>
      <c r="F51">
        <v>795</v>
      </c>
      <c r="G51">
        <v>5450279.0625</v>
      </c>
      <c r="H51">
        <v>0.94572368264198303</v>
      </c>
      <c r="I51">
        <v>0.93421052631578949</v>
      </c>
      <c r="J51">
        <v>254321.5625</v>
      </c>
      <c r="K51">
        <v>1395</v>
      </c>
      <c r="L51">
        <v>2</v>
      </c>
      <c r="M51">
        <v>24</v>
      </c>
      <c r="N51">
        <v>0.92269736842105265</v>
      </c>
      <c r="O51">
        <v>249391.125</v>
      </c>
      <c r="P51">
        <v>1503</v>
      </c>
      <c r="Q51">
        <v>2</v>
      </c>
      <c r="R51">
        <v>25</v>
      </c>
      <c r="S51" t="s">
        <v>2844</v>
      </c>
    </row>
    <row r="52" spans="1:19" x14ac:dyDescent="0.25">
      <c r="A52" t="s">
        <v>2649</v>
      </c>
      <c r="B52">
        <v>3</v>
      </c>
      <c r="C52">
        <v>5</v>
      </c>
      <c r="D52">
        <v>0</v>
      </c>
      <c r="E52" t="s">
        <v>2679</v>
      </c>
      <c r="F52">
        <v>873</v>
      </c>
      <c r="G52">
        <v>6292535.5</v>
      </c>
      <c r="H52">
        <v>0.89638157561421394</v>
      </c>
      <c r="I52">
        <v>0.93092105263157898</v>
      </c>
      <c r="J52">
        <v>282919.8125</v>
      </c>
      <c r="K52">
        <v>1615</v>
      </c>
      <c r="L52">
        <v>2</v>
      </c>
      <c r="M52">
        <v>26</v>
      </c>
      <c r="N52">
        <v>0.92598684210526316</v>
      </c>
      <c r="O52">
        <v>379296.375</v>
      </c>
      <c r="P52">
        <v>1731</v>
      </c>
      <c r="Q52">
        <v>2</v>
      </c>
      <c r="R52">
        <v>27</v>
      </c>
      <c r="S52" t="s">
        <v>2843</v>
      </c>
    </row>
    <row r="53" spans="1:19" x14ac:dyDescent="0.25">
      <c r="A53" t="s">
        <v>2649</v>
      </c>
      <c r="B53">
        <v>3</v>
      </c>
      <c r="C53">
        <v>2</v>
      </c>
      <c r="D53">
        <v>0</v>
      </c>
      <c r="E53" t="s">
        <v>2674</v>
      </c>
      <c r="F53">
        <v>785</v>
      </c>
      <c r="G53">
        <v>5544834.8125</v>
      </c>
      <c r="H53">
        <v>0.9128289595246315</v>
      </c>
      <c r="I53">
        <v>0.92105263157894735</v>
      </c>
      <c r="J53">
        <v>332123.125</v>
      </c>
      <c r="K53">
        <v>1191</v>
      </c>
      <c r="L53">
        <v>2</v>
      </c>
      <c r="M53">
        <v>22</v>
      </c>
      <c r="N53">
        <v>0.92598684210526316</v>
      </c>
      <c r="O53">
        <v>285366.75</v>
      </c>
      <c r="P53">
        <v>1291</v>
      </c>
      <c r="Q53">
        <v>2</v>
      </c>
      <c r="R53">
        <v>23</v>
      </c>
      <c r="S53" t="s">
        <v>2842</v>
      </c>
    </row>
    <row r="54" spans="1:19" x14ac:dyDescent="0.25">
      <c r="A54" t="s">
        <v>2649</v>
      </c>
      <c r="B54">
        <v>3</v>
      </c>
      <c r="C54">
        <v>3</v>
      </c>
      <c r="D54">
        <v>0</v>
      </c>
      <c r="E54" t="s">
        <v>2674</v>
      </c>
      <c r="F54">
        <v>881</v>
      </c>
      <c r="G54">
        <v>4304242.8125</v>
      </c>
      <c r="H54">
        <v>0.93421053513884544</v>
      </c>
      <c r="I54">
        <v>0.92763157894736836</v>
      </c>
      <c r="J54">
        <v>299006.625</v>
      </c>
      <c r="K54">
        <v>1503</v>
      </c>
      <c r="L54">
        <v>2</v>
      </c>
      <c r="M54">
        <v>25</v>
      </c>
      <c r="N54">
        <v>0.92598684210526316</v>
      </c>
      <c r="O54">
        <v>209148.125</v>
      </c>
      <c r="P54">
        <v>1615</v>
      </c>
      <c r="Q54">
        <v>2</v>
      </c>
      <c r="R54">
        <v>26</v>
      </c>
      <c r="S54" t="s">
        <v>2841</v>
      </c>
    </row>
    <row r="55" spans="1:19" x14ac:dyDescent="0.25">
      <c r="A55" t="s">
        <v>2649</v>
      </c>
      <c r="B55">
        <v>3</v>
      </c>
      <c r="C55">
        <v>4</v>
      </c>
      <c r="D55">
        <v>0</v>
      </c>
      <c r="E55" t="s">
        <v>2674</v>
      </c>
      <c r="F55">
        <v>977</v>
      </c>
      <c r="G55">
        <v>4849356.4375</v>
      </c>
      <c r="H55">
        <v>0.90953947976231575</v>
      </c>
      <c r="I55">
        <v>0.93092105263157898</v>
      </c>
      <c r="J55">
        <v>285876.5625</v>
      </c>
      <c r="K55">
        <v>1731</v>
      </c>
      <c r="L55">
        <v>2</v>
      </c>
      <c r="M55">
        <v>27</v>
      </c>
      <c r="N55">
        <v>0.91940789473684204</v>
      </c>
      <c r="O55">
        <v>271036.0625</v>
      </c>
      <c r="P55">
        <v>1851</v>
      </c>
      <c r="Q55">
        <v>2</v>
      </c>
      <c r="R55">
        <v>28</v>
      </c>
      <c r="S55" t="s">
        <v>2840</v>
      </c>
    </row>
    <row r="56" spans="1:19" x14ac:dyDescent="0.25">
      <c r="A56" t="s">
        <v>2649</v>
      </c>
      <c r="B56">
        <v>3</v>
      </c>
      <c r="C56">
        <v>5</v>
      </c>
      <c r="D56">
        <v>0</v>
      </c>
      <c r="E56" t="s">
        <v>2674</v>
      </c>
      <c r="F56">
        <v>1073</v>
      </c>
      <c r="G56">
        <v>5560170.3125</v>
      </c>
      <c r="H56">
        <v>0.92763158679008484</v>
      </c>
      <c r="I56">
        <v>0.92598684210526316</v>
      </c>
      <c r="J56">
        <v>340971.5625</v>
      </c>
      <c r="K56">
        <v>2103</v>
      </c>
      <c r="L56">
        <v>2</v>
      </c>
      <c r="M56">
        <v>30</v>
      </c>
      <c r="N56">
        <v>0.92269736842105265</v>
      </c>
      <c r="O56">
        <v>318457.6875</v>
      </c>
      <c r="P56">
        <v>2235</v>
      </c>
      <c r="Q56">
        <v>2</v>
      </c>
      <c r="R56">
        <v>31</v>
      </c>
      <c r="S56" t="s">
        <v>2839</v>
      </c>
    </row>
    <row r="57" spans="1:19" x14ac:dyDescent="0.25">
      <c r="A57" t="s">
        <v>2649</v>
      </c>
      <c r="B57">
        <v>3</v>
      </c>
      <c r="C57">
        <v>2</v>
      </c>
      <c r="D57">
        <v>0</v>
      </c>
      <c r="E57" t="s">
        <v>2669</v>
      </c>
      <c r="F57">
        <v>402</v>
      </c>
      <c r="G57">
        <v>6346757.0625</v>
      </c>
      <c r="H57">
        <v>0.84868421405553818</v>
      </c>
      <c r="I57">
        <v>0.91940789473684204</v>
      </c>
      <c r="J57">
        <v>411815.8125</v>
      </c>
      <c r="K57">
        <v>603</v>
      </c>
      <c r="L57">
        <v>2</v>
      </c>
      <c r="M57">
        <v>15</v>
      </c>
      <c r="N57">
        <v>0.92763157894736836</v>
      </c>
      <c r="O57">
        <v>445216.9375</v>
      </c>
      <c r="P57">
        <v>675</v>
      </c>
      <c r="Q57">
        <v>2</v>
      </c>
      <c r="R57">
        <v>16</v>
      </c>
      <c r="S57" t="s">
        <v>2838</v>
      </c>
    </row>
    <row r="58" spans="1:19" x14ac:dyDescent="0.25">
      <c r="A58" t="s">
        <v>2649</v>
      </c>
      <c r="B58">
        <v>3</v>
      </c>
      <c r="C58">
        <v>3</v>
      </c>
      <c r="D58">
        <v>0</v>
      </c>
      <c r="E58" t="s">
        <v>2669</v>
      </c>
      <c r="F58">
        <v>451</v>
      </c>
      <c r="G58">
        <v>1935172.0625</v>
      </c>
      <c r="H58">
        <v>0.94736842066049576</v>
      </c>
      <c r="I58">
        <v>0.94078947368421051</v>
      </c>
      <c r="J58">
        <v>163057.75</v>
      </c>
      <c r="K58">
        <v>751</v>
      </c>
      <c r="L58">
        <v>2</v>
      </c>
      <c r="M58">
        <v>17</v>
      </c>
      <c r="N58">
        <v>0.95559210526315785</v>
      </c>
      <c r="O58">
        <v>221428.25</v>
      </c>
      <c r="P58">
        <v>831</v>
      </c>
      <c r="Q58">
        <v>2</v>
      </c>
      <c r="R58">
        <v>18</v>
      </c>
      <c r="S58" t="s">
        <v>2837</v>
      </c>
    </row>
    <row r="59" spans="1:19" x14ac:dyDescent="0.25">
      <c r="A59" t="s">
        <v>2649</v>
      </c>
      <c r="B59">
        <v>3</v>
      </c>
      <c r="C59">
        <v>4</v>
      </c>
      <c r="D59">
        <v>0</v>
      </c>
      <c r="E59" t="s">
        <v>2669</v>
      </c>
      <c r="F59">
        <v>500</v>
      </c>
      <c r="G59">
        <v>2927020.9375</v>
      </c>
      <c r="H59">
        <v>0.95065789669752121</v>
      </c>
      <c r="I59">
        <v>0.92269736842105265</v>
      </c>
      <c r="J59">
        <v>343759.3125</v>
      </c>
      <c r="K59">
        <v>915</v>
      </c>
      <c r="L59">
        <v>2</v>
      </c>
      <c r="M59">
        <v>19</v>
      </c>
      <c r="N59">
        <v>0.92927631578947367</v>
      </c>
      <c r="O59">
        <v>296197.4375</v>
      </c>
      <c r="P59">
        <v>1003</v>
      </c>
      <c r="Q59">
        <v>2</v>
      </c>
      <c r="R59">
        <v>20</v>
      </c>
      <c r="S59" t="s">
        <v>2836</v>
      </c>
    </row>
    <row r="60" spans="1:19" x14ac:dyDescent="0.25">
      <c r="A60" t="s">
        <v>2649</v>
      </c>
      <c r="B60">
        <v>3</v>
      </c>
      <c r="C60">
        <v>5</v>
      </c>
      <c r="D60">
        <v>0</v>
      </c>
      <c r="E60" t="s">
        <v>2669</v>
      </c>
      <c r="F60">
        <v>549</v>
      </c>
      <c r="G60">
        <v>3411742</v>
      </c>
      <c r="H60">
        <v>0.95065790042281151</v>
      </c>
      <c r="I60">
        <v>0.91447368421052633</v>
      </c>
      <c r="J60">
        <v>406428.5625</v>
      </c>
      <c r="K60">
        <v>1003</v>
      </c>
      <c r="L60">
        <v>2</v>
      </c>
      <c r="M60">
        <v>20</v>
      </c>
      <c r="N60">
        <v>0.93914473684210531</v>
      </c>
      <c r="O60">
        <v>315997.9375</v>
      </c>
      <c r="P60">
        <v>1095</v>
      </c>
      <c r="Q60">
        <v>2</v>
      </c>
      <c r="R60">
        <v>21</v>
      </c>
      <c r="S60" t="s">
        <v>2835</v>
      </c>
    </row>
    <row r="61" spans="1:19" x14ac:dyDescent="0.25">
      <c r="A61" t="s">
        <v>2649</v>
      </c>
      <c r="B61">
        <v>3</v>
      </c>
      <c r="C61">
        <v>2</v>
      </c>
      <c r="D61">
        <v>0</v>
      </c>
      <c r="E61" t="s">
        <v>2664</v>
      </c>
      <c r="F61">
        <v>623</v>
      </c>
      <c r="G61">
        <v>3505342.1875</v>
      </c>
      <c r="H61">
        <v>0.89967105910181999</v>
      </c>
      <c r="I61">
        <v>0.91611842105263153</v>
      </c>
      <c r="J61">
        <v>300177.9375</v>
      </c>
      <c r="K61">
        <v>915</v>
      </c>
      <c r="L61">
        <v>2</v>
      </c>
      <c r="M61">
        <v>19</v>
      </c>
      <c r="N61">
        <v>0.91611842105263153</v>
      </c>
      <c r="O61">
        <v>354883.5</v>
      </c>
      <c r="P61">
        <v>1003</v>
      </c>
      <c r="Q61">
        <v>2</v>
      </c>
      <c r="R61">
        <v>20</v>
      </c>
      <c r="S61" t="s">
        <v>2834</v>
      </c>
    </row>
    <row r="62" spans="1:19" x14ac:dyDescent="0.25">
      <c r="A62" t="s">
        <v>2649</v>
      </c>
      <c r="B62">
        <v>3</v>
      </c>
      <c r="C62">
        <v>3</v>
      </c>
      <c r="D62">
        <v>0</v>
      </c>
      <c r="E62" t="s">
        <v>2664</v>
      </c>
      <c r="F62">
        <v>699</v>
      </c>
      <c r="G62">
        <v>5679652.5</v>
      </c>
      <c r="H62">
        <v>0.93256579712033272</v>
      </c>
      <c r="I62">
        <v>0.92927631578947367</v>
      </c>
      <c r="J62">
        <v>245784</v>
      </c>
      <c r="K62">
        <v>1191</v>
      </c>
      <c r="L62">
        <v>2</v>
      </c>
      <c r="M62">
        <v>22</v>
      </c>
      <c r="N62">
        <v>0.92927631578947367</v>
      </c>
      <c r="O62">
        <v>253671.625</v>
      </c>
      <c r="P62">
        <v>1291</v>
      </c>
      <c r="Q62">
        <v>2</v>
      </c>
      <c r="R62">
        <v>23</v>
      </c>
      <c r="S62" t="s">
        <v>2833</v>
      </c>
    </row>
    <row r="63" spans="1:19" x14ac:dyDescent="0.25">
      <c r="A63" t="s">
        <v>2649</v>
      </c>
      <c r="B63">
        <v>3</v>
      </c>
      <c r="C63">
        <v>4</v>
      </c>
      <c r="D63">
        <v>0</v>
      </c>
      <c r="E63" t="s">
        <v>2664</v>
      </c>
      <c r="F63">
        <v>775</v>
      </c>
      <c r="G63">
        <v>5957788.5625</v>
      </c>
      <c r="H63">
        <v>0.91611841693520546</v>
      </c>
      <c r="I63">
        <v>0.93585526315789469</v>
      </c>
      <c r="J63">
        <v>216005.875</v>
      </c>
      <c r="K63">
        <v>1395</v>
      </c>
      <c r="L63">
        <v>2</v>
      </c>
      <c r="M63">
        <v>24</v>
      </c>
      <c r="N63">
        <v>0.92763157894736836</v>
      </c>
      <c r="O63">
        <v>248392.5625</v>
      </c>
      <c r="P63">
        <v>1503</v>
      </c>
      <c r="Q63">
        <v>2</v>
      </c>
      <c r="R63">
        <v>25</v>
      </c>
      <c r="S63" t="s">
        <v>2832</v>
      </c>
    </row>
    <row r="64" spans="1:19" x14ac:dyDescent="0.25">
      <c r="A64" t="s">
        <v>2649</v>
      </c>
      <c r="B64">
        <v>3</v>
      </c>
      <c r="C64">
        <v>5</v>
      </c>
      <c r="D64">
        <v>0</v>
      </c>
      <c r="E64" t="s">
        <v>2664</v>
      </c>
      <c r="F64">
        <v>851</v>
      </c>
      <c r="G64">
        <v>7992908.25</v>
      </c>
      <c r="H64">
        <v>0.84046052768826485</v>
      </c>
      <c r="I64">
        <v>0.93092105263157898</v>
      </c>
      <c r="J64">
        <v>308172.3125</v>
      </c>
      <c r="K64">
        <v>1615</v>
      </c>
      <c r="L64">
        <v>2</v>
      </c>
      <c r="M64">
        <v>26</v>
      </c>
      <c r="N64">
        <v>0.92763157894736836</v>
      </c>
      <c r="O64">
        <v>270938.3125</v>
      </c>
      <c r="P64">
        <v>1731</v>
      </c>
      <c r="Q64">
        <v>2</v>
      </c>
      <c r="R64">
        <v>27</v>
      </c>
      <c r="S64" t="s">
        <v>2831</v>
      </c>
    </row>
    <row r="65" spans="1:19" x14ac:dyDescent="0.25">
      <c r="A65" t="s">
        <v>2649</v>
      </c>
      <c r="B65">
        <v>3</v>
      </c>
      <c r="C65">
        <v>2</v>
      </c>
      <c r="D65">
        <v>0</v>
      </c>
      <c r="E65" t="s">
        <v>2659</v>
      </c>
      <c r="F65">
        <v>801</v>
      </c>
      <c r="G65">
        <v>7796952.4375</v>
      </c>
      <c r="H65">
        <v>0.8437500037252903</v>
      </c>
      <c r="I65">
        <v>0.93092105263157887</v>
      </c>
      <c r="J65">
        <v>454955.0625</v>
      </c>
      <c r="K65">
        <v>1191</v>
      </c>
      <c r="L65">
        <v>2</v>
      </c>
      <c r="M65">
        <v>22</v>
      </c>
      <c r="N65">
        <v>0.92434210526315785</v>
      </c>
      <c r="O65">
        <v>274030.625</v>
      </c>
      <c r="P65">
        <v>1291</v>
      </c>
      <c r="Q65">
        <v>2</v>
      </c>
      <c r="R65">
        <v>23</v>
      </c>
      <c r="S65" t="s">
        <v>2830</v>
      </c>
    </row>
    <row r="66" spans="1:19" x14ac:dyDescent="0.25">
      <c r="A66" t="s">
        <v>2649</v>
      </c>
      <c r="B66">
        <v>3</v>
      </c>
      <c r="C66">
        <v>3</v>
      </c>
      <c r="D66">
        <v>0</v>
      </c>
      <c r="E66" t="s">
        <v>2659</v>
      </c>
      <c r="F66">
        <v>899</v>
      </c>
      <c r="G66">
        <v>4108366.6875</v>
      </c>
      <c r="H66">
        <v>0.88651316612958908</v>
      </c>
      <c r="I66">
        <v>0.92763157894736836</v>
      </c>
      <c r="J66">
        <v>365063.5</v>
      </c>
      <c r="K66">
        <v>1503</v>
      </c>
      <c r="L66">
        <v>2</v>
      </c>
      <c r="M66">
        <v>25</v>
      </c>
      <c r="N66">
        <v>0.92434210526315785</v>
      </c>
      <c r="O66">
        <v>309235.25</v>
      </c>
      <c r="P66">
        <v>1615</v>
      </c>
      <c r="Q66">
        <v>2</v>
      </c>
      <c r="R66">
        <v>26</v>
      </c>
      <c r="S66" t="s">
        <v>2829</v>
      </c>
    </row>
    <row r="67" spans="1:19" x14ac:dyDescent="0.25">
      <c r="A67" t="s">
        <v>2649</v>
      </c>
      <c r="B67">
        <v>3</v>
      </c>
      <c r="C67">
        <v>4</v>
      </c>
      <c r="D67">
        <v>0</v>
      </c>
      <c r="E67" t="s">
        <v>2659</v>
      </c>
      <c r="F67">
        <v>997</v>
      </c>
      <c r="G67">
        <v>5327299.8125</v>
      </c>
      <c r="H67">
        <v>0.80427632108330727</v>
      </c>
      <c r="I67">
        <v>0.92763157894736836</v>
      </c>
      <c r="J67">
        <v>323048.6875</v>
      </c>
      <c r="K67">
        <v>1851</v>
      </c>
      <c r="L67">
        <v>2</v>
      </c>
      <c r="M67">
        <v>28</v>
      </c>
      <c r="N67">
        <v>0.92434210526315785</v>
      </c>
      <c r="O67">
        <v>348044.0625</v>
      </c>
      <c r="P67">
        <v>1975</v>
      </c>
      <c r="Q67">
        <v>2</v>
      </c>
      <c r="R67">
        <v>29</v>
      </c>
      <c r="S67" t="s">
        <v>2828</v>
      </c>
    </row>
    <row r="68" spans="1:19" x14ac:dyDescent="0.25">
      <c r="A68" t="s">
        <v>2649</v>
      </c>
      <c r="B68">
        <v>3</v>
      </c>
      <c r="C68">
        <v>5</v>
      </c>
      <c r="D68">
        <v>0</v>
      </c>
      <c r="E68" t="s">
        <v>2659</v>
      </c>
      <c r="F68">
        <v>1095</v>
      </c>
      <c r="G68">
        <v>6003920.6875</v>
      </c>
      <c r="H68">
        <v>0.87006578966975212</v>
      </c>
      <c r="I68">
        <v>0.92269736842105265</v>
      </c>
      <c r="J68">
        <v>386943.875</v>
      </c>
      <c r="K68">
        <v>2103</v>
      </c>
      <c r="L68">
        <v>2</v>
      </c>
      <c r="M68">
        <v>30</v>
      </c>
      <c r="N68">
        <v>0.92434210526315785</v>
      </c>
      <c r="O68">
        <v>361414.25</v>
      </c>
      <c r="P68">
        <v>2235</v>
      </c>
      <c r="Q68">
        <v>2</v>
      </c>
      <c r="R68">
        <v>31</v>
      </c>
      <c r="S68" t="s">
        <v>2827</v>
      </c>
    </row>
    <row r="69" spans="1:19" x14ac:dyDescent="0.25">
      <c r="A69" t="s">
        <v>2649</v>
      </c>
      <c r="B69">
        <v>3</v>
      </c>
      <c r="C69">
        <v>2</v>
      </c>
      <c r="D69">
        <v>0</v>
      </c>
      <c r="E69" t="s">
        <v>2654</v>
      </c>
      <c r="F69">
        <v>979</v>
      </c>
      <c r="G69">
        <v>7280047.4375</v>
      </c>
      <c r="H69">
        <v>0.85690790414810181</v>
      </c>
      <c r="I69">
        <v>0.92434210526315785</v>
      </c>
      <c r="J69">
        <v>466894.6875</v>
      </c>
      <c r="K69">
        <v>1503</v>
      </c>
      <c r="L69">
        <v>2</v>
      </c>
      <c r="M69">
        <v>25</v>
      </c>
      <c r="N69">
        <v>0.9375</v>
      </c>
      <c r="O69">
        <v>288059.8125</v>
      </c>
      <c r="P69">
        <v>1615</v>
      </c>
      <c r="Q69">
        <v>2</v>
      </c>
      <c r="R69">
        <v>26</v>
      </c>
      <c r="S69" t="s">
        <v>2826</v>
      </c>
    </row>
    <row r="70" spans="1:19" x14ac:dyDescent="0.25">
      <c r="A70" t="s">
        <v>2649</v>
      </c>
      <c r="B70">
        <v>3</v>
      </c>
      <c r="C70">
        <v>3</v>
      </c>
      <c r="D70">
        <v>0</v>
      </c>
      <c r="E70" t="s">
        <v>2654</v>
      </c>
      <c r="F70">
        <v>1099</v>
      </c>
      <c r="G70">
        <v>4948681.4375</v>
      </c>
      <c r="H70">
        <v>0.94078947976231575</v>
      </c>
      <c r="I70">
        <v>0.92598684210526316</v>
      </c>
      <c r="J70">
        <v>223803.5625</v>
      </c>
      <c r="K70">
        <v>1851</v>
      </c>
      <c r="L70">
        <v>2</v>
      </c>
      <c r="M70">
        <v>28</v>
      </c>
      <c r="N70">
        <v>0.92269736842105265</v>
      </c>
      <c r="O70">
        <v>235095.3125</v>
      </c>
      <c r="P70">
        <v>1975</v>
      </c>
      <c r="Q70">
        <v>2</v>
      </c>
      <c r="R70">
        <v>29</v>
      </c>
      <c r="S70" t="s">
        <v>2825</v>
      </c>
    </row>
    <row r="71" spans="1:19" x14ac:dyDescent="0.25">
      <c r="A71" t="s">
        <v>2649</v>
      </c>
      <c r="B71">
        <v>3</v>
      </c>
      <c r="C71">
        <v>4</v>
      </c>
      <c r="D71">
        <v>0</v>
      </c>
      <c r="E71" t="s">
        <v>2654</v>
      </c>
      <c r="F71">
        <v>1219</v>
      </c>
      <c r="G71">
        <v>5502139.5</v>
      </c>
      <c r="H71">
        <v>0.95230263099074364</v>
      </c>
      <c r="I71">
        <v>0.92927631578947367</v>
      </c>
      <c r="J71">
        <v>260426.8125</v>
      </c>
      <c r="K71">
        <v>2235</v>
      </c>
      <c r="L71">
        <v>2</v>
      </c>
      <c r="M71">
        <v>31</v>
      </c>
      <c r="N71">
        <v>0.92434210526315785</v>
      </c>
      <c r="O71">
        <v>307014.6875</v>
      </c>
      <c r="P71">
        <v>2371</v>
      </c>
      <c r="Q71">
        <v>2</v>
      </c>
      <c r="R71">
        <v>32</v>
      </c>
      <c r="S71" t="s">
        <v>2824</v>
      </c>
    </row>
    <row r="72" spans="1:19" x14ac:dyDescent="0.25">
      <c r="A72" t="s">
        <v>2649</v>
      </c>
      <c r="B72">
        <v>3</v>
      </c>
      <c r="C72">
        <v>5</v>
      </c>
      <c r="D72">
        <v>0</v>
      </c>
      <c r="E72" t="s">
        <v>2654</v>
      </c>
      <c r="F72">
        <v>1339</v>
      </c>
      <c r="G72">
        <v>6292859.5625</v>
      </c>
      <c r="H72">
        <v>0.86513157747685909</v>
      </c>
      <c r="I72">
        <v>0.92269736842105265</v>
      </c>
      <c r="J72">
        <v>450205.0625</v>
      </c>
      <c r="K72">
        <v>2655</v>
      </c>
      <c r="L72">
        <v>2</v>
      </c>
      <c r="M72">
        <v>34</v>
      </c>
      <c r="N72">
        <v>0.92927631578947367</v>
      </c>
      <c r="O72">
        <v>379247</v>
      </c>
      <c r="P72">
        <v>2803</v>
      </c>
      <c r="Q72">
        <v>2</v>
      </c>
      <c r="R72">
        <v>35</v>
      </c>
      <c r="S72" t="s">
        <v>2823</v>
      </c>
    </row>
    <row r="73" spans="1:19" x14ac:dyDescent="0.25">
      <c r="A73" t="s">
        <v>2649</v>
      </c>
      <c r="B73">
        <v>3</v>
      </c>
      <c r="C73">
        <v>2</v>
      </c>
      <c r="D73">
        <v>0</v>
      </c>
      <c r="E73" t="s">
        <v>2648</v>
      </c>
      <c r="F73">
        <v>516</v>
      </c>
      <c r="G73">
        <v>7907441.375</v>
      </c>
      <c r="H73">
        <v>0.91118421778082848</v>
      </c>
      <c r="I73">
        <v>0.92763157894736836</v>
      </c>
      <c r="J73">
        <v>471531.9375</v>
      </c>
      <c r="K73">
        <v>751</v>
      </c>
      <c r="L73">
        <v>2</v>
      </c>
      <c r="M73">
        <v>17</v>
      </c>
      <c r="N73">
        <v>0.92927631578947367</v>
      </c>
      <c r="O73">
        <v>435296.8125</v>
      </c>
      <c r="P73">
        <v>831</v>
      </c>
      <c r="Q73">
        <v>2</v>
      </c>
      <c r="R73">
        <v>18</v>
      </c>
      <c r="S73" t="s">
        <v>2822</v>
      </c>
    </row>
    <row r="74" spans="1:19" x14ac:dyDescent="0.25">
      <c r="A74" t="s">
        <v>2649</v>
      </c>
      <c r="B74">
        <v>3</v>
      </c>
      <c r="C74">
        <v>3</v>
      </c>
      <c r="D74">
        <v>0</v>
      </c>
      <c r="E74" t="s">
        <v>2648</v>
      </c>
      <c r="F74">
        <v>579</v>
      </c>
      <c r="G74">
        <v>2270230.3125</v>
      </c>
      <c r="H74">
        <v>0.92105263099074364</v>
      </c>
      <c r="I74">
        <v>0.92434210526315785</v>
      </c>
      <c r="J74">
        <v>224283.125</v>
      </c>
      <c r="K74">
        <v>1003</v>
      </c>
      <c r="L74">
        <v>2</v>
      </c>
      <c r="M74">
        <v>20</v>
      </c>
      <c r="N74">
        <v>0.93421052631578938</v>
      </c>
      <c r="O74">
        <v>242455.4375</v>
      </c>
      <c r="P74">
        <v>1095</v>
      </c>
      <c r="Q74">
        <v>2</v>
      </c>
      <c r="R74">
        <v>21</v>
      </c>
      <c r="S74" t="s">
        <v>2821</v>
      </c>
    </row>
    <row r="75" spans="1:19" x14ac:dyDescent="0.25">
      <c r="A75" t="s">
        <v>2649</v>
      </c>
      <c r="B75">
        <v>3</v>
      </c>
      <c r="C75">
        <v>4</v>
      </c>
      <c r="D75">
        <v>0</v>
      </c>
      <c r="E75" t="s">
        <v>2648</v>
      </c>
      <c r="F75">
        <v>642</v>
      </c>
      <c r="G75">
        <v>2741868.5</v>
      </c>
      <c r="H75">
        <v>0.93256577849388123</v>
      </c>
      <c r="I75">
        <v>0.91611842105263153</v>
      </c>
      <c r="J75">
        <v>263619.75</v>
      </c>
      <c r="K75">
        <v>1191</v>
      </c>
      <c r="L75">
        <v>2</v>
      </c>
      <c r="M75">
        <v>22</v>
      </c>
      <c r="N75">
        <v>0.92269736842105265</v>
      </c>
      <c r="O75">
        <v>278826.0625</v>
      </c>
      <c r="P75">
        <v>1291</v>
      </c>
      <c r="Q75">
        <v>2</v>
      </c>
      <c r="R75">
        <v>23</v>
      </c>
      <c r="S75" t="s">
        <v>2820</v>
      </c>
    </row>
    <row r="76" spans="1:19" x14ac:dyDescent="0.25">
      <c r="A76" t="s">
        <v>2649</v>
      </c>
      <c r="B76">
        <v>3</v>
      </c>
      <c r="C76">
        <v>5</v>
      </c>
      <c r="D76">
        <v>0</v>
      </c>
      <c r="E76" t="s">
        <v>2648</v>
      </c>
      <c r="F76">
        <v>705</v>
      </c>
      <c r="G76">
        <v>3241981.1875</v>
      </c>
      <c r="H76">
        <v>0.9375000111758709</v>
      </c>
      <c r="I76">
        <v>0.93256578947368418</v>
      </c>
      <c r="J76">
        <v>328592.25</v>
      </c>
      <c r="K76">
        <v>1395</v>
      </c>
      <c r="L76">
        <v>2</v>
      </c>
      <c r="M76">
        <v>24</v>
      </c>
      <c r="N76">
        <v>0.93092105263157887</v>
      </c>
      <c r="O76">
        <v>217918.75</v>
      </c>
      <c r="P76">
        <v>1503</v>
      </c>
      <c r="Q76">
        <v>2</v>
      </c>
      <c r="R76">
        <v>25</v>
      </c>
      <c r="S76" t="s">
        <v>2819</v>
      </c>
    </row>
    <row r="77" spans="1:19" x14ac:dyDescent="0.25">
      <c r="A77" t="s">
        <v>2649</v>
      </c>
      <c r="B77">
        <v>5</v>
      </c>
      <c r="C77">
        <v>2</v>
      </c>
      <c r="D77">
        <v>0</v>
      </c>
      <c r="E77" t="s">
        <v>2739</v>
      </c>
      <c r="F77">
        <v>937</v>
      </c>
      <c r="G77">
        <v>3722123.6875</v>
      </c>
      <c r="H77">
        <v>0.93914474919438362</v>
      </c>
      <c r="I77">
        <v>0.9375</v>
      </c>
      <c r="J77">
        <v>427964.4375</v>
      </c>
      <c r="K77">
        <v>1395</v>
      </c>
      <c r="L77">
        <v>2</v>
      </c>
      <c r="M77">
        <v>24</v>
      </c>
      <c r="N77">
        <v>0.91940789473684204</v>
      </c>
      <c r="O77">
        <v>386545.0625</v>
      </c>
      <c r="P77">
        <v>1503</v>
      </c>
      <c r="Q77">
        <v>2</v>
      </c>
      <c r="R77">
        <v>25</v>
      </c>
      <c r="S77" t="s">
        <v>2818</v>
      </c>
    </row>
    <row r="78" spans="1:19" x14ac:dyDescent="0.25">
      <c r="A78" t="s">
        <v>2649</v>
      </c>
      <c r="B78">
        <v>5</v>
      </c>
      <c r="C78">
        <v>3</v>
      </c>
      <c r="D78">
        <v>0</v>
      </c>
      <c r="E78" t="s">
        <v>2739</v>
      </c>
      <c r="F78">
        <v>1029</v>
      </c>
      <c r="G78">
        <v>4938904.5625</v>
      </c>
      <c r="H78">
        <v>0.92269737273454666</v>
      </c>
      <c r="I78">
        <v>0.92434210526315785</v>
      </c>
      <c r="J78">
        <v>488698.6875</v>
      </c>
      <c r="K78">
        <v>1615</v>
      </c>
      <c r="L78">
        <v>2</v>
      </c>
      <c r="M78">
        <v>26</v>
      </c>
      <c r="N78">
        <v>0.92927631578947367</v>
      </c>
      <c r="O78">
        <v>399587.0625</v>
      </c>
      <c r="P78">
        <v>1731</v>
      </c>
      <c r="Q78">
        <v>2</v>
      </c>
      <c r="R78">
        <v>27</v>
      </c>
      <c r="S78" t="s">
        <v>2817</v>
      </c>
    </row>
    <row r="79" spans="1:19" x14ac:dyDescent="0.25">
      <c r="A79" t="s">
        <v>2649</v>
      </c>
      <c r="B79">
        <v>5</v>
      </c>
      <c r="C79">
        <v>4</v>
      </c>
      <c r="D79">
        <v>0</v>
      </c>
      <c r="E79" t="s">
        <v>2739</v>
      </c>
      <c r="F79">
        <v>1121</v>
      </c>
      <c r="G79">
        <v>5569277.625</v>
      </c>
      <c r="H79">
        <v>0.92105263471603394</v>
      </c>
      <c r="I79">
        <v>0.91776315789473684</v>
      </c>
      <c r="J79">
        <v>466667.375</v>
      </c>
      <c r="K79">
        <v>1851</v>
      </c>
      <c r="L79">
        <v>2</v>
      </c>
      <c r="M79">
        <v>28</v>
      </c>
      <c r="N79">
        <v>0.92598684210526316</v>
      </c>
      <c r="O79">
        <v>388160.0625</v>
      </c>
      <c r="P79">
        <v>1975</v>
      </c>
      <c r="Q79">
        <v>2</v>
      </c>
      <c r="R79">
        <v>29</v>
      </c>
      <c r="S79" t="s">
        <v>2816</v>
      </c>
    </row>
    <row r="80" spans="1:19" x14ac:dyDescent="0.25">
      <c r="A80" t="s">
        <v>2649</v>
      </c>
      <c r="B80">
        <v>5</v>
      </c>
      <c r="C80">
        <v>5</v>
      </c>
      <c r="D80">
        <v>0</v>
      </c>
      <c r="E80" t="s">
        <v>2739</v>
      </c>
      <c r="F80">
        <v>1213</v>
      </c>
      <c r="G80">
        <v>6702371.7857142854</v>
      </c>
      <c r="H80">
        <v>0.80075188194002422</v>
      </c>
      <c r="I80">
        <v>0.9229323308270676</v>
      </c>
      <c r="J80">
        <v>563670.5</v>
      </c>
      <c r="K80">
        <v>2103</v>
      </c>
      <c r="L80">
        <v>2</v>
      </c>
      <c r="M80">
        <v>30</v>
      </c>
      <c r="N80">
        <v>0.91729323308270672</v>
      </c>
      <c r="O80">
        <v>332845.78571428574</v>
      </c>
      <c r="P80">
        <v>2235</v>
      </c>
      <c r="Q80">
        <v>2</v>
      </c>
      <c r="R80">
        <v>31</v>
      </c>
      <c r="S80" t="s">
        <v>2815</v>
      </c>
    </row>
    <row r="81" spans="1:19" x14ac:dyDescent="0.25">
      <c r="A81" t="s">
        <v>2649</v>
      </c>
      <c r="B81">
        <v>5</v>
      </c>
      <c r="C81">
        <v>2</v>
      </c>
      <c r="D81">
        <v>0</v>
      </c>
      <c r="E81" t="s">
        <v>2734</v>
      </c>
      <c r="F81">
        <v>1199</v>
      </c>
      <c r="G81">
        <v>6847141.2857142854</v>
      </c>
      <c r="H81">
        <v>0.77067668948854717</v>
      </c>
      <c r="I81">
        <v>0.91917293233082709</v>
      </c>
      <c r="J81">
        <v>522318</v>
      </c>
      <c r="K81">
        <v>1731</v>
      </c>
      <c r="L81">
        <v>2</v>
      </c>
      <c r="M81">
        <v>27</v>
      </c>
      <c r="N81">
        <v>0.92669172932330823</v>
      </c>
      <c r="O81">
        <v>486513.85714285716</v>
      </c>
      <c r="P81">
        <v>1851</v>
      </c>
      <c r="Q81">
        <v>2</v>
      </c>
      <c r="R81">
        <v>28</v>
      </c>
      <c r="S81" t="s">
        <v>2814</v>
      </c>
    </row>
    <row r="82" spans="1:19" x14ac:dyDescent="0.25">
      <c r="A82" t="s">
        <v>2649</v>
      </c>
      <c r="B82">
        <v>5</v>
      </c>
      <c r="C82">
        <v>3</v>
      </c>
      <c r="D82">
        <v>0</v>
      </c>
      <c r="E82" t="s">
        <v>2734</v>
      </c>
      <c r="F82">
        <v>1317</v>
      </c>
      <c r="G82">
        <v>4213905.875</v>
      </c>
      <c r="H82">
        <v>0.93914474546909332</v>
      </c>
      <c r="I82">
        <v>0.93256578947368418</v>
      </c>
      <c r="J82">
        <v>413216.5625</v>
      </c>
      <c r="K82">
        <v>2103</v>
      </c>
      <c r="L82">
        <v>2</v>
      </c>
      <c r="M82">
        <v>30</v>
      </c>
      <c r="N82">
        <v>0.94078947368421051</v>
      </c>
      <c r="O82">
        <v>313907.125</v>
      </c>
      <c r="P82">
        <v>2235</v>
      </c>
      <c r="Q82">
        <v>2</v>
      </c>
      <c r="R82">
        <v>31</v>
      </c>
      <c r="S82" t="s">
        <v>2813</v>
      </c>
    </row>
    <row r="83" spans="1:19" x14ac:dyDescent="0.25">
      <c r="A83" t="s">
        <v>2649</v>
      </c>
      <c r="B83">
        <v>5</v>
      </c>
      <c r="C83">
        <v>4</v>
      </c>
      <c r="D83">
        <v>0</v>
      </c>
      <c r="E83" t="s">
        <v>2734</v>
      </c>
      <c r="F83">
        <v>1435</v>
      </c>
      <c r="G83">
        <v>5185348.4375</v>
      </c>
      <c r="H83">
        <v>0.92105263099074364</v>
      </c>
      <c r="I83">
        <v>0.92598684210526316</v>
      </c>
      <c r="J83">
        <v>455092.625</v>
      </c>
      <c r="K83">
        <v>2371</v>
      </c>
      <c r="L83">
        <v>2</v>
      </c>
      <c r="M83">
        <v>32</v>
      </c>
      <c r="N83">
        <v>0.93421052631578949</v>
      </c>
      <c r="O83">
        <v>412226</v>
      </c>
      <c r="P83">
        <v>2511</v>
      </c>
      <c r="Q83">
        <v>2</v>
      </c>
      <c r="R83">
        <v>33</v>
      </c>
      <c r="S83" t="s">
        <v>2812</v>
      </c>
    </row>
    <row r="84" spans="1:19" x14ac:dyDescent="0.25">
      <c r="A84" t="s">
        <v>2649</v>
      </c>
      <c r="B84">
        <v>5</v>
      </c>
      <c r="C84">
        <v>5</v>
      </c>
      <c r="D84">
        <v>0</v>
      </c>
      <c r="E84" t="s">
        <v>2734</v>
      </c>
      <c r="F84">
        <v>1553</v>
      </c>
      <c r="G84">
        <v>6229437.4285714282</v>
      </c>
      <c r="H84">
        <v>0.87218044911112103</v>
      </c>
      <c r="I84">
        <v>0.9229323308270676</v>
      </c>
      <c r="J84">
        <v>534052.64285714284</v>
      </c>
      <c r="K84">
        <v>2803</v>
      </c>
      <c r="L84">
        <v>2</v>
      </c>
      <c r="M84">
        <v>35</v>
      </c>
      <c r="N84">
        <v>0.92105263157894735</v>
      </c>
      <c r="O84">
        <v>416804.64285714284</v>
      </c>
      <c r="P84">
        <v>2955</v>
      </c>
      <c r="Q84">
        <v>2</v>
      </c>
      <c r="R84">
        <v>36</v>
      </c>
      <c r="S84" t="s">
        <v>2811</v>
      </c>
    </row>
    <row r="85" spans="1:19" x14ac:dyDescent="0.25">
      <c r="A85" t="s">
        <v>2649</v>
      </c>
      <c r="B85">
        <v>5</v>
      </c>
      <c r="C85">
        <v>2</v>
      </c>
      <c r="D85">
        <v>0</v>
      </c>
      <c r="E85" t="s">
        <v>2729</v>
      </c>
      <c r="F85">
        <v>1461</v>
      </c>
      <c r="G85">
        <v>6957139.0714285718</v>
      </c>
      <c r="H85">
        <v>0.86278195892061504</v>
      </c>
      <c r="I85">
        <v>0.92481203007518797</v>
      </c>
      <c r="J85">
        <v>810101.28571428568</v>
      </c>
      <c r="K85">
        <v>2103</v>
      </c>
      <c r="L85">
        <v>2</v>
      </c>
      <c r="M85">
        <v>30</v>
      </c>
      <c r="N85">
        <v>0.91917293233082709</v>
      </c>
      <c r="O85">
        <v>441256.07142857142</v>
      </c>
      <c r="P85">
        <v>2235</v>
      </c>
      <c r="Q85">
        <v>2</v>
      </c>
      <c r="R85">
        <v>31</v>
      </c>
      <c r="S85" t="s">
        <v>2810</v>
      </c>
    </row>
    <row r="86" spans="1:19" x14ac:dyDescent="0.25">
      <c r="A86" t="s">
        <v>2649</v>
      </c>
      <c r="B86">
        <v>5</v>
      </c>
      <c r="C86">
        <v>3</v>
      </c>
      <c r="D86">
        <v>0</v>
      </c>
      <c r="E86" t="s">
        <v>2729</v>
      </c>
      <c r="F86">
        <v>1605</v>
      </c>
      <c r="G86">
        <v>4608673.9375</v>
      </c>
      <c r="H86">
        <v>0.94736842811107635</v>
      </c>
      <c r="I86">
        <v>0.91776315789473684</v>
      </c>
      <c r="J86">
        <v>437613.625</v>
      </c>
      <c r="K86">
        <v>2511</v>
      </c>
      <c r="L86">
        <v>2</v>
      </c>
      <c r="M86">
        <v>33</v>
      </c>
      <c r="N86">
        <v>0.92598684210526316</v>
      </c>
      <c r="O86">
        <v>373831.4375</v>
      </c>
      <c r="P86">
        <v>2655</v>
      </c>
      <c r="Q86">
        <v>2</v>
      </c>
      <c r="R86">
        <v>34</v>
      </c>
      <c r="S86" t="s">
        <v>2809</v>
      </c>
    </row>
    <row r="87" spans="1:19" x14ac:dyDescent="0.25">
      <c r="A87" t="s">
        <v>2649</v>
      </c>
      <c r="B87">
        <v>5</v>
      </c>
      <c r="C87">
        <v>4</v>
      </c>
      <c r="D87">
        <v>0</v>
      </c>
      <c r="E87" t="s">
        <v>2729</v>
      </c>
      <c r="F87">
        <v>1749</v>
      </c>
      <c r="G87">
        <v>5497266.3125</v>
      </c>
      <c r="H87">
        <v>0.92434212192893028</v>
      </c>
      <c r="I87">
        <v>0.93585526315789469</v>
      </c>
      <c r="J87">
        <v>502697.25</v>
      </c>
      <c r="K87">
        <v>2955</v>
      </c>
      <c r="L87">
        <v>2</v>
      </c>
      <c r="M87">
        <v>36</v>
      </c>
      <c r="N87">
        <v>0.92598684210526316</v>
      </c>
      <c r="O87">
        <v>374851.9375</v>
      </c>
      <c r="P87">
        <v>3111</v>
      </c>
      <c r="Q87">
        <v>2</v>
      </c>
      <c r="R87">
        <v>37</v>
      </c>
      <c r="S87" t="s">
        <v>2808</v>
      </c>
    </row>
    <row r="88" spans="1:19" x14ac:dyDescent="0.25">
      <c r="A88" t="s">
        <v>2649</v>
      </c>
      <c r="B88">
        <v>5</v>
      </c>
      <c r="C88">
        <v>5</v>
      </c>
      <c r="D88">
        <v>0</v>
      </c>
      <c r="E88" t="s">
        <v>2729</v>
      </c>
      <c r="F88">
        <v>1893</v>
      </c>
      <c r="G88">
        <v>7144616.9285714282</v>
      </c>
      <c r="H88">
        <v>0.87969925148146488</v>
      </c>
      <c r="I88">
        <v>0.9285714285714286</v>
      </c>
      <c r="J88">
        <v>717938.92857142852</v>
      </c>
      <c r="K88">
        <v>3435</v>
      </c>
      <c r="L88">
        <v>2</v>
      </c>
      <c r="M88">
        <v>39</v>
      </c>
      <c r="N88">
        <v>0.92105263157894735</v>
      </c>
      <c r="O88">
        <v>325941.07142857142</v>
      </c>
      <c r="P88">
        <v>3603</v>
      </c>
      <c r="Q88">
        <v>2</v>
      </c>
      <c r="R88">
        <v>40</v>
      </c>
      <c r="S88" t="s">
        <v>2807</v>
      </c>
    </row>
    <row r="89" spans="1:19" x14ac:dyDescent="0.25">
      <c r="A89" t="s">
        <v>2649</v>
      </c>
      <c r="B89">
        <v>5</v>
      </c>
      <c r="C89">
        <v>2</v>
      </c>
      <c r="D89">
        <v>0</v>
      </c>
      <c r="E89" t="s">
        <v>2724</v>
      </c>
      <c r="F89">
        <v>1099</v>
      </c>
      <c r="G89">
        <v>6623399.9285714282</v>
      </c>
      <c r="H89">
        <v>0.86278195679187775</v>
      </c>
      <c r="I89">
        <v>0.92857142857142849</v>
      </c>
      <c r="J89">
        <v>549442.28571428568</v>
      </c>
      <c r="K89">
        <v>1615</v>
      </c>
      <c r="L89">
        <v>2</v>
      </c>
      <c r="M89">
        <v>26</v>
      </c>
      <c r="N89">
        <v>0.93796992481203012</v>
      </c>
      <c r="O89">
        <v>428994.28571428574</v>
      </c>
      <c r="P89">
        <v>1731</v>
      </c>
      <c r="Q89">
        <v>2</v>
      </c>
      <c r="R89">
        <v>27</v>
      </c>
      <c r="S89" t="s">
        <v>2806</v>
      </c>
    </row>
    <row r="90" spans="1:19" x14ac:dyDescent="0.25">
      <c r="A90" t="s">
        <v>2649</v>
      </c>
      <c r="B90">
        <v>5</v>
      </c>
      <c r="C90">
        <v>3</v>
      </c>
      <c r="D90">
        <v>0</v>
      </c>
      <c r="E90" t="s">
        <v>2724</v>
      </c>
      <c r="F90">
        <v>1207</v>
      </c>
      <c r="G90">
        <v>4654232.4375</v>
      </c>
      <c r="H90">
        <v>0.93914474174380302</v>
      </c>
      <c r="I90">
        <v>0.92105263157894735</v>
      </c>
      <c r="J90">
        <v>403601.0625</v>
      </c>
      <c r="K90">
        <v>1851</v>
      </c>
      <c r="L90">
        <v>2</v>
      </c>
      <c r="M90">
        <v>28</v>
      </c>
      <c r="N90">
        <v>0.92434210526315785</v>
      </c>
      <c r="O90">
        <v>338179.125</v>
      </c>
      <c r="P90">
        <v>1975</v>
      </c>
      <c r="Q90">
        <v>2</v>
      </c>
      <c r="R90">
        <v>29</v>
      </c>
      <c r="S90" t="s">
        <v>2805</v>
      </c>
    </row>
    <row r="91" spans="1:19" x14ac:dyDescent="0.25">
      <c r="A91" t="s">
        <v>2649</v>
      </c>
      <c r="B91">
        <v>5</v>
      </c>
      <c r="C91">
        <v>4</v>
      </c>
      <c r="D91">
        <v>0</v>
      </c>
      <c r="E91" t="s">
        <v>2724</v>
      </c>
      <c r="F91">
        <v>1315</v>
      </c>
      <c r="G91">
        <v>5831317.1875</v>
      </c>
      <c r="H91">
        <v>0.91776316985487938</v>
      </c>
      <c r="I91">
        <v>0.92763157894736836</v>
      </c>
      <c r="J91">
        <v>404585.125</v>
      </c>
      <c r="K91">
        <v>2235</v>
      </c>
      <c r="L91">
        <v>2</v>
      </c>
      <c r="M91">
        <v>31</v>
      </c>
      <c r="N91">
        <v>0.91940789473684204</v>
      </c>
      <c r="O91">
        <v>295101.5</v>
      </c>
      <c r="P91">
        <v>2371</v>
      </c>
      <c r="Q91">
        <v>2</v>
      </c>
      <c r="R91">
        <v>32</v>
      </c>
      <c r="S91" t="s">
        <v>2804</v>
      </c>
    </row>
    <row r="92" spans="1:19" x14ac:dyDescent="0.25">
      <c r="A92" t="s">
        <v>2649</v>
      </c>
      <c r="B92">
        <v>5</v>
      </c>
      <c r="C92">
        <v>5</v>
      </c>
      <c r="D92">
        <v>0</v>
      </c>
      <c r="E92" t="s">
        <v>2724</v>
      </c>
      <c r="F92">
        <v>1423</v>
      </c>
      <c r="G92">
        <v>5852643.2857142854</v>
      </c>
      <c r="H92">
        <v>0.9041353421551841</v>
      </c>
      <c r="I92">
        <v>0.92669172932330823</v>
      </c>
      <c r="J92">
        <v>558229.07142857148</v>
      </c>
      <c r="K92">
        <v>2511</v>
      </c>
      <c r="L92">
        <v>2</v>
      </c>
      <c r="M92">
        <v>33</v>
      </c>
      <c r="N92">
        <v>0.9285714285714286</v>
      </c>
      <c r="O92">
        <v>421068.07142857142</v>
      </c>
      <c r="P92">
        <v>2655</v>
      </c>
      <c r="Q92">
        <v>2</v>
      </c>
      <c r="R92">
        <v>34</v>
      </c>
      <c r="S92" t="s">
        <v>2803</v>
      </c>
    </row>
    <row r="93" spans="1:19" x14ac:dyDescent="0.25">
      <c r="A93" t="s">
        <v>2649</v>
      </c>
      <c r="B93">
        <v>5</v>
      </c>
      <c r="C93">
        <v>2</v>
      </c>
      <c r="D93">
        <v>0</v>
      </c>
      <c r="E93" t="s">
        <v>2719</v>
      </c>
      <c r="F93">
        <v>1401</v>
      </c>
      <c r="G93">
        <v>7163906.7857142854</v>
      </c>
      <c r="H93">
        <v>0.81203007698059082</v>
      </c>
      <c r="I93">
        <v>0.93233082706766912</v>
      </c>
      <c r="J93">
        <v>516903.71428571426</v>
      </c>
      <c r="K93">
        <v>1975</v>
      </c>
      <c r="L93">
        <v>2</v>
      </c>
      <c r="M93">
        <v>29</v>
      </c>
      <c r="N93">
        <v>0.92481203007518797</v>
      </c>
      <c r="O93">
        <v>340094.71428571426</v>
      </c>
      <c r="P93">
        <v>2103</v>
      </c>
      <c r="Q93">
        <v>2</v>
      </c>
      <c r="R93">
        <v>30</v>
      </c>
      <c r="S93" t="s">
        <v>2802</v>
      </c>
    </row>
    <row r="94" spans="1:19" x14ac:dyDescent="0.25">
      <c r="A94" t="s">
        <v>2649</v>
      </c>
      <c r="B94">
        <v>5</v>
      </c>
      <c r="C94">
        <v>3</v>
      </c>
      <c r="D94">
        <v>0</v>
      </c>
      <c r="E94" t="s">
        <v>2719</v>
      </c>
      <c r="F94">
        <v>1539</v>
      </c>
      <c r="G94">
        <v>4666444.5625</v>
      </c>
      <c r="H94">
        <v>0.95723684132099152</v>
      </c>
      <c r="I94">
        <v>0.93256578947368418</v>
      </c>
      <c r="J94">
        <v>526289.5625</v>
      </c>
      <c r="K94">
        <v>2371</v>
      </c>
      <c r="L94">
        <v>2</v>
      </c>
      <c r="M94">
        <v>32</v>
      </c>
      <c r="N94">
        <v>0.92105263157894735</v>
      </c>
      <c r="O94">
        <v>302178.1875</v>
      </c>
      <c r="P94">
        <v>2511</v>
      </c>
      <c r="Q94">
        <v>2</v>
      </c>
      <c r="R94">
        <v>33</v>
      </c>
      <c r="S94" t="s">
        <v>2801</v>
      </c>
    </row>
    <row r="95" spans="1:19" x14ac:dyDescent="0.25">
      <c r="A95" t="s">
        <v>2649</v>
      </c>
      <c r="B95">
        <v>5</v>
      </c>
      <c r="C95">
        <v>4</v>
      </c>
      <c r="D95">
        <v>0</v>
      </c>
      <c r="E95" t="s">
        <v>2719</v>
      </c>
      <c r="F95">
        <v>1677</v>
      </c>
      <c r="G95">
        <v>6013459.875</v>
      </c>
      <c r="H95">
        <v>0.92763157933950424</v>
      </c>
      <c r="I95">
        <v>0.92105263157894735</v>
      </c>
      <c r="J95">
        <v>488700.1875</v>
      </c>
      <c r="K95">
        <v>2803</v>
      </c>
      <c r="L95">
        <v>2</v>
      </c>
      <c r="M95">
        <v>35</v>
      </c>
      <c r="N95">
        <v>0.92434210526315785</v>
      </c>
      <c r="O95">
        <v>491911.375</v>
      </c>
      <c r="P95">
        <v>2955</v>
      </c>
      <c r="Q95">
        <v>2</v>
      </c>
      <c r="R95">
        <v>36</v>
      </c>
      <c r="S95" t="s">
        <v>2800</v>
      </c>
    </row>
    <row r="96" spans="1:19" x14ac:dyDescent="0.25">
      <c r="A96" t="s">
        <v>2649</v>
      </c>
      <c r="B96">
        <v>5</v>
      </c>
      <c r="C96">
        <v>5</v>
      </c>
      <c r="D96">
        <v>0</v>
      </c>
      <c r="E96" t="s">
        <v>2719</v>
      </c>
      <c r="F96">
        <v>1815</v>
      </c>
      <c r="G96">
        <v>8338776.5</v>
      </c>
      <c r="H96">
        <v>0.82894736954144066</v>
      </c>
      <c r="I96">
        <v>0.92481203007518797</v>
      </c>
      <c r="J96">
        <v>527331.78571428568</v>
      </c>
      <c r="K96">
        <v>3271</v>
      </c>
      <c r="L96">
        <v>2</v>
      </c>
      <c r="M96">
        <v>38</v>
      </c>
      <c r="N96">
        <v>0.9229323308270676</v>
      </c>
      <c r="O96">
        <v>420299.92857142858</v>
      </c>
      <c r="P96">
        <v>3435</v>
      </c>
      <c r="Q96">
        <v>2</v>
      </c>
      <c r="R96">
        <v>39</v>
      </c>
      <c r="S96" t="s">
        <v>2799</v>
      </c>
    </row>
    <row r="97" spans="1:19" x14ac:dyDescent="0.25">
      <c r="A97" t="s">
        <v>2649</v>
      </c>
      <c r="B97">
        <v>5</v>
      </c>
      <c r="C97">
        <v>2</v>
      </c>
      <c r="D97">
        <v>0</v>
      </c>
      <c r="E97" t="s">
        <v>2714</v>
      </c>
      <c r="F97">
        <v>1703</v>
      </c>
      <c r="G97">
        <v>8114049.8571428573</v>
      </c>
      <c r="H97">
        <v>0.8082706715379443</v>
      </c>
      <c r="I97">
        <v>0.91917293233082709</v>
      </c>
      <c r="J97">
        <v>692922.5</v>
      </c>
      <c r="K97">
        <v>2511</v>
      </c>
      <c r="L97">
        <v>2</v>
      </c>
      <c r="M97">
        <v>33</v>
      </c>
      <c r="N97">
        <v>0.91917293233082709</v>
      </c>
      <c r="O97">
        <v>380777</v>
      </c>
      <c r="P97">
        <v>2655</v>
      </c>
      <c r="Q97">
        <v>2</v>
      </c>
      <c r="R97">
        <v>34</v>
      </c>
      <c r="S97" t="s">
        <v>2798</v>
      </c>
    </row>
    <row r="98" spans="1:19" x14ac:dyDescent="0.25">
      <c r="A98" t="s">
        <v>2649</v>
      </c>
      <c r="B98">
        <v>5</v>
      </c>
      <c r="C98">
        <v>3</v>
      </c>
      <c r="D98">
        <v>0</v>
      </c>
      <c r="E98" t="s">
        <v>2714</v>
      </c>
      <c r="F98">
        <v>1871</v>
      </c>
      <c r="G98">
        <v>4813884.6875</v>
      </c>
      <c r="H98">
        <v>0.9375000074505806</v>
      </c>
      <c r="I98">
        <v>0.93421052631578949</v>
      </c>
      <c r="J98">
        <v>433176.4375</v>
      </c>
      <c r="K98">
        <v>2955</v>
      </c>
      <c r="L98">
        <v>2</v>
      </c>
      <c r="M98">
        <v>36</v>
      </c>
      <c r="N98">
        <v>0.92598684210526316</v>
      </c>
      <c r="O98">
        <v>373523.875</v>
      </c>
      <c r="P98">
        <v>3111</v>
      </c>
      <c r="Q98">
        <v>2</v>
      </c>
      <c r="R98">
        <v>37</v>
      </c>
      <c r="S98" t="s">
        <v>2797</v>
      </c>
    </row>
    <row r="99" spans="1:19" x14ac:dyDescent="0.25">
      <c r="A99" t="s">
        <v>2649</v>
      </c>
      <c r="B99">
        <v>5</v>
      </c>
      <c r="C99">
        <v>4</v>
      </c>
      <c r="D99">
        <v>0</v>
      </c>
      <c r="E99" t="s">
        <v>2714</v>
      </c>
      <c r="F99">
        <v>2039</v>
      </c>
      <c r="G99">
        <v>5908883.375</v>
      </c>
      <c r="H99">
        <v>0.93421052768826485</v>
      </c>
      <c r="I99">
        <v>0.92434210526315785</v>
      </c>
      <c r="J99">
        <v>382729.4375</v>
      </c>
      <c r="K99">
        <v>3435</v>
      </c>
      <c r="L99">
        <v>2</v>
      </c>
      <c r="M99">
        <v>39</v>
      </c>
      <c r="N99">
        <v>0.92434210526315785</v>
      </c>
      <c r="O99">
        <v>253980.5</v>
      </c>
      <c r="P99">
        <v>3603</v>
      </c>
      <c r="Q99">
        <v>2</v>
      </c>
      <c r="R99">
        <v>40</v>
      </c>
      <c r="S99" t="s">
        <v>2796</v>
      </c>
    </row>
    <row r="100" spans="1:19" x14ac:dyDescent="0.25">
      <c r="A100" t="s">
        <v>2649</v>
      </c>
      <c r="B100">
        <v>5</v>
      </c>
      <c r="C100">
        <v>5</v>
      </c>
      <c r="D100">
        <v>0</v>
      </c>
      <c r="E100" t="s">
        <v>2714</v>
      </c>
      <c r="F100">
        <v>2207</v>
      </c>
      <c r="G100">
        <v>7118117.7857142854</v>
      </c>
      <c r="H100">
        <v>0.86278195466314045</v>
      </c>
      <c r="I100">
        <v>0.9285714285714286</v>
      </c>
      <c r="J100">
        <v>619312.35714285716</v>
      </c>
      <c r="K100">
        <v>3951</v>
      </c>
      <c r="L100">
        <v>2</v>
      </c>
      <c r="M100">
        <v>42</v>
      </c>
      <c r="N100">
        <v>0.92857142857142849</v>
      </c>
      <c r="O100">
        <v>358386</v>
      </c>
      <c r="P100">
        <v>4131</v>
      </c>
      <c r="Q100">
        <v>2</v>
      </c>
      <c r="R100">
        <v>43</v>
      </c>
      <c r="S100" t="s">
        <v>2795</v>
      </c>
    </row>
    <row r="101" spans="1:19" x14ac:dyDescent="0.25">
      <c r="A101" t="s">
        <v>2649</v>
      </c>
      <c r="B101">
        <v>5</v>
      </c>
      <c r="C101">
        <v>2</v>
      </c>
      <c r="D101">
        <v>0</v>
      </c>
      <c r="E101" t="s">
        <v>2709</v>
      </c>
      <c r="F101">
        <v>216</v>
      </c>
      <c r="G101">
        <v>7095748.5</v>
      </c>
      <c r="H101">
        <v>0.69548871900354114</v>
      </c>
      <c r="I101">
        <v>0.9285714285714286</v>
      </c>
      <c r="J101">
        <v>726629.57142857148</v>
      </c>
      <c r="K101">
        <v>303</v>
      </c>
      <c r="L101">
        <v>2</v>
      </c>
      <c r="M101">
        <v>10</v>
      </c>
      <c r="N101">
        <v>0.93233082706766912</v>
      </c>
      <c r="O101">
        <v>492368.64285714284</v>
      </c>
      <c r="P101">
        <v>355</v>
      </c>
      <c r="Q101">
        <v>2</v>
      </c>
      <c r="R101">
        <v>11</v>
      </c>
      <c r="S101" t="s">
        <v>2794</v>
      </c>
    </row>
    <row r="102" spans="1:19" x14ac:dyDescent="0.25">
      <c r="A102" t="s">
        <v>2649</v>
      </c>
      <c r="B102">
        <v>5</v>
      </c>
      <c r="C102">
        <v>3</v>
      </c>
      <c r="D102">
        <v>0</v>
      </c>
      <c r="E102" t="s">
        <v>2709</v>
      </c>
      <c r="F102">
        <v>237</v>
      </c>
      <c r="G102">
        <v>2768857.3125</v>
      </c>
      <c r="H102">
        <v>0.92598684877157211</v>
      </c>
      <c r="I102">
        <v>0.94407894736842102</v>
      </c>
      <c r="J102">
        <v>621363.1875</v>
      </c>
      <c r="K102">
        <v>355</v>
      </c>
      <c r="L102">
        <v>2</v>
      </c>
      <c r="M102">
        <v>11</v>
      </c>
      <c r="N102">
        <v>0.91282894736842102</v>
      </c>
      <c r="O102">
        <v>479324.125</v>
      </c>
      <c r="P102">
        <v>411</v>
      </c>
      <c r="Q102">
        <v>2</v>
      </c>
      <c r="R102">
        <v>12</v>
      </c>
      <c r="S102" t="s">
        <v>2793</v>
      </c>
    </row>
    <row r="103" spans="1:19" x14ac:dyDescent="0.25">
      <c r="A103" t="s">
        <v>2649</v>
      </c>
      <c r="B103">
        <v>5</v>
      </c>
      <c r="C103">
        <v>4</v>
      </c>
      <c r="D103">
        <v>0</v>
      </c>
      <c r="E103" t="s">
        <v>2709</v>
      </c>
      <c r="F103">
        <v>258</v>
      </c>
      <c r="G103">
        <v>3421823.5</v>
      </c>
      <c r="H103">
        <v>0.93256579712033272</v>
      </c>
      <c r="I103">
        <v>0.94243421052631582</v>
      </c>
      <c r="J103">
        <v>734926.25</v>
      </c>
      <c r="K103">
        <v>411</v>
      </c>
      <c r="L103">
        <v>2</v>
      </c>
      <c r="M103">
        <v>12</v>
      </c>
      <c r="N103">
        <v>0.92269736842105265</v>
      </c>
      <c r="O103">
        <v>395195.4375</v>
      </c>
      <c r="P103">
        <v>471</v>
      </c>
      <c r="Q103">
        <v>2</v>
      </c>
      <c r="R103">
        <v>13</v>
      </c>
      <c r="S103" t="s">
        <v>2792</v>
      </c>
    </row>
    <row r="104" spans="1:19" x14ac:dyDescent="0.25">
      <c r="A104" t="s">
        <v>2649</v>
      </c>
      <c r="B104">
        <v>5</v>
      </c>
      <c r="C104">
        <v>5</v>
      </c>
      <c r="D104">
        <v>0</v>
      </c>
      <c r="E104" t="s">
        <v>2709</v>
      </c>
      <c r="F104">
        <v>279</v>
      </c>
      <c r="G104">
        <v>3161055.4375</v>
      </c>
      <c r="H104">
        <v>0.92763158679008484</v>
      </c>
      <c r="I104">
        <v>0.91611842105263153</v>
      </c>
      <c r="J104">
        <v>439169.0625</v>
      </c>
      <c r="K104">
        <v>471</v>
      </c>
      <c r="L104">
        <v>2</v>
      </c>
      <c r="M104">
        <v>13</v>
      </c>
      <c r="N104">
        <v>0.93256578947368418</v>
      </c>
      <c r="O104">
        <v>440186.375</v>
      </c>
      <c r="P104">
        <v>535</v>
      </c>
      <c r="Q104">
        <v>2</v>
      </c>
      <c r="R104">
        <v>14</v>
      </c>
      <c r="S104" t="s">
        <v>2791</v>
      </c>
    </row>
    <row r="105" spans="1:19" x14ac:dyDescent="0.25">
      <c r="A105" t="s">
        <v>2649</v>
      </c>
      <c r="B105">
        <v>5</v>
      </c>
      <c r="C105">
        <v>2</v>
      </c>
      <c r="D105">
        <v>0</v>
      </c>
      <c r="E105" t="s">
        <v>2704</v>
      </c>
      <c r="F105">
        <v>451</v>
      </c>
      <c r="G105">
        <v>3549379.1428571427</v>
      </c>
      <c r="H105">
        <v>0.94736843023981365</v>
      </c>
      <c r="I105">
        <v>0.92669172932330823</v>
      </c>
      <c r="J105">
        <v>447817.64285714284</v>
      </c>
      <c r="K105">
        <v>603</v>
      </c>
      <c r="L105">
        <v>2</v>
      </c>
      <c r="M105">
        <v>15</v>
      </c>
      <c r="N105">
        <v>0.92105263157894735</v>
      </c>
      <c r="O105">
        <v>390586.92857142858</v>
      </c>
      <c r="P105">
        <v>675</v>
      </c>
      <c r="Q105">
        <v>2</v>
      </c>
      <c r="R105">
        <v>16</v>
      </c>
      <c r="S105" t="s">
        <v>2790</v>
      </c>
    </row>
    <row r="106" spans="1:19" x14ac:dyDescent="0.25">
      <c r="A106" t="s">
        <v>2649</v>
      </c>
      <c r="B106">
        <v>5</v>
      </c>
      <c r="C106">
        <v>3</v>
      </c>
      <c r="D106">
        <v>0</v>
      </c>
      <c r="E106" t="s">
        <v>2704</v>
      </c>
      <c r="F106">
        <v>495</v>
      </c>
      <c r="G106">
        <v>4892662</v>
      </c>
      <c r="H106">
        <v>0.93585526198148727</v>
      </c>
      <c r="I106">
        <v>0.93256578947368418</v>
      </c>
      <c r="J106">
        <v>495229.5</v>
      </c>
      <c r="K106">
        <v>751</v>
      </c>
      <c r="L106">
        <v>2</v>
      </c>
      <c r="M106">
        <v>17</v>
      </c>
      <c r="N106">
        <v>0.92434210526315785</v>
      </c>
      <c r="O106">
        <v>235177.5625</v>
      </c>
      <c r="P106">
        <v>831</v>
      </c>
      <c r="Q106">
        <v>2</v>
      </c>
      <c r="R106">
        <v>18</v>
      </c>
      <c r="S106" t="s">
        <v>2789</v>
      </c>
    </row>
    <row r="107" spans="1:19" x14ac:dyDescent="0.25">
      <c r="A107" t="s">
        <v>2649</v>
      </c>
      <c r="B107">
        <v>5</v>
      </c>
      <c r="C107">
        <v>4</v>
      </c>
      <c r="D107">
        <v>0</v>
      </c>
      <c r="E107" t="s">
        <v>2704</v>
      </c>
      <c r="F107">
        <v>539</v>
      </c>
      <c r="G107">
        <v>5606721.75</v>
      </c>
      <c r="H107">
        <v>0.89802631735801697</v>
      </c>
      <c r="I107">
        <v>0.92434210526315785</v>
      </c>
      <c r="J107">
        <v>513754.375</v>
      </c>
      <c r="K107">
        <v>915</v>
      </c>
      <c r="L107">
        <v>2</v>
      </c>
      <c r="M107">
        <v>19</v>
      </c>
      <c r="N107">
        <v>0.93092105263157887</v>
      </c>
      <c r="O107">
        <v>403118.5625</v>
      </c>
      <c r="P107">
        <v>1003</v>
      </c>
      <c r="Q107">
        <v>2</v>
      </c>
      <c r="R107">
        <v>20</v>
      </c>
      <c r="S107" t="s">
        <v>2788</v>
      </c>
    </row>
    <row r="108" spans="1:19" x14ac:dyDescent="0.25">
      <c r="A108" t="s">
        <v>2649</v>
      </c>
      <c r="B108">
        <v>5</v>
      </c>
      <c r="C108">
        <v>5</v>
      </c>
      <c r="D108">
        <v>0</v>
      </c>
      <c r="E108" t="s">
        <v>2704</v>
      </c>
      <c r="F108">
        <v>583</v>
      </c>
      <c r="G108">
        <v>6353017.875</v>
      </c>
      <c r="H108">
        <v>0.86019737645983696</v>
      </c>
      <c r="I108">
        <v>0.92105263157894735</v>
      </c>
      <c r="J108">
        <v>533247.5</v>
      </c>
      <c r="K108">
        <v>1003</v>
      </c>
      <c r="L108">
        <v>2</v>
      </c>
      <c r="M108">
        <v>20</v>
      </c>
      <c r="N108">
        <v>0.93256578947368418</v>
      </c>
      <c r="O108">
        <v>463048.4375</v>
      </c>
      <c r="P108">
        <v>1095</v>
      </c>
      <c r="Q108">
        <v>2</v>
      </c>
      <c r="R108">
        <v>21</v>
      </c>
      <c r="S108" t="s">
        <v>2787</v>
      </c>
    </row>
    <row r="109" spans="1:19" x14ac:dyDescent="0.25">
      <c r="A109" t="s">
        <v>2649</v>
      </c>
      <c r="B109">
        <v>5</v>
      </c>
      <c r="C109">
        <v>2</v>
      </c>
      <c r="D109">
        <v>0</v>
      </c>
      <c r="E109" t="s">
        <v>2699</v>
      </c>
      <c r="F109">
        <v>593</v>
      </c>
      <c r="G109">
        <v>6767404.9285714282</v>
      </c>
      <c r="H109">
        <v>0.85338346021515987</v>
      </c>
      <c r="I109">
        <v>0.91917293233082709</v>
      </c>
      <c r="J109">
        <v>534815.14285714284</v>
      </c>
      <c r="K109">
        <v>831</v>
      </c>
      <c r="L109">
        <v>2</v>
      </c>
      <c r="M109">
        <v>18</v>
      </c>
      <c r="N109">
        <v>0.91541353383458646</v>
      </c>
      <c r="O109">
        <v>609850</v>
      </c>
      <c r="P109">
        <v>915</v>
      </c>
      <c r="Q109">
        <v>2</v>
      </c>
      <c r="R109">
        <v>19</v>
      </c>
      <c r="S109" t="s">
        <v>2786</v>
      </c>
    </row>
    <row r="110" spans="1:19" x14ac:dyDescent="0.25">
      <c r="A110" t="s">
        <v>2649</v>
      </c>
      <c r="B110">
        <v>5</v>
      </c>
      <c r="C110">
        <v>3</v>
      </c>
      <c r="D110">
        <v>0</v>
      </c>
      <c r="E110" t="s">
        <v>2699</v>
      </c>
      <c r="F110">
        <v>651</v>
      </c>
      <c r="G110">
        <v>4213729.6875</v>
      </c>
      <c r="H110">
        <v>0.93092106282711029</v>
      </c>
      <c r="I110">
        <v>0.91776315789473684</v>
      </c>
      <c r="J110">
        <v>400023.125</v>
      </c>
      <c r="K110">
        <v>1003</v>
      </c>
      <c r="L110">
        <v>2</v>
      </c>
      <c r="M110">
        <v>20</v>
      </c>
      <c r="N110">
        <v>0.93585526315789469</v>
      </c>
      <c r="O110">
        <v>279037.375</v>
      </c>
      <c r="P110">
        <v>1095</v>
      </c>
      <c r="Q110">
        <v>2</v>
      </c>
      <c r="R110">
        <v>21</v>
      </c>
      <c r="S110" t="s">
        <v>2785</v>
      </c>
    </row>
    <row r="111" spans="1:19" x14ac:dyDescent="0.25">
      <c r="A111" t="s">
        <v>2649</v>
      </c>
      <c r="B111">
        <v>5</v>
      </c>
      <c r="C111">
        <v>4</v>
      </c>
      <c r="D111">
        <v>0</v>
      </c>
      <c r="E111" t="s">
        <v>2699</v>
      </c>
      <c r="F111">
        <v>709</v>
      </c>
      <c r="G111">
        <v>4956393</v>
      </c>
      <c r="H111">
        <v>0.91447368636727333</v>
      </c>
      <c r="I111">
        <v>0.91611842105263153</v>
      </c>
      <c r="J111">
        <v>373966.8125</v>
      </c>
      <c r="K111">
        <v>1191</v>
      </c>
      <c r="L111">
        <v>2</v>
      </c>
      <c r="M111">
        <v>22</v>
      </c>
      <c r="N111">
        <v>0.91940789473684204</v>
      </c>
      <c r="O111">
        <v>321299.8125</v>
      </c>
      <c r="P111">
        <v>1291</v>
      </c>
      <c r="Q111">
        <v>2</v>
      </c>
      <c r="R111">
        <v>23</v>
      </c>
      <c r="S111" t="s">
        <v>2784</v>
      </c>
    </row>
    <row r="112" spans="1:19" x14ac:dyDescent="0.25">
      <c r="A112" t="s">
        <v>2649</v>
      </c>
      <c r="B112">
        <v>5</v>
      </c>
      <c r="C112">
        <v>5</v>
      </c>
      <c r="D112">
        <v>0</v>
      </c>
      <c r="E112" t="s">
        <v>2699</v>
      </c>
      <c r="F112">
        <v>767</v>
      </c>
      <c r="G112">
        <v>7574464.4666666668</v>
      </c>
      <c r="H112">
        <v>0.82280702193578081</v>
      </c>
      <c r="I112">
        <v>0.92807017543859649</v>
      </c>
      <c r="J112">
        <v>512275.66666666669</v>
      </c>
      <c r="K112">
        <v>1395</v>
      </c>
      <c r="L112">
        <v>2</v>
      </c>
      <c r="M112">
        <v>24</v>
      </c>
      <c r="N112">
        <v>0.92105263157894735</v>
      </c>
      <c r="O112">
        <v>351104.13333333336</v>
      </c>
      <c r="P112">
        <v>1503</v>
      </c>
      <c r="Q112">
        <v>2</v>
      </c>
      <c r="R112">
        <v>25</v>
      </c>
      <c r="S112" t="s">
        <v>2783</v>
      </c>
    </row>
    <row r="113" spans="1:19" x14ac:dyDescent="0.25">
      <c r="A113" t="s">
        <v>2649</v>
      </c>
      <c r="B113">
        <v>5</v>
      </c>
      <c r="C113">
        <v>2</v>
      </c>
      <c r="D113">
        <v>0</v>
      </c>
      <c r="E113" t="s">
        <v>2694</v>
      </c>
      <c r="F113">
        <v>735</v>
      </c>
      <c r="G113">
        <v>7212520.5</v>
      </c>
      <c r="H113">
        <v>0.74812030792236328</v>
      </c>
      <c r="I113">
        <v>0.9285714285714286</v>
      </c>
      <c r="J113">
        <v>730517.28571428568</v>
      </c>
      <c r="K113">
        <v>1003</v>
      </c>
      <c r="L113">
        <v>2</v>
      </c>
      <c r="M113">
        <v>20</v>
      </c>
      <c r="N113">
        <v>0.91541353383458646</v>
      </c>
      <c r="O113">
        <v>707428</v>
      </c>
      <c r="P113">
        <v>1095</v>
      </c>
      <c r="Q113">
        <v>2</v>
      </c>
      <c r="R113">
        <v>21</v>
      </c>
      <c r="S113" t="s">
        <v>2782</v>
      </c>
    </row>
    <row r="114" spans="1:19" x14ac:dyDescent="0.25">
      <c r="A114" t="s">
        <v>2649</v>
      </c>
      <c r="B114">
        <v>5</v>
      </c>
      <c r="C114">
        <v>3</v>
      </c>
      <c r="D114">
        <v>0</v>
      </c>
      <c r="E114" t="s">
        <v>2694</v>
      </c>
      <c r="F114">
        <v>807</v>
      </c>
      <c r="G114">
        <v>4611449.5625</v>
      </c>
      <c r="H114">
        <v>0.95394737645983696</v>
      </c>
      <c r="I114">
        <v>0.92434210526315785</v>
      </c>
      <c r="J114">
        <v>376768.875</v>
      </c>
      <c r="K114">
        <v>1291</v>
      </c>
      <c r="L114">
        <v>2</v>
      </c>
      <c r="M114">
        <v>23</v>
      </c>
      <c r="N114">
        <v>0.92269736842105265</v>
      </c>
      <c r="O114">
        <v>350243.3125</v>
      </c>
      <c r="P114">
        <v>1395</v>
      </c>
      <c r="Q114">
        <v>2</v>
      </c>
      <c r="R114">
        <v>24</v>
      </c>
      <c r="S114" t="s">
        <v>2781</v>
      </c>
    </row>
    <row r="115" spans="1:19" x14ac:dyDescent="0.25">
      <c r="A115" t="s">
        <v>2649</v>
      </c>
      <c r="B115">
        <v>5</v>
      </c>
      <c r="C115">
        <v>4</v>
      </c>
      <c r="D115">
        <v>0</v>
      </c>
      <c r="E115" t="s">
        <v>2694</v>
      </c>
      <c r="F115">
        <v>879</v>
      </c>
      <c r="G115">
        <v>4962344</v>
      </c>
      <c r="H115">
        <v>0.9375000037252903</v>
      </c>
      <c r="I115">
        <v>0.92434210526315785</v>
      </c>
      <c r="J115">
        <v>458980.625</v>
      </c>
      <c r="K115">
        <v>1503</v>
      </c>
      <c r="L115">
        <v>2</v>
      </c>
      <c r="M115">
        <v>25</v>
      </c>
      <c r="N115">
        <v>0.92763157894736836</v>
      </c>
      <c r="O115">
        <v>411875.5</v>
      </c>
      <c r="P115">
        <v>1615</v>
      </c>
      <c r="Q115">
        <v>2</v>
      </c>
      <c r="R115">
        <v>26</v>
      </c>
      <c r="S115" t="s">
        <v>2780</v>
      </c>
    </row>
    <row r="116" spans="1:19" x14ac:dyDescent="0.25">
      <c r="A116" t="s">
        <v>2649</v>
      </c>
      <c r="B116">
        <v>5</v>
      </c>
      <c r="C116">
        <v>5</v>
      </c>
      <c r="D116">
        <v>0</v>
      </c>
      <c r="E116" t="s">
        <v>2694</v>
      </c>
      <c r="F116">
        <v>951</v>
      </c>
      <c r="G116">
        <v>6817727.4285714282</v>
      </c>
      <c r="H116">
        <v>0.86278195679187775</v>
      </c>
      <c r="I116">
        <v>0.93233082706766912</v>
      </c>
      <c r="J116">
        <v>673602.64285714284</v>
      </c>
      <c r="K116">
        <v>1731</v>
      </c>
      <c r="L116">
        <v>2</v>
      </c>
      <c r="M116">
        <v>27</v>
      </c>
      <c r="N116">
        <v>0.92105263157894735</v>
      </c>
      <c r="O116">
        <v>363164</v>
      </c>
      <c r="P116">
        <v>1851</v>
      </c>
      <c r="Q116">
        <v>2</v>
      </c>
      <c r="R116">
        <v>28</v>
      </c>
      <c r="S116" t="s">
        <v>2779</v>
      </c>
    </row>
    <row r="117" spans="1:19" x14ac:dyDescent="0.25">
      <c r="A117" t="s">
        <v>2649</v>
      </c>
      <c r="B117">
        <v>5</v>
      </c>
      <c r="C117">
        <v>2</v>
      </c>
      <c r="D117">
        <v>0</v>
      </c>
      <c r="E117" t="s">
        <v>2689</v>
      </c>
      <c r="F117">
        <v>358</v>
      </c>
      <c r="G117">
        <v>6337981.5714285718</v>
      </c>
      <c r="H117">
        <v>0.75563910177775795</v>
      </c>
      <c r="I117">
        <v>0.93045112781954886</v>
      </c>
      <c r="J117">
        <v>672674.07142857148</v>
      </c>
      <c r="K117">
        <v>471</v>
      </c>
      <c r="L117">
        <v>2</v>
      </c>
      <c r="M117">
        <v>13</v>
      </c>
      <c r="N117">
        <v>0.93045112781954886</v>
      </c>
      <c r="O117">
        <v>654395.57142857148</v>
      </c>
      <c r="P117">
        <v>535</v>
      </c>
      <c r="Q117">
        <v>2</v>
      </c>
      <c r="R117">
        <v>14</v>
      </c>
      <c r="S117" t="s">
        <v>2778</v>
      </c>
    </row>
    <row r="118" spans="1:19" x14ac:dyDescent="0.25">
      <c r="A118" t="s">
        <v>2649</v>
      </c>
      <c r="B118">
        <v>5</v>
      </c>
      <c r="C118">
        <v>3</v>
      </c>
      <c r="D118">
        <v>0</v>
      </c>
      <c r="E118" t="s">
        <v>2689</v>
      </c>
      <c r="F118">
        <v>393</v>
      </c>
      <c r="G118">
        <v>2990669.6875</v>
      </c>
      <c r="H118">
        <v>0.93585527315735817</v>
      </c>
      <c r="I118">
        <v>0.93421052631578949</v>
      </c>
      <c r="J118">
        <v>349224.3125</v>
      </c>
      <c r="K118">
        <v>603</v>
      </c>
      <c r="L118">
        <v>2</v>
      </c>
      <c r="M118">
        <v>15</v>
      </c>
      <c r="N118">
        <v>0.93092105263157898</v>
      </c>
      <c r="O118">
        <v>514286.8125</v>
      </c>
      <c r="P118">
        <v>675</v>
      </c>
      <c r="Q118">
        <v>2</v>
      </c>
      <c r="R118">
        <v>16</v>
      </c>
      <c r="S118" t="s">
        <v>2777</v>
      </c>
    </row>
    <row r="119" spans="1:19" x14ac:dyDescent="0.25">
      <c r="A119" t="s">
        <v>2649</v>
      </c>
      <c r="B119">
        <v>5</v>
      </c>
      <c r="C119">
        <v>4</v>
      </c>
      <c r="D119">
        <v>0</v>
      </c>
      <c r="E119" t="s">
        <v>2689</v>
      </c>
      <c r="F119">
        <v>428</v>
      </c>
      <c r="G119">
        <v>2791298.75</v>
      </c>
      <c r="H119">
        <v>0.90460526943206787</v>
      </c>
      <c r="I119">
        <v>0.93256578947368418</v>
      </c>
      <c r="J119">
        <v>609435.625</v>
      </c>
      <c r="K119">
        <v>675</v>
      </c>
      <c r="L119">
        <v>2</v>
      </c>
      <c r="M119">
        <v>16</v>
      </c>
      <c r="N119">
        <v>0.94243421052631582</v>
      </c>
      <c r="O119">
        <v>679444.5</v>
      </c>
      <c r="P119">
        <v>751</v>
      </c>
      <c r="Q119">
        <v>2</v>
      </c>
      <c r="R119">
        <v>17</v>
      </c>
      <c r="S119" t="s">
        <v>2776</v>
      </c>
    </row>
    <row r="120" spans="1:19" x14ac:dyDescent="0.25">
      <c r="A120" t="s">
        <v>2649</v>
      </c>
      <c r="B120">
        <v>5</v>
      </c>
      <c r="C120">
        <v>5</v>
      </c>
      <c r="D120">
        <v>0</v>
      </c>
      <c r="E120" t="s">
        <v>2689</v>
      </c>
      <c r="F120">
        <v>463</v>
      </c>
      <c r="G120">
        <v>3163547.875</v>
      </c>
      <c r="H120">
        <v>0.86019736714661121</v>
      </c>
      <c r="I120">
        <v>0.92434210526315785</v>
      </c>
      <c r="J120">
        <v>703110.5</v>
      </c>
      <c r="K120">
        <v>831</v>
      </c>
      <c r="L120">
        <v>2</v>
      </c>
      <c r="M120">
        <v>18</v>
      </c>
      <c r="N120">
        <v>0.92434210526315785</v>
      </c>
      <c r="O120">
        <v>610167.375</v>
      </c>
      <c r="P120">
        <v>915</v>
      </c>
      <c r="Q120">
        <v>2</v>
      </c>
      <c r="R120">
        <v>19</v>
      </c>
      <c r="S120" t="s">
        <v>2775</v>
      </c>
    </row>
    <row r="121" spans="1:19" x14ac:dyDescent="0.25">
      <c r="A121" t="s">
        <v>2649</v>
      </c>
      <c r="B121">
        <v>5</v>
      </c>
      <c r="C121">
        <v>2</v>
      </c>
      <c r="D121">
        <v>0</v>
      </c>
      <c r="E121" t="s">
        <v>2684</v>
      </c>
      <c r="F121">
        <v>613</v>
      </c>
      <c r="G121">
        <v>4097257.2857142859</v>
      </c>
      <c r="H121">
        <v>0.9285714285714286</v>
      </c>
      <c r="I121">
        <v>0.92105263157894735</v>
      </c>
      <c r="J121">
        <v>613691.35714285716</v>
      </c>
      <c r="K121">
        <v>831</v>
      </c>
      <c r="L121">
        <v>2</v>
      </c>
      <c r="M121">
        <v>18</v>
      </c>
      <c r="N121">
        <v>0.93233082706766912</v>
      </c>
      <c r="O121">
        <v>468061.21428571426</v>
      </c>
      <c r="P121">
        <v>915</v>
      </c>
      <c r="Q121">
        <v>2</v>
      </c>
      <c r="R121">
        <v>19</v>
      </c>
      <c r="S121" t="s">
        <v>2774</v>
      </c>
    </row>
    <row r="122" spans="1:19" x14ac:dyDescent="0.25">
      <c r="A122" t="s">
        <v>2649</v>
      </c>
      <c r="B122">
        <v>5</v>
      </c>
      <c r="C122">
        <v>3</v>
      </c>
      <c r="D122">
        <v>0</v>
      </c>
      <c r="E122" t="s">
        <v>2684</v>
      </c>
      <c r="F122">
        <v>673</v>
      </c>
      <c r="G122">
        <v>4943316.1875</v>
      </c>
      <c r="H122">
        <v>0.93421052396297455</v>
      </c>
      <c r="I122">
        <v>0.91940789473684204</v>
      </c>
      <c r="J122">
        <v>429570.875</v>
      </c>
      <c r="K122">
        <v>1003</v>
      </c>
      <c r="L122">
        <v>2</v>
      </c>
      <c r="M122">
        <v>20</v>
      </c>
      <c r="N122">
        <v>0.93585526315789469</v>
      </c>
      <c r="O122">
        <v>308255.8125</v>
      </c>
      <c r="P122">
        <v>1095</v>
      </c>
      <c r="Q122">
        <v>2</v>
      </c>
      <c r="R122">
        <v>21</v>
      </c>
      <c r="S122" t="s">
        <v>2773</v>
      </c>
    </row>
    <row r="123" spans="1:19" x14ac:dyDescent="0.25">
      <c r="A123" t="s">
        <v>2649</v>
      </c>
      <c r="B123">
        <v>5</v>
      </c>
      <c r="C123">
        <v>4</v>
      </c>
      <c r="D123">
        <v>0</v>
      </c>
      <c r="E123" t="s">
        <v>2684</v>
      </c>
      <c r="F123">
        <v>733</v>
      </c>
      <c r="G123">
        <v>5606307.6875</v>
      </c>
      <c r="H123">
        <v>0.92269737273454666</v>
      </c>
      <c r="I123">
        <v>0.92434210526315785</v>
      </c>
      <c r="J123">
        <v>541039.8125</v>
      </c>
      <c r="K123">
        <v>1191</v>
      </c>
      <c r="L123">
        <v>2</v>
      </c>
      <c r="M123">
        <v>22</v>
      </c>
      <c r="N123">
        <v>0.92927631578947367</v>
      </c>
      <c r="O123">
        <v>321254.375</v>
      </c>
      <c r="P123">
        <v>1291</v>
      </c>
      <c r="Q123">
        <v>2</v>
      </c>
      <c r="R123">
        <v>23</v>
      </c>
      <c r="S123" t="s">
        <v>2772</v>
      </c>
    </row>
    <row r="124" spans="1:19" x14ac:dyDescent="0.25">
      <c r="A124" t="s">
        <v>2649</v>
      </c>
      <c r="B124">
        <v>5</v>
      </c>
      <c r="C124">
        <v>5</v>
      </c>
      <c r="D124">
        <v>0</v>
      </c>
      <c r="E124" t="s">
        <v>2684</v>
      </c>
      <c r="F124">
        <v>793</v>
      </c>
      <c r="G124">
        <v>7165446.3571428573</v>
      </c>
      <c r="H124">
        <v>0.79699248501232689</v>
      </c>
      <c r="I124">
        <v>0.9285714285714286</v>
      </c>
      <c r="J124">
        <v>491582.14285714284</v>
      </c>
      <c r="K124">
        <v>1395</v>
      </c>
      <c r="L124">
        <v>2</v>
      </c>
      <c r="M124">
        <v>24</v>
      </c>
      <c r="N124">
        <v>0.91917293233082709</v>
      </c>
      <c r="O124">
        <v>498879.57142857142</v>
      </c>
      <c r="P124">
        <v>1503</v>
      </c>
      <c r="Q124">
        <v>2</v>
      </c>
      <c r="R124">
        <v>25</v>
      </c>
      <c r="S124" t="s">
        <v>2771</v>
      </c>
    </row>
    <row r="125" spans="1:19" x14ac:dyDescent="0.25">
      <c r="A125" t="s">
        <v>2649</v>
      </c>
      <c r="B125">
        <v>5</v>
      </c>
      <c r="C125">
        <v>2</v>
      </c>
      <c r="D125">
        <v>0</v>
      </c>
      <c r="E125" t="s">
        <v>2679</v>
      </c>
      <c r="F125">
        <v>795</v>
      </c>
      <c r="G125">
        <v>6965953.7857142854</v>
      </c>
      <c r="H125">
        <v>0.75563909539154595</v>
      </c>
      <c r="I125">
        <v>0.93045112781954886</v>
      </c>
      <c r="J125">
        <v>411337.42857142858</v>
      </c>
      <c r="K125">
        <v>1095</v>
      </c>
      <c r="L125">
        <v>2</v>
      </c>
      <c r="M125">
        <v>21</v>
      </c>
      <c r="N125">
        <v>0.91729323308270672</v>
      </c>
      <c r="O125">
        <v>612258.28571428568</v>
      </c>
      <c r="P125">
        <v>1191</v>
      </c>
      <c r="Q125">
        <v>2</v>
      </c>
      <c r="R125">
        <v>22</v>
      </c>
      <c r="S125" t="s">
        <v>2770</v>
      </c>
    </row>
    <row r="126" spans="1:19" x14ac:dyDescent="0.25">
      <c r="A126" t="s">
        <v>2649</v>
      </c>
      <c r="B126">
        <v>5</v>
      </c>
      <c r="C126">
        <v>3</v>
      </c>
      <c r="D126">
        <v>0</v>
      </c>
      <c r="E126" t="s">
        <v>2679</v>
      </c>
      <c r="F126">
        <v>873</v>
      </c>
      <c r="G126">
        <v>6715120.0625</v>
      </c>
      <c r="H126">
        <v>0.92927631735801697</v>
      </c>
      <c r="I126">
        <v>0.92598684210526316</v>
      </c>
      <c r="J126">
        <v>414278.4375</v>
      </c>
      <c r="K126">
        <v>1395</v>
      </c>
      <c r="L126">
        <v>2</v>
      </c>
      <c r="M126">
        <v>24</v>
      </c>
      <c r="N126">
        <v>0.92763157894736836</v>
      </c>
      <c r="O126">
        <v>266964.5625</v>
      </c>
      <c r="P126">
        <v>1503</v>
      </c>
      <c r="Q126">
        <v>2</v>
      </c>
      <c r="R126">
        <v>25</v>
      </c>
      <c r="S126" t="s">
        <v>2769</v>
      </c>
    </row>
    <row r="127" spans="1:19" x14ac:dyDescent="0.25">
      <c r="A127" t="s">
        <v>2649</v>
      </c>
      <c r="B127">
        <v>5</v>
      </c>
      <c r="C127">
        <v>4</v>
      </c>
      <c r="D127">
        <v>0</v>
      </c>
      <c r="E127" t="s">
        <v>2679</v>
      </c>
      <c r="F127">
        <v>951</v>
      </c>
      <c r="G127">
        <v>6033492.375</v>
      </c>
      <c r="H127">
        <v>0.90296052768826485</v>
      </c>
      <c r="I127">
        <v>0.93421052631578949</v>
      </c>
      <c r="J127">
        <v>356694.375</v>
      </c>
      <c r="K127">
        <v>1615</v>
      </c>
      <c r="L127">
        <v>2</v>
      </c>
      <c r="M127">
        <v>26</v>
      </c>
      <c r="N127">
        <v>0.91776315789473684</v>
      </c>
      <c r="O127">
        <v>411776.6875</v>
      </c>
      <c r="P127">
        <v>1731</v>
      </c>
      <c r="Q127">
        <v>2</v>
      </c>
      <c r="R127">
        <v>27</v>
      </c>
      <c r="S127" t="s">
        <v>2768</v>
      </c>
    </row>
    <row r="128" spans="1:19" x14ac:dyDescent="0.25">
      <c r="A128" t="s">
        <v>2649</v>
      </c>
      <c r="B128">
        <v>5</v>
      </c>
      <c r="C128">
        <v>5</v>
      </c>
      <c r="D128">
        <v>0</v>
      </c>
      <c r="E128" t="s">
        <v>2679</v>
      </c>
      <c r="F128">
        <v>1029</v>
      </c>
      <c r="G128">
        <v>7565769.5</v>
      </c>
      <c r="H128">
        <v>0.89097744652203148</v>
      </c>
      <c r="I128">
        <v>0.91917293233082709</v>
      </c>
      <c r="J128">
        <v>581586.92857142852</v>
      </c>
      <c r="K128">
        <v>1851</v>
      </c>
      <c r="L128">
        <v>2</v>
      </c>
      <c r="M128">
        <v>28</v>
      </c>
      <c r="N128">
        <v>0.91729323308270672</v>
      </c>
      <c r="O128">
        <v>411413.85714285716</v>
      </c>
      <c r="P128">
        <v>1975</v>
      </c>
      <c r="Q128">
        <v>2</v>
      </c>
      <c r="R128">
        <v>29</v>
      </c>
      <c r="S128" t="s">
        <v>2767</v>
      </c>
    </row>
    <row r="129" spans="1:19" x14ac:dyDescent="0.25">
      <c r="A129" t="s">
        <v>2649</v>
      </c>
      <c r="B129">
        <v>5</v>
      </c>
      <c r="C129">
        <v>2</v>
      </c>
      <c r="D129">
        <v>0</v>
      </c>
      <c r="E129" t="s">
        <v>2674</v>
      </c>
      <c r="F129">
        <v>977</v>
      </c>
      <c r="G129">
        <v>7831759.7142857146</v>
      </c>
      <c r="H129">
        <v>0.80075188194002422</v>
      </c>
      <c r="I129">
        <v>0.9229323308270676</v>
      </c>
      <c r="J129">
        <v>653068.28571428568</v>
      </c>
      <c r="K129">
        <v>1395</v>
      </c>
      <c r="L129">
        <v>2</v>
      </c>
      <c r="M129">
        <v>24</v>
      </c>
      <c r="N129">
        <v>0.9135338345864662</v>
      </c>
      <c r="O129">
        <v>397842.21428571426</v>
      </c>
      <c r="P129">
        <v>1503</v>
      </c>
      <c r="Q129">
        <v>2</v>
      </c>
      <c r="R129">
        <v>25</v>
      </c>
      <c r="S129" t="s">
        <v>2766</v>
      </c>
    </row>
    <row r="130" spans="1:19" x14ac:dyDescent="0.25">
      <c r="A130" t="s">
        <v>2649</v>
      </c>
      <c r="B130">
        <v>5</v>
      </c>
      <c r="C130">
        <v>3</v>
      </c>
      <c r="D130">
        <v>0</v>
      </c>
      <c r="E130" t="s">
        <v>2674</v>
      </c>
      <c r="F130">
        <v>1073</v>
      </c>
      <c r="G130">
        <v>4385466.875</v>
      </c>
      <c r="H130">
        <v>0.94901315867900848</v>
      </c>
      <c r="I130">
        <v>0.9375</v>
      </c>
      <c r="J130">
        <v>463034.9375</v>
      </c>
      <c r="K130">
        <v>1731</v>
      </c>
      <c r="L130">
        <v>2</v>
      </c>
      <c r="M130">
        <v>27</v>
      </c>
      <c r="N130">
        <v>0.92105263157894735</v>
      </c>
      <c r="O130">
        <v>327213.5625</v>
      </c>
      <c r="P130">
        <v>1851</v>
      </c>
      <c r="Q130">
        <v>2</v>
      </c>
      <c r="R130">
        <v>28</v>
      </c>
      <c r="S130" t="s">
        <v>2765</v>
      </c>
    </row>
    <row r="131" spans="1:19" x14ac:dyDescent="0.25">
      <c r="A131" t="s">
        <v>2649</v>
      </c>
      <c r="B131">
        <v>5</v>
      </c>
      <c r="C131">
        <v>4</v>
      </c>
      <c r="D131">
        <v>0</v>
      </c>
      <c r="E131" t="s">
        <v>2674</v>
      </c>
      <c r="F131">
        <v>1169</v>
      </c>
      <c r="G131">
        <v>5974757.75</v>
      </c>
      <c r="H131">
        <v>0.93421052768826485</v>
      </c>
      <c r="I131">
        <v>0.92763157894736836</v>
      </c>
      <c r="J131">
        <v>539672.375</v>
      </c>
      <c r="K131">
        <v>1975</v>
      </c>
      <c r="L131">
        <v>2</v>
      </c>
      <c r="M131">
        <v>29</v>
      </c>
      <c r="N131">
        <v>0.93092105263157898</v>
      </c>
      <c r="O131">
        <v>400840.3125</v>
      </c>
      <c r="P131">
        <v>2103</v>
      </c>
      <c r="Q131">
        <v>2</v>
      </c>
      <c r="R131">
        <v>30</v>
      </c>
      <c r="S131" t="s">
        <v>2764</v>
      </c>
    </row>
    <row r="132" spans="1:19" x14ac:dyDescent="0.25">
      <c r="A132" t="s">
        <v>2649</v>
      </c>
      <c r="B132">
        <v>5</v>
      </c>
      <c r="C132">
        <v>5</v>
      </c>
      <c r="D132">
        <v>0</v>
      </c>
      <c r="E132" t="s">
        <v>2674</v>
      </c>
      <c r="F132">
        <v>1265</v>
      </c>
      <c r="G132">
        <v>6101032.8571428573</v>
      </c>
      <c r="H132">
        <v>0.89661653978484013</v>
      </c>
      <c r="I132">
        <v>0.92481203007518797</v>
      </c>
      <c r="J132">
        <v>618659.64285714284</v>
      </c>
      <c r="K132">
        <v>2235</v>
      </c>
      <c r="L132">
        <v>2</v>
      </c>
      <c r="M132">
        <v>31</v>
      </c>
      <c r="N132">
        <v>0.91541353383458646</v>
      </c>
      <c r="O132">
        <v>509310.28571428574</v>
      </c>
      <c r="P132">
        <v>2371</v>
      </c>
      <c r="Q132">
        <v>2</v>
      </c>
      <c r="R132">
        <v>32</v>
      </c>
      <c r="S132" t="s">
        <v>2763</v>
      </c>
    </row>
    <row r="133" spans="1:19" x14ac:dyDescent="0.25">
      <c r="A133" t="s">
        <v>2649</v>
      </c>
      <c r="B133">
        <v>5</v>
      </c>
      <c r="C133">
        <v>2</v>
      </c>
      <c r="D133">
        <v>0</v>
      </c>
      <c r="E133" t="s">
        <v>2669</v>
      </c>
      <c r="F133">
        <v>500</v>
      </c>
      <c r="G133">
        <v>8160143.2142857146</v>
      </c>
      <c r="H133">
        <v>0.71992481393473484</v>
      </c>
      <c r="I133">
        <v>0.91917293233082709</v>
      </c>
      <c r="J133">
        <v>740064.85714285716</v>
      </c>
      <c r="K133">
        <v>675</v>
      </c>
      <c r="L133">
        <v>2</v>
      </c>
      <c r="M133">
        <v>16</v>
      </c>
      <c r="N133">
        <v>0.93233082706766912</v>
      </c>
      <c r="O133">
        <v>660300.71428571432</v>
      </c>
      <c r="P133">
        <v>751</v>
      </c>
      <c r="Q133">
        <v>2</v>
      </c>
      <c r="R133">
        <v>17</v>
      </c>
      <c r="S133" t="s">
        <v>2762</v>
      </c>
    </row>
    <row r="134" spans="1:19" x14ac:dyDescent="0.25">
      <c r="A134" t="s">
        <v>2649</v>
      </c>
      <c r="B134">
        <v>5</v>
      </c>
      <c r="C134">
        <v>3</v>
      </c>
      <c r="D134">
        <v>0</v>
      </c>
      <c r="E134" t="s">
        <v>2669</v>
      </c>
      <c r="F134">
        <v>549</v>
      </c>
      <c r="G134">
        <v>3061156.5</v>
      </c>
      <c r="H134">
        <v>0.92598684877157211</v>
      </c>
      <c r="I134">
        <v>0.91776315789473684</v>
      </c>
      <c r="J134">
        <v>483969.5</v>
      </c>
      <c r="K134">
        <v>831</v>
      </c>
      <c r="L134">
        <v>2</v>
      </c>
      <c r="M134">
        <v>18</v>
      </c>
      <c r="N134">
        <v>0.92434210526315785</v>
      </c>
      <c r="O134">
        <v>399482.3125</v>
      </c>
      <c r="P134">
        <v>915</v>
      </c>
      <c r="Q134">
        <v>2</v>
      </c>
      <c r="R134">
        <v>19</v>
      </c>
      <c r="S134" t="s">
        <v>2761</v>
      </c>
    </row>
    <row r="135" spans="1:19" x14ac:dyDescent="0.25">
      <c r="A135" t="s">
        <v>2649</v>
      </c>
      <c r="B135">
        <v>5</v>
      </c>
      <c r="C135">
        <v>4</v>
      </c>
      <c r="D135">
        <v>0</v>
      </c>
      <c r="E135" t="s">
        <v>2669</v>
      </c>
      <c r="F135">
        <v>598</v>
      </c>
      <c r="G135">
        <v>3020954.3125</v>
      </c>
      <c r="H135">
        <v>0.88815789669752121</v>
      </c>
      <c r="I135">
        <v>0.91447368421052633</v>
      </c>
      <c r="J135">
        <v>496657.4375</v>
      </c>
      <c r="K135">
        <v>1003</v>
      </c>
      <c r="L135">
        <v>2</v>
      </c>
      <c r="M135">
        <v>20</v>
      </c>
      <c r="N135">
        <v>0.93914473684210531</v>
      </c>
      <c r="O135">
        <v>463275.25</v>
      </c>
      <c r="P135">
        <v>1095</v>
      </c>
      <c r="Q135">
        <v>2</v>
      </c>
      <c r="R135">
        <v>21</v>
      </c>
      <c r="S135" t="s">
        <v>2760</v>
      </c>
    </row>
    <row r="136" spans="1:19" x14ac:dyDescent="0.25">
      <c r="A136" t="s">
        <v>2649</v>
      </c>
      <c r="B136">
        <v>5</v>
      </c>
      <c r="C136">
        <v>5</v>
      </c>
      <c r="D136">
        <v>0</v>
      </c>
      <c r="E136" t="s">
        <v>2669</v>
      </c>
      <c r="F136">
        <v>647</v>
      </c>
      <c r="G136">
        <v>4107570.6875</v>
      </c>
      <c r="H136">
        <v>0.92269736900925636</v>
      </c>
      <c r="I136">
        <v>0.92269736842105265</v>
      </c>
      <c r="J136">
        <v>586872.4375</v>
      </c>
      <c r="K136">
        <v>1095</v>
      </c>
      <c r="L136">
        <v>2</v>
      </c>
      <c r="M136">
        <v>21</v>
      </c>
      <c r="N136">
        <v>0.91447368421052633</v>
      </c>
      <c r="O136">
        <v>727347.125</v>
      </c>
      <c r="P136">
        <v>1191</v>
      </c>
      <c r="Q136">
        <v>2</v>
      </c>
      <c r="R136">
        <v>22</v>
      </c>
      <c r="S136" t="s">
        <v>2759</v>
      </c>
    </row>
    <row r="137" spans="1:19" x14ac:dyDescent="0.25">
      <c r="A137" t="s">
        <v>2649</v>
      </c>
      <c r="B137">
        <v>5</v>
      </c>
      <c r="C137">
        <v>2</v>
      </c>
      <c r="D137">
        <v>0</v>
      </c>
      <c r="E137" t="s">
        <v>2664</v>
      </c>
      <c r="F137">
        <v>775</v>
      </c>
      <c r="G137">
        <v>3877184.9285714286</v>
      </c>
      <c r="H137">
        <v>0.93609023094177246</v>
      </c>
      <c r="I137">
        <v>0.93796992481203012</v>
      </c>
      <c r="J137">
        <v>547121.64285714284</v>
      </c>
      <c r="K137">
        <v>1095</v>
      </c>
      <c r="L137">
        <v>2</v>
      </c>
      <c r="M137">
        <v>21</v>
      </c>
      <c r="N137">
        <v>0.92105263157894735</v>
      </c>
      <c r="O137">
        <v>552265.78571428568</v>
      </c>
      <c r="P137">
        <v>1191</v>
      </c>
      <c r="Q137">
        <v>2</v>
      </c>
      <c r="R137">
        <v>22</v>
      </c>
      <c r="S137" t="s">
        <v>2758</v>
      </c>
    </row>
    <row r="138" spans="1:19" x14ac:dyDescent="0.25">
      <c r="A138" t="s">
        <v>2649</v>
      </c>
      <c r="B138">
        <v>5</v>
      </c>
      <c r="C138">
        <v>3</v>
      </c>
      <c r="D138">
        <v>0</v>
      </c>
      <c r="E138" t="s">
        <v>2664</v>
      </c>
      <c r="F138">
        <v>851</v>
      </c>
      <c r="G138">
        <v>5574782.8125</v>
      </c>
      <c r="H138">
        <v>0.93585526570677757</v>
      </c>
      <c r="I138">
        <v>0.92434210526315785</v>
      </c>
      <c r="J138">
        <v>420240.125</v>
      </c>
      <c r="K138">
        <v>1291</v>
      </c>
      <c r="L138">
        <v>2</v>
      </c>
      <c r="M138">
        <v>23</v>
      </c>
      <c r="N138">
        <v>0.91940789473684204</v>
      </c>
      <c r="O138">
        <v>321215.25</v>
      </c>
      <c r="P138">
        <v>1395</v>
      </c>
      <c r="Q138">
        <v>2</v>
      </c>
      <c r="R138">
        <v>24</v>
      </c>
      <c r="S138" t="s">
        <v>2757</v>
      </c>
    </row>
    <row r="139" spans="1:19" x14ac:dyDescent="0.25">
      <c r="A139" t="s">
        <v>2649</v>
      </c>
      <c r="B139">
        <v>5</v>
      </c>
      <c r="C139">
        <v>4</v>
      </c>
      <c r="D139">
        <v>0</v>
      </c>
      <c r="E139" t="s">
        <v>2664</v>
      </c>
      <c r="F139">
        <v>927</v>
      </c>
      <c r="G139">
        <v>5512520.625</v>
      </c>
      <c r="H139">
        <v>0.8733552610501647</v>
      </c>
      <c r="I139">
        <v>0.92434210526315785</v>
      </c>
      <c r="J139">
        <v>470047.0625</v>
      </c>
      <c r="K139">
        <v>1503</v>
      </c>
      <c r="L139">
        <v>2</v>
      </c>
      <c r="M139">
        <v>25</v>
      </c>
      <c r="N139">
        <v>0.91611842105263153</v>
      </c>
      <c r="O139">
        <v>303817.625</v>
      </c>
      <c r="P139">
        <v>1615</v>
      </c>
      <c r="Q139">
        <v>2</v>
      </c>
      <c r="R139">
        <v>26</v>
      </c>
      <c r="S139" t="s">
        <v>2756</v>
      </c>
    </row>
    <row r="140" spans="1:19" x14ac:dyDescent="0.25">
      <c r="A140" t="s">
        <v>2649</v>
      </c>
      <c r="B140">
        <v>5</v>
      </c>
      <c r="C140">
        <v>5</v>
      </c>
      <c r="D140">
        <v>0</v>
      </c>
      <c r="E140" t="s">
        <v>2664</v>
      </c>
      <c r="F140">
        <v>1003</v>
      </c>
      <c r="G140">
        <v>6103571.5</v>
      </c>
      <c r="H140">
        <v>0.78007519138710835</v>
      </c>
      <c r="I140">
        <v>0.9229323308270676</v>
      </c>
      <c r="J140">
        <v>663858.28571428568</v>
      </c>
      <c r="K140">
        <v>1731</v>
      </c>
      <c r="L140">
        <v>2</v>
      </c>
      <c r="M140">
        <v>27</v>
      </c>
      <c r="N140">
        <v>0.91729323308270672</v>
      </c>
      <c r="O140">
        <v>394007.85714285716</v>
      </c>
      <c r="P140">
        <v>1851</v>
      </c>
      <c r="Q140">
        <v>2</v>
      </c>
      <c r="R140">
        <v>28</v>
      </c>
      <c r="S140" t="s">
        <v>2755</v>
      </c>
    </row>
    <row r="141" spans="1:19" x14ac:dyDescent="0.25">
      <c r="A141" t="s">
        <v>2649</v>
      </c>
      <c r="B141">
        <v>5</v>
      </c>
      <c r="C141">
        <v>2</v>
      </c>
      <c r="D141">
        <v>0</v>
      </c>
      <c r="E141" t="s">
        <v>2659</v>
      </c>
      <c r="F141">
        <v>997</v>
      </c>
      <c r="G141">
        <v>7734141.2142857146</v>
      </c>
      <c r="H141">
        <v>0.72932330625397823</v>
      </c>
      <c r="I141">
        <v>0.91917293233082709</v>
      </c>
      <c r="J141">
        <v>845045</v>
      </c>
      <c r="K141">
        <v>1395</v>
      </c>
      <c r="L141">
        <v>2</v>
      </c>
      <c r="M141">
        <v>24</v>
      </c>
      <c r="N141">
        <v>0.9135338345864662</v>
      </c>
      <c r="O141">
        <v>460277.92857142858</v>
      </c>
      <c r="P141">
        <v>1503</v>
      </c>
      <c r="Q141">
        <v>2</v>
      </c>
      <c r="R141">
        <v>25</v>
      </c>
      <c r="S141" t="s">
        <v>2754</v>
      </c>
    </row>
    <row r="142" spans="1:19" x14ac:dyDescent="0.25">
      <c r="A142" t="s">
        <v>2649</v>
      </c>
      <c r="B142">
        <v>5</v>
      </c>
      <c r="C142">
        <v>3</v>
      </c>
      <c r="D142">
        <v>0</v>
      </c>
      <c r="E142" t="s">
        <v>2659</v>
      </c>
      <c r="F142">
        <v>1095</v>
      </c>
      <c r="G142">
        <v>4164027.125</v>
      </c>
      <c r="H142">
        <v>0.94736842438578606</v>
      </c>
      <c r="I142">
        <v>0.9375</v>
      </c>
      <c r="J142">
        <v>486510.375</v>
      </c>
      <c r="K142">
        <v>1731</v>
      </c>
      <c r="L142">
        <v>2</v>
      </c>
      <c r="M142">
        <v>27</v>
      </c>
      <c r="N142">
        <v>0.91776315789473684</v>
      </c>
      <c r="O142">
        <v>445175.0625</v>
      </c>
      <c r="P142">
        <v>1851</v>
      </c>
      <c r="Q142">
        <v>2</v>
      </c>
      <c r="R142">
        <v>28</v>
      </c>
      <c r="S142" t="s">
        <v>2753</v>
      </c>
    </row>
    <row r="143" spans="1:19" x14ac:dyDescent="0.25">
      <c r="A143" t="s">
        <v>2649</v>
      </c>
      <c r="B143">
        <v>5</v>
      </c>
      <c r="C143">
        <v>4</v>
      </c>
      <c r="D143">
        <v>0</v>
      </c>
      <c r="E143" t="s">
        <v>2659</v>
      </c>
      <c r="F143">
        <v>1193</v>
      </c>
      <c r="G143">
        <v>5103201.75</v>
      </c>
      <c r="H143">
        <v>0.91447368636727333</v>
      </c>
      <c r="I143">
        <v>0.93256578947368418</v>
      </c>
      <c r="J143">
        <v>550651.3125</v>
      </c>
      <c r="K143">
        <v>1975</v>
      </c>
      <c r="L143">
        <v>2</v>
      </c>
      <c r="M143">
        <v>29</v>
      </c>
      <c r="N143">
        <v>0.93092105263157887</v>
      </c>
      <c r="O143">
        <v>394247.125</v>
      </c>
      <c r="P143">
        <v>2103</v>
      </c>
      <c r="Q143">
        <v>2</v>
      </c>
      <c r="R143">
        <v>30</v>
      </c>
      <c r="S143" t="s">
        <v>2752</v>
      </c>
    </row>
    <row r="144" spans="1:19" x14ac:dyDescent="0.25">
      <c r="A144" t="s">
        <v>2649</v>
      </c>
      <c r="B144">
        <v>5</v>
      </c>
      <c r="C144">
        <v>5</v>
      </c>
      <c r="D144">
        <v>0</v>
      </c>
      <c r="E144" t="s">
        <v>2659</v>
      </c>
      <c r="F144">
        <v>1291</v>
      </c>
      <c r="G144">
        <v>5965181.1428571427</v>
      </c>
      <c r="H144">
        <v>0.89473684770720341</v>
      </c>
      <c r="I144">
        <v>0.92481203007518797</v>
      </c>
      <c r="J144">
        <v>704502.5</v>
      </c>
      <c r="K144">
        <v>2235</v>
      </c>
      <c r="L144">
        <v>2</v>
      </c>
      <c r="M144">
        <v>31</v>
      </c>
      <c r="N144">
        <v>0.91541353383458646</v>
      </c>
      <c r="O144">
        <v>259796.07142857142</v>
      </c>
      <c r="P144">
        <v>2371</v>
      </c>
      <c r="Q144">
        <v>2</v>
      </c>
      <c r="R144">
        <v>32</v>
      </c>
      <c r="S144" t="s">
        <v>2751</v>
      </c>
    </row>
    <row r="145" spans="1:19" x14ac:dyDescent="0.25">
      <c r="A145" t="s">
        <v>2649</v>
      </c>
      <c r="B145">
        <v>5</v>
      </c>
      <c r="C145">
        <v>2</v>
      </c>
      <c r="D145">
        <v>0</v>
      </c>
      <c r="E145" t="s">
        <v>2654</v>
      </c>
      <c r="F145">
        <v>1219</v>
      </c>
      <c r="G145">
        <v>6933787.3571428573</v>
      </c>
      <c r="H145">
        <v>0.78195489836590626</v>
      </c>
      <c r="I145">
        <v>0.92105263157894735</v>
      </c>
      <c r="J145">
        <v>690612.21428571432</v>
      </c>
      <c r="K145">
        <v>1731</v>
      </c>
      <c r="L145">
        <v>2</v>
      </c>
      <c r="M145">
        <v>27</v>
      </c>
      <c r="N145">
        <v>0.93045112781954886</v>
      </c>
      <c r="O145">
        <v>349472.42857142858</v>
      </c>
      <c r="P145">
        <v>1851</v>
      </c>
      <c r="Q145">
        <v>2</v>
      </c>
      <c r="R145">
        <v>28</v>
      </c>
      <c r="S145" t="s">
        <v>2750</v>
      </c>
    </row>
    <row r="146" spans="1:19" x14ac:dyDescent="0.25">
      <c r="A146" t="s">
        <v>2649</v>
      </c>
      <c r="B146">
        <v>5</v>
      </c>
      <c r="C146">
        <v>3</v>
      </c>
      <c r="D146">
        <v>0</v>
      </c>
      <c r="E146" t="s">
        <v>2654</v>
      </c>
      <c r="F146">
        <v>1339</v>
      </c>
      <c r="G146">
        <v>4278438</v>
      </c>
      <c r="H146">
        <v>0.94736842811107635</v>
      </c>
      <c r="I146">
        <v>0.93092105263157887</v>
      </c>
      <c r="J146">
        <v>455601.0625</v>
      </c>
      <c r="K146">
        <v>2103</v>
      </c>
      <c r="L146">
        <v>2</v>
      </c>
      <c r="M146">
        <v>30</v>
      </c>
      <c r="N146">
        <v>0.93914473684210531</v>
      </c>
      <c r="O146">
        <v>328749.0625</v>
      </c>
      <c r="P146">
        <v>2235</v>
      </c>
      <c r="Q146">
        <v>2</v>
      </c>
      <c r="R146">
        <v>31</v>
      </c>
      <c r="S146" t="s">
        <v>2749</v>
      </c>
    </row>
    <row r="147" spans="1:19" x14ac:dyDescent="0.25">
      <c r="A147" t="s">
        <v>2649</v>
      </c>
      <c r="B147">
        <v>5</v>
      </c>
      <c r="C147">
        <v>4</v>
      </c>
      <c r="D147">
        <v>0</v>
      </c>
      <c r="E147" t="s">
        <v>2654</v>
      </c>
      <c r="F147">
        <v>1459</v>
      </c>
      <c r="G147">
        <v>5519191.375</v>
      </c>
      <c r="H147">
        <v>0.92763159424066544</v>
      </c>
      <c r="I147">
        <v>0.92598684210526316</v>
      </c>
      <c r="J147">
        <v>416376.8125</v>
      </c>
      <c r="K147">
        <v>2511</v>
      </c>
      <c r="L147">
        <v>2</v>
      </c>
      <c r="M147">
        <v>33</v>
      </c>
      <c r="N147">
        <v>0.92927631578947367</v>
      </c>
      <c r="O147">
        <v>401468.0625</v>
      </c>
      <c r="P147">
        <v>2655</v>
      </c>
      <c r="Q147">
        <v>2</v>
      </c>
      <c r="R147">
        <v>34</v>
      </c>
      <c r="S147" t="s">
        <v>2748</v>
      </c>
    </row>
    <row r="148" spans="1:19" x14ac:dyDescent="0.25">
      <c r="A148" t="s">
        <v>2649</v>
      </c>
      <c r="B148">
        <v>5</v>
      </c>
      <c r="C148">
        <v>5</v>
      </c>
      <c r="D148">
        <v>0</v>
      </c>
      <c r="E148" t="s">
        <v>2654</v>
      </c>
      <c r="F148">
        <v>1579</v>
      </c>
      <c r="G148">
        <v>6359005.2857142854</v>
      </c>
      <c r="H148">
        <v>0.88533834474427364</v>
      </c>
      <c r="I148">
        <v>0.93045112781954886</v>
      </c>
      <c r="J148">
        <v>587440.21428571432</v>
      </c>
      <c r="K148">
        <v>2803</v>
      </c>
      <c r="L148">
        <v>2</v>
      </c>
      <c r="M148">
        <v>35</v>
      </c>
      <c r="N148">
        <v>0.92481203007518797</v>
      </c>
      <c r="O148">
        <v>342046.28571428574</v>
      </c>
      <c r="P148">
        <v>2955</v>
      </c>
      <c r="Q148">
        <v>2</v>
      </c>
      <c r="R148">
        <v>36</v>
      </c>
      <c r="S148" t="s">
        <v>2747</v>
      </c>
    </row>
    <row r="149" spans="1:19" x14ac:dyDescent="0.25">
      <c r="A149" t="s">
        <v>2649</v>
      </c>
      <c r="B149">
        <v>5</v>
      </c>
      <c r="C149">
        <v>2</v>
      </c>
      <c r="D149">
        <v>0</v>
      </c>
      <c r="E149" t="s">
        <v>2648</v>
      </c>
      <c r="F149">
        <v>642</v>
      </c>
      <c r="G149">
        <v>6894851.7142857146</v>
      </c>
      <c r="H149">
        <v>0.81954887935093468</v>
      </c>
      <c r="I149">
        <v>0.92481203007518797</v>
      </c>
      <c r="J149">
        <v>716944.78571428568</v>
      </c>
      <c r="K149">
        <v>915</v>
      </c>
      <c r="L149">
        <v>2</v>
      </c>
      <c r="M149">
        <v>19</v>
      </c>
      <c r="N149">
        <v>0.91917293233082709</v>
      </c>
      <c r="O149">
        <v>329416.78571428574</v>
      </c>
      <c r="P149">
        <v>1003</v>
      </c>
      <c r="Q149">
        <v>2</v>
      </c>
      <c r="R149">
        <v>20</v>
      </c>
      <c r="S149" t="s">
        <v>2746</v>
      </c>
    </row>
    <row r="150" spans="1:19" x14ac:dyDescent="0.25">
      <c r="A150" t="s">
        <v>2649</v>
      </c>
      <c r="B150">
        <v>5</v>
      </c>
      <c r="C150">
        <v>3</v>
      </c>
      <c r="D150">
        <v>0</v>
      </c>
      <c r="E150" t="s">
        <v>2648</v>
      </c>
      <c r="F150">
        <v>705</v>
      </c>
      <c r="G150">
        <v>2958256.625</v>
      </c>
      <c r="H150">
        <v>0.93585527688264847</v>
      </c>
      <c r="I150">
        <v>0.91611842105263153</v>
      </c>
      <c r="J150">
        <v>578020.25</v>
      </c>
      <c r="K150">
        <v>1095</v>
      </c>
      <c r="L150">
        <v>2</v>
      </c>
      <c r="M150">
        <v>21</v>
      </c>
      <c r="N150">
        <v>0.93256578947368418</v>
      </c>
      <c r="O150">
        <v>408628.375</v>
      </c>
      <c r="P150">
        <v>1191</v>
      </c>
      <c r="Q150">
        <v>2</v>
      </c>
      <c r="R150">
        <v>22</v>
      </c>
      <c r="S150" t="s">
        <v>2745</v>
      </c>
    </row>
    <row r="151" spans="1:19" x14ac:dyDescent="0.25">
      <c r="A151" t="s">
        <v>2649</v>
      </c>
      <c r="B151">
        <v>5</v>
      </c>
      <c r="C151">
        <v>4</v>
      </c>
      <c r="D151">
        <v>0</v>
      </c>
      <c r="E151" t="s">
        <v>2648</v>
      </c>
      <c r="F151">
        <v>768</v>
      </c>
      <c r="G151">
        <v>3288927.1875</v>
      </c>
      <c r="H151">
        <v>0.92763158306479454</v>
      </c>
      <c r="I151">
        <v>0.9391447368421052</v>
      </c>
      <c r="J151">
        <v>545061.3125</v>
      </c>
      <c r="K151">
        <v>1291</v>
      </c>
      <c r="L151">
        <v>2</v>
      </c>
      <c r="M151">
        <v>23</v>
      </c>
      <c r="N151">
        <v>0.92269736842105265</v>
      </c>
      <c r="O151">
        <v>505504.3125</v>
      </c>
      <c r="P151">
        <v>1395</v>
      </c>
      <c r="Q151">
        <v>2</v>
      </c>
      <c r="R151">
        <v>24</v>
      </c>
      <c r="S151" t="s">
        <v>2744</v>
      </c>
    </row>
    <row r="152" spans="1:19" x14ac:dyDescent="0.25">
      <c r="A152" t="s">
        <v>2649</v>
      </c>
      <c r="B152">
        <v>5</v>
      </c>
      <c r="C152">
        <v>5</v>
      </c>
      <c r="D152">
        <v>0</v>
      </c>
      <c r="E152" t="s">
        <v>2648</v>
      </c>
      <c r="F152">
        <v>831</v>
      </c>
      <c r="G152">
        <v>3423362.1875</v>
      </c>
      <c r="H152">
        <v>0.91447369009256363</v>
      </c>
      <c r="I152">
        <v>0.9375</v>
      </c>
      <c r="J152">
        <v>965684.375</v>
      </c>
      <c r="K152">
        <v>1503</v>
      </c>
      <c r="L152">
        <v>2</v>
      </c>
      <c r="M152">
        <v>25</v>
      </c>
      <c r="N152">
        <v>0.91118421052631582</v>
      </c>
      <c r="O152">
        <v>346493.8125</v>
      </c>
      <c r="P152">
        <v>1615</v>
      </c>
      <c r="Q152">
        <v>2</v>
      </c>
      <c r="R152">
        <v>26</v>
      </c>
      <c r="S152" t="s">
        <v>2743</v>
      </c>
    </row>
    <row r="153" spans="1:19" x14ac:dyDescent="0.25">
      <c r="A153" t="s">
        <v>2649</v>
      </c>
      <c r="B153">
        <v>9</v>
      </c>
      <c r="C153">
        <v>2</v>
      </c>
      <c r="D153">
        <v>0</v>
      </c>
      <c r="E153" t="s">
        <v>2739</v>
      </c>
      <c r="F153">
        <v>1305</v>
      </c>
      <c r="G153">
        <v>5122750</v>
      </c>
      <c r="H153">
        <v>0.85526316506522038</v>
      </c>
      <c r="I153">
        <v>0.92481203007518797</v>
      </c>
      <c r="J153">
        <v>687050.35714285716</v>
      </c>
      <c r="K153">
        <v>1731</v>
      </c>
      <c r="L153">
        <v>2</v>
      </c>
      <c r="M153">
        <v>27</v>
      </c>
      <c r="N153">
        <v>0.9229323308270676</v>
      </c>
      <c r="O153">
        <v>727960.07142857148</v>
      </c>
      <c r="P153">
        <v>1851</v>
      </c>
      <c r="Q153">
        <v>2</v>
      </c>
      <c r="R153">
        <v>28</v>
      </c>
      <c r="S153" t="s">
        <v>2742</v>
      </c>
    </row>
    <row r="154" spans="1:19" x14ac:dyDescent="0.25">
      <c r="A154" t="s">
        <v>2649</v>
      </c>
      <c r="B154">
        <v>9</v>
      </c>
      <c r="C154">
        <v>3</v>
      </c>
      <c r="D154">
        <v>0</v>
      </c>
      <c r="E154" t="s">
        <v>2739</v>
      </c>
      <c r="F154">
        <v>1397</v>
      </c>
      <c r="G154">
        <v>5062789.8571428573</v>
      </c>
      <c r="H154">
        <v>0.93984963638441898</v>
      </c>
      <c r="I154">
        <v>0.92857142857142849</v>
      </c>
      <c r="J154">
        <v>689801.07142857148</v>
      </c>
      <c r="K154">
        <v>1975</v>
      </c>
      <c r="L154">
        <v>2</v>
      </c>
      <c r="M154">
        <v>29</v>
      </c>
      <c r="N154">
        <v>0.92669172932330823</v>
      </c>
      <c r="O154">
        <v>774076.71428571432</v>
      </c>
      <c r="P154">
        <v>2103</v>
      </c>
      <c r="Q154">
        <v>2</v>
      </c>
      <c r="R154">
        <v>30</v>
      </c>
      <c r="S154" t="s">
        <v>2741</v>
      </c>
    </row>
    <row r="155" spans="1:19" x14ac:dyDescent="0.25">
      <c r="A155" t="s">
        <v>2649</v>
      </c>
      <c r="B155">
        <v>9</v>
      </c>
      <c r="C155">
        <v>4</v>
      </c>
      <c r="D155">
        <v>0</v>
      </c>
      <c r="E155" t="s">
        <v>2739</v>
      </c>
      <c r="F155">
        <v>1489</v>
      </c>
      <c r="G155">
        <v>7924301.9285714282</v>
      </c>
      <c r="H155">
        <v>0.85902255773544312</v>
      </c>
      <c r="I155">
        <v>0.92105263157894735</v>
      </c>
      <c r="J155">
        <v>642946.07142857148</v>
      </c>
      <c r="K155">
        <v>2235</v>
      </c>
      <c r="L155">
        <v>2</v>
      </c>
      <c r="M155">
        <v>31</v>
      </c>
      <c r="N155">
        <v>0.91541353383458646</v>
      </c>
      <c r="O155">
        <v>859639.14285714284</v>
      </c>
      <c r="P155">
        <v>2371</v>
      </c>
      <c r="Q155">
        <v>2</v>
      </c>
      <c r="R155">
        <v>32</v>
      </c>
      <c r="S155" t="s">
        <v>2740</v>
      </c>
    </row>
    <row r="156" spans="1:19" x14ac:dyDescent="0.25">
      <c r="A156" t="s">
        <v>2649</v>
      </c>
      <c r="B156">
        <v>9</v>
      </c>
      <c r="C156">
        <v>5</v>
      </c>
      <c r="D156">
        <v>0</v>
      </c>
      <c r="E156" t="s">
        <v>2739</v>
      </c>
      <c r="F156">
        <v>1581</v>
      </c>
      <c r="G156">
        <v>6562642.0714285718</v>
      </c>
      <c r="H156">
        <v>0.83646617191178463</v>
      </c>
      <c r="I156">
        <v>0.92481203007518797</v>
      </c>
      <c r="J156">
        <v>846739.21428571432</v>
      </c>
      <c r="K156">
        <v>2511</v>
      </c>
      <c r="L156">
        <v>2</v>
      </c>
      <c r="M156">
        <v>33</v>
      </c>
      <c r="N156">
        <v>0.92481203007518797</v>
      </c>
      <c r="O156">
        <v>586561.21428571432</v>
      </c>
      <c r="P156">
        <v>2655</v>
      </c>
      <c r="Q156">
        <v>2</v>
      </c>
      <c r="R156">
        <v>34</v>
      </c>
      <c r="S156" t="s">
        <v>2738</v>
      </c>
    </row>
    <row r="157" spans="1:19" x14ac:dyDescent="0.25">
      <c r="A157" t="s">
        <v>2649</v>
      </c>
      <c r="B157">
        <v>9</v>
      </c>
      <c r="C157">
        <v>2</v>
      </c>
      <c r="D157">
        <v>0</v>
      </c>
      <c r="E157" t="s">
        <v>2734</v>
      </c>
      <c r="F157">
        <v>1671</v>
      </c>
      <c r="G157">
        <v>7282986.3571428573</v>
      </c>
      <c r="H157">
        <v>0.78007519032273975</v>
      </c>
      <c r="I157">
        <v>0.92481203007518797</v>
      </c>
      <c r="J157">
        <v>869850</v>
      </c>
      <c r="K157">
        <v>2235</v>
      </c>
      <c r="L157">
        <v>2</v>
      </c>
      <c r="M157">
        <v>31</v>
      </c>
      <c r="N157">
        <v>0.92105263157894735</v>
      </c>
      <c r="O157">
        <v>789577.35714285716</v>
      </c>
      <c r="P157">
        <v>2371</v>
      </c>
      <c r="Q157">
        <v>2</v>
      </c>
      <c r="R157">
        <v>32</v>
      </c>
      <c r="S157" t="s">
        <v>2737</v>
      </c>
    </row>
    <row r="158" spans="1:19" x14ac:dyDescent="0.25">
      <c r="A158" t="s">
        <v>2649</v>
      </c>
      <c r="B158">
        <v>9</v>
      </c>
      <c r="C158">
        <v>3</v>
      </c>
      <c r="D158">
        <v>0</v>
      </c>
      <c r="E158" t="s">
        <v>2734</v>
      </c>
      <c r="F158">
        <v>1789</v>
      </c>
      <c r="G158">
        <v>5229718.8571428573</v>
      </c>
      <c r="H158">
        <v>0.90977444393294193</v>
      </c>
      <c r="I158">
        <v>0.9229323308270676</v>
      </c>
      <c r="J158">
        <v>893056</v>
      </c>
      <c r="K158">
        <v>2511</v>
      </c>
      <c r="L158">
        <v>2</v>
      </c>
      <c r="M158">
        <v>33</v>
      </c>
      <c r="N158">
        <v>0.93233082706766912</v>
      </c>
      <c r="O158">
        <v>843934.92857142852</v>
      </c>
      <c r="P158">
        <v>2655</v>
      </c>
      <c r="Q158">
        <v>2</v>
      </c>
      <c r="R158">
        <v>34</v>
      </c>
      <c r="S158" t="s">
        <v>2736</v>
      </c>
    </row>
    <row r="159" spans="1:19" x14ac:dyDescent="0.25">
      <c r="A159" t="s">
        <v>2649</v>
      </c>
      <c r="B159">
        <v>9</v>
      </c>
      <c r="C159">
        <v>4</v>
      </c>
      <c r="D159">
        <v>0</v>
      </c>
      <c r="E159" t="s">
        <v>2734</v>
      </c>
      <c r="F159">
        <v>1907</v>
      </c>
      <c r="G159">
        <v>6521545.6428571427</v>
      </c>
      <c r="H159">
        <v>0.88909775018692017</v>
      </c>
      <c r="I159">
        <v>0.9229323308270676</v>
      </c>
      <c r="J159">
        <v>784418.64285714284</v>
      </c>
      <c r="K159">
        <v>2955</v>
      </c>
      <c r="L159">
        <v>2</v>
      </c>
      <c r="M159">
        <v>36</v>
      </c>
      <c r="N159">
        <v>0.92481203007518797</v>
      </c>
      <c r="O159">
        <v>673381.42857142852</v>
      </c>
      <c r="P159">
        <v>3111</v>
      </c>
      <c r="Q159">
        <v>2</v>
      </c>
      <c r="R159">
        <v>37</v>
      </c>
      <c r="S159" t="s">
        <v>2735</v>
      </c>
    </row>
    <row r="160" spans="1:19" x14ac:dyDescent="0.25">
      <c r="A160" t="s">
        <v>2649</v>
      </c>
      <c r="B160">
        <v>9</v>
      </c>
      <c r="C160">
        <v>5</v>
      </c>
      <c r="D160">
        <v>0</v>
      </c>
      <c r="E160" t="s">
        <v>2734</v>
      </c>
      <c r="F160">
        <v>2025</v>
      </c>
      <c r="G160">
        <v>7342456.7142857146</v>
      </c>
      <c r="H160">
        <v>0.78195488878658836</v>
      </c>
      <c r="I160">
        <v>0.91729323308270672</v>
      </c>
      <c r="J160">
        <v>943768.35714285716</v>
      </c>
      <c r="K160">
        <v>3271</v>
      </c>
      <c r="L160">
        <v>2</v>
      </c>
      <c r="M160">
        <v>38</v>
      </c>
      <c r="N160">
        <v>0.9229323308270676</v>
      </c>
      <c r="O160">
        <v>754959.85714285716</v>
      </c>
      <c r="P160">
        <v>3435</v>
      </c>
      <c r="Q160">
        <v>2</v>
      </c>
      <c r="R160">
        <v>39</v>
      </c>
      <c r="S160" t="s">
        <v>2733</v>
      </c>
    </row>
    <row r="161" spans="1:19" x14ac:dyDescent="0.25">
      <c r="A161" t="s">
        <v>2649</v>
      </c>
      <c r="B161">
        <v>9</v>
      </c>
      <c r="C161">
        <v>2</v>
      </c>
      <c r="D161">
        <v>0</v>
      </c>
      <c r="E161" t="s">
        <v>2729</v>
      </c>
      <c r="F161">
        <v>2037</v>
      </c>
      <c r="G161">
        <v>8722085.3571428563</v>
      </c>
      <c r="H161">
        <v>0.75751879917723797</v>
      </c>
      <c r="I161">
        <v>0.9135338345864662</v>
      </c>
      <c r="J161">
        <v>801005.92857142852</v>
      </c>
      <c r="K161">
        <v>2655</v>
      </c>
      <c r="L161">
        <v>2</v>
      </c>
      <c r="M161">
        <v>34</v>
      </c>
      <c r="N161">
        <v>0.9229323308270676</v>
      </c>
      <c r="O161">
        <v>937086.35714285716</v>
      </c>
      <c r="P161">
        <v>2803</v>
      </c>
      <c r="Q161">
        <v>2</v>
      </c>
      <c r="R161">
        <v>35</v>
      </c>
      <c r="S161" t="s">
        <v>2732</v>
      </c>
    </row>
    <row r="162" spans="1:19" x14ac:dyDescent="0.25">
      <c r="A162" t="s">
        <v>2649</v>
      </c>
      <c r="B162">
        <v>9</v>
      </c>
      <c r="C162">
        <v>3</v>
      </c>
      <c r="D162">
        <v>0</v>
      </c>
      <c r="E162" t="s">
        <v>2729</v>
      </c>
      <c r="F162">
        <v>2181</v>
      </c>
      <c r="G162">
        <v>5858000.4285714282</v>
      </c>
      <c r="H162">
        <v>0.93233084252902443</v>
      </c>
      <c r="I162">
        <v>0.92105263157894735</v>
      </c>
      <c r="J162">
        <v>877737.14285714284</v>
      </c>
      <c r="K162">
        <v>3111</v>
      </c>
      <c r="L162">
        <v>2</v>
      </c>
      <c r="M162">
        <v>37</v>
      </c>
      <c r="N162">
        <v>0.91917293233082709</v>
      </c>
      <c r="O162">
        <v>720764.71428571432</v>
      </c>
      <c r="P162">
        <v>3271</v>
      </c>
      <c r="Q162">
        <v>2</v>
      </c>
      <c r="R162">
        <v>38</v>
      </c>
      <c r="S162" t="s">
        <v>2731</v>
      </c>
    </row>
    <row r="163" spans="1:19" x14ac:dyDescent="0.25">
      <c r="A163" t="s">
        <v>2649</v>
      </c>
      <c r="B163">
        <v>9</v>
      </c>
      <c r="C163">
        <v>4</v>
      </c>
      <c r="D163">
        <v>0</v>
      </c>
      <c r="E163" t="s">
        <v>2729</v>
      </c>
      <c r="F163">
        <v>2325</v>
      </c>
      <c r="G163">
        <v>6263600.6428571427</v>
      </c>
      <c r="H163">
        <v>0.90789473908288143</v>
      </c>
      <c r="I163">
        <v>0.92105263157894735</v>
      </c>
      <c r="J163">
        <v>787103.21428571432</v>
      </c>
      <c r="K163">
        <v>3603</v>
      </c>
      <c r="L163">
        <v>2</v>
      </c>
      <c r="M163">
        <v>40</v>
      </c>
      <c r="N163">
        <v>0.9229323308270676</v>
      </c>
      <c r="O163">
        <v>500792.07142857142</v>
      </c>
      <c r="P163">
        <v>3775</v>
      </c>
      <c r="Q163">
        <v>2</v>
      </c>
      <c r="R163">
        <v>41</v>
      </c>
      <c r="S163" t="s">
        <v>2730</v>
      </c>
    </row>
    <row r="164" spans="1:19" x14ac:dyDescent="0.25">
      <c r="A164" t="s">
        <v>2649</v>
      </c>
      <c r="B164">
        <v>9</v>
      </c>
      <c r="C164">
        <v>5</v>
      </c>
      <c r="D164">
        <v>0</v>
      </c>
      <c r="E164" t="s">
        <v>2729</v>
      </c>
      <c r="F164">
        <v>2469</v>
      </c>
      <c r="G164">
        <v>7834732.5714285718</v>
      </c>
      <c r="H164">
        <v>0.84210526943206787</v>
      </c>
      <c r="I164">
        <v>0.93233082706766912</v>
      </c>
      <c r="J164">
        <v>1142040.142857143</v>
      </c>
      <c r="K164">
        <v>3951</v>
      </c>
      <c r="L164">
        <v>2</v>
      </c>
      <c r="M164">
        <v>42</v>
      </c>
      <c r="N164">
        <v>0.91917293233082709</v>
      </c>
      <c r="O164">
        <v>887788</v>
      </c>
      <c r="P164">
        <v>4131</v>
      </c>
      <c r="Q164">
        <v>2</v>
      </c>
      <c r="R164">
        <v>43</v>
      </c>
      <c r="S164" t="s">
        <v>2728</v>
      </c>
    </row>
    <row r="165" spans="1:19" x14ac:dyDescent="0.25">
      <c r="A165" t="s">
        <v>2649</v>
      </c>
      <c r="B165">
        <v>9</v>
      </c>
      <c r="C165">
        <v>2</v>
      </c>
      <c r="D165">
        <v>0</v>
      </c>
      <c r="E165" t="s">
        <v>2724</v>
      </c>
      <c r="F165">
        <v>1531</v>
      </c>
      <c r="G165">
        <v>7369834.3571428573</v>
      </c>
      <c r="H165">
        <v>0.80075189045497353</v>
      </c>
      <c r="I165">
        <v>0.93045112781954886</v>
      </c>
      <c r="J165">
        <v>860866.85714285716</v>
      </c>
      <c r="K165">
        <v>1975</v>
      </c>
      <c r="L165">
        <v>2</v>
      </c>
      <c r="M165">
        <v>29</v>
      </c>
      <c r="N165">
        <v>0.92669172932330823</v>
      </c>
      <c r="O165">
        <v>614711.85714285716</v>
      </c>
      <c r="P165">
        <v>2103</v>
      </c>
      <c r="Q165">
        <v>2</v>
      </c>
      <c r="R165">
        <v>30</v>
      </c>
      <c r="S165" t="s">
        <v>2727</v>
      </c>
    </row>
    <row r="166" spans="1:19" x14ac:dyDescent="0.25">
      <c r="A166" t="s">
        <v>2649</v>
      </c>
      <c r="B166">
        <v>9</v>
      </c>
      <c r="C166">
        <v>3</v>
      </c>
      <c r="D166">
        <v>0</v>
      </c>
      <c r="E166" t="s">
        <v>2724</v>
      </c>
      <c r="F166">
        <v>1639</v>
      </c>
      <c r="G166">
        <v>6801933.7142857146</v>
      </c>
      <c r="H166">
        <v>0.8684210436684745</v>
      </c>
      <c r="I166">
        <v>0.9285714285714286</v>
      </c>
      <c r="J166">
        <v>919056.42857142852</v>
      </c>
      <c r="K166">
        <v>2371</v>
      </c>
      <c r="L166">
        <v>2</v>
      </c>
      <c r="M166">
        <v>32</v>
      </c>
      <c r="N166">
        <v>0.9135338345864662</v>
      </c>
      <c r="O166">
        <v>676853.14285714284</v>
      </c>
      <c r="P166">
        <v>2511</v>
      </c>
      <c r="Q166">
        <v>2</v>
      </c>
      <c r="R166">
        <v>33</v>
      </c>
      <c r="S166" t="s">
        <v>2726</v>
      </c>
    </row>
    <row r="167" spans="1:19" x14ac:dyDescent="0.25">
      <c r="A167" t="s">
        <v>2649</v>
      </c>
      <c r="B167">
        <v>9</v>
      </c>
      <c r="C167">
        <v>4</v>
      </c>
      <c r="D167">
        <v>0</v>
      </c>
      <c r="E167" t="s">
        <v>2724</v>
      </c>
      <c r="F167">
        <v>1747</v>
      </c>
      <c r="G167">
        <v>7358223.5714285718</v>
      </c>
      <c r="H167">
        <v>0.86278195892061504</v>
      </c>
      <c r="I167">
        <v>0.91729323308270672</v>
      </c>
      <c r="J167">
        <v>717883.57142857148</v>
      </c>
      <c r="K167">
        <v>2655</v>
      </c>
      <c r="L167">
        <v>2</v>
      </c>
      <c r="M167">
        <v>34</v>
      </c>
      <c r="N167">
        <v>0.91729323308270672</v>
      </c>
      <c r="O167">
        <v>864617.28571428568</v>
      </c>
      <c r="P167">
        <v>2803</v>
      </c>
      <c r="Q167">
        <v>2</v>
      </c>
      <c r="R167">
        <v>35</v>
      </c>
      <c r="S167" t="s">
        <v>2725</v>
      </c>
    </row>
    <row r="168" spans="1:19" x14ac:dyDescent="0.25">
      <c r="A168" t="s">
        <v>2649</v>
      </c>
      <c r="B168">
        <v>9</v>
      </c>
      <c r="C168">
        <v>5</v>
      </c>
      <c r="D168">
        <v>0</v>
      </c>
      <c r="E168" t="s">
        <v>2724</v>
      </c>
      <c r="F168">
        <v>1855</v>
      </c>
      <c r="G168">
        <v>7595389.7857142854</v>
      </c>
      <c r="H168">
        <v>0.73308270743915016</v>
      </c>
      <c r="I168">
        <v>0.91729323308270672</v>
      </c>
      <c r="J168">
        <v>1041816.6428571428</v>
      </c>
      <c r="K168">
        <v>2955</v>
      </c>
      <c r="L168">
        <v>2</v>
      </c>
      <c r="M168">
        <v>36</v>
      </c>
      <c r="N168">
        <v>0.92105263157894735</v>
      </c>
      <c r="O168">
        <v>641068.14285714284</v>
      </c>
      <c r="P168">
        <v>3111</v>
      </c>
      <c r="Q168">
        <v>2</v>
      </c>
      <c r="R168">
        <v>37</v>
      </c>
      <c r="S168" t="s">
        <v>2723</v>
      </c>
    </row>
    <row r="169" spans="1:19" x14ac:dyDescent="0.25">
      <c r="A169" t="s">
        <v>2649</v>
      </c>
      <c r="B169">
        <v>9</v>
      </c>
      <c r="C169">
        <v>2</v>
      </c>
      <c r="D169">
        <v>0</v>
      </c>
      <c r="E169" t="s">
        <v>2719</v>
      </c>
      <c r="F169">
        <v>1953</v>
      </c>
      <c r="G169">
        <v>6938173.5714285718</v>
      </c>
      <c r="H169">
        <v>0.73120300684656414</v>
      </c>
      <c r="I169">
        <v>0.91917293233082709</v>
      </c>
      <c r="J169">
        <v>1039132.1428571428</v>
      </c>
      <c r="K169">
        <v>2511</v>
      </c>
      <c r="L169">
        <v>2</v>
      </c>
      <c r="M169">
        <v>33</v>
      </c>
      <c r="N169">
        <v>0.92105263157894735</v>
      </c>
      <c r="O169">
        <v>791955.07142857148</v>
      </c>
      <c r="P169">
        <v>2655</v>
      </c>
      <c r="Q169">
        <v>2</v>
      </c>
      <c r="R169">
        <v>34</v>
      </c>
      <c r="S169" t="s">
        <v>2722</v>
      </c>
    </row>
    <row r="170" spans="1:19" x14ac:dyDescent="0.25">
      <c r="A170" t="s">
        <v>2649</v>
      </c>
      <c r="B170">
        <v>9</v>
      </c>
      <c r="C170">
        <v>3</v>
      </c>
      <c r="D170">
        <v>0</v>
      </c>
      <c r="E170" t="s">
        <v>2719</v>
      </c>
      <c r="F170">
        <v>2091</v>
      </c>
      <c r="G170">
        <v>5556311.1428571427</v>
      </c>
      <c r="H170">
        <v>0.90225564582007267</v>
      </c>
      <c r="I170">
        <v>0.92481203007518797</v>
      </c>
      <c r="J170">
        <v>709893.78571428568</v>
      </c>
      <c r="K170">
        <v>2955</v>
      </c>
      <c r="L170">
        <v>2</v>
      </c>
      <c r="M170">
        <v>36</v>
      </c>
      <c r="N170">
        <v>0.92481203007518797</v>
      </c>
      <c r="O170">
        <v>600823.42857142852</v>
      </c>
      <c r="P170">
        <v>3111</v>
      </c>
      <c r="Q170">
        <v>2</v>
      </c>
      <c r="R170">
        <v>37</v>
      </c>
      <c r="S170" t="s">
        <v>2721</v>
      </c>
    </row>
    <row r="171" spans="1:19" x14ac:dyDescent="0.25">
      <c r="A171" t="s">
        <v>2649</v>
      </c>
      <c r="B171">
        <v>9</v>
      </c>
      <c r="C171">
        <v>4</v>
      </c>
      <c r="D171">
        <v>0</v>
      </c>
      <c r="E171" t="s">
        <v>2719</v>
      </c>
      <c r="F171">
        <v>2229</v>
      </c>
      <c r="G171">
        <v>7421245.4285714282</v>
      </c>
      <c r="H171">
        <v>0.89849624463490074</v>
      </c>
      <c r="I171">
        <v>0.92481203007518797</v>
      </c>
      <c r="J171">
        <v>844710.5</v>
      </c>
      <c r="K171">
        <v>3435</v>
      </c>
      <c r="L171">
        <v>2</v>
      </c>
      <c r="M171">
        <v>39</v>
      </c>
      <c r="N171">
        <v>0.9229323308270676</v>
      </c>
      <c r="O171">
        <v>620387.85714285716</v>
      </c>
      <c r="P171">
        <v>3603</v>
      </c>
      <c r="Q171">
        <v>2</v>
      </c>
      <c r="R171">
        <v>40</v>
      </c>
      <c r="S171" t="s">
        <v>2720</v>
      </c>
    </row>
    <row r="172" spans="1:19" x14ac:dyDescent="0.25">
      <c r="A172" t="s">
        <v>2649</v>
      </c>
      <c r="B172">
        <v>9</v>
      </c>
      <c r="C172">
        <v>5</v>
      </c>
      <c r="D172">
        <v>0</v>
      </c>
      <c r="E172" t="s">
        <v>2719</v>
      </c>
      <c r="F172">
        <v>2367</v>
      </c>
      <c r="G172">
        <v>7242868.8571428573</v>
      </c>
      <c r="H172">
        <v>0.86466165951320106</v>
      </c>
      <c r="I172">
        <v>0.92857142857142849</v>
      </c>
      <c r="J172">
        <v>611497.78571428568</v>
      </c>
      <c r="K172">
        <v>3775</v>
      </c>
      <c r="L172">
        <v>2</v>
      </c>
      <c r="M172">
        <v>41</v>
      </c>
      <c r="N172">
        <v>0.93609022556390975</v>
      </c>
      <c r="O172">
        <v>469863.85714285716</v>
      </c>
      <c r="P172">
        <v>3951</v>
      </c>
      <c r="Q172">
        <v>2</v>
      </c>
      <c r="R172">
        <v>42</v>
      </c>
      <c r="S172" t="s">
        <v>2718</v>
      </c>
    </row>
    <row r="173" spans="1:19" x14ac:dyDescent="0.25">
      <c r="A173" t="s">
        <v>2649</v>
      </c>
      <c r="B173">
        <v>9</v>
      </c>
      <c r="C173">
        <v>2</v>
      </c>
      <c r="D173">
        <v>0</v>
      </c>
      <c r="E173" t="s">
        <v>2714</v>
      </c>
      <c r="F173">
        <v>2375</v>
      </c>
      <c r="G173">
        <v>8122388.5</v>
      </c>
      <c r="H173">
        <v>0.75187969846384861</v>
      </c>
      <c r="I173">
        <v>0.93045112781954886</v>
      </c>
      <c r="J173">
        <v>930915.28571428568</v>
      </c>
      <c r="K173">
        <v>3111</v>
      </c>
      <c r="L173">
        <v>2</v>
      </c>
      <c r="M173">
        <v>37</v>
      </c>
      <c r="N173">
        <v>0.91917293233082709</v>
      </c>
      <c r="O173">
        <v>865591.07142857148</v>
      </c>
      <c r="P173">
        <v>3271</v>
      </c>
      <c r="Q173">
        <v>2</v>
      </c>
      <c r="R173">
        <v>38</v>
      </c>
      <c r="S173" t="s">
        <v>2717</v>
      </c>
    </row>
    <row r="174" spans="1:19" x14ac:dyDescent="0.25">
      <c r="A174" t="s">
        <v>2649</v>
      </c>
      <c r="B174">
        <v>9</v>
      </c>
      <c r="C174">
        <v>3</v>
      </c>
      <c r="D174">
        <v>0</v>
      </c>
      <c r="E174" t="s">
        <v>2714</v>
      </c>
      <c r="F174">
        <v>2543</v>
      </c>
      <c r="G174">
        <v>5510337.9285714282</v>
      </c>
      <c r="H174">
        <v>0.90977443967546734</v>
      </c>
      <c r="I174">
        <v>0.91917293233082709</v>
      </c>
      <c r="J174">
        <v>725344.71428571432</v>
      </c>
      <c r="K174">
        <v>3603</v>
      </c>
      <c r="L174">
        <v>2</v>
      </c>
      <c r="M174">
        <v>40</v>
      </c>
      <c r="N174">
        <v>0.91541353383458646</v>
      </c>
      <c r="O174">
        <v>649889.64285714284</v>
      </c>
      <c r="P174">
        <v>3775</v>
      </c>
      <c r="Q174">
        <v>2</v>
      </c>
      <c r="R174">
        <v>41</v>
      </c>
      <c r="S174" t="s">
        <v>2716</v>
      </c>
    </row>
    <row r="175" spans="1:19" x14ac:dyDescent="0.25">
      <c r="A175" t="s">
        <v>2649</v>
      </c>
      <c r="B175">
        <v>9</v>
      </c>
      <c r="C175">
        <v>4</v>
      </c>
      <c r="D175">
        <v>0</v>
      </c>
      <c r="E175" t="s">
        <v>2714</v>
      </c>
      <c r="F175">
        <v>2711</v>
      </c>
      <c r="G175">
        <v>6709086.4285714282</v>
      </c>
      <c r="H175">
        <v>0.90037594948496136</v>
      </c>
      <c r="I175">
        <v>0.92857142857142849</v>
      </c>
      <c r="J175">
        <v>907691.64285714284</v>
      </c>
      <c r="K175">
        <v>4131</v>
      </c>
      <c r="L175">
        <v>2</v>
      </c>
      <c r="M175">
        <v>43</v>
      </c>
      <c r="N175">
        <v>0.91541353383458646</v>
      </c>
      <c r="O175">
        <v>780201.28571428568</v>
      </c>
      <c r="P175">
        <v>4315</v>
      </c>
      <c r="Q175">
        <v>2</v>
      </c>
      <c r="R175">
        <v>44</v>
      </c>
      <c r="S175" t="s">
        <v>2715</v>
      </c>
    </row>
    <row r="176" spans="1:19" x14ac:dyDescent="0.25">
      <c r="A176" t="s">
        <v>2649</v>
      </c>
      <c r="B176">
        <v>9</v>
      </c>
      <c r="C176">
        <v>5</v>
      </c>
      <c r="D176">
        <v>0</v>
      </c>
      <c r="E176" t="s">
        <v>2714</v>
      </c>
      <c r="F176">
        <v>2879</v>
      </c>
      <c r="G176">
        <v>7925123</v>
      </c>
      <c r="H176">
        <v>0.8101503763880048</v>
      </c>
      <c r="I176">
        <v>0.93233082706766912</v>
      </c>
      <c r="J176">
        <v>1064239.4285714286</v>
      </c>
      <c r="K176">
        <v>4695</v>
      </c>
      <c r="L176">
        <v>2</v>
      </c>
      <c r="M176">
        <v>46</v>
      </c>
      <c r="N176">
        <v>0.91729323308270672</v>
      </c>
      <c r="O176">
        <v>1013087.0714285715</v>
      </c>
      <c r="P176">
        <v>4891</v>
      </c>
      <c r="Q176">
        <v>2</v>
      </c>
      <c r="R176">
        <v>47</v>
      </c>
      <c r="S176" t="s">
        <v>2713</v>
      </c>
    </row>
    <row r="177" spans="1:19" x14ac:dyDescent="0.25">
      <c r="A177" t="s">
        <v>2649</v>
      </c>
      <c r="B177">
        <v>9</v>
      </c>
      <c r="C177">
        <v>2</v>
      </c>
      <c r="D177">
        <v>0</v>
      </c>
      <c r="E177" t="s">
        <v>2709</v>
      </c>
      <c r="F177">
        <v>300</v>
      </c>
      <c r="G177">
        <v>7628351.3571428573</v>
      </c>
      <c r="H177">
        <v>0.80263157827513554</v>
      </c>
      <c r="I177">
        <v>0.91917293233082709</v>
      </c>
      <c r="J177">
        <v>1103311.2142857143</v>
      </c>
      <c r="K177">
        <v>355</v>
      </c>
      <c r="L177">
        <v>2</v>
      </c>
      <c r="M177">
        <v>11</v>
      </c>
      <c r="N177">
        <v>0.93045112781954886</v>
      </c>
      <c r="O177">
        <v>1081577.357142857</v>
      </c>
      <c r="P177">
        <v>411</v>
      </c>
      <c r="Q177">
        <v>2</v>
      </c>
      <c r="R177">
        <v>12</v>
      </c>
      <c r="S177" t="s">
        <v>2712</v>
      </c>
    </row>
    <row r="178" spans="1:19" x14ac:dyDescent="0.25">
      <c r="A178" t="s">
        <v>2649</v>
      </c>
      <c r="B178">
        <v>9</v>
      </c>
      <c r="C178">
        <v>3</v>
      </c>
      <c r="D178">
        <v>0</v>
      </c>
      <c r="E178" t="s">
        <v>2709</v>
      </c>
      <c r="F178">
        <v>321</v>
      </c>
      <c r="G178">
        <v>3021611.5</v>
      </c>
      <c r="H178">
        <v>0.91541353719575069</v>
      </c>
      <c r="I178">
        <v>0.90225563909774431</v>
      </c>
      <c r="J178">
        <v>454510.64285714284</v>
      </c>
      <c r="K178">
        <v>411</v>
      </c>
      <c r="L178">
        <v>2</v>
      </c>
      <c r="M178">
        <v>12</v>
      </c>
      <c r="N178">
        <v>0.92481203007518797</v>
      </c>
      <c r="O178">
        <v>626625.14285714284</v>
      </c>
      <c r="P178">
        <v>471</v>
      </c>
      <c r="Q178">
        <v>2</v>
      </c>
      <c r="R178">
        <v>13</v>
      </c>
      <c r="S178" t="s">
        <v>2711</v>
      </c>
    </row>
    <row r="179" spans="1:19" x14ac:dyDescent="0.25">
      <c r="A179" t="s">
        <v>2649</v>
      </c>
      <c r="B179">
        <v>9</v>
      </c>
      <c r="C179">
        <v>4</v>
      </c>
      <c r="D179">
        <v>0</v>
      </c>
      <c r="E179" t="s">
        <v>2709</v>
      </c>
      <c r="F179">
        <v>342</v>
      </c>
      <c r="G179">
        <v>4263950</v>
      </c>
      <c r="H179">
        <v>0.86842106069837299</v>
      </c>
      <c r="I179">
        <v>0.91729323308270672</v>
      </c>
      <c r="J179">
        <v>698469.21428571432</v>
      </c>
      <c r="K179">
        <v>471</v>
      </c>
      <c r="L179">
        <v>2</v>
      </c>
      <c r="M179">
        <v>13</v>
      </c>
      <c r="N179">
        <v>0.92481203007518797</v>
      </c>
      <c r="O179">
        <v>598499.57142857148</v>
      </c>
      <c r="P179">
        <v>535</v>
      </c>
      <c r="Q179">
        <v>2</v>
      </c>
      <c r="R179">
        <v>14</v>
      </c>
      <c r="S179" t="s">
        <v>2710</v>
      </c>
    </row>
    <row r="180" spans="1:19" x14ac:dyDescent="0.25">
      <c r="A180" t="s">
        <v>2649</v>
      </c>
      <c r="B180">
        <v>9</v>
      </c>
      <c r="C180">
        <v>5</v>
      </c>
      <c r="D180">
        <v>0</v>
      </c>
      <c r="E180" t="s">
        <v>2709</v>
      </c>
      <c r="F180">
        <v>363</v>
      </c>
      <c r="G180">
        <v>4452450.5</v>
      </c>
      <c r="H180">
        <v>0.88721805385180885</v>
      </c>
      <c r="I180">
        <v>0.93796992481203001</v>
      </c>
      <c r="J180">
        <v>603011.57142857148</v>
      </c>
      <c r="K180">
        <v>535</v>
      </c>
      <c r="L180">
        <v>2</v>
      </c>
      <c r="M180">
        <v>14</v>
      </c>
      <c r="N180">
        <v>0.91729323308270672</v>
      </c>
      <c r="O180">
        <v>705253.64285714284</v>
      </c>
      <c r="P180">
        <v>603</v>
      </c>
      <c r="Q180">
        <v>2</v>
      </c>
      <c r="R180">
        <v>15</v>
      </c>
      <c r="S180" t="s">
        <v>2708</v>
      </c>
    </row>
    <row r="181" spans="1:19" x14ac:dyDescent="0.25">
      <c r="A181" t="s">
        <v>2649</v>
      </c>
      <c r="B181">
        <v>9</v>
      </c>
      <c r="C181">
        <v>2</v>
      </c>
      <c r="D181">
        <v>0</v>
      </c>
      <c r="E181" t="s">
        <v>2704</v>
      </c>
      <c r="F181">
        <v>627</v>
      </c>
      <c r="G181">
        <v>4371206.2142857146</v>
      </c>
      <c r="H181">
        <v>0.87593985881124226</v>
      </c>
      <c r="I181">
        <v>0.90789473684210531</v>
      </c>
      <c r="J181">
        <v>464554.92857142858</v>
      </c>
      <c r="K181">
        <v>831</v>
      </c>
      <c r="L181">
        <v>2</v>
      </c>
      <c r="M181">
        <v>18</v>
      </c>
      <c r="N181">
        <v>0.92105263157894735</v>
      </c>
      <c r="O181">
        <v>477328.28571428574</v>
      </c>
      <c r="P181">
        <v>915</v>
      </c>
      <c r="Q181">
        <v>2</v>
      </c>
      <c r="R181">
        <v>19</v>
      </c>
      <c r="S181" t="s">
        <v>2707</v>
      </c>
    </row>
    <row r="182" spans="1:19" x14ac:dyDescent="0.25">
      <c r="A182" t="s">
        <v>2649</v>
      </c>
      <c r="B182">
        <v>9</v>
      </c>
      <c r="C182">
        <v>3</v>
      </c>
      <c r="D182">
        <v>0</v>
      </c>
      <c r="E182" t="s">
        <v>2704</v>
      </c>
      <c r="F182">
        <v>671</v>
      </c>
      <c r="G182">
        <v>5159042.3571428573</v>
      </c>
      <c r="H182">
        <v>0.92669173649379188</v>
      </c>
      <c r="I182">
        <v>0.91541353383458646</v>
      </c>
      <c r="J182">
        <v>963047.57142857148</v>
      </c>
      <c r="K182">
        <v>915</v>
      </c>
      <c r="L182">
        <v>2</v>
      </c>
      <c r="M182">
        <v>19</v>
      </c>
      <c r="N182">
        <v>0.93984962406015038</v>
      </c>
      <c r="O182">
        <v>893508.42857142852</v>
      </c>
      <c r="P182">
        <v>1003</v>
      </c>
      <c r="Q182">
        <v>2</v>
      </c>
      <c r="R182">
        <v>20</v>
      </c>
      <c r="S182" t="s">
        <v>2706</v>
      </c>
    </row>
    <row r="183" spans="1:19" x14ac:dyDescent="0.25">
      <c r="A183" t="s">
        <v>2649</v>
      </c>
      <c r="B183">
        <v>9</v>
      </c>
      <c r="C183">
        <v>4</v>
      </c>
      <c r="D183">
        <v>0</v>
      </c>
      <c r="E183" t="s">
        <v>2704</v>
      </c>
      <c r="F183">
        <v>715</v>
      </c>
      <c r="G183">
        <v>5244979.1428571427</v>
      </c>
      <c r="H183">
        <v>0.89473684770720341</v>
      </c>
      <c r="I183">
        <v>0.92105263157894735</v>
      </c>
      <c r="J183">
        <v>1017890.5</v>
      </c>
      <c r="K183">
        <v>1095</v>
      </c>
      <c r="L183">
        <v>2</v>
      </c>
      <c r="M183">
        <v>21</v>
      </c>
      <c r="N183">
        <v>0.93045112781954886</v>
      </c>
      <c r="O183">
        <v>599697.42857142852</v>
      </c>
      <c r="P183">
        <v>1191</v>
      </c>
      <c r="Q183">
        <v>2</v>
      </c>
      <c r="R183">
        <v>22</v>
      </c>
      <c r="S183" t="s">
        <v>2705</v>
      </c>
    </row>
    <row r="184" spans="1:19" x14ac:dyDescent="0.25">
      <c r="A184" t="s">
        <v>2649</v>
      </c>
      <c r="B184">
        <v>9</v>
      </c>
      <c r="C184">
        <v>5</v>
      </c>
      <c r="D184">
        <v>0</v>
      </c>
      <c r="E184" t="s">
        <v>2704</v>
      </c>
      <c r="F184">
        <v>759</v>
      </c>
      <c r="G184">
        <v>7151355.2857142854</v>
      </c>
      <c r="H184">
        <v>0.77443608641624451</v>
      </c>
      <c r="I184">
        <v>0.93609022556390975</v>
      </c>
      <c r="J184">
        <v>1004691.2857142857</v>
      </c>
      <c r="K184">
        <v>1191</v>
      </c>
      <c r="L184">
        <v>2</v>
      </c>
      <c r="M184">
        <v>22</v>
      </c>
      <c r="N184">
        <v>0.92669172932330823</v>
      </c>
      <c r="O184">
        <v>476431.35714285716</v>
      </c>
      <c r="P184">
        <v>1291</v>
      </c>
      <c r="Q184">
        <v>2</v>
      </c>
      <c r="R184">
        <v>23</v>
      </c>
      <c r="S184" t="s">
        <v>2703</v>
      </c>
    </row>
    <row r="185" spans="1:19" x14ac:dyDescent="0.25">
      <c r="A185" t="s">
        <v>2649</v>
      </c>
      <c r="B185">
        <v>9</v>
      </c>
      <c r="C185">
        <v>2</v>
      </c>
      <c r="D185">
        <v>0</v>
      </c>
      <c r="E185" t="s">
        <v>2699</v>
      </c>
      <c r="F185">
        <v>825</v>
      </c>
      <c r="G185">
        <v>6996226.5</v>
      </c>
      <c r="H185">
        <v>0.68984963212694439</v>
      </c>
      <c r="I185">
        <v>0.93233082706766912</v>
      </c>
      <c r="J185">
        <v>772649.57142857148</v>
      </c>
      <c r="K185">
        <v>1095</v>
      </c>
      <c r="L185">
        <v>2</v>
      </c>
      <c r="M185">
        <v>21</v>
      </c>
      <c r="N185">
        <v>0.9229323308270676</v>
      </c>
      <c r="O185">
        <v>681941.07142857148</v>
      </c>
      <c r="P185">
        <v>1191</v>
      </c>
      <c r="Q185">
        <v>2</v>
      </c>
      <c r="R185">
        <v>22</v>
      </c>
      <c r="S185" t="s">
        <v>2702</v>
      </c>
    </row>
    <row r="186" spans="1:19" x14ac:dyDescent="0.25">
      <c r="A186" t="s">
        <v>2649</v>
      </c>
      <c r="B186">
        <v>9</v>
      </c>
      <c r="C186">
        <v>3</v>
      </c>
      <c r="D186">
        <v>0</v>
      </c>
      <c r="E186" t="s">
        <v>2699</v>
      </c>
      <c r="F186">
        <v>883</v>
      </c>
      <c r="G186">
        <v>5200613.7857142854</v>
      </c>
      <c r="H186">
        <v>0.92481202738625667</v>
      </c>
      <c r="I186">
        <v>0.93421052631578949</v>
      </c>
      <c r="J186">
        <v>799664.85714285716</v>
      </c>
      <c r="K186">
        <v>1191</v>
      </c>
      <c r="L186">
        <v>2</v>
      </c>
      <c r="M186">
        <v>22</v>
      </c>
      <c r="N186">
        <v>0.92481203007518797</v>
      </c>
      <c r="O186">
        <v>855825.42857142852</v>
      </c>
      <c r="P186">
        <v>1291</v>
      </c>
      <c r="Q186">
        <v>2</v>
      </c>
      <c r="R186">
        <v>23</v>
      </c>
      <c r="S186" t="s">
        <v>2701</v>
      </c>
    </row>
    <row r="187" spans="1:19" x14ac:dyDescent="0.25">
      <c r="A187" t="s">
        <v>2649</v>
      </c>
      <c r="B187">
        <v>9</v>
      </c>
      <c r="C187">
        <v>4</v>
      </c>
      <c r="D187">
        <v>0</v>
      </c>
      <c r="E187" t="s">
        <v>2699</v>
      </c>
      <c r="F187">
        <v>941</v>
      </c>
      <c r="G187">
        <v>5247121.2142857146</v>
      </c>
      <c r="H187">
        <v>0.90977443967546734</v>
      </c>
      <c r="I187">
        <v>0.92669172932330823</v>
      </c>
      <c r="J187">
        <v>736216.71428571432</v>
      </c>
      <c r="K187">
        <v>1395</v>
      </c>
      <c r="L187">
        <v>2</v>
      </c>
      <c r="M187">
        <v>24</v>
      </c>
      <c r="N187">
        <v>0.9285714285714286</v>
      </c>
      <c r="O187">
        <v>863615.92857142852</v>
      </c>
      <c r="P187">
        <v>1503</v>
      </c>
      <c r="Q187">
        <v>2</v>
      </c>
      <c r="R187">
        <v>25</v>
      </c>
      <c r="S187" t="s">
        <v>2700</v>
      </c>
    </row>
    <row r="188" spans="1:19" x14ac:dyDescent="0.25">
      <c r="A188" t="s">
        <v>2649</v>
      </c>
      <c r="B188">
        <v>9</v>
      </c>
      <c r="C188">
        <v>5</v>
      </c>
      <c r="D188">
        <v>0</v>
      </c>
      <c r="E188" t="s">
        <v>2699</v>
      </c>
      <c r="F188">
        <v>999</v>
      </c>
      <c r="G188">
        <v>6233286.0714285718</v>
      </c>
      <c r="H188">
        <v>0.86090225407055443</v>
      </c>
      <c r="I188">
        <v>0.9229323308270676</v>
      </c>
      <c r="J188">
        <v>877242.42857142852</v>
      </c>
      <c r="K188">
        <v>1615</v>
      </c>
      <c r="L188">
        <v>2</v>
      </c>
      <c r="M188">
        <v>26</v>
      </c>
      <c r="N188">
        <v>0.92669172932330823</v>
      </c>
      <c r="O188">
        <v>892057.14285714284</v>
      </c>
      <c r="P188">
        <v>1731</v>
      </c>
      <c r="Q188">
        <v>2</v>
      </c>
      <c r="R188">
        <v>27</v>
      </c>
      <c r="S188" t="s">
        <v>2698</v>
      </c>
    </row>
    <row r="189" spans="1:19" x14ac:dyDescent="0.25">
      <c r="A189" t="s">
        <v>2649</v>
      </c>
      <c r="B189">
        <v>9</v>
      </c>
      <c r="C189">
        <v>2</v>
      </c>
      <c r="D189">
        <v>0</v>
      </c>
      <c r="E189" t="s">
        <v>2694</v>
      </c>
      <c r="F189">
        <v>1023</v>
      </c>
      <c r="G189">
        <v>7709981.1428571427</v>
      </c>
      <c r="H189">
        <v>0.80263157401766094</v>
      </c>
      <c r="I189">
        <v>0.91917293233082709</v>
      </c>
      <c r="J189">
        <v>553714.92857142852</v>
      </c>
      <c r="K189">
        <v>1291</v>
      </c>
      <c r="L189">
        <v>2</v>
      </c>
      <c r="M189">
        <v>23</v>
      </c>
      <c r="N189">
        <v>0.92481203007518797</v>
      </c>
      <c r="O189">
        <v>829907.57142857148</v>
      </c>
      <c r="P189">
        <v>1395</v>
      </c>
      <c r="Q189">
        <v>2</v>
      </c>
      <c r="R189">
        <v>24</v>
      </c>
      <c r="S189" t="s">
        <v>2697</v>
      </c>
    </row>
    <row r="190" spans="1:19" x14ac:dyDescent="0.25">
      <c r="A190" t="s">
        <v>2649</v>
      </c>
      <c r="B190">
        <v>9</v>
      </c>
      <c r="C190">
        <v>3</v>
      </c>
      <c r="D190">
        <v>0</v>
      </c>
      <c r="E190" t="s">
        <v>2694</v>
      </c>
      <c r="F190">
        <v>1095</v>
      </c>
      <c r="G190">
        <v>5393906.0714285718</v>
      </c>
      <c r="H190">
        <v>0.92669172797884258</v>
      </c>
      <c r="I190">
        <v>0.92481203007518797</v>
      </c>
      <c r="J190">
        <v>759039.5</v>
      </c>
      <c r="K190">
        <v>1503</v>
      </c>
      <c r="L190">
        <v>2</v>
      </c>
      <c r="M190">
        <v>25</v>
      </c>
      <c r="N190">
        <v>0.92857142857142849</v>
      </c>
      <c r="O190">
        <v>868085.21428571432</v>
      </c>
      <c r="P190">
        <v>1615</v>
      </c>
      <c r="Q190">
        <v>2</v>
      </c>
      <c r="R190">
        <v>26</v>
      </c>
      <c r="S190" t="s">
        <v>2696</v>
      </c>
    </row>
    <row r="191" spans="1:19" x14ac:dyDescent="0.25">
      <c r="A191" t="s">
        <v>2649</v>
      </c>
      <c r="B191">
        <v>9</v>
      </c>
      <c r="C191">
        <v>4</v>
      </c>
      <c r="D191">
        <v>0</v>
      </c>
      <c r="E191" t="s">
        <v>2694</v>
      </c>
      <c r="F191">
        <v>1167</v>
      </c>
      <c r="G191">
        <v>6215469.2857142854</v>
      </c>
      <c r="H191">
        <v>0.88533835751669743</v>
      </c>
      <c r="I191">
        <v>0.93233082706766912</v>
      </c>
      <c r="J191">
        <v>948446.07142857148</v>
      </c>
      <c r="K191">
        <v>1731</v>
      </c>
      <c r="L191">
        <v>2</v>
      </c>
      <c r="M191">
        <v>27</v>
      </c>
      <c r="N191">
        <v>0.92105263157894735</v>
      </c>
      <c r="O191">
        <v>592721.07142857148</v>
      </c>
      <c r="P191">
        <v>1851</v>
      </c>
      <c r="Q191">
        <v>2</v>
      </c>
      <c r="R191">
        <v>28</v>
      </c>
      <c r="S191" t="s">
        <v>2695</v>
      </c>
    </row>
    <row r="192" spans="1:19" x14ac:dyDescent="0.25">
      <c r="A192" t="s">
        <v>2649</v>
      </c>
      <c r="B192">
        <v>9</v>
      </c>
      <c r="C192">
        <v>5</v>
      </c>
      <c r="D192">
        <v>0</v>
      </c>
      <c r="E192" t="s">
        <v>2694</v>
      </c>
      <c r="F192">
        <v>1239</v>
      </c>
      <c r="G192">
        <v>7003735.5</v>
      </c>
      <c r="H192">
        <v>0.83270677498408729</v>
      </c>
      <c r="I192">
        <v>0.92481203007518797</v>
      </c>
      <c r="J192">
        <v>684485.07142857148</v>
      </c>
      <c r="K192">
        <v>1975</v>
      </c>
      <c r="L192">
        <v>2</v>
      </c>
      <c r="M192">
        <v>29</v>
      </c>
      <c r="N192">
        <v>0.93045112781954886</v>
      </c>
      <c r="O192">
        <v>706911.71428571432</v>
      </c>
      <c r="P192">
        <v>2103</v>
      </c>
      <c r="Q192">
        <v>2</v>
      </c>
      <c r="R192">
        <v>30</v>
      </c>
      <c r="S192" t="s">
        <v>2693</v>
      </c>
    </row>
    <row r="193" spans="1:19" x14ac:dyDescent="0.25">
      <c r="A193" t="s">
        <v>2649</v>
      </c>
      <c r="B193">
        <v>9</v>
      </c>
      <c r="C193">
        <v>2</v>
      </c>
      <c r="D193">
        <v>0</v>
      </c>
      <c r="E193" t="s">
        <v>2689</v>
      </c>
      <c r="F193">
        <v>498</v>
      </c>
      <c r="G193">
        <v>8062930.3571428573</v>
      </c>
      <c r="H193">
        <v>0.75751880024160656</v>
      </c>
      <c r="I193">
        <v>0.91729323308270672</v>
      </c>
      <c r="J193">
        <v>753112.92857142852</v>
      </c>
      <c r="K193">
        <v>603</v>
      </c>
      <c r="L193">
        <v>2</v>
      </c>
      <c r="M193">
        <v>15</v>
      </c>
      <c r="N193">
        <v>0.91917293233082709</v>
      </c>
      <c r="O193">
        <v>856946</v>
      </c>
      <c r="P193">
        <v>675</v>
      </c>
      <c r="Q193">
        <v>2</v>
      </c>
      <c r="R193">
        <v>16</v>
      </c>
      <c r="S193" t="s">
        <v>2692</v>
      </c>
    </row>
    <row r="194" spans="1:19" x14ac:dyDescent="0.25">
      <c r="A194" t="s">
        <v>2649</v>
      </c>
      <c r="B194">
        <v>9</v>
      </c>
      <c r="C194">
        <v>3</v>
      </c>
      <c r="D194">
        <v>0</v>
      </c>
      <c r="E194" t="s">
        <v>2689</v>
      </c>
      <c r="F194">
        <v>533</v>
      </c>
      <c r="G194">
        <v>3798525.3571428573</v>
      </c>
      <c r="H194">
        <v>0.95112782716751099</v>
      </c>
      <c r="I194">
        <v>0.93233082706766912</v>
      </c>
      <c r="J194">
        <v>867007.57142857148</v>
      </c>
      <c r="K194">
        <v>751</v>
      </c>
      <c r="L194">
        <v>2</v>
      </c>
      <c r="M194">
        <v>17</v>
      </c>
      <c r="N194">
        <v>0.92481203007518797</v>
      </c>
      <c r="O194">
        <v>998573.64285714284</v>
      </c>
      <c r="P194">
        <v>831</v>
      </c>
      <c r="Q194">
        <v>2</v>
      </c>
      <c r="R194">
        <v>18</v>
      </c>
      <c r="S194" t="s">
        <v>2691</v>
      </c>
    </row>
    <row r="195" spans="1:19" x14ac:dyDescent="0.25">
      <c r="A195" t="s">
        <v>2649</v>
      </c>
      <c r="B195">
        <v>9</v>
      </c>
      <c r="C195">
        <v>4</v>
      </c>
      <c r="D195">
        <v>0</v>
      </c>
      <c r="E195" t="s">
        <v>2689</v>
      </c>
      <c r="F195">
        <v>568</v>
      </c>
      <c r="G195">
        <v>3934045.6428571427</v>
      </c>
      <c r="H195">
        <v>0.91729323353086201</v>
      </c>
      <c r="I195">
        <v>0.93233082706766912</v>
      </c>
      <c r="J195">
        <v>927532.85714285716</v>
      </c>
      <c r="K195">
        <v>831</v>
      </c>
      <c r="L195">
        <v>2</v>
      </c>
      <c r="M195">
        <v>18</v>
      </c>
      <c r="N195">
        <v>0.93233082706766912</v>
      </c>
      <c r="O195">
        <v>741576.92857142852</v>
      </c>
      <c r="P195">
        <v>915</v>
      </c>
      <c r="Q195">
        <v>2</v>
      </c>
      <c r="R195">
        <v>19</v>
      </c>
      <c r="S195" t="s">
        <v>2690</v>
      </c>
    </row>
    <row r="196" spans="1:19" x14ac:dyDescent="0.25">
      <c r="A196" t="s">
        <v>2649</v>
      </c>
      <c r="B196">
        <v>9</v>
      </c>
      <c r="C196">
        <v>5</v>
      </c>
      <c r="D196">
        <v>0</v>
      </c>
      <c r="E196" t="s">
        <v>2689</v>
      </c>
      <c r="F196">
        <v>603</v>
      </c>
      <c r="G196">
        <v>3996068.2857142859</v>
      </c>
      <c r="H196">
        <v>0.85150376388004845</v>
      </c>
      <c r="I196">
        <v>0.92481203007518797</v>
      </c>
      <c r="J196">
        <v>728538.57142857148</v>
      </c>
      <c r="K196">
        <v>915</v>
      </c>
      <c r="L196">
        <v>2</v>
      </c>
      <c r="M196">
        <v>19</v>
      </c>
      <c r="N196">
        <v>0.93233082706766912</v>
      </c>
      <c r="O196">
        <v>525343.07142857148</v>
      </c>
      <c r="P196">
        <v>1003</v>
      </c>
      <c r="Q196">
        <v>2</v>
      </c>
      <c r="R196">
        <v>20</v>
      </c>
      <c r="S196" t="s">
        <v>2688</v>
      </c>
    </row>
    <row r="197" spans="1:19" x14ac:dyDescent="0.25">
      <c r="A197" t="s">
        <v>2649</v>
      </c>
      <c r="B197">
        <v>9</v>
      </c>
      <c r="C197">
        <v>2</v>
      </c>
      <c r="D197">
        <v>0</v>
      </c>
      <c r="E197" t="s">
        <v>2684</v>
      </c>
      <c r="F197">
        <v>853</v>
      </c>
      <c r="G197">
        <v>4657215.7857142854</v>
      </c>
      <c r="H197">
        <v>0.82706766894885475</v>
      </c>
      <c r="I197">
        <v>0.92481203007518797</v>
      </c>
      <c r="J197">
        <v>841823</v>
      </c>
      <c r="K197">
        <v>1095</v>
      </c>
      <c r="L197">
        <v>2</v>
      </c>
      <c r="M197">
        <v>21</v>
      </c>
      <c r="N197">
        <v>0.93045112781954886</v>
      </c>
      <c r="O197">
        <v>756524.92857142852</v>
      </c>
      <c r="P197">
        <v>1191</v>
      </c>
      <c r="Q197">
        <v>2</v>
      </c>
      <c r="R197">
        <v>22</v>
      </c>
      <c r="S197" t="s">
        <v>2687</v>
      </c>
    </row>
    <row r="198" spans="1:19" x14ac:dyDescent="0.25">
      <c r="A198" t="s">
        <v>2649</v>
      </c>
      <c r="B198">
        <v>9</v>
      </c>
      <c r="C198">
        <v>3</v>
      </c>
      <c r="D198">
        <v>0</v>
      </c>
      <c r="E198" t="s">
        <v>2684</v>
      </c>
      <c r="F198">
        <v>913</v>
      </c>
      <c r="G198">
        <v>7259890.7142857146</v>
      </c>
      <c r="H198">
        <v>0.8815789520740509</v>
      </c>
      <c r="I198">
        <v>0.92669172932330823</v>
      </c>
      <c r="J198">
        <v>766927.92857142852</v>
      </c>
      <c r="K198">
        <v>1291</v>
      </c>
      <c r="L198">
        <v>2</v>
      </c>
      <c r="M198">
        <v>23</v>
      </c>
      <c r="N198">
        <v>0.91917293233082709</v>
      </c>
      <c r="O198">
        <v>548979.85714285716</v>
      </c>
      <c r="P198">
        <v>1395</v>
      </c>
      <c r="Q198">
        <v>2</v>
      </c>
      <c r="R198">
        <v>24</v>
      </c>
      <c r="S198" t="s">
        <v>2686</v>
      </c>
    </row>
    <row r="199" spans="1:19" x14ac:dyDescent="0.25">
      <c r="A199" t="s">
        <v>2649</v>
      </c>
      <c r="B199">
        <v>9</v>
      </c>
      <c r="C199">
        <v>4</v>
      </c>
      <c r="D199">
        <v>0</v>
      </c>
      <c r="E199" t="s">
        <v>2684</v>
      </c>
      <c r="F199">
        <v>973</v>
      </c>
      <c r="G199">
        <v>7567023.2857142854</v>
      </c>
      <c r="H199">
        <v>0.84022556883948185</v>
      </c>
      <c r="I199">
        <v>0.92105263157894735</v>
      </c>
      <c r="J199">
        <v>994797.5</v>
      </c>
      <c r="K199">
        <v>1503</v>
      </c>
      <c r="L199">
        <v>2</v>
      </c>
      <c r="M199">
        <v>25</v>
      </c>
      <c r="N199">
        <v>0.91917293233082709</v>
      </c>
      <c r="O199">
        <v>904569.5</v>
      </c>
      <c r="P199">
        <v>1615</v>
      </c>
      <c r="Q199">
        <v>2</v>
      </c>
      <c r="R199">
        <v>26</v>
      </c>
      <c r="S199" t="s">
        <v>2685</v>
      </c>
    </row>
    <row r="200" spans="1:19" x14ac:dyDescent="0.25">
      <c r="A200" t="s">
        <v>2649</v>
      </c>
      <c r="B200">
        <v>9</v>
      </c>
      <c r="C200">
        <v>5</v>
      </c>
      <c r="D200">
        <v>0</v>
      </c>
      <c r="E200" t="s">
        <v>2684</v>
      </c>
      <c r="F200">
        <v>1033</v>
      </c>
      <c r="G200">
        <v>6586445.7142857146</v>
      </c>
      <c r="H200">
        <v>0.81578947816576275</v>
      </c>
      <c r="I200">
        <v>0.92105263157894735</v>
      </c>
      <c r="J200">
        <v>755593.14285714284</v>
      </c>
      <c r="K200">
        <v>1615</v>
      </c>
      <c r="L200">
        <v>2</v>
      </c>
      <c r="M200">
        <v>26</v>
      </c>
      <c r="N200">
        <v>0.91729323308270672</v>
      </c>
      <c r="O200">
        <v>727969.78571428568</v>
      </c>
      <c r="P200">
        <v>1731</v>
      </c>
      <c r="Q200">
        <v>2</v>
      </c>
      <c r="R200">
        <v>27</v>
      </c>
      <c r="S200" t="s">
        <v>2683</v>
      </c>
    </row>
    <row r="201" spans="1:19" x14ac:dyDescent="0.25">
      <c r="A201" t="s">
        <v>2649</v>
      </c>
      <c r="B201">
        <v>9</v>
      </c>
      <c r="C201">
        <v>2</v>
      </c>
      <c r="D201">
        <v>0</v>
      </c>
      <c r="E201" t="s">
        <v>2679</v>
      </c>
      <c r="F201">
        <v>1107</v>
      </c>
      <c r="G201">
        <v>6160520.7857142854</v>
      </c>
      <c r="H201">
        <v>0.84022557309695656</v>
      </c>
      <c r="I201">
        <v>0.91917293233082709</v>
      </c>
      <c r="J201">
        <v>486563.71428571426</v>
      </c>
      <c r="K201">
        <v>1395</v>
      </c>
      <c r="L201">
        <v>2</v>
      </c>
      <c r="M201">
        <v>24</v>
      </c>
      <c r="N201">
        <v>0.92105263157894735</v>
      </c>
      <c r="O201">
        <v>565384.85714285716</v>
      </c>
      <c r="P201">
        <v>1503</v>
      </c>
      <c r="Q201">
        <v>2</v>
      </c>
      <c r="R201">
        <v>25</v>
      </c>
      <c r="S201" t="s">
        <v>2682</v>
      </c>
    </row>
    <row r="202" spans="1:19" x14ac:dyDescent="0.25">
      <c r="A202" t="s">
        <v>2649</v>
      </c>
      <c r="B202">
        <v>9</v>
      </c>
      <c r="C202">
        <v>3</v>
      </c>
      <c r="D202">
        <v>0</v>
      </c>
      <c r="E202" t="s">
        <v>2679</v>
      </c>
      <c r="F202">
        <v>1185</v>
      </c>
      <c r="G202">
        <v>5347499.6428571427</v>
      </c>
      <c r="H202">
        <v>0.90977443541799274</v>
      </c>
      <c r="I202">
        <v>0.9229323308270676</v>
      </c>
      <c r="J202">
        <v>721606.57142857148</v>
      </c>
      <c r="K202">
        <v>1615</v>
      </c>
      <c r="L202">
        <v>2</v>
      </c>
      <c r="M202">
        <v>26</v>
      </c>
      <c r="N202">
        <v>0.9229323308270676</v>
      </c>
      <c r="O202">
        <v>729658</v>
      </c>
      <c r="P202">
        <v>1731</v>
      </c>
      <c r="Q202">
        <v>2</v>
      </c>
      <c r="R202">
        <v>27</v>
      </c>
      <c r="S202" t="s">
        <v>2681</v>
      </c>
    </row>
    <row r="203" spans="1:19" x14ac:dyDescent="0.25">
      <c r="A203" t="s">
        <v>2649</v>
      </c>
      <c r="B203">
        <v>9</v>
      </c>
      <c r="C203">
        <v>4</v>
      </c>
      <c r="D203">
        <v>0</v>
      </c>
      <c r="E203" t="s">
        <v>2679</v>
      </c>
      <c r="F203">
        <v>1263</v>
      </c>
      <c r="G203">
        <v>7047657.8571428573</v>
      </c>
      <c r="H203">
        <v>0.8815789563315255</v>
      </c>
      <c r="I203">
        <v>0.92481203007518797</v>
      </c>
      <c r="J203">
        <v>555687.78571428568</v>
      </c>
      <c r="K203">
        <v>1851</v>
      </c>
      <c r="L203">
        <v>2</v>
      </c>
      <c r="M203">
        <v>28</v>
      </c>
      <c r="N203">
        <v>0.92481203007518797</v>
      </c>
      <c r="O203">
        <v>589946</v>
      </c>
      <c r="P203">
        <v>1975</v>
      </c>
      <c r="Q203">
        <v>2</v>
      </c>
      <c r="R203">
        <v>29</v>
      </c>
      <c r="S203" t="s">
        <v>2680</v>
      </c>
    </row>
    <row r="204" spans="1:19" x14ac:dyDescent="0.25">
      <c r="A204" t="s">
        <v>2649</v>
      </c>
      <c r="B204">
        <v>9</v>
      </c>
      <c r="C204">
        <v>5</v>
      </c>
      <c r="D204">
        <v>0</v>
      </c>
      <c r="E204" t="s">
        <v>2679</v>
      </c>
      <c r="F204">
        <v>1341</v>
      </c>
      <c r="G204">
        <v>6412607.0714285718</v>
      </c>
      <c r="H204">
        <v>0.8458646578448159</v>
      </c>
      <c r="I204">
        <v>0.92481203007518797</v>
      </c>
      <c r="J204">
        <v>703287.35714285716</v>
      </c>
      <c r="K204">
        <v>2103</v>
      </c>
      <c r="L204">
        <v>2</v>
      </c>
      <c r="M204">
        <v>30</v>
      </c>
      <c r="N204">
        <v>0.91917293233082709</v>
      </c>
      <c r="O204">
        <v>624950.42857142852</v>
      </c>
      <c r="P204">
        <v>2235</v>
      </c>
      <c r="Q204">
        <v>2</v>
      </c>
      <c r="R204">
        <v>31</v>
      </c>
      <c r="S204" t="s">
        <v>2678</v>
      </c>
    </row>
    <row r="205" spans="1:19" x14ac:dyDescent="0.25">
      <c r="A205" t="s">
        <v>2649</v>
      </c>
      <c r="B205">
        <v>9</v>
      </c>
      <c r="C205">
        <v>2</v>
      </c>
      <c r="D205">
        <v>0</v>
      </c>
      <c r="E205" t="s">
        <v>2674</v>
      </c>
      <c r="F205">
        <v>1361</v>
      </c>
      <c r="G205">
        <v>6903108</v>
      </c>
      <c r="H205">
        <v>0.72180451346295216</v>
      </c>
      <c r="I205">
        <v>0.9229323308270676</v>
      </c>
      <c r="J205">
        <v>933809.57142857148</v>
      </c>
      <c r="K205">
        <v>1731</v>
      </c>
      <c r="L205">
        <v>2</v>
      </c>
      <c r="M205">
        <v>27</v>
      </c>
      <c r="N205">
        <v>0.9229323308270676</v>
      </c>
      <c r="O205">
        <v>915258.35714285716</v>
      </c>
      <c r="P205">
        <v>1851</v>
      </c>
      <c r="Q205">
        <v>2</v>
      </c>
      <c r="R205">
        <v>28</v>
      </c>
      <c r="S205" t="s">
        <v>2677</v>
      </c>
    </row>
    <row r="206" spans="1:19" x14ac:dyDescent="0.25">
      <c r="A206" t="s">
        <v>2649</v>
      </c>
      <c r="B206">
        <v>9</v>
      </c>
      <c r="C206">
        <v>3</v>
      </c>
      <c r="D206">
        <v>0</v>
      </c>
      <c r="E206" t="s">
        <v>2674</v>
      </c>
      <c r="F206">
        <v>1457</v>
      </c>
      <c r="G206">
        <v>4884229.0714285718</v>
      </c>
      <c r="H206">
        <v>0.94360902479716713</v>
      </c>
      <c r="I206">
        <v>0.92669172932330823</v>
      </c>
      <c r="J206">
        <v>1313005.2142857143</v>
      </c>
      <c r="K206">
        <v>2103</v>
      </c>
      <c r="L206">
        <v>2</v>
      </c>
      <c r="M206">
        <v>30</v>
      </c>
      <c r="N206">
        <v>0.9285714285714286</v>
      </c>
      <c r="O206">
        <v>900800.85714285716</v>
      </c>
      <c r="P206">
        <v>2235</v>
      </c>
      <c r="Q206">
        <v>2</v>
      </c>
      <c r="R206">
        <v>31</v>
      </c>
      <c r="S206" t="s">
        <v>2676</v>
      </c>
    </row>
    <row r="207" spans="1:19" x14ac:dyDescent="0.25">
      <c r="A207" t="s">
        <v>2649</v>
      </c>
      <c r="B207">
        <v>9</v>
      </c>
      <c r="C207">
        <v>4</v>
      </c>
      <c r="D207">
        <v>0</v>
      </c>
      <c r="E207" t="s">
        <v>2674</v>
      </c>
      <c r="F207">
        <v>1553</v>
      </c>
      <c r="G207">
        <v>6555495.2857142854</v>
      </c>
      <c r="H207">
        <v>0.90225564156259808</v>
      </c>
      <c r="I207">
        <v>0.91917293233082709</v>
      </c>
      <c r="J207">
        <v>1067328.857142857</v>
      </c>
      <c r="K207">
        <v>2371</v>
      </c>
      <c r="L207">
        <v>2</v>
      </c>
      <c r="M207">
        <v>32</v>
      </c>
      <c r="N207">
        <v>0.92669172932330823</v>
      </c>
      <c r="O207">
        <v>751185.21428571432</v>
      </c>
      <c r="P207">
        <v>2511</v>
      </c>
      <c r="Q207">
        <v>2</v>
      </c>
      <c r="R207">
        <v>33</v>
      </c>
      <c r="S207" t="s">
        <v>2675</v>
      </c>
    </row>
    <row r="208" spans="1:19" x14ac:dyDescent="0.25">
      <c r="A208" t="s">
        <v>2649</v>
      </c>
      <c r="B208">
        <v>9</v>
      </c>
      <c r="C208">
        <v>5</v>
      </c>
      <c r="D208">
        <v>0</v>
      </c>
      <c r="E208" t="s">
        <v>2674</v>
      </c>
      <c r="F208">
        <v>1649</v>
      </c>
      <c r="G208">
        <v>6896724.3571428573</v>
      </c>
      <c r="H208">
        <v>0.80075189045497353</v>
      </c>
      <c r="I208">
        <v>0.92481203007518797</v>
      </c>
      <c r="J208">
        <v>833392.78571428568</v>
      </c>
      <c r="K208">
        <v>2655</v>
      </c>
      <c r="L208">
        <v>2</v>
      </c>
      <c r="M208">
        <v>34</v>
      </c>
      <c r="N208">
        <v>0.91917293233082709</v>
      </c>
      <c r="O208">
        <v>1005246.2857142857</v>
      </c>
      <c r="P208">
        <v>2803</v>
      </c>
      <c r="Q208">
        <v>2</v>
      </c>
      <c r="R208">
        <v>35</v>
      </c>
      <c r="S208" t="s">
        <v>2673</v>
      </c>
    </row>
    <row r="209" spans="1:19" x14ac:dyDescent="0.25">
      <c r="A209" t="s">
        <v>2649</v>
      </c>
      <c r="B209">
        <v>9</v>
      </c>
      <c r="C209">
        <v>2</v>
      </c>
      <c r="D209">
        <v>0</v>
      </c>
      <c r="E209" t="s">
        <v>2669</v>
      </c>
      <c r="F209">
        <v>696</v>
      </c>
      <c r="G209">
        <v>7645735.8571428573</v>
      </c>
      <c r="H209">
        <v>0.74060150129454472</v>
      </c>
      <c r="I209">
        <v>0.92481203007518797</v>
      </c>
      <c r="J209">
        <v>992620.85714285716</v>
      </c>
      <c r="K209">
        <v>915</v>
      </c>
      <c r="L209">
        <v>2</v>
      </c>
      <c r="M209">
        <v>19</v>
      </c>
      <c r="N209">
        <v>0.92105263157894735</v>
      </c>
      <c r="O209">
        <v>1127077.857142857</v>
      </c>
      <c r="P209">
        <v>1003</v>
      </c>
      <c r="Q209">
        <v>2</v>
      </c>
      <c r="R209">
        <v>20</v>
      </c>
      <c r="S209" t="s">
        <v>2672</v>
      </c>
    </row>
    <row r="210" spans="1:19" x14ac:dyDescent="0.25">
      <c r="A210" t="s">
        <v>2649</v>
      </c>
      <c r="B210">
        <v>9</v>
      </c>
      <c r="C210">
        <v>3</v>
      </c>
      <c r="D210">
        <v>0</v>
      </c>
      <c r="E210" t="s">
        <v>2669</v>
      </c>
      <c r="F210">
        <v>745</v>
      </c>
      <c r="G210">
        <v>3884037.5714285714</v>
      </c>
      <c r="H210">
        <v>0.89661654404231483</v>
      </c>
      <c r="I210">
        <v>0.92857142857142849</v>
      </c>
      <c r="J210">
        <v>835353.92857142852</v>
      </c>
      <c r="K210">
        <v>1003</v>
      </c>
      <c r="L210">
        <v>2</v>
      </c>
      <c r="M210">
        <v>20</v>
      </c>
      <c r="N210">
        <v>0.93045112781954886</v>
      </c>
      <c r="O210">
        <v>760618.64285714284</v>
      </c>
      <c r="P210">
        <v>1095</v>
      </c>
      <c r="Q210">
        <v>2</v>
      </c>
      <c r="R210">
        <v>21</v>
      </c>
      <c r="S210" t="s">
        <v>2671</v>
      </c>
    </row>
    <row r="211" spans="1:19" x14ac:dyDescent="0.25">
      <c r="A211" t="s">
        <v>2649</v>
      </c>
      <c r="B211">
        <v>9</v>
      </c>
      <c r="C211">
        <v>4</v>
      </c>
      <c r="D211">
        <v>0</v>
      </c>
      <c r="E211" t="s">
        <v>2669</v>
      </c>
      <c r="F211">
        <v>794</v>
      </c>
      <c r="G211">
        <v>3552784.5714285714</v>
      </c>
      <c r="H211">
        <v>0.89849624463490074</v>
      </c>
      <c r="I211">
        <v>0.9135338345864662</v>
      </c>
      <c r="J211">
        <v>695478.28571428568</v>
      </c>
      <c r="K211">
        <v>1191</v>
      </c>
      <c r="L211">
        <v>2</v>
      </c>
      <c r="M211">
        <v>22</v>
      </c>
      <c r="N211">
        <v>0.90977443609022557</v>
      </c>
      <c r="O211">
        <v>831816.64285714284</v>
      </c>
      <c r="P211">
        <v>1291</v>
      </c>
      <c r="Q211">
        <v>2</v>
      </c>
      <c r="R211">
        <v>23</v>
      </c>
      <c r="S211" t="s">
        <v>2670</v>
      </c>
    </row>
    <row r="212" spans="1:19" x14ac:dyDescent="0.25">
      <c r="A212" t="s">
        <v>2649</v>
      </c>
      <c r="B212">
        <v>9</v>
      </c>
      <c r="C212">
        <v>5</v>
      </c>
      <c r="D212">
        <v>0</v>
      </c>
      <c r="E212" t="s">
        <v>2669</v>
      </c>
      <c r="F212">
        <v>843</v>
      </c>
      <c r="G212">
        <v>4115440.2142857141</v>
      </c>
      <c r="H212">
        <v>0.8571428571428571</v>
      </c>
      <c r="I212">
        <v>0.92481203007518797</v>
      </c>
      <c r="J212">
        <v>762722.71428571432</v>
      </c>
      <c r="K212">
        <v>1291</v>
      </c>
      <c r="L212">
        <v>2</v>
      </c>
      <c r="M212">
        <v>23</v>
      </c>
      <c r="N212">
        <v>0.9285714285714286</v>
      </c>
      <c r="O212">
        <v>836652.14285714284</v>
      </c>
      <c r="P212">
        <v>1395</v>
      </c>
      <c r="Q212">
        <v>2</v>
      </c>
      <c r="R212">
        <v>24</v>
      </c>
      <c r="S212" t="s">
        <v>2668</v>
      </c>
    </row>
    <row r="213" spans="1:19" x14ac:dyDescent="0.25">
      <c r="A213" t="s">
        <v>2649</v>
      </c>
      <c r="B213">
        <v>9</v>
      </c>
      <c r="C213">
        <v>2</v>
      </c>
      <c r="D213">
        <v>0</v>
      </c>
      <c r="E213" t="s">
        <v>2664</v>
      </c>
      <c r="F213">
        <v>1079</v>
      </c>
      <c r="G213">
        <v>4594191.2857142854</v>
      </c>
      <c r="H213">
        <v>0.88345865692411152</v>
      </c>
      <c r="I213">
        <v>0.91917293233082709</v>
      </c>
      <c r="J213">
        <v>797334.14285714284</v>
      </c>
      <c r="K213">
        <v>1395</v>
      </c>
      <c r="L213">
        <v>2</v>
      </c>
      <c r="M213">
        <v>24</v>
      </c>
      <c r="N213">
        <v>0.92669172932330823</v>
      </c>
      <c r="O213">
        <v>1123660.0714285714</v>
      </c>
      <c r="P213">
        <v>1503</v>
      </c>
      <c r="Q213">
        <v>2</v>
      </c>
      <c r="R213">
        <v>25</v>
      </c>
      <c r="S213" t="s">
        <v>2667</v>
      </c>
    </row>
    <row r="214" spans="1:19" x14ac:dyDescent="0.25">
      <c r="A214" t="s">
        <v>2649</v>
      </c>
      <c r="B214">
        <v>9</v>
      </c>
      <c r="C214">
        <v>3</v>
      </c>
      <c r="D214">
        <v>0</v>
      </c>
      <c r="E214" t="s">
        <v>2664</v>
      </c>
      <c r="F214">
        <v>1155</v>
      </c>
      <c r="G214">
        <v>5761977.5</v>
      </c>
      <c r="H214">
        <v>0.89661655255726402</v>
      </c>
      <c r="I214">
        <v>0.92481203007518797</v>
      </c>
      <c r="J214">
        <v>602942.5</v>
      </c>
      <c r="K214">
        <v>1615</v>
      </c>
      <c r="L214">
        <v>2</v>
      </c>
      <c r="M214">
        <v>26</v>
      </c>
      <c r="N214">
        <v>0.92481203007518797</v>
      </c>
      <c r="O214">
        <v>866299.14285714284</v>
      </c>
      <c r="P214">
        <v>1731</v>
      </c>
      <c r="Q214">
        <v>2</v>
      </c>
      <c r="R214">
        <v>27</v>
      </c>
      <c r="S214" t="s">
        <v>2666</v>
      </c>
    </row>
    <row r="215" spans="1:19" x14ac:dyDescent="0.25">
      <c r="A215" t="s">
        <v>2649</v>
      </c>
      <c r="B215">
        <v>9</v>
      </c>
      <c r="C215">
        <v>4</v>
      </c>
      <c r="D215">
        <v>0</v>
      </c>
      <c r="E215" t="s">
        <v>2664</v>
      </c>
      <c r="F215">
        <v>1231</v>
      </c>
      <c r="G215">
        <v>5376863.5714285718</v>
      </c>
      <c r="H215">
        <v>0.82894737379891537</v>
      </c>
      <c r="I215">
        <v>0.92481203007518797</v>
      </c>
      <c r="J215">
        <v>878676.28571428568</v>
      </c>
      <c r="K215">
        <v>1851</v>
      </c>
      <c r="L215">
        <v>2</v>
      </c>
      <c r="M215">
        <v>28</v>
      </c>
      <c r="N215">
        <v>0.91917293233082709</v>
      </c>
      <c r="O215">
        <v>854535.71428571432</v>
      </c>
      <c r="P215">
        <v>1975</v>
      </c>
      <c r="Q215">
        <v>2</v>
      </c>
      <c r="R215">
        <v>29</v>
      </c>
      <c r="S215" t="s">
        <v>2665</v>
      </c>
    </row>
    <row r="216" spans="1:19" x14ac:dyDescent="0.25">
      <c r="A216" t="s">
        <v>2649</v>
      </c>
      <c r="B216">
        <v>9</v>
      </c>
      <c r="C216">
        <v>5</v>
      </c>
      <c r="D216">
        <v>0</v>
      </c>
      <c r="E216" t="s">
        <v>2664</v>
      </c>
      <c r="F216">
        <v>1307</v>
      </c>
      <c r="G216">
        <v>6822775.3571428573</v>
      </c>
      <c r="H216">
        <v>0.80827068005289349</v>
      </c>
      <c r="I216">
        <v>0.92669172932330823</v>
      </c>
      <c r="J216">
        <v>785900.64285714284</v>
      </c>
      <c r="K216">
        <v>2103</v>
      </c>
      <c r="L216">
        <v>2</v>
      </c>
      <c r="M216">
        <v>30</v>
      </c>
      <c r="N216">
        <v>0.91165413533834583</v>
      </c>
      <c r="O216">
        <v>771125</v>
      </c>
      <c r="P216">
        <v>2235</v>
      </c>
      <c r="Q216">
        <v>2</v>
      </c>
      <c r="R216">
        <v>31</v>
      </c>
      <c r="S216" t="s">
        <v>2663</v>
      </c>
    </row>
    <row r="217" spans="1:19" x14ac:dyDescent="0.25">
      <c r="A217" t="s">
        <v>2649</v>
      </c>
      <c r="B217">
        <v>9</v>
      </c>
      <c r="C217">
        <v>2</v>
      </c>
      <c r="D217">
        <v>0</v>
      </c>
      <c r="E217" t="s">
        <v>2659</v>
      </c>
      <c r="F217">
        <v>1389</v>
      </c>
      <c r="G217">
        <v>6655648.8571428573</v>
      </c>
      <c r="H217">
        <v>0.66917293199471062</v>
      </c>
      <c r="I217">
        <v>0.91729323308270672</v>
      </c>
      <c r="J217">
        <v>882294.57142857148</v>
      </c>
      <c r="K217">
        <v>1851</v>
      </c>
      <c r="L217">
        <v>2</v>
      </c>
      <c r="M217">
        <v>28</v>
      </c>
      <c r="N217">
        <v>0.9285714285714286</v>
      </c>
      <c r="O217">
        <v>872795.21428571432</v>
      </c>
      <c r="P217">
        <v>1975</v>
      </c>
      <c r="Q217">
        <v>2</v>
      </c>
      <c r="R217">
        <v>29</v>
      </c>
      <c r="S217" t="s">
        <v>2662</v>
      </c>
    </row>
    <row r="218" spans="1:19" x14ac:dyDescent="0.25">
      <c r="A218" t="s">
        <v>2649</v>
      </c>
      <c r="B218">
        <v>9</v>
      </c>
      <c r="C218">
        <v>3</v>
      </c>
      <c r="D218">
        <v>0</v>
      </c>
      <c r="E218" t="s">
        <v>2659</v>
      </c>
      <c r="F218">
        <v>1487</v>
      </c>
      <c r="G218">
        <v>5257626.2142857146</v>
      </c>
      <c r="H218">
        <v>0.9172932420458112</v>
      </c>
      <c r="I218">
        <v>0.92105263157894735</v>
      </c>
      <c r="J218">
        <v>844233.71428571432</v>
      </c>
      <c r="K218">
        <v>2103</v>
      </c>
      <c r="L218">
        <v>2</v>
      </c>
      <c r="M218">
        <v>30</v>
      </c>
      <c r="N218">
        <v>0.91729323308270672</v>
      </c>
      <c r="O218">
        <v>575560.5</v>
      </c>
      <c r="P218">
        <v>2235</v>
      </c>
      <c r="Q218">
        <v>2</v>
      </c>
      <c r="R218">
        <v>31</v>
      </c>
      <c r="S218" t="s">
        <v>2661</v>
      </c>
    </row>
    <row r="219" spans="1:19" x14ac:dyDescent="0.25">
      <c r="A219" t="s">
        <v>2649</v>
      </c>
      <c r="B219">
        <v>9</v>
      </c>
      <c r="C219">
        <v>4</v>
      </c>
      <c r="D219">
        <v>0</v>
      </c>
      <c r="E219" t="s">
        <v>2659</v>
      </c>
      <c r="F219">
        <v>1585</v>
      </c>
      <c r="G219">
        <v>6092400.4285714282</v>
      </c>
      <c r="H219">
        <v>0.87593986306871685</v>
      </c>
      <c r="I219">
        <v>0.91541353383458646</v>
      </c>
      <c r="J219">
        <v>986123.5</v>
      </c>
      <c r="K219">
        <v>2371</v>
      </c>
      <c r="L219">
        <v>2</v>
      </c>
      <c r="M219">
        <v>32</v>
      </c>
      <c r="N219">
        <v>0.9229323308270676</v>
      </c>
      <c r="O219">
        <v>1034355.5714285715</v>
      </c>
      <c r="P219">
        <v>2511</v>
      </c>
      <c r="Q219">
        <v>2</v>
      </c>
      <c r="R219">
        <v>33</v>
      </c>
      <c r="S219" t="s">
        <v>2660</v>
      </c>
    </row>
    <row r="220" spans="1:19" x14ac:dyDescent="0.25">
      <c r="A220" t="s">
        <v>2649</v>
      </c>
      <c r="B220">
        <v>9</v>
      </c>
      <c r="C220">
        <v>5</v>
      </c>
      <c r="D220">
        <v>0</v>
      </c>
      <c r="E220" t="s">
        <v>2659</v>
      </c>
      <c r="F220">
        <v>1683</v>
      </c>
      <c r="G220">
        <v>6498670.0714285718</v>
      </c>
      <c r="H220">
        <v>0.85338346021515987</v>
      </c>
      <c r="I220">
        <v>0.9135338345864662</v>
      </c>
      <c r="J220">
        <v>923366.28571428568</v>
      </c>
      <c r="K220">
        <v>2655</v>
      </c>
      <c r="L220">
        <v>2</v>
      </c>
      <c r="M220">
        <v>34</v>
      </c>
      <c r="N220">
        <v>0.92105263157894735</v>
      </c>
      <c r="O220">
        <v>843358.71428571432</v>
      </c>
      <c r="P220">
        <v>2803</v>
      </c>
      <c r="Q220">
        <v>2</v>
      </c>
      <c r="R220">
        <v>35</v>
      </c>
      <c r="S220" t="s">
        <v>2658</v>
      </c>
    </row>
    <row r="221" spans="1:19" x14ac:dyDescent="0.25">
      <c r="A221" t="s">
        <v>2649</v>
      </c>
      <c r="B221">
        <v>9</v>
      </c>
      <c r="C221">
        <v>2</v>
      </c>
      <c r="D221">
        <v>0</v>
      </c>
      <c r="E221" t="s">
        <v>2654</v>
      </c>
      <c r="F221">
        <v>1699</v>
      </c>
      <c r="G221">
        <v>7396627.1428571427</v>
      </c>
      <c r="H221">
        <v>0.80075188619749882</v>
      </c>
      <c r="I221">
        <v>0.9229323308270676</v>
      </c>
      <c r="J221">
        <v>839160.85714285716</v>
      </c>
      <c r="K221">
        <v>2235</v>
      </c>
      <c r="L221">
        <v>2</v>
      </c>
      <c r="M221">
        <v>31</v>
      </c>
      <c r="N221">
        <v>0.92105263157894735</v>
      </c>
      <c r="O221">
        <v>1004766.0714285715</v>
      </c>
      <c r="P221">
        <v>2371</v>
      </c>
      <c r="Q221">
        <v>2</v>
      </c>
      <c r="R221">
        <v>32</v>
      </c>
      <c r="S221" t="s">
        <v>2657</v>
      </c>
    </row>
    <row r="222" spans="1:19" x14ac:dyDescent="0.25">
      <c r="A222" t="s">
        <v>2649</v>
      </c>
      <c r="B222">
        <v>9</v>
      </c>
      <c r="C222">
        <v>3</v>
      </c>
      <c r="D222">
        <v>0</v>
      </c>
      <c r="E222" t="s">
        <v>2654</v>
      </c>
      <c r="F222">
        <v>1819</v>
      </c>
      <c r="G222">
        <v>4821930.0714285718</v>
      </c>
      <c r="H222">
        <v>0.91541354145322529</v>
      </c>
      <c r="I222">
        <v>0.9285714285714286</v>
      </c>
      <c r="J222">
        <v>868929.42857142852</v>
      </c>
      <c r="K222">
        <v>2655</v>
      </c>
      <c r="L222">
        <v>2</v>
      </c>
      <c r="M222">
        <v>34</v>
      </c>
      <c r="N222">
        <v>0.9229323308270676</v>
      </c>
      <c r="O222">
        <v>745236.5</v>
      </c>
      <c r="P222">
        <v>2803</v>
      </c>
      <c r="Q222">
        <v>2</v>
      </c>
      <c r="R222">
        <v>35</v>
      </c>
      <c r="S222" t="s">
        <v>2656</v>
      </c>
    </row>
    <row r="223" spans="1:19" x14ac:dyDescent="0.25">
      <c r="A223" t="s">
        <v>2649</v>
      </c>
      <c r="B223">
        <v>9</v>
      </c>
      <c r="C223">
        <v>4</v>
      </c>
      <c r="D223">
        <v>0</v>
      </c>
      <c r="E223" t="s">
        <v>2654</v>
      </c>
      <c r="F223">
        <v>1939</v>
      </c>
      <c r="G223">
        <v>6506291.8571428573</v>
      </c>
      <c r="H223">
        <v>0.87969925573893959</v>
      </c>
      <c r="I223">
        <v>0.92105263157894735</v>
      </c>
      <c r="J223">
        <v>729405.64285714284</v>
      </c>
      <c r="K223">
        <v>2955</v>
      </c>
      <c r="L223">
        <v>2</v>
      </c>
      <c r="M223">
        <v>36</v>
      </c>
      <c r="N223">
        <v>0.92105263157894735</v>
      </c>
      <c r="O223">
        <v>629276.28571428568</v>
      </c>
      <c r="P223">
        <v>3111</v>
      </c>
      <c r="Q223">
        <v>2</v>
      </c>
      <c r="R223">
        <v>37</v>
      </c>
      <c r="S223" t="s">
        <v>2655</v>
      </c>
    </row>
    <row r="224" spans="1:19" x14ac:dyDescent="0.25">
      <c r="A224" t="s">
        <v>2649</v>
      </c>
      <c r="B224">
        <v>9</v>
      </c>
      <c r="C224">
        <v>5</v>
      </c>
      <c r="D224">
        <v>0</v>
      </c>
      <c r="E224" t="s">
        <v>2654</v>
      </c>
      <c r="F224">
        <v>2059</v>
      </c>
      <c r="G224">
        <v>7568439.4285714282</v>
      </c>
      <c r="H224">
        <v>0.84210526943206787</v>
      </c>
      <c r="I224">
        <v>0.92105263157894735</v>
      </c>
      <c r="J224">
        <v>1099793.2142857143</v>
      </c>
      <c r="K224">
        <v>3271</v>
      </c>
      <c r="L224">
        <v>2</v>
      </c>
      <c r="M224">
        <v>38</v>
      </c>
      <c r="N224">
        <v>0.92481203007518797</v>
      </c>
      <c r="O224">
        <v>612532.28571428568</v>
      </c>
      <c r="P224">
        <v>3435</v>
      </c>
      <c r="Q224">
        <v>2</v>
      </c>
      <c r="R224">
        <v>39</v>
      </c>
      <c r="S224" t="s">
        <v>2653</v>
      </c>
    </row>
    <row r="225" spans="1:19" x14ac:dyDescent="0.25">
      <c r="A225" t="s">
        <v>2649</v>
      </c>
      <c r="B225">
        <v>9</v>
      </c>
      <c r="C225">
        <v>2</v>
      </c>
      <c r="D225">
        <v>0</v>
      </c>
      <c r="E225" t="s">
        <v>2648</v>
      </c>
      <c r="F225">
        <v>894</v>
      </c>
      <c r="G225">
        <v>7112868</v>
      </c>
      <c r="H225">
        <v>0.78947369115693233</v>
      </c>
      <c r="I225">
        <v>0.91541353383458646</v>
      </c>
      <c r="J225">
        <v>909422.64285714284</v>
      </c>
      <c r="K225">
        <v>1191</v>
      </c>
      <c r="L225">
        <v>2</v>
      </c>
      <c r="M225">
        <v>22</v>
      </c>
      <c r="N225">
        <v>0.92669172932330823</v>
      </c>
      <c r="O225">
        <v>908000.35714285716</v>
      </c>
      <c r="P225">
        <v>1291</v>
      </c>
      <c r="Q225">
        <v>2</v>
      </c>
      <c r="R225">
        <v>23</v>
      </c>
      <c r="S225" t="s">
        <v>2652</v>
      </c>
    </row>
    <row r="226" spans="1:19" x14ac:dyDescent="0.25">
      <c r="A226" t="s">
        <v>2649</v>
      </c>
      <c r="B226">
        <v>9</v>
      </c>
      <c r="C226">
        <v>3</v>
      </c>
      <c r="D226">
        <v>0</v>
      </c>
      <c r="E226" t="s">
        <v>2648</v>
      </c>
      <c r="F226">
        <v>957</v>
      </c>
      <c r="G226">
        <v>4084580.4285714286</v>
      </c>
      <c r="H226">
        <v>0.94736841320991516</v>
      </c>
      <c r="I226">
        <v>0.92481203007518797</v>
      </c>
      <c r="J226">
        <v>654997.35714285716</v>
      </c>
      <c r="K226">
        <v>1395</v>
      </c>
      <c r="L226">
        <v>2</v>
      </c>
      <c r="M226">
        <v>24</v>
      </c>
      <c r="N226">
        <v>0.91729323308270672</v>
      </c>
      <c r="O226">
        <v>730008.85714285716</v>
      </c>
      <c r="P226">
        <v>1503</v>
      </c>
      <c r="Q226">
        <v>2</v>
      </c>
      <c r="R226">
        <v>25</v>
      </c>
      <c r="S226" t="s">
        <v>2651</v>
      </c>
    </row>
    <row r="227" spans="1:19" x14ac:dyDescent="0.25">
      <c r="A227" t="s">
        <v>2649</v>
      </c>
      <c r="B227">
        <v>9</v>
      </c>
      <c r="C227">
        <v>4</v>
      </c>
      <c r="D227">
        <v>0</v>
      </c>
      <c r="E227" t="s">
        <v>2648</v>
      </c>
      <c r="F227">
        <v>1020</v>
      </c>
      <c r="G227">
        <v>4120073.8571428573</v>
      </c>
      <c r="H227">
        <v>0.92293233956609455</v>
      </c>
      <c r="I227">
        <v>0.92481203007518797</v>
      </c>
      <c r="J227">
        <v>521249.35714285716</v>
      </c>
      <c r="K227">
        <v>1503</v>
      </c>
      <c r="L227">
        <v>2</v>
      </c>
      <c r="M227">
        <v>25</v>
      </c>
      <c r="N227">
        <v>0.92105263157894735</v>
      </c>
      <c r="O227">
        <v>838248.64285714284</v>
      </c>
      <c r="P227">
        <v>1615</v>
      </c>
      <c r="Q227">
        <v>2</v>
      </c>
      <c r="R227">
        <v>26</v>
      </c>
      <c r="S227" t="s">
        <v>2650</v>
      </c>
    </row>
    <row r="228" spans="1:19" x14ac:dyDescent="0.25">
      <c r="A228" t="s">
        <v>2649</v>
      </c>
      <c r="B228">
        <v>9</v>
      </c>
      <c r="C228">
        <v>5</v>
      </c>
      <c r="D228">
        <v>0</v>
      </c>
      <c r="E228" t="s">
        <v>2648</v>
      </c>
      <c r="F228">
        <v>1083</v>
      </c>
      <c r="G228">
        <v>4632492.5</v>
      </c>
      <c r="H228">
        <v>0.92105263471603394</v>
      </c>
      <c r="I228">
        <v>0.92669172932330823</v>
      </c>
      <c r="J228">
        <v>1102316.142857143</v>
      </c>
      <c r="K228">
        <v>1731</v>
      </c>
      <c r="L228">
        <v>2</v>
      </c>
      <c r="M228">
        <v>27</v>
      </c>
      <c r="N228">
        <v>0.91165413533834583</v>
      </c>
      <c r="O228">
        <v>903449.85714285716</v>
      </c>
      <c r="P228">
        <v>1851</v>
      </c>
      <c r="Q228">
        <v>2</v>
      </c>
      <c r="R228">
        <v>28</v>
      </c>
      <c r="S228" t="s">
        <v>2647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9C95E-BD4D-4558-813A-1E32E228B8AB}">
  <dimension ref="A1:AC604"/>
  <sheetViews>
    <sheetView zoomScale="85" zoomScaleNormal="85" workbookViewId="0">
      <selection activeCell="V48" sqref="V48"/>
    </sheetView>
  </sheetViews>
  <sheetFormatPr defaultRowHeight="15" x14ac:dyDescent="0.25"/>
  <cols>
    <col min="1" max="1" width="16" bestFit="1" customWidth="1"/>
    <col min="2" max="2" width="10.7109375" bestFit="1" customWidth="1"/>
    <col min="3" max="3" width="13.5703125" bestFit="1" customWidth="1"/>
    <col min="4" max="4" width="10.5703125" bestFit="1" customWidth="1"/>
    <col min="5" max="5" width="12.28515625" bestFit="1" customWidth="1"/>
    <col min="6" max="6" width="13.85546875" bestFit="1" customWidth="1"/>
    <col min="7" max="7" width="22" hidden="1" customWidth="1"/>
    <col min="8" max="8" width="14.7109375" bestFit="1" customWidth="1"/>
    <col min="9" max="9" width="15" bestFit="1" customWidth="1"/>
    <col min="10" max="10" width="22.28515625" customWidth="1"/>
    <col min="11" max="11" width="14.140625" customWidth="1"/>
    <col min="12" max="12" width="16.28515625" customWidth="1"/>
    <col min="13" max="13" width="19" bestFit="1" customWidth="1"/>
    <col min="14" max="14" width="16.140625" bestFit="1" customWidth="1"/>
    <col min="15" max="15" width="23.28515625" bestFit="1" customWidth="1"/>
    <col min="16" max="16" width="15.140625" hidden="1" customWidth="1"/>
    <col min="17" max="17" width="12.85546875" hidden="1" customWidth="1"/>
    <col min="18" max="18" width="15.7109375" bestFit="1" customWidth="1"/>
    <col min="19" max="19" width="21.5703125" hidden="1" customWidth="1"/>
    <col min="25" max="25" width="10" customWidth="1"/>
    <col min="26" max="26" width="11.140625" bestFit="1" customWidth="1"/>
    <col min="27" max="27" width="11" bestFit="1" customWidth="1"/>
    <col min="28" max="28" width="13.7109375" bestFit="1" customWidth="1"/>
    <col min="29" max="29" width="12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Y1" t="s">
        <v>1332</v>
      </c>
      <c r="Z1" t="s">
        <v>3410</v>
      </c>
      <c r="AA1" t="s">
        <v>3411</v>
      </c>
      <c r="AB1" t="s">
        <v>3408</v>
      </c>
      <c r="AC1" t="s">
        <v>3409</v>
      </c>
    </row>
    <row r="2" spans="1:29" x14ac:dyDescent="0.25">
      <c r="A2" t="s">
        <v>1336</v>
      </c>
      <c r="B2">
        <v>9</v>
      </c>
      <c r="C2">
        <v>5</v>
      </c>
      <c r="D2">
        <v>0</v>
      </c>
      <c r="E2" t="s">
        <v>1433</v>
      </c>
      <c r="F2">
        <v>2460</v>
      </c>
      <c r="G2">
        <v>10801221</v>
      </c>
      <c r="H2">
        <v>0.64814816663662589</v>
      </c>
      <c r="I2">
        <v>0.72222222222222221</v>
      </c>
      <c r="J2">
        <v>8000716.5</v>
      </c>
      <c r="K2">
        <v>3963</v>
      </c>
      <c r="L2">
        <v>2</v>
      </c>
      <c r="M2">
        <v>40</v>
      </c>
      <c r="N2">
        <v>0.72592592592592586</v>
      </c>
      <c r="O2">
        <v>7565698.916666666</v>
      </c>
      <c r="P2">
        <v>4144</v>
      </c>
      <c r="Q2">
        <v>2</v>
      </c>
      <c r="R2">
        <v>41</v>
      </c>
      <c r="S2" t="s">
        <v>1935</v>
      </c>
      <c r="Y2">
        <f>Wine_pres_final[[#This Row],[mlp_params]]</f>
        <v>3963</v>
      </c>
      <c r="Z2" t="str">
        <f>IF((LEN(Wine_pres_final[[#This Row],[kan_width]])-LEN(SUBSTITUTE(Wine_pres_final[[#This Row],[kan_width]]," ","")))&gt;2,Wine_pres_final[[#This Row],[kan_test_acc]],"")</f>
        <v/>
      </c>
      <c r="AA2">
        <f>IF((LEN(Wine_pres_final[[#This Row],[kan_width]])-LEN(SUBSTITUTE(Wine_pres_final[[#This Row],[kan_width]]," ","")))&gt;2,"",Wine_pres_final[[#This Row],[kan_test_acc]])</f>
        <v>0.64814816663662589</v>
      </c>
      <c r="AB2">
        <f>Wine_pres_final[[#This Row],[mlp_test_acc]]</f>
        <v>0.72222222222222221</v>
      </c>
      <c r="AC2">
        <f>Wine_pres_final[[#This Row],[mlp_test_acc2]]</f>
        <v>0.72592592592592586</v>
      </c>
    </row>
    <row r="3" spans="1:29" x14ac:dyDescent="0.25">
      <c r="A3" t="s">
        <v>1336</v>
      </c>
      <c r="B3">
        <v>9</v>
      </c>
      <c r="C3">
        <v>5</v>
      </c>
      <c r="D3">
        <v>0</v>
      </c>
      <c r="E3" t="s">
        <v>1435</v>
      </c>
      <c r="F3">
        <v>3006</v>
      </c>
      <c r="G3">
        <v>7454041.833333334</v>
      </c>
      <c r="H3">
        <v>0.74074075371026993</v>
      </c>
      <c r="I3">
        <v>0.67777777777777781</v>
      </c>
      <c r="J3">
        <v>3311015</v>
      </c>
      <c r="K3">
        <v>4908</v>
      </c>
      <c r="L3">
        <v>2</v>
      </c>
      <c r="M3">
        <v>45</v>
      </c>
      <c r="N3">
        <v>0.73703703703703705</v>
      </c>
      <c r="O3">
        <v>3872484.75</v>
      </c>
      <c r="P3">
        <v>5109</v>
      </c>
      <c r="Q3">
        <v>2</v>
      </c>
      <c r="R3">
        <v>46</v>
      </c>
      <c r="S3" t="s">
        <v>1936</v>
      </c>
      <c r="Y3">
        <f>Wine_pres_final[[#This Row],[mlp_params]]</f>
        <v>4908</v>
      </c>
      <c r="Z3" t="str">
        <f>IF((LEN(Wine_pres_final[[#This Row],[kan_width]])-LEN(SUBSTITUTE(Wine_pres_final[[#This Row],[kan_width]]," ","")))&gt;2,Wine_pres_final[[#This Row],[kan_test_acc]],"")</f>
        <v/>
      </c>
      <c r="AA3">
        <f>IF((LEN(Wine_pres_final[[#This Row],[kan_width]])-LEN(SUBSTITUTE(Wine_pres_final[[#This Row],[kan_width]]," ","")))&gt;2,"",Wine_pres_final[[#This Row],[kan_test_acc]])</f>
        <v>0.74074075371026993</v>
      </c>
      <c r="AB3">
        <f>Wine_pres_final[[#This Row],[mlp_test_acc]]</f>
        <v>0.67777777777777781</v>
      </c>
      <c r="AC3">
        <f>Wine_pres_final[[#This Row],[mlp_test_acc2]]</f>
        <v>0.73703703703703705</v>
      </c>
    </row>
    <row r="4" spans="1:29" hidden="1" x14ac:dyDescent="0.25">
      <c r="A4" t="s">
        <v>1336</v>
      </c>
      <c r="B4">
        <v>5</v>
      </c>
      <c r="C4">
        <v>5</v>
      </c>
      <c r="D4">
        <v>0</v>
      </c>
      <c r="E4" t="s">
        <v>1407</v>
      </c>
      <c r="F4">
        <v>8686</v>
      </c>
      <c r="G4">
        <v>15009857.083333332</v>
      </c>
      <c r="H4">
        <v>0.4851851960023244</v>
      </c>
      <c r="I4">
        <v>0.69074074074074077</v>
      </c>
      <c r="J4">
        <v>2745038.583333333</v>
      </c>
      <c r="K4">
        <v>15711</v>
      </c>
      <c r="L4">
        <v>2</v>
      </c>
      <c r="M4">
        <v>84</v>
      </c>
      <c r="N4">
        <v>0.71111111111111103</v>
      </c>
      <c r="O4">
        <v>3605415.416666667</v>
      </c>
      <c r="P4">
        <v>16068</v>
      </c>
      <c r="Q4">
        <v>2</v>
      </c>
      <c r="R4">
        <v>85</v>
      </c>
      <c r="S4" t="s">
        <v>1772</v>
      </c>
      <c r="Y4">
        <f>Wine_pres_final[[#This Row],[mlp_params]]</f>
        <v>15711</v>
      </c>
      <c r="Z4">
        <f>IF((LEN(Wine_pres_final[[#This Row],[kan_width]])-LEN(SUBSTITUTE(Wine_pres_final[[#This Row],[kan_width]]," ","")))&gt;2,Wine_pres_final[[#This Row],[kan_test_acc]],"")</f>
        <v>0.4851851960023244</v>
      </c>
      <c r="AA4" t="str">
        <f>IF((LEN(Wine_pres_final[[#This Row],[kan_width]])-LEN(SUBSTITUTE(Wine_pres_final[[#This Row],[kan_width]]," ","")))&gt;2,"",Wine_pres_final[[#This Row],[kan_test_acc]])</f>
        <v/>
      </c>
      <c r="AB4">
        <f>Wine_pres_final[[#This Row],[mlp_test_acc]]</f>
        <v>0.69074074074074077</v>
      </c>
      <c r="AC4">
        <f>Wine_pres_final[[#This Row],[mlp_test_acc2]]</f>
        <v>0.71111111111111103</v>
      </c>
    </row>
    <row r="5" spans="1:29" x14ac:dyDescent="0.25">
      <c r="A5" t="s">
        <v>1336</v>
      </c>
      <c r="B5">
        <v>9</v>
      </c>
      <c r="C5">
        <v>5</v>
      </c>
      <c r="D5">
        <v>0</v>
      </c>
      <c r="E5" t="s">
        <v>1337</v>
      </c>
      <c r="F5">
        <v>3552</v>
      </c>
      <c r="G5">
        <v>5144752</v>
      </c>
      <c r="H5">
        <v>0.75925927360852563</v>
      </c>
      <c r="I5">
        <v>0.69259259259259265</v>
      </c>
      <c r="J5">
        <v>256817.83333333331</v>
      </c>
      <c r="K5">
        <v>5736</v>
      </c>
      <c r="L5">
        <v>2</v>
      </c>
      <c r="M5">
        <v>49</v>
      </c>
      <c r="N5">
        <v>0.72592592592592586</v>
      </c>
      <c r="O5">
        <v>151123.83333333331</v>
      </c>
      <c r="P5">
        <v>5953</v>
      </c>
      <c r="Q5">
        <v>2</v>
      </c>
      <c r="R5">
        <v>50</v>
      </c>
      <c r="S5" t="s">
        <v>1937</v>
      </c>
      <c r="Y5">
        <f>Wine_pres_final[[#This Row],[mlp_params]]</f>
        <v>5736</v>
      </c>
      <c r="Z5" t="str">
        <f>IF((LEN(Wine_pres_final[[#This Row],[kan_width]])-LEN(SUBSTITUTE(Wine_pres_final[[#This Row],[kan_width]]," ","")))&gt;2,Wine_pres_final[[#This Row],[kan_test_acc]],"")</f>
        <v/>
      </c>
      <c r="AA5">
        <f>IF((LEN(Wine_pres_final[[#This Row],[kan_width]])-LEN(SUBSTITUTE(Wine_pres_final[[#This Row],[kan_width]]," ","")))&gt;2,"",Wine_pres_final[[#This Row],[kan_test_acc]])</f>
        <v>0.75925927360852563</v>
      </c>
      <c r="AB5">
        <f>Wine_pres_final[[#This Row],[mlp_test_acc]]</f>
        <v>0.69259259259259265</v>
      </c>
      <c r="AC5">
        <f>Wine_pres_final[[#This Row],[mlp_test_acc2]]</f>
        <v>0.72592592592592586</v>
      </c>
    </row>
    <row r="6" spans="1:29" x14ac:dyDescent="0.25">
      <c r="A6" t="s">
        <v>1336</v>
      </c>
      <c r="B6">
        <v>9</v>
      </c>
      <c r="C6">
        <v>5</v>
      </c>
      <c r="D6">
        <v>0</v>
      </c>
      <c r="E6" t="s">
        <v>1339</v>
      </c>
      <c r="F6">
        <v>4098</v>
      </c>
      <c r="G6">
        <v>6852557</v>
      </c>
      <c r="H6">
        <v>0.71296297758817673</v>
      </c>
      <c r="I6">
        <v>0.71666666666666656</v>
      </c>
      <c r="J6">
        <v>257161.5</v>
      </c>
      <c r="K6">
        <v>6628</v>
      </c>
      <c r="L6">
        <v>2</v>
      </c>
      <c r="M6">
        <v>53</v>
      </c>
      <c r="N6">
        <v>0.71481481481481479</v>
      </c>
      <c r="O6">
        <v>206097.16666666666</v>
      </c>
      <c r="P6">
        <v>6861</v>
      </c>
      <c r="Q6">
        <v>2</v>
      </c>
      <c r="R6">
        <v>54</v>
      </c>
      <c r="S6" t="s">
        <v>1938</v>
      </c>
      <c r="Y6">
        <f>Wine_pres_final[[#This Row],[mlp_params]]</f>
        <v>6628</v>
      </c>
      <c r="Z6" t="str">
        <f>IF((LEN(Wine_pres_final[[#This Row],[kan_width]])-LEN(SUBSTITUTE(Wine_pres_final[[#This Row],[kan_width]]," ","")))&gt;2,Wine_pres_final[[#This Row],[kan_test_acc]],"")</f>
        <v/>
      </c>
      <c r="AA6">
        <f>IF((LEN(Wine_pres_final[[#This Row],[kan_width]])-LEN(SUBSTITUTE(Wine_pres_final[[#This Row],[kan_width]]," ","")))&gt;2,"",Wine_pres_final[[#This Row],[kan_test_acc]])</f>
        <v>0.71296297758817673</v>
      </c>
      <c r="AB6">
        <f>Wine_pres_final[[#This Row],[mlp_test_acc]]</f>
        <v>0.71666666666666656</v>
      </c>
      <c r="AC6">
        <f>Wine_pres_final[[#This Row],[mlp_test_acc2]]</f>
        <v>0.71481481481481479</v>
      </c>
    </row>
    <row r="7" spans="1:29" hidden="1" x14ac:dyDescent="0.25">
      <c r="A7" t="s">
        <v>1336</v>
      </c>
      <c r="B7">
        <v>9</v>
      </c>
      <c r="C7">
        <v>4</v>
      </c>
      <c r="D7">
        <v>0</v>
      </c>
      <c r="E7" t="s">
        <v>1423</v>
      </c>
      <c r="F7">
        <v>11707</v>
      </c>
      <c r="G7">
        <v>7824375.25</v>
      </c>
      <c r="H7">
        <v>0.49259260793526971</v>
      </c>
      <c r="I7">
        <v>0.85925925925925917</v>
      </c>
      <c r="J7">
        <v>1271961.1666666665</v>
      </c>
      <c r="K7">
        <v>17913</v>
      </c>
      <c r="L7">
        <v>2</v>
      </c>
      <c r="M7">
        <v>90</v>
      </c>
      <c r="N7">
        <v>0.66296296296296298</v>
      </c>
      <c r="O7">
        <v>734235.83333333337</v>
      </c>
      <c r="P7">
        <v>18294</v>
      </c>
      <c r="Q7">
        <v>2</v>
      </c>
      <c r="R7">
        <v>91</v>
      </c>
      <c r="S7" t="s">
        <v>1930</v>
      </c>
      <c r="Y7">
        <f>Wine_pres_final[[#This Row],[mlp_params]]</f>
        <v>17913</v>
      </c>
      <c r="Z7">
        <f>IF((LEN(Wine_pres_final[[#This Row],[kan_width]])-LEN(SUBSTITUTE(Wine_pres_final[[#This Row],[kan_width]]," ","")))&gt;2,Wine_pres_final[[#This Row],[kan_test_acc]],"")</f>
        <v>0.49259260793526971</v>
      </c>
      <c r="AA7" t="str">
        <f>IF((LEN(Wine_pres_final[[#This Row],[kan_width]])-LEN(SUBSTITUTE(Wine_pres_final[[#This Row],[kan_width]]," ","")))&gt;2,"",Wine_pres_final[[#This Row],[kan_test_acc]])</f>
        <v/>
      </c>
      <c r="AB7">
        <f>Wine_pres_final[[#This Row],[mlp_test_acc]]</f>
        <v>0.85925925925925917</v>
      </c>
      <c r="AC7">
        <f>Wine_pres_final[[#This Row],[mlp_test_acc2]]</f>
        <v>0.66296296296296298</v>
      </c>
    </row>
    <row r="8" spans="1:29" hidden="1" x14ac:dyDescent="0.25">
      <c r="A8" t="s">
        <v>1336</v>
      </c>
      <c r="B8">
        <v>9</v>
      </c>
      <c r="C8">
        <v>4</v>
      </c>
      <c r="D8">
        <v>0</v>
      </c>
      <c r="E8" t="s">
        <v>1415</v>
      </c>
      <c r="F8">
        <v>13505</v>
      </c>
      <c r="G8">
        <v>11139673.166666668</v>
      </c>
      <c r="H8">
        <v>0.50000001490116119</v>
      </c>
      <c r="I8">
        <v>0.72407407407407409</v>
      </c>
      <c r="J8">
        <v>7231678.166666667</v>
      </c>
      <c r="K8">
        <v>21073</v>
      </c>
      <c r="L8">
        <v>2</v>
      </c>
      <c r="M8">
        <v>98</v>
      </c>
      <c r="N8">
        <v>0.76111111111111107</v>
      </c>
      <c r="O8">
        <v>8424028.75</v>
      </c>
      <c r="P8">
        <v>21486</v>
      </c>
      <c r="Q8">
        <v>2</v>
      </c>
      <c r="R8">
        <v>99</v>
      </c>
      <c r="S8" t="s">
        <v>1926</v>
      </c>
      <c r="Y8">
        <f>Wine_pres_final[[#This Row],[mlp_params]]</f>
        <v>21073</v>
      </c>
      <c r="Z8">
        <f>IF((LEN(Wine_pres_final[[#This Row],[kan_width]])-LEN(SUBSTITUTE(Wine_pres_final[[#This Row],[kan_width]]," ","")))&gt;2,Wine_pres_final[[#This Row],[kan_test_acc]],"")</f>
        <v>0.50000001490116119</v>
      </c>
      <c r="AA8" t="str">
        <f>IF((LEN(Wine_pres_final[[#This Row],[kan_width]])-LEN(SUBSTITUTE(Wine_pres_final[[#This Row],[kan_width]]," ","")))&gt;2,"",Wine_pres_final[[#This Row],[kan_test_acc]])</f>
        <v/>
      </c>
      <c r="AB8">
        <f>Wine_pres_final[[#This Row],[mlp_test_acc]]</f>
        <v>0.72407407407407409</v>
      </c>
      <c r="AC8">
        <f>Wine_pres_final[[#This Row],[mlp_test_acc2]]</f>
        <v>0.76111111111111107</v>
      </c>
    </row>
    <row r="9" spans="1:29" x14ac:dyDescent="0.25">
      <c r="A9" t="s">
        <v>1336</v>
      </c>
      <c r="B9">
        <v>9</v>
      </c>
      <c r="C9">
        <v>5</v>
      </c>
      <c r="D9">
        <v>0</v>
      </c>
      <c r="E9" t="s">
        <v>1341</v>
      </c>
      <c r="F9">
        <v>4644</v>
      </c>
      <c r="G9">
        <v>7595027.916666667</v>
      </c>
      <c r="H9">
        <v>0.76851852983236313</v>
      </c>
      <c r="I9">
        <v>0.69814814814814818</v>
      </c>
      <c r="J9">
        <v>274184.58333333337</v>
      </c>
      <c r="K9">
        <v>7584</v>
      </c>
      <c r="L9">
        <v>2</v>
      </c>
      <c r="M9">
        <v>57</v>
      </c>
      <c r="N9">
        <v>0.72222222222222221</v>
      </c>
      <c r="O9">
        <v>233894.41666666666</v>
      </c>
      <c r="P9">
        <v>7833</v>
      </c>
      <c r="Q9">
        <v>2</v>
      </c>
      <c r="R9">
        <v>58</v>
      </c>
      <c r="S9" t="s">
        <v>1939</v>
      </c>
      <c r="Y9">
        <f>Wine_pres_final[[#This Row],[mlp_params]]</f>
        <v>7584</v>
      </c>
      <c r="Z9" t="str">
        <f>IF((LEN(Wine_pres_final[[#This Row],[kan_width]])-LEN(SUBSTITUTE(Wine_pres_final[[#This Row],[kan_width]]," ","")))&gt;2,Wine_pres_final[[#This Row],[kan_test_acc]],"")</f>
        <v/>
      </c>
      <c r="AA9">
        <f>IF((LEN(Wine_pres_final[[#This Row],[kan_width]])-LEN(SUBSTITUTE(Wine_pres_final[[#This Row],[kan_width]]," ","")))&gt;2,"",Wine_pres_final[[#This Row],[kan_test_acc]])</f>
        <v>0.76851852983236313</v>
      </c>
      <c r="AB9">
        <f>Wine_pres_final[[#This Row],[mlp_test_acc]]</f>
        <v>0.69814814814814818</v>
      </c>
      <c r="AC9">
        <f>Wine_pres_final[[#This Row],[mlp_test_acc2]]</f>
        <v>0.72222222222222221</v>
      </c>
    </row>
    <row r="10" spans="1:29" x14ac:dyDescent="0.25">
      <c r="A10" t="s">
        <v>1336</v>
      </c>
      <c r="B10">
        <v>9</v>
      </c>
      <c r="C10">
        <v>5</v>
      </c>
      <c r="D10">
        <v>0</v>
      </c>
      <c r="E10" t="s">
        <v>1343</v>
      </c>
      <c r="F10">
        <v>5190</v>
      </c>
      <c r="G10">
        <v>7676423.666666667</v>
      </c>
      <c r="H10">
        <v>0.82962963978449511</v>
      </c>
      <c r="I10">
        <v>0.72222222222222221</v>
      </c>
      <c r="J10">
        <v>299377.33333333337</v>
      </c>
      <c r="K10">
        <v>8343</v>
      </c>
      <c r="L10">
        <v>2</v>
      </c>
      <c r="M10">
        <v>60</v>
      </c>
      <c r="N10">
        <v>0.74444444444444446</v>
      </c>
      <c r="O10">
        <v>262799.33333333331</v>
      </c>
      <c r="P10">
        <v>8604</v>
      </c>
      <c r="Q10">
        <v>2</v>
      </c>
      <c r="R10">
        <v>61</v>
      </c>
      <c r="S10" t="s">
        <v>1940</v>
      </c>
      <c r="Y10">
        <f>Wine_pres_final[[#This Row],[mlp_params]]</f>
        <v>8343</v>
      </c>
      <c r="Z10" t="str">
        <f>IF((LEN(Wine_pres_final[[#This Row],[kan_width]])-LEN(SUBSTITUTE(Wine_pres_final[[#This Row],[kan_width]]," ","")))&gt;2,Wine_pres_final[[#This Row],[kan_test_acc]],"")</f>
        <v/>
      </c>
      <c r="AA10">
        <f>IF((LEN(Wine_pres_final[[#This Row],[kan_width]])-LEN(SUBSTITUTE(Wine_pres_final[[#This Row],[kan_width]]," ","")))&gt;2,"",Wine_pres_final[[#This Row],[kan_test_acc]])</f>
        <v>0.82962963978449511</v>
      </c>
      <c r="AB10">
        <f>Wine_pres_final[[#This Row],[mlp_test_acc]]</f>
        <v>0.72222222222222221</v>
      </c>
      <c r="AC10">
        <f>Wine_pres_final[[#This Row],[mlp_test_acc2]]</f>
        <v>0.74444444444444446</v>
      </c>
    </row>
    <row r="11" spans="1:29" hidden="1" x14ac:dyDescent="0.25">
      <c r="A11" t="s">
        <v>1336</v>
      </c>
      <c r="B11">
        <v>5</v>
      </c>
      <c r="C11">
        <v>5</v>
      </c>
      <c r="D11">
        <v>0</v>
      </c>
      <c r="E11" t="s">
        <v>1415</v>
      </c>
      <c r="F11">
        <v>10982</v>
      </c>
      <c r="G11">
        <v>13706442.5</v>
      </c>
      <c r="H11">
        <v>0.5111111278335253</v>
      </c>
      <c r="I11">
        <v>0.71481481481481479</v>
      </c>
      <c r="J11">
        <v>13555521</v>
      </c>
      <c r="K11">
        <v>19858</v>
      </c>
      <c r="L11">
        <v>2</v>
      </c>
      <c r="M11">
        <v>95</v>
      </c>
      <c r="N11">
        <v>0.72037037037037033</v>
      </c>
      <c r="O11">
        <v>15821792</v>
      </c>
      <c r="P11">
        <v>20259</v>
      </c>
      <c r="Q11">
        <v>2</v>
      </c>
      <c r="R11">
        <v>96</v>
      </c>
      <c r="S11" t="s">
        <v>1776</v>
      </c>
      <c r="Y11">
        <f>Wine_pres_final[[#This Row],[mlp_params]]</f>
        <v>19858</v>
      </c>
      <c r="Z11">
        <f>IF((LEN(Wine_pres_final[[#This Row],[kan_width]])-LEN(SUBSTITUTE(Wine_pres_final[[#This Row],[kan_width]]," ","")))&gt;2,Wine_pres_final[[#This Row],[kan_test_acc]],"")</f>
        <v>0.5111111278335253</v>
      </c>
      <c r="AA11" t="str">
        <f>IF((LEN(Wine_pres_final[[#This Row],[kan_width]])-LEN(SUBSTITUTE(Wine_pres_final[[#This Row],[kan_width]]," ","")))&gt;2,"",Wine_pres_final[[#This Row],[kan_test_acc]])</f>
        <v/>
      </c>
      <c r="AB11">
        <f>Wine_pres_final[[#This Row],[mlp_test_acc]]</f>
        <v>0.71481481481481479</v>
      </c>
      <c r="AC11">
        <f>Wine_pres_final[[#This Row],[mlp_test_acc2]]</f>
        <v>0.72037037037037033</v>
      </c>
    </row>
    <row r="12" spans="1:29" hidden="1" x14ac:dyDescent="0.25">
      <c r="A12" t="s">
        <v>1336</v>
      </c>
      <c r="B12">
        <v>9</v>
      </c>
      <c r="C12">
        <v>4</v>
      </c>
      <c r="D12">
        <v>0</v>
      </c>
      <c r="E12" t="s">
        <v>1421</v>
      </c>
      <c r="F12">
        <v>10937</v>
      </c>
      <c r="G12">
        <v>7851321.083333334</v>
      </c>
      <c r="H12">
        <v>0.51481482883294427</v>
      </c>
      <c r="I12">
        <v>0.7685185185185186</v>
      </c>
      <c r="J12">
        <v>1340135.5</v>
      </c>
      <c r="K12">
        <v>16794</v>
      </c>
      <c r="L12">
        <v>2</v>
      </c>
      <c r="M12">
        <v>87</v>
      </c>
      <c r="N12">
        <v>0.75185185185185177</v>
      </c>
      <c r="O12">
        <v>860154.25</v>
      </c>
      <c r="P12">
        <v>17163</v>
      </c>
      <c r="Q12">
        <v>2</v>
      </c>
      <c r="R12">
        <v>88</v>
      </c>
      <c r="S12" t="s">
        <v>1929</v>
      </c>
      <c r="Y12">
        <f>Wine_pres_final[[#This Row],[mlp_params]]</f>
        <v>16794</v>
      </c>
      <c r="Z12">
        <f>IF((LEN(Wine_pres_final[[#This Row],[kan_width]])-LEN(SUBSTITUTE(Wine_pres_final[[#This Row],[kan_width]]," ","")))&gt;2,Wine_pres_final[[#This Row],[kan_test_acc]],"")</f>
        <v>0.51481482883294427</v>
      </c>
      <c r="AA12" t="str">
        <f>IF((LEN(Wine_pres_final[[#This Row],[kan_width]])-LEN(SUBSTITUTE(Wine_pres_final[[#This Row],[kan_width]]," ","")))&gt;2,"",Wine_pres_final[[#This Row],[kan_test_acc]])</f>
        <v/>
      </c>
      <c r="AB12">
        <f>Wine_pres_final[[#This Row],[mlp_test_acc]]</f>
        <v>0.7685185185185186</v>
      </c>
      <c r="AC12">
        <f>Wine_pres_final[[#This Row],[mlp_test_acc2]]</f>
        <v>0.75185185185185177</v>
      </c>
    </row>
    <row r="13" spans="1:29" x14ac:dyDescent="0.25">
      <c r="A13" t="s">
        <v>1336</v>
      </c>
      <c r="B13">
        <v>9</v>
      </c>
      <c r="C13">
        <v>5</v>
      </c>
      <c r="D13">
        <v>0</v>
      </c>
      <c r="E13" t="s">
        <v>1345</v>
      </c>
      <c r="F13">
        <v>5736</v>
      </c>
      <c r="G13">
        <v>8264601.5</v>
      </c>
      <c r="H13">
        <v>0.8333333432674408</v>
      </c>
      <c r="I13">
        <v>0.73888888888888893</v>
      </c>
      <c r="J13">
        <v>323600.58333333337</v>
      </c>
      <c r="K13">
        <v>9411</v>
      </c>
      <c r="L13">
        <v>2</v>
      </c>
      <c r="M13">
        <v>64</v>
      </c>
      <c r="N13">
        <v>0.74444444444444446</v>
      </c>
      <c r="O13">
        <v>278102.66666666663</v>
      </c>
      <c r="P13">
        <v>9688</v>
      </c>
      <c r="Q13">
        <v>2</v>
      </c>
      <c r="R13">
        <v>65</v>
      </c>
      <c r="S13" t="s">
        <v>1941</v>
      </c>
      <c r="Y13">
        <f>Wine_pres_final[[#This Row],[mlp_params]]</f>
        <v>9411</v>
      </c>
      <c r="Z13" t="str">
        <f>IF((LEN(Wine_pres_final[[#This Row],[kan_width]])-LEN(SUBSTITUTE(Wine_pres_final[[#This Row],[kan_width]]," ","")))&gt;2,Wine_pres_final[[#This Row],[kan_test_acc]],"")</f>
        <v/>
      </c>
      <c r="AA13">
        <f>IF((LEN(Wine_pres_final[[#This Row],[kan_width]])-LEN(SUBSTITUTE(Wine_pres_final[[#This Row],[kan_width]]," ","")))&gt;2,"",Wine_pres_final[[#This Row],[kan_test_acc]])</f>
        <v>0.8333333432674408</v>
      </c>
      <c r="AB13">
        <f>Wine_pres_final[[#This Row],[mlp_test_acc]]</f>
        <v>0.73888888888888893</v>
      </c>
      <c r="AC13">
        <f>Wine_pres_final[[#This Row],[mlp_test_acc2]]</f>
        <v>0.74444444444444446</v>
      </c>
    </row>
    <row r="14" spans="1:29" x14ac:dyDescent="0.25">
      <c r="A14" t="s">
        <v>1336</v>
      </c>
      <c r="B14">
        <v>9</v>
      </c>
      <c r="C14">
        <v>5</v>
      </c>
      <c r="D14">
        <v>0</v>
      </c>
      <c r="E14" t="s">
        <v>1347</v>
      </c>
      <c r="F14">
        <v>6282</v>
      </c>
      <c r="G14">
        <v>8619377.6666666679</v>
      </c>
      <c r="H14">
        <v>0.8259259363015492</v>
      </c>
      <c r="I14">
        <v>0.74814814814814823</v>
      </c>
      <c r="J14">
        <v>592236.16666666674</v>
      </c>
      <c r="K14">
        <v>10254</v>
      </c>
      <c r="L14">
        <v>2</v>
      </c>
      <c r="M14">
        <v>67</v>
      </c>
      <c r="N14">
        <v>0.76481481481481484</v>
      </c>
      <c r="O14">
        <v>394430.25</v>
      </c>
      <c r="P14">
        <v>10543</v>
      </c>
      <c r="Q14">
        <v>2</v>
      </c>
      <c r="R14">
        <v>68</v>
      </c>
      <c r="S14" t="s">
        <v>1942</v>
      </c>
      <c r="Y14">
        <f>Wine_pres_final[[#This Row],[mlp_params]]</f>
        <v>10254</v>
      </c>
      <c r="Z14" t="str">
        <f>IF((LEN(Wine_pres_final[[#This Row],[kan_width]])-LEN(SUBSTITUTE(Wine_pres_final[[#This Row],[kan_width]]," ","")))&gt;2,Wine_pres_final[[#This Row],[kan_test_acc]],"")</f>
        <v/>
      </c>
      <c r="AA14">
        <f>IF((LEN(Wine_pres_final[[#This Row],[kan_width]])-LEN(SUBSTITUTE(Wine_pres_final[[#This Row],[kan_width]]," ","")))&gt;2,"",Wine_pres_final[[#This Row],[kan_test_acc]])</f>
        <v>0.8259259363015492</v>
      </c>
      <c r="AB14">
        <f>Wine_pres_final[[#This Row],[mlp_test_acc]]</f>
        <v>0.74814814814814823</v>
      </c>
      <c r="AC14">
        <f>Wine_pres_final[[#This Row],[mlp_test_acc2]]</f>
        <v>0.76481481481481484</v>
      </c>
    </row>
    <row r="15" spans="1:29" x14ac:dyDescent="0.25">
      <c r="A15" t="s">
        <v>1336</v>
      </c>
      <c r="B15">
        <v>9</v>
      </c>
      <c r="C15">
        <v>5</v>
      </c>
      <c r="D15">
        <v>0</v>
      </c>
      <c r="E15" t="s">
        <v>1353</v>
      </c>
      <c r="F15">
        <v>6438</v>
      </c>
      <c r="G15">
        <v>11212037.75</v>
      </c>
      <c r="H15">
        <v>0.78333334624767303</v>
      </c>
      <c r="I15">
        <v>0.76481481481481484</v>
      </c>
      <c r="J15">
        <v>853863.33333333326</v>
      </c>
      <c r="K15">
        <v>10543</v>
      </c>
      <c r="L15">
        <v>2</v>
      </c>
      <c r="M15">
        <v>68</v>
      </c>
      <c r="N15">
        <v>0.75555555555555554</v>
      </c>
      <c r="O15">
        <v>893315.58333333326</v>
      </c>
      <c r="P15">
        <v>10836</v>
      </c>
      <c r="Q15">
        <v>2</v>
      </c>
      <c r="R15">
        <v>69</v>
      </c>
      <c r="S15" t="s">
        <v>1945</v>
      </c>
      <c r="Y15">
        <f>Wine_pres_final[[#This Row],[mlp_params]]</f>
        <v>10543</v>
      </c>
      <c r="Z15">
        <f>IF((LEN(Wine_pres_final[[#This Row],[kan_width]])-LEN(SUBSTITUTE(Wine_pres_final[[#This Row],[kan_width]]," ","")))&gt;2,Wine_pres_final[[#This Row],[kan_test_acc]],"")</f>
        <v>0.78333334624767303</v>
      </c>
      <c r="AA15" t="str">
        <f>IF((LEN(Wine_pres_final[[#This Row],[kan_width]])-LEN(SUBSTITUTE(Wine_pres_final[[#This Row],[kan_width]]," ","")))&gt;2,"",Wine_pres_final[[#This Row],[kan_test_acc]])</f>
        <v/>
      </c>
      <c r="AB15">
        <f>Wine_pres_final[[#This Row],[mlp_test_acc]]</f>
        <v>0.76481481481481484</v>
      </c>
      <c r="AC15">
        <f>Wine_pres_final[[#This Row],[mlp_test_acc2]]</f>
        <v>0.75555555555555554</v>
      </c>
    </row>
    <row r="16" spans="1:29" x14ac:dyDescent="0.25">
      <c r="A16" t="s">
        <v>1336</v>
      </c>
      <c r="B16">
        <v>9</v>
      </c>
      <c r="C16">
        <v>5</v>
      </c>
      <c r="D16">
        <v>0</v>
      </c>
      <c r="E16" t="s">
        <v>1349</v>
      </c>
      <c r="F16">
        <v>6828</v>
      </c>
      <c r="G16">
        <v>9525815.3333333321</v>
      </c>
      <c r="H16">
        <v>0.81481482585271192</v>
      </c>
      <c r="I16">
        <v>0.73703703703703705</v>
      </c>
      <c r="J16">
        <v>895353.41666666674</v>
      </c>
      <c r="K16">
        <v>11133</v>
      </c>
      <c r="L16">
        <v>2</v>
      </c>
      <c r="M16">
        <v>70</v>
      </c>
      <c r="N16">
        <v>0.7592592592592593</v>
      </c>
      <c r="O16">
        <v>489904.83333333337</v>
      </c>
      <c r="P16">
        <v>11434</v>
      </c>
      <c r="Q16">
        <v>2</v>
      </c>
      <c r="R16">
        <v>71</v>
      </c>
      <c r="S16" t="s">
        <v>1943</v>
      </c>
      <c r="Y16">
        <f>Wine_pres_final[[#This Row],[mlp_params]]</f>
        <v>11133</v>
      </c>
      <c r="Z16" t="str">
        <f>IF((LEN(Wine_pres_final[[#This Row],[kan_width]])-LEN(SUBSTITUTE(Wine_pres_final[[#This Row],[kan_width]]," ","")))&gt;2,Wine_pres_final[[#This Row],[kan_test_acc]],"")</f>
        <v/>
      </c>
      <c r="AA16">
        <f>IF((LEN(Wine_pres_final[[#This Row],[kan_width]])-LEN(SUBSTITUTE(Wine_pres_final[[#This Row],[kan_width]]," ","")))&gt;2,"",Wine_pres_final[[#This Row],[kan_test_acc]])</f>
        <v>0.81481482585271192</v>
      </c>
      <c r="AB16">
        <f>Wine_pres_final[[#This Row],[mlp_test_acc]]</f>
        <v>0.73703703703703705</v>
      </c>
      <c r="AC16">
        <f>Wine_pres_final[[#This Row],[mlp_test_acc2]]</f>
        <v>0.7592592592592593</v>
      </c>
    </row>
    <row r="17" spans="1:29" x14ac:dyDescent="0.25">
      <c r="A17" t="s">
        <v>1336</v>
      </c>
      <c r="B17">
        <v>9</v>
      </c>
      <c r="C17">
        <v>5</v>
      </c>
      <c r="D17">
        <v>0</v>
      </c>
      <c r="E17" t="s">
        <v>1355</v>
      </c>
      <c r="F17">
        <v>6984</v>
      </c>
      <c r="G17">
        <v>11508910.25</v>
      </c>
      <c r="H17">
        <v>0.66111112385988235</v>
      </c>
      <c r="I17">
        <v>0.76851851851851849</v>
      </c>
      <c r="J17">
        <v>1092074.5</v>
      </c>
      <c r="K17">
        <v>11434</v>
      </c>
      <c r="L17">
        <v>2</v>
      </c>
      <c r="M17">
        <v>71</v>
      </c>
      <c r="N17">
        <v>0.77222222222222225</v>
      </c>
      <c r="O17">
        <v>870918.16666666663</v>
      </c>
      <c r="P17">
        <v>11739</v>
      </c>
      <c r="Q17">
        <v>2</v>
      </c>
      <c r="R17">
        <v>72</v>
      </c>
      <c r="S17" t="s">
        <v>1946</v>
      </c>
      <c r="Y17">
        <f>Wine_pres_final[[#This Row],[mlp_params]]</f>
        <v>11434</v>
      </c>
      <c r="Z17">
        <f>IF((LEN(Wine_pres_final[[#This Row],[kan_width]])-LEN(SUBSTITUTE(Wine_pres_final[[#This Row],[kan_width]]," ","")))&gt;2,Wine_pres_final[[#This Row],[kan_test_acc]],"")</f>
        <v>0.66111112385988235</v>
      </c>
      <c r="AA17" t="str">
        <f>IF((LEN(Wine_pres_final[[#This Row],[kan_width]])-LEN(SUBSTITUTE(Wine_pres_final[[#This Row],[kan_width]]," ","")))&gt;2,"",Wine_pres_final[[#This Row],[kan_test_acc]])</f>
        <v/>
      </c>
      <c r="AB17">
        <f>Wine_pres_final[[#This Row],[mlp_test_acc]]</f>
        <v>0.76851851851851849</v>
      </c>
      <c r="AC17">
        <f>Wine_pres_final[[#This Row],[mlp_test_acc2]]</f>
        <v>0.77222222222222225</v>
      </c>
    </row>
    <row r="18" spans="1:29" x14ac:dyDescent="0.25">
      <c r="A18" t="s">
        <v>1336</v>
      </c>
      <c r="B18">
        <v>9</v>
      </c>
      <c r="C18">
        <v>5</v>
      </c>
      <c r="D18">
        <v>0</v>
      </c>
      <c r="E18" t="s">
        <v>1369</v>
      </c>
      <c r="F18">
        <v>7324</v>
      </c>
      <c r="G18">
        <v>10754495.833333334</v>
      </c>
      <c r="H18">
        <v>0.51666668181618058</v>
      </c>
      <c r="I18">
        <v>0.78148148148148144</v>
      </c>
      <c r="J18">
        <v>1280417.5833333333</v>
      </c>
      <c r="K18">
        <v>11739</v>
      </c>
      <c r="L18">
        <v>2</v>
      </c>
      <c r="M18">
        <v>72</v>
      </c>
      <c r="N18">
        <v>0.67962962962962958</v>
      </c>
      <c r="O18">
        <v>1091254.5</v>
      </c>
      <c r="P18">
        <v>12048</v>
      </c>
      <c r="Q18">
        <v>2</v>
      </c>
      <c r="R18">
        <v>73</v>
      </c>
      <c r="S18" t="s">
        <v>1953</v>
      </c>
      <c r="Y18">
        <f>Wine_pres_final[[#This Row],[mlp_params]]</f>
        <v>11739</v>
      </c>
      <c r="Z18">
        <f>IF((LEN(Wine_pres_final[[#This Row],[kan_width]])-LEN(SUBSTITUTE(Wine_pres_final[[#This Row],[kan_width]]," ","")))&gt;2,Wine_pres_final[[#This Row],[kan_test_acc]],"")</f>
        <v>0.51666668181618058</v>
      </c>
      <c r="AA18" t="str">
        <f>IF((LEN(Wine_pres_final[[#This Row],[kan_width]])-LEN(SUBSTITUTE(Wine_pres_final[[#This Row],[kan_width]]," ","")))&gt;2,"",Wine_pres_final[[#This Row],[kan_test_acc]])</f>
        <v/>
      </c>
      <c r="AB18">
        <f>Wine_pres_final[[#This Row],[mlp_test_acc]]</f>
        <v>0.78148148148148144</v>
      </c>
      <c r="AC18">
        <f>Wine_pres_final[[#This Row],[mlp_test_acc2]]</f>
        <v>0.67962962962962958</v>
      </c>
    </row>
    <row r="19" spans="1:29" hidden="1" x14ac:dyDescent="0.25">
      <c r="A19" t="s">
        <v>1336</v>
      </c>
      <c r="B19">
        <v>5</v>
      </c>
      <c r="C19">
        <v>5</v>
      </c>
      <c r="D19">
        <v>0</v>
      </c>
      <c r="E19" t="s">
        <v>1405</v>
      </c>
      <c r="F19">
        <v>8112</v>
      </c>
      <c r="G19">
        <v>14103947.75</v>
      </c>
      <c r="H19">
        <v>0.52592593928178144</v>
      </c>
      <c r="I19">
        <v>0.68518518518518512</v>
      </c>
      <c r="J19">
        <v>3410347.333333333</v>
      </c>
      <c r="K19">
        <v>14664</v>
      </c>
      <c r="L19">
        <v>2</v>
      </c>
      <c r="M19">
        <v>81</v>
      </c>
      <c r="N19">
        <v>0.70370370370370372</v>
      </c>
      <c r="O19">
        <v>5540567.25</v>
      </c>
      <c r="P19">
        <v>15009</v>
      </c>
      <c r="Q19">
        <v>2</v>
      </c>
      <c r="R19">
        <v>82</v>
      </c>
      <c r="S19" t="s">
        <v>1771</v>
      </c>
      <c r="Y19">
        <f>Wine_pres_final[[#This Row],[mlp_params]]</f>
        <v>14664</v>
      </c>
      <c r="Z19">
        <f>IF((LEN(Wine_pres_final[[#This Row],[kan_width]])-LEN(SUBSTITUTE(Wine_pres_final[[#This Row],[kan_width]]," ","")))&gt;2,Wine_pres_final[[#This Row],[kan_test_acc]],"")</f>
        <v>0.52592593928178144</v>
      </c>
      <c r="AA19" t="str">
        <f>IF((LEN(Wine_pres_final[[#This Row],[kan_width]])-LEN(SUBSTITUTE(Wine_pres_final[[#This Row],[kan_width]]," ","")))&gt;2,"",Wine_pres_final[[#This Row],[kan_test_acc]])</f>
        <v/>
      </c>
      <c r="AB19">
        <f>Wine_pres_final[[#This Row],[mlp_test_acc]]</f>
        <v>0.68518518518518512</v>
      </c>
      <c r="AC19">
        <f>Wine_pres_final[[#This Row],[mlp_test_acc2]]</f>
        <v>0.70370370370370372</v>
      </c>
    </row>
    <row r="20" spans="1:29" x14ac:dyDescent="0.25">
      <c r="A20" t="s">
        <v>1336</v>
      </c>
      <c r="B20">
        <v>9</v>
      </c>
      <c r="C20">
        <v>5</v>
      </c>
      <c r="D20">
        <v>0</v>
      </c>
      <c r="E20" t="s">
        <v>1351</v>
      </c>
      <c r="F20">
        <v>7374</v>
      </c>
      <c r="G20">
        <v>10229360.5</v>
      </c>
      <c r="H20">
        <v>0.81851852933565783</v>
      </c>
      <c r="I20">
        <v>0.73703703703703705</v>
      </c>
      <c r="J20">
        <v>810134.33333333326</v>
      </c>
      <c r="K20">
        <v>12048</v>
      </c>
      <c r="L20">
        <v>2</v>
      </c>
      <c r="M20">
        <v>73</v>
      </c>
      <c r="N20">
        <v>0.7314814814814814</v>
      </c>
      <c r="O20">
        <v>610183.25</v>
      </c>
      <c r="P20">
        <v>12361</v>
      </c>
      <c r="Q20">
        <v>2</v>
      </c>
      <c r="R20">
        <v>74</v>
      </c>
      <c r="S20" t="s">
        <v>1944</v>
      </c>
      <c r="Y20">
        <f>Wine_pres_final[[#This Row],[mlp_params]]</f>
        <v>12048</v>
      </c>
      <c r="Z20" t="str">
        <f>IF((LEN(Wine_pres_final[[#This Row],[kan_width]])-LEN(SUBSTITUTE(Wine_pres_final[[#This Row],[kan_width]]," ","")))&gt;2,Wine_pres_final[[#This Row],[kan_test_acc]],"")</f>
        <v/>
      </c>
      <c r="AA20">
        <f>IF((LEN(Wine_pres_final[[#This Row],[kan_width]])-LEN(SUBSTITUTE(Wine_pres_final[[#This Row],[kan_width]]," ","")))&gt;2,"",Wine_pres_final[[#This Row],[kan_test_acc]])</f>
        <v>0.81851852933565783</v>
      </c>
      <c r="AB20">
        <f>Wine_pres_final[[#This Row],[mlp_test_acc]]</f>
        <v>0.73703703703703705</v>
      </c>
      <c r="AC20">
        <f>Wine_pres_final[[#This Row],[mlp_test_acc2]]</f>
        <v>0.7314814814814814</v>
      </c>
    </row>
    <row r="21" spans="1:29" hidden="1" x14ac:dyDescent="0.25">
      <c r="A21" t="s">
        <v>1336</v>
      </c>
      <c r="B21">
        <v>5</v>
      </c>
      <c r="C21">
        <v>5</v>
      </c>
      <c r="D21">
        <v>0</v>
      </c>
      <c r="E21" t="s">
        <v>1421</v>
      </c>
      <c r="F21">
        <v>8894</v>
      </c>
      <c r="G21">
        <v>13959452.833333332</v>
      </c>
      <c r="H21">
        <v>0.52777779350678122</v>
      </c>
      <c r="I21">
        <v>0.6962962962962963</v>
      </c>
      <c r="J21">
        <v>3791671.083333333</v>
      </c>
      <c r="K21">
        <v>16068</v>
      </c>
      <c r="L21">
        <v>2</v>
      </c>
      <c r="M21">
        <v>85</v>
      </c>
      <c r="N21">
        <v>0.72962962962962963</v>
      </c>
      <c r="O21">
        <v>5285732</v>
      </c>
      <c r="P21">
        <v>16429</v>
      </c>
      <c r="Q21">
        <v>2</v>
      </c>
      <c r="R21">
        <v>86</v>
      </c>
      <c r="S21" t="s">
        <v>1779</v>
      </c>
      <c r="Y21">
        <f>Wine_pres_final[[#This Row],[mlp_params]]</f>
        <v>16068</v>
      </c>
      <c r="Z21">
        <f>IF((LEN(Wine_pres_final[[#This Row],[kan_width]])-LEN(SUBSTITUTE(Wine_pres_final[[#This Row],[kan_width]]," ","")))&gt;2,Wine_pres_final[[#This Row],[kan_test_acc]],"")</f>
        <v>0.52777779350678122</v>
      </c>
      <c r="AA21" t="str">
        <f>IF((LEN(Wine_pres_final[[#This Row],[kan_width]])-LEN(SUBSTITUTE(Wine_pres_final[[#This Row],[kan_width]]," ","")))&gt;2,"",Wine_pres_final[[#This Row],[kan_test_acc]])</f>
        <v/>
      </c>
      <c r="AB21">
        <f>Wine_pres_final[[#This Row],[mlp_test_acc]]</f>
        <v>0.6962962962962963</v>
      </c>
      <c r="AC21">
        <f>Wine_pres_final[[#This Row],[mlp_test_acc2]]</f>
        <v>0.72962962962962963</v>
      </c>
    </row>
    <row r="22" spans="1:29" x14ac:dyDescent="0.25">
      <c r="A22" t="s">
        <v>1336</v>
      </c>
      <c r="B22">
        <v>9</v>
      </c>
      <c r="C22">
        <v>5</v>
      </c>
      <c r="D22">
        <v>0</v>
      </c>
      <c r="E22" t="s">
        <v>1357</v>
      </c>
      <c r="F22">
        <v>7530</v>
      </c>
      <c r="G22">
        <v>9876832</v>
      </c>
      <c r="H22">
        <v>0.56851852933565783</v>
      </c>
      <c r="I22">
        <v>0.75370370370370365</v>
      </c>
      <c r="J22">
        <v>1042080.4166666667</v>
      </c>
      <c r="K22">
        <v>12361</v>
      </c>
      <c r="L22">
        <v>2</v>
      </c>
      <c r="M22">
        <v>74</v>
      </c>
      <c r="N22">
        <v>0.75370370370370376</v>
      </c>
      <c r="O22">
        <v>729782.66666666663</v>
      </c>
      <c r="P22">
        <v>12678</v>
      </c>
      <c r="Q22">
        <v>2</v>
      </c>
      <c r="R22">
        <v>75</v>
      </c>
      <c r="S22" t="s">
        <v>1947</v>
      </c>
      <c r="Y22">
        <f>Wine_pres_final[[#This Row],[mlp_params]]</f>
        <v>12361</v>
      </c>
      <c r="Z22">
        <f>IF((LEN(Wine_pres_final[[#This Row],[kan_width]])-LEN(SUBSTITUTE(Wine_pres_final[[#This Row],[kan_width]]," ","")))&gt;2,Wine_pres_final[[#This Row],[kan_test_acc]],"")</f>
        <v>0.56851852933565783</v>
      </c>
      <c r="AA22" t="str">
        <f>IF((LEN(Wine_pres_final[[#This Row],[kan_width]])-LEN(SUBSTITUTE(Wine_pres_final[[#This Row],[kan_width]]," ","")))&gt;2,"",Wine_pres_final[[#This Row],[kan_test_acc]])</f>
        <v/>
      </c>
      <c r="AB22">
        <f>Wine_pres_final[[#This Row],[mlp_test_acc]]</f>
        <v>0.75370370370370365</v>
      </c>
      <c r="AC22">
        <f>Wine_pres_final[[#This Row],[mlp_test_acc2]]</f>
        <v>0.75370370370370376</v>
      </c>
    </row>
    <row r="23" spans="1:29" hidden="1" x14ac:dyDescent="0.25">
      <c r="A23" t="s">
        <v>1336</v>
      </c>
      <c r="B23">
        <v>5</v>
      </c>
      <c r="C23">
        <v>5</v>
      </c>
      <c r="D23">
        <v>0</v>
      </c>
      <c r="E23" t="s">
        <v>1369</v>
      </c>
      <c r="F23">
        <v>5608</v>
      </c>
      <c r="G23">
        <v>13762739.416666668</v>
      </c>
      <c r="H23">
        <v>0.53148149450620008</v>
      </c>
      <c r="I23">
        <v>0.69259259259259265</v>
      </c>
      <c r="J23">
        <v>5608473.333333334</v>
      </c>
      <c r="K23">
        <v>10254</v>
      </c>
      <c r="L23">
        <v>2</v>
      </c>
      <c r="M23">
        <v>67</v>
      </c>
      <c r="N23">
        <v>0.72407407407407409</v>
      </c>
      <c r="O23">
        <v>2861639.8333333335</v>
      </c>
      <c r="P23">
        <v>10543</v>
      </c>
      <c r="Q23">
        <v>2</v>
      </c>
      <c r="R23">
        <v>68</v>
      </c>
      <c r="S23" t="s">
        <v>1753</v>
      </c>
      <c r="Y23">
        <f>Wine_pres_final[[#This Row],[mlp_params]]</f>
        <v>10254</v>
      </c>
      <c r="Z23">
        <f>IF((LEN(Wine_pres_final[[#This Row],[kan_width]])-LEN(SUBSTITUTE(Wine_pres_final[[#This Row],[kan_width]]," ","")))&gt;2,Wine_pres_final[[#This Row],[kan_test_acc]],"")</f>
        <v>0.53148149450620008</v>
      </c>
      <c r="AA23" t="str">
        <f>IF((LEN(Wine_pres_final[[#This Row],[kan_width]])-LEN(SUBSTITUTE(Wine_pres_final[[#This Row],[kan_width]]," ","")))&gt;2,"",Wine_pres_final[[#This Row],[kan_test_acc]])</f>
        <v/>
      </c>
      <c r="AB23">
        <f>Wine_pres_final[[#This Row],[mlp_test_acc]]</f>
        <v>0.69259259259259265</v>
      </c>
      <c r="AC23">
        <f>Wine_pres_final[[#This Row],[mlp_test_acc2]]</f>
        <v>0.72407407407407409</v>
      </c>
    </row>
    <row r="24" spans="1:29" x14ac:dyDescent="0.25">
      <c r="A24" t="s">
        <v>1336</v>
      </c>
      <c r="B24">
        <v>9</v>
      </c>
      <c r="C24">
        <v>5</v>
      </c>
      <c r="D24">
        <v>0</v>
      </c>
      <c r="E24" t="s">
        <v>1371</v>
      </c>
      <c r="F24">
        <v>7938</v>
      </c>
      <c r="G24">
        <v>10927702.5</v>
      </c>
      <c r="H24">
        <v>0.50555556888381636</v>
      </c>
      <c r="I24">
        <v>0.77037037037037037</v>
      </c>
      <c r="J24">
        <v>955457.08333333326</v>
      </c>
      <c r="K24">
        <v>12999</v>
      </c>
      <c r="L24">
        <v>2</v>
      </c>
      <c r="M24">
        <v>76</v>
      </c>
      <c r="N24">
        <v>0.69444444444444442</v>
      </c>
      <c r="O24">
        <v>1033436.1666666667</v>
      </c>
      <c r="P24">
        <v>13324</v>
      </c>
      <c r="Q24">
        <v>2</v>
      </c>
      <c r="R24">
        <v>77</v>
      </c>
      <c r="S24" t="s">
        <v>1954</v>
      </c>
      <c r="Y24">
        <f>Wine_pres_final[[#This Row],[mlp_params]]</f>
        <v>12999</v>
      </c>
      <c r="Z24">
        <f>IF((LEN(Wine_pres_final[[#This Row],[kan_width]])-LEN(SUBSTITUTE(Wine_pres_final[[#This Row],[kan_width]]," ","")))&gt;2,Wine_pres_final[[#This Row],[kan_test_acc]],"")</f>
        <v>0.50555556888381636</v>
      </c>
      <c r="AA24" t="str">
        <f>IF((LEN(Wine_pres_final[[#This Row],[kan_width]])-LEN(SUBSTITUTE(Wine_pres_final[[#This Row],[kan_width]]," ","")))&gt;2,"",Wine_pres_final[[#This Row],[kan_test_acc]])</f>
        <v/>
      </c>
      <c r="AB24">
        <f>Wine_pres_final[[#This Row],[mlp_test_acc]]</f>
        <v>0.77037037037037037</v>
      </c>
      <c r="AC24">
        <f>Wine_pres_final[[#This Row],[mlp_test_acc2]]</f>
        <v>0.69444444444444442</v>
      </c>
    </row>
    <row r="25" spans="1:29" hidden="1" x14ac:dyDescent="0.25">
      <c r="A25" t="s">
        <v>1336</v>
      </c>
      <c r="B25">
        <v>5</v>
      </c>
      <c r="C25">
        <v>5</v>
      </c>
      <c r="D25">
        <v>0</v>
      </c>
      <c r="E25" t="s">
        <v>1357</v>
      </c>
      <c r="F25">
        <v>5766</v>
      </c>
      <c r="G25">
        <v>10852763.25</v>
      </c>
      <c r="H25">
        <v>0.54074075818061829</v>
      </c>
      <c r="I25">
        <v>0.71111111111111103</v>
      </c>
      <c r="J25">
        <v>3871449.75</v>
      </c>
      <c r="K25">
        <v>10543</v>
      </c>
      <c r="L25">
        <v>2</v>
      </c>
      <c r="M25">
        <v>68</v>
      </c>
      <c r="N25">
        <v>0.66851851851851851</v>
      </c>
      <c r="O25">
        <v>4612174.166666667</v>
      </c>
      <c r="P25">
        <v>10836</v>
      </c>
      <c r="Q25">
        <v>2</v>
      </c>
      <c r="R25">
        <v>69</v>
      </c>
      <c r="S25" t="s">
        <v>1747</v>
      </c>
      <c r="Y25">
        <f>Wine_pres_final[[#This Row],[mlp_params]]</f>
        <v>10543</v>
      </c>
      <c r="Z25">
        <f>IF((LEN(Wine_pres_final[[#This Row],[kan_width]])-LEN(SUBSTITUTE(Wine_pres_final[[#This Row],[kan_width]]," ","")))&gt;2,Wine_pres_final[[#This Row],[kan_test_acc]],"")</f>
        <v>0.54074075818061829</v>
      </c>
      <c r="AA25" t="str">
        <f>IF((LEN(Wine_pres_final[[#This Row],[kan_width]])-LEN(SUBSTITUTE(Wine_pres_final[[#This Row],[kan_width]]," ","")))&gt;2,"",Wine_pres_final[[#This Row],[kan_test_acc]])</f>
        <v/>
      </c>
      <c r="AB25">
        <f>Wine_pres_final[[#This Row],[mlp_test_acc]]</f>
        <v>0.71111111111111103</v>
      </c>
      <c r="AC25">
        <f>Wine_pres_final[[#This Row],[mlp_test_acc2]]</f>
        <v>0.66851851851851851</v>
      </c>
    </row>
    <row r="26" spans="1:29" x14ac:dyDescent="0.25">
      <c r="A26" t="s">
        <v>1336</v>
      </c>
      <c r="B26">
        <v>9</v>
      </c>
      <c r="C26">
        <v>5</v>
      </c>
      <c r="D26">
        <v>0</v>
      </c>
      <c r="E26" t="s">
        <v>1359</v>
      </c>
      <c r="F26">
        <v>8076</v>
      </c>
      <c r="G26">
        <v>9253727.916666666</v>
      </c>
      <c r="H26">
        <v>0.52777779102325439</v>
      </c>
      <c r="I26">
        <v>0.72962962962962963</v>
      </c>
      <c r="J26">
        <v>1083652.25</v>
      </c>
      <c r="K26">
        <v>12999</v>
      </c>
      <c r="L26">
        <v>2</v>
      </c>
      <c r="M26">
        <v>76</v>
      </c>
      <c r="N26">
        <v>0.75</v>
      </c>
      <c r="O26">
        <v>755698.83333333326</v>
      </c>
      <c r="P26">
        <v>13324</v>
      </c>
      <c r="Q26">
        <v>2</v>
      </c>
      <c r="R26">
        <v>77</v>
      </c>
      <c r="S26" t="s">
        <v>1948</v>
      </c>
      <c r="Y26">
        <f>Wine_pres_final[[#This Row],[mlp_params]]</f>
        <v>12999</v>
      </c>
      <c r="Z26">
        <f>IF((LEN(Wine_pres_final[[#This Row],[kan_width]])-LEN(SUBSTITUTE(Wine_pres_final[[#This Row],[kan_width]]," ","")))&gt;2,Wine_pres_final[[#This Row],[kan_test_acc]],"")</f>
        <v>0.52777779102325439</v>
      </c>
      <c r="AA26" t="str">
        <f>IF((LEN(Wine_pres_final[[#This Row],[kan_width]])-LEN(SUBSTITUTE(Wine_pres_final[[#This Row],[kan_width]]," ","")))&gt;2,"",Wine_pres_final[[#This Row],[kan_test_acc]])</f>
        <v/>
      </c>
      <c r="AB26">
        <f>Wine_pres_final[[#This Row],[mlp_test_acc]]</f>
        <v>0.72962962962962963</v>
      </c>
      <c r="AC26">
        <f>Wine_pres_final[[#This Row],[mlp_test_acc2]]</f>
        <v>0.75</v>
      </c>
    </row>
    <row r="27" spans="1:29" hidden="1" x14ac:dyDescent="0.25">
      <c r="A27" t="s">
        <v>1336</v>
      </c>
      <c r="B27">
        <v>9</v>
      </c>
      <c r="C27">
        <v>4</v>
      </c>
      <c r="D27">
        <v>0</v>
      </c>
      <c r="E27" t="s">
        <v>1371</v>
      </c>
      <c r="F27">
        <v>7473</v>
      </c>
      <c r="G27">
        <v>11019485.166666668</v>
      </c>
      <c r="H27">
        <v>0.54444445918003714</v>
      </c>
      <c r="I27">
        <v>0.66296296296296298</v>
      </c>
      <c r="J27">
        <v>4112897.5833333335</v>
      </c>
      <c r="K27">
        <v>11434</v>
      </c>
      <c r="L27">
        <v>2</v>
      </c>
      <c r="M27">
        <v>71</v>
      </c>
      <c r="N27">
        <v>0.69444444444444442</v>
      </c>
      <c r="O27">
        <v>2741797.25</v>
      </c>
      <c r="P27">
        <v>11739</v>
      </c>
      <c r="Q27">
        <v>2</v>
      </c>
      <c r="R27">
        <v>72</v>
      </c>
      <c r="S27" t="s">
        <v>1904</v>
      </c>
      <c r="Y27">
        <f>Wine_pres_final[[#This Row],[mlp_params]]</f>
        <v>11434</v>
      </c>
      <c r="Z27">
        <f>IF((LEN(Wine_pres_final[[#This Row],[kan_width]])-LEN(SUBSTITUTE(Wine_pres_final[[#This Row],[kan_width]]," ","")))&gt;2,Wine_pres_final[[#This Row],[kan_test_acc]],"")</f>
        <v>0.54444445918003714</v>
      </c>
      <c r="AA27" t="str">
        <f>IF((LEN(Wine_pres_final[[#This Row],[kan_width]])-LEN(SUBSTITUTE(Wine_pres_final[[#This Row],[kan_width]]," ","")))&gt;2,"",Wine_pres_final[[#This Row],[kan_test_acc]])</f>
        <v/>
      </c>
      <c r="AB27">
        <f>Wine_pres_final[[#This Row],[mlp_test_acc]]</f>
        <v>0.66296296296296298</v>
      </c>
      <c r="AC27">
        <f>Wine_pres_final[[#This Row],[mlp_test_acc2]]</f>
        <v>0.69444444444444442</v>
      </c>
    </row>
    <row r="28" spans="1:29" hidden="1" x14ac:dyDescent="0.25">
      <c r="A28" t="s">
        <v>1336</v>
      </c>
      <c r="B28">
        <v>9</v>
      </c>
      <c r="C28">
        <v>4</v>
      </c>
      <c r="D28">
        <v>0</v>
      </c>
      <c r="E28" t="s">
        <v>1373</v>
      </c>
      <c r="F28">
        <v>8051</v>
      </c>
      <c r="G28">
        <v>10500469.666666668</v>
      </c>
      <c r="H28">
        <v>0.54444445918003714</v>
      </c>
      <c r="I28">
        <v>0.68333333333333335</v>
      </c>
      <c r="J28">
        <v>5153941.166666667</v>
      </c>
      <c r="K28">
        <v>12361</v>
      </c>
      <c r="L28">
        <v>2</v>
      </c>
      <c r="M28">
        <v>74</v>
      </c>
      <c r="N28">
        <v>0.69444444444444442</v>
      </c>
      <c r="O28">
        <v>1949509.0833333335</v>
      </c>
      <c r="P28">
        <v>12678</v>
      </c>
      <c r="Q28">
        <v>2</v>
      </c>
      <c r="R28">
        <v>75</v>
      </c>
      <c r="S28" t="s">
        <v>1905</v>
      </c>
      <c r="Y28">
        <f>Wine_pres_final[[#This Row],[mlp_params]]</f>
        <v>12361</v>
      </c>
      <c r="Z28">
        <f>IF((LEN(Wine_pres_final[[#This Row],[kan_width]])-LEN(SUBSTITUTE(Wine_pres_final[[#This Row],[kan_width]]," ","")))&gt;2,Wine_pres_final[[#This Row],[kan_test_acc]],"")</f>
        <v>0.54444445918003714</v>
      </c>
      <c r="AA28" t="str">
        <f>IF((LEN(Wine_pres_final[[#This Row],[kan_width]])-LEN(SUBSTITUTE(Wine_pres_final[[#This Row],[kan_width]]," ","")))&gt;2,"",Wine_pres_final[[#This Row],[kan_test_acc]])</f>
        <v/>
      </c>
      <c r="AB28">
        <f>Wine_pres_final[[#This Row],[mlp_test_acc]]</f>
        <v>0.68333333333333335</v>
      </c>
      <c r="AC28">
        <f>Wine_pres_final[[#This Row],[mlp_test_acc2]]</f>
        <v>0.69444444444444442</v>
      </c>
    </row>
    <row r="29" spans="1:29" hidden="1" x14ac:dyDescent="0.25">
      <c r="A29" t="s">
        <v>1336</v>
      </c>
      <c r="B29">
        <v>9</v>
      </c>
      <c r="C29">
        <v>4</v>
      </c>
      <c r="D29">
        <v>0</v>
      </c>
      <c r="E29" t="s">
        <v>1417</v>
      </c>
      <c r="F29">
        <v>9397</v>
      </c>
      <c r="G29">
        <v>10480006.666666668</v>
      </c>
      <c r="H29">
        <v>0.54444445918003725</v>
      </c>
      <c r="I29">
        <v>0.73333333333333339</v>
      </c>
      <c r="J29">
        <v>7593848.75</v>
      </c>
      <c r="K29">
        <v>14323</v>
      </c>
      <c r="L29">
        <v>2</v>
      </c>
      <c r="M29">
        <v>80</v>
      </c>
      <c r="N29">
        <v>0.71296296296296302</v>
      </c>
      <c r="O29">
        <v>7718010.833333334</v>
      </c>
      <c r="P29">
        <v>14664</v>
      </c>
      <c r="Q29">
        <v>2</v>
      </c>
      <c r="R29">
        <v>81</v>
      </c>
      <c r="S29" t="s">
        <v>1927</v>
      </c>
      <c r="Y29">
        <f>Wine_pres_final[[#This Row],[mlp_params]]</f>
        <v>14323</v>
      </c>
      <c r="Z29">
        <f>IF((LEN(Wine_pres_final[[#This Row],[kan_width]])-LEN(SUBSTITUTE(Wine_pres_final[[#This Row],[kan_width]]," ","")))&gt;2,Wine_pres_final[[#This Row],[kan_test_acc]],"")</f>
        <v>0.54444445918003725</v>
      </c>
      <c r="AA29" t="str">
        <f>IF((LEN(Wine_pres_final[[#This Row],[kan_width]])-LEN(SUBSTITUTE(Wine_pres_final[[#This Row],[kan_width]]," ","")))&gt;2,"",Wine_pres_final[[#This Row],[kan_test_acc]])</f>
        <v/>
      </c>
      <c r="AB29">
        <f>Wine_pres_final[[#This Row],[mlp_test_acc]]</f>
        <v>0.73333333333333339</v>
      </c>
      <c r="AC29">
        <f>Wine_pres_final[[#This Row],[mlp_test_acc2]]</f>
        <v>0.71296296296296302</v>
      </c>
    </row>
    <row r="30" spans="1:29" hidden="1" x14ac:dyDescent="0.25">
      <c r="A30" t="s">
        <v>1336</v>
      </c>
      <c r="B30">
        <v>9</v>
      </c>
      <c r="C30">
        <v>4</v>
      </c>
      <c r="D30">
        <v>0</v>
      </c>
      <c r="E30" t="s">
        <v>1391</v>
      </c>
      <c r="F30">
        <v>9655</v>
      </c>
      <c r="G30">
        <v>9089429.916666666</v>
      </c>
      <c r="H30">
        <v>0.5462963109215101</v>
      </c>
      <c r="I30">
        <v>0.67962962962962958</v>
      </c>
      <c r="J30">
        <v>641892.16666666674</v>
      </c>
      <c r="K30">
        <v>15009</v>
      </c>
      <c r="L30">
        <v>2</v>
      </c>
      <c r="M30">
        <v>82</v>
      </c>
      <c r="N30">
        <v>0.70555555555555549</v>
      </c>
      <c r="O30">
        <v>585763.75</v>
      </c>
      <c r="P30">
        <v>15358</v>
      </c>
      <c r="Q30">
        <v>2</v>
      </c>
      <c r="R30">
        <v>83</v>
      </c>
      <c r="S30" t="s">
        <v>1914</v>
      </c>
      <c r="Y30">
        <f>Wine_pres_final[[#This Row],[mlp_params]]</f>
        <v>15009</v>
      </c>
      <c r="Z30">
        <f>IF((LEN(Wine_pres_final[[#This Row],[kan_width]])-LEN(SUBSTITUTE(Wine_pres_final[[#This Row],[kan_width]]," ","")))&gt;2,Wine_pres_final[[#This Row],[kan_test_acc]],"")</f>
        <v>0.5462963109215101</v>
      </c>
      <c r="AA30" t="str">
        <f>IF((LEN(Wine_pres_final[[#This Row],[kan_width]])-LEN(SUBSTITUTE(Wine_pres_final[[#This Row],[kan_width]]," ","")))&gt;2,"",Wine_pres_final[[#This Row],[kan_test_acc]])</f>
        <v/>
      </c>
      <c r="AB30">
        <f>Wine_pres_final[[#This Row],[mlp_test_acc]]</f>
        <v>0.67962962962962958</v>
      </c>
      <c r="AC30">
        <f>Wine_pres_final[[#This Row],[mlp_test_acc2]]</f>
        <v>0.70555555555555549</v>
      </c>
    </row>
    <row r="31" spans="1:29" hidden="1" x14ac:dyDescent="0.25">
      <c r="A31" t="s">
        <v>1336</v>
      </c>
      <c r="B31">
        <v>9</v>
      </c>
      <c r="C31">
        <v>4</v>
      </c>
      <c r="D31">
        <v>0</v>
      </c>
      <c r="E31" t="s">
        <v>1405</v>
      </c>
      <c r="F31">
        <v>9975</v>
      </c>
      <c r="G31">
        <v>9111165.6666666679</v>
      </c>
      <c r="H31">
        <v>0.54629631588856375</v>
      </c>
      <c r="I31">
        <v>0.69629629629629619</v>
      </c>
      <c r="J31">
        <v>970219.91666666674</v>
      </c>
      <c r="K31">
        <v>15358</v>
      </c>
      <c r="L31">
        <v>2</v>
      </c>
      <c r="M31">
        <v>83</v>
      </c>
      <c r="N31">
        <v>0.7</v>
      </c>
      <c r="O31">
        <v>1306711.5833333335</v>
      </c>
      <c r="P31">
        <v>15711</v>
      </c>
      <c r="Q31">
        <v>2</v>
      </c>
      <c r="R31">
        <v>84</v>
      </c>
      <c r="S31" t="s">
        <v>1921</v>
      </c>
      <c r="Y31">
        <f>Wine_pres_final[[#This Row],[mlp_params]]</f>
        <v>15358</v>
      </c>
      <c r="Z31">
        <f>IF((LEN(Wine_pres_final[[#This Row],[kan_width]])-LEN(SUBSTITUTE(Wine_pres_final[[#This Row],[kan_width]]," ","")))&gt;2,Wine_pres_final[[#This Row],[kan_test_acc]],"")</f>
        <v>0.54629631588856375</v>
      </c>
      <c r="AA31" t="str">
        <f>IF((LEN(Wine_pres_final[[#This Row],[kan_width]])-LEN(SUBSTITUTE(Wine_pres_final[[#This Row],[kan_width]]," ","")))&gt;2,"",Wine_pres_final[[#This Row],[kan_test_acc]])</f>
        <v/>
      </c>
      <c r="AB31">
        <f>Wine_pres_final[[#This Row],[mlp_test_acc]]</f>
        <v>0.69629629629629619</v>
      </c>
      <c r="AC31">
        <f>Wine_pres_final[[#This Row],[mlp_test_acc2]]</f>
        <v>0.7</v>
      </c>
    </row>
    <row r="32" spans="1:29" hidden="1" x14ac:dyDescent="0.25">
      <c r="A32" t="s">
        <v>1336</v>
      </c>
      <c r="B32">
        <v>9</v>
      </c>
      <c r="C32">
        <v>4</v>
      </c>
      <c r="D32">
        <v>0</v>
      </c>
      <c r="E32" t="s">
        <v>1357</v>
      </c>
      <c r="F32">
        <v>7089</v>
      </c>
      <c r="G32">
        <v>9079092.25</v>
      </c>
      <c r="H32">
        <v>0.55000001440445589</v>
      </c>
      <c r="I32">
        <v>0.63888888888888884</v>
      </c>
      <c r="J32">
        <v>6852749.666666666</v>
      </c>
      <c r="K32">
        <v>10836</v>
      </c>
      <c r="L32">
        <v>2</v>
      </c>
      <c r="M32">
        <v>69</v>
      </c>
      <c r="N32">
        <v>0.71481481481481479</v>
      </c>
      <c r="O32">
        <v>3512753.583333333</v>
      </c>
      <c r="P32">
        <v>11133</v>
      </c>
      <c r="Q32">
        <v>2</v>
      </c>
      <c r="R32">
        <v>70</v>
      </c>
      <c r="S32" t="s">
        <v>1897</v>
      </c>
      <c r="Y32">
        <f>Wine_pres_final[[#This Row],[mlp_params]]</f>
        <v>10836</v>
      </c>
      <c r="Z32">
        <f>IF((LEN(Wine_pres_final[[#This Row],[kan_width]])-LEN(SUBSTITUTE(Wine_pres_final[[#This Row],[kan_width]]," ","")))&gt;2,Wine_pres_final[[#This Row],[kan_test_acc]],"")</f>
        <v>0.55000001440445589</v>
      </c>
      <c r="AA32" t="str">
        <f>IF((LEN(Wine_pres_final[[#This Row],[kan_width]])-LEN(SUBSTITUTE(Wine_pres_final[[#This Row],[kan_width]]," ","")))&gt;2,"",Wine_pres_final[[#This Row],[kan_test_acc]])</f>
        <v/>
      </c>
      <c r="AB32">
        <f>Wine_pres_final[[#This Row],[mlp_test_acc]]</f>
        <v>0.63888888888888884</v>
      </c>
      <c r="AC32">
        <f>Wine_pres_final[[#This Row],[mlp_test_acc2]]</f>
        <v>0.71481481481481479</v>
      </c>
    </row>
    <row r="33" spans="1:29" hidden="1" x14ac:dyDescent="0.25">
      <c r="A33" t="s">
        <v>1336</v>
      </c>
      <c r="B33">
        <v>9</v>
      </c>
      <c r="C33">
        <v>4</v>
      </c>
      <c r="D33">
        <v>0</v>
      </c>
      <c r="E33" t="s">
        <v>1413</v>
      </c>
      <c r="F33">
        <v>12799</v>
      </c>
      <c r="G33">
        <v>11761108.5</v>
      </c>
      <c r="H33">
        <v>0.55185186614592863</v>
      </c>
      <c r="I33">
        <v>0.72592592592592586</v>
      </c>
      <c r="J33">
        <v>4313690.416666667</v>
      </c>
      <c r="K33">
        <v>19858</v>
      </c>
      <c r="L33">
        <v>2</v>
      </c>
      <c r="M33">
        <v>95</v>
      </c>
      <c r="N33">
        <v>0.77222222222222214</v>
      </c>
      <c r="O33">
        <v>5363333.666666667</v>
      </c>
      <c r="P33">
        <v>20259</v>
      </c>
      <c r="Q33">
        <v>2</v>
      </c>
      <c r="R33">
        <v>96</v>
      </c>
      <c r="S33" t="s">
        <v>1925</v>
      </c>
      <c r="Y33">
        <f>Wine_pres_final[[#This Row],[mlp_params]]</f>
        <v>19858</v>
      </c>
      <c r="Z33">
        <f>IF((LEN(Wine_pres_final[[#This Row],[kan_width]])-LEN(SUBSTITUTE(Wine_pres_final[[#This Row],[kan_width]]," ","")))&gt;2,Wine_pres_final[[#This Row],[kan_test_acc]],"")</f>
        <v>0.55185186614592863</v>
      </c>
      <c r="AA33" t="str">
        <f>IF((LEN(Wine_pres_final[[#This Row],[kan_width]])-LEN(SUBSTITUTE(Wine_pres_final[[#This Row],[kan_width]]," ","")))&gt;2,"",Wine_pres_final[[#This Row],[kan_test_acc]])</f>
        <v/>
      </c>
      <c r="AB33">
        <f>Wine_pres_final[[#This Row],[mlp_test_acc]]</f>
        <v>0.72592592592592586</v>
      </c>
      <c r="AC33">
        <f>Wine_pres_final[[#This Row],[mlp_test_acc2]]</f>
        <v>0.77222222222222214</v>
      </c>
    </row>
    <row r="34" spans="1:29" x14ac:dyDescent="0.25">
      <c r="A34" t="s">
        <v>1336</v>
      </c>
      <c r="B34">
        <v>9</v>
      </c>
      <c r="C34">
        <v>5</v>
      </c>
      <c r="D34">
        <v>0</v>
      </c>
      <c r="E34" t="s">
        <v>1385</v>
      </c>
      <c r="F34">
        <v>8210</v>
      </c>
      <c r="G34">
        <v>12880257.083333334</v>
      </c>
      <c r="H34">
        <v>0.58333335071802139</v>
      </c>
      <c r="I34">
        <v>0.72777777777777786</v>
      </c>
      <c r="J34">
        <v>4695506.25</v>
      </c>
      <c r="K34">
        <v>13324</v>
      </c>
      <c r="L34">
        <v>2</v>
      </c>
      <c r="M34">
        <v>77</v>
      </c>
      <c r="N34">
        <v>0.73518518518518516</v>
      </c>
      <c r="O34">
        <v>5025983.5</v>
      </c>
      <c r="P34">
        <v>13653</v>
      </c>
      <c r="Q34">
        <v>2</v>
      </c>
      <c r="R34">
        <v>78</v>
      </c>
      <c r="S34" t="s">
        <v>1961</v>
      </c>
      <c r="Y34">
        <f>Wine_pres_final[[#This Row],[mlp_params]]</f>
        <v>13324</v>
      </c>
      <c r="Z34">
        <f>IF((LEN(Wine_pres_final[[#This Row],[kan_width]])-LEN(SUBSTITUTE(Wine_pres_final[[#This Row],[kan_width]]," ","")))&gt;2,Wine_pres_final[[#This Row],[kan_test_acc]],"")</f>
        <v>0.58333335071802139</v>
      </c>
      <c r="AA34" t="str">
        <f>IF((LEN(Wine_pres_final[[#This Row],[kan_width]])-LEN(SUBSTITUTE(Wine_pres_final[[#This Row],[kan_width]]," ","")))&gt;2,"",Wine_pres_final[[#This Row],[kan_test_acc]])</f>
        <v/>
      </c>
      <c r="AB34">
        <f>Wine_pres_final[[#This Row],[mlp_test_acc]]</f>
        <v>0.72777777777777786</v>
      </c>
      <c r="AC34">
        <f>Wine_pres_final[[#This Row],[mlp_test_acc2]]</f>
        <v>0.73518518518518516</v>
      </c>
    </row>
    <row r="35" spans="1:29" hidden="1" x14ac:dyDescent="0.25">
      <c r="A35" t="s">
        <v>1336</v>
      </c>
      <c r="B35">
        <v>5</v>
      </c>
      <c r="C35">
        <v>5</v>
      </c>
      <c r="D35">
        <v>0</v>
      </c>
      <c r="E35" t="s">
        <v>1409</v>
      </c>
      <c r="F35">
        <v>9260</v>
      </c>
      <c r="G35">
        <v>15172914.333333332</v>
      </c>
      <c r="H35">
        <v>0.55370371540387464</v>
      </c>
      <c r="I35">
        <v>0.69444444444444442</v>
      </c>
      <c r="J35">
        <v>3191599.833333333</v>
      </c>
      <c r="K35">
        <v>16794</v>
      </c>
      <c r="L35">
        <v>2</v>
      </c>
      <c r="M35">
        <v>87</v>
      </c>
      <c r="N35">
        <v>0.70925925925925926</v>
      </c>
      <c r="O35">
        <v>2701212.583333333</v>
      </c>
      <c r="P35">
        <v>17163</v>
      </c>
      <c r="Q35">
        <v>2</v>
      </c>
      <c r="R35">
        <v>88</v>
      </c>
      <c r="S35" t="s">
        <v>1773</v>
      </c>
      <c r="Y35">
        <f>Wine_pres_final[[#This Row],[mlp_params]]</f>
        <v>16794</v>
      </c>
      <c r="Z35">
        <f>IF((LEN(Wine_pres_final[[#This Row],[kan_width]])-LEN(SUBSTITUTE(Wine_pres_final[[#This Row],[kan_width]]," ","")))&gt;2,Wine_pres_final[[#This Row],[kan_test_acc]],"")</f>
        <v>0.55370371540387464</v>
      </c>
      <c r="AA35" t="str">
        <f>IF((LEN(Wine_pres_final[[#This Row],[kan_width]])-LEN(SUBSTITUTE(Wine_pres_final[[#This Row],[kan_width]]," ","")))&gt;2,"",Wine_pres_final[[#This Row],[kan_test_acc]])</f>
        <v/>
      </c>
      <c r="AB35">
        <f>Wine_pres_final[[#This Row],[mlp_test_acc]]</f>
        <v>0.69444444444444442</v>
      </c>
      <c r="AC35">
        <f>Wine_pres_final[[#This Row],[mlp_test_acc2]]</f>
        <v>0.70925925925925926</v>
      </c>
    </row>
    <row r="36" spans="1:29" hidden="1" x14ac:dyDescent="0.25">
      <c r="A36" t="s">
        <v>1336</v>
      </c>
      <c r="B36">
        <v>9</v>
      </c>
      <c r="C36">
        <v>3</v>
      </c>
      <c r="D36">
        <v>0</v>
      </c>
      <c r="E36" t="s">
        <v>1397</v>
      </c>
      <c r="F36">
        <v>10860</v>
      </c>
      <c r="G36">
        <v>10118451.166666668</v>
      </c>
      <c r="H36">
        <v>0.55370372037092852</v>
      </c>
      <c r="I36">
        <v>0.72777777777777775</v>
      </c>
      <c r="J36">
        <v>6685370.166666666</v>
      </c>
      <c r="K36">
        <v>15711</v>
      </c>
      <c r="L36">
        <v>2</v>
      </c>
      <c r="M36">
        <v>84</v>
      </c>
      <c r="N36">
        <v>0.68518518518518523</v>
      </c>
      <c r="O36">
        <v>2700932.6666666665</v>
      </c>
      <c r="P36">
        <v>16068</v>
      </c>
      <c r="Q36">
        <v>2</v>
      </c>
      <c r="R36">
        <v>85</v>
      </c>
      <c r="S36" t="s">
        <v>1867</v>
      </c>
      <c r="Y36">
        <f>Wine_pres_final[[#This Row],[mlp_params]]</f>
        <v>15711</v>
      </c>
      <c r="Z36">
        <f>IF((LEN(Wine_pres_final[[#This Row],[kan_width]])-LEN(SUBSTITUTE(Wine_pres_final[[#This Row],[kan_width]]," ","")))&gt;2,Wine_pres_final[[#This Row],[kan_test_acc]],"")</f>
        <v>0.55370372037092852</v>
      </c>
      <c r="AA36" t="str">
        <f>IF((LEN(Wine_pres_final[[#This Row],[kan_width]])-LEN(SUBSTITUTE(Wine_pres_final[[#This Row],[kan_width]]," ","")))&gt;2,"",Wine_pres_final[[#This Row],[kan_test_acc]])</f>
        <v/>
      </c>
      <c r="AB36">
        <f>Wine_pres_final[[#This Row],[mlp_test_acc]]</f>
        <v>0.72777777777777775</v>
      </c>
      <c r="AC36">
        <f>Wine_pres_final[[#This Row],[mlp_test_acc2]]</f>
        <v>0.68518518518518523</v>
      </c>
    </row>
    <row r="37" spans="1:29" hidden="1" x14ac:dyDescent="0.25">
      <c r="A37" t="s">
        <v>1336</v>
      </c>
      <c r="B37">
        <v>5</v>
      </c>
      <c r="C37">
        <v>5</v>
      </c>
      <c r="D37">
        <v>0</v>
      </c>
      <c r="E37" t="s">
        <v>1371</v>
      </c>
      <c r="F37">
        <v>6078</v>
      </c>
      <c r="G37">
        <v>13412772.166666668</v>
      </c>
      <c r="H37">
        <v>0.55555557211240125</v>
      </c>
      <c r="I37">
        <v>0.68333333333333335</v>
      </c>
      <c r="J37">
        <v>5316573.833333334</v>
      </c>
      <c r="K37">
        <v>11133</v>
      </c>
      <c r="L37">
        <v>2</v>
      </c>
      <c r="M37">
        <v>70</v>
      </c>
      <c r="N37">
        <v>0.71666666666666656</v>
      </c>
      <c r="O37">
        <v>2317895.5833333335</v>
      </c>
      <c r="P37">
        <v>11434</v>
      </c>
      <c r="Q37">
        <v>2</v>
      </c>
      <c r="R37">
        <v>71</v>
      </c>
      <c r="S37" t="s">
        <v>1754</v>
      </c>
      <c r="Y37">
        <f>Wine_pres_final[[#This Row],[mlp_params]]</f>
        <v>11133</v>
      </c>
      <c r="Z37">
        <f>IF((LEN(Wine_pres_final[[#This Row],[kan_width]])-LEN(SUBSTITUTE(Wine_pres_final[[#This Row],[kan_width]]," ","")))&gt;2,Wine_pres_final[[#This Row],[kan_test_acc]],"")</f>
        <v>0.55555557211240125</v>
      </c>
      <c r="AA37" t="str">
        <f>IF((LEN(Wine_pres_final[[#This Row],[kan_width]])-LEN(SUBSTITUTE(Wine_pres_final[[#This Row],[kan_width]]," ","")))&gt;2,"",Wine_pres_final[[#This Row],[kan_test_acc]])</f>
        <v/>
      </c>
      <c r="AB37">
        <f>Wine_pres_final[[#This Row],[mlp_test_acc]]</f>
        <v>0.68333333333333335</v>
      </c>
      <c r="AC37">
        <f>Wine_pres_final[[#This Row],[mlp_test_acc2]]</f>
        <v>0.71666666666666656</v>
      </c>
    </row>
    <row r="38" spans="1:29" x14ac:dyDescent="0.25">
      <c r="A38" t="s">
        <v>1336</v>
      </c>
      <c r="B38">
        <v>9</v>
      </c>
      <c r="C38">
        <v>5</v>
      </c>
      <c r="D38">
        <v>0</v>
      </c>
      <c r="E38" t="s">
        <v>1373</v>
      </c>
      <c r="F38">
        <v>8552</v>
      </c>
      <c r="G38">
        <v>10115315.333333332</v>
      </c>
      <c r="H38">
        <v>0.56111112733681989</v>
      </c>
      <c r="I38">
        <v>0.72592592592592586</v>
      </c>
      <c r="J38">
        <v>888842.5</v>
      </c>
      <c r="K38">
        <v>13986</v>
      </c>
      <c r="L38">
        <v>2</v>
      </c>
      <c r="M38">
        <v>79</v>
      </c>
      <c r="N38">
        <v>0.75740740740740742</v>
      </c>
      <c r="O38">
        <v>833691.83333333326</v>
      </c>
      <c r="P38">
        <v>14323</v>
      </c>
      <c r="Q38">
        <v>2</v>
      </c>
      <c r="R38">
        <v>80</v>
      </c>
      <c r="S38" t="s">
        <v>1955</v>
      </c>
      <c r="Y38">
        <f>Wine_pres_final[[#This Row],[mlp_params]]</f>
        <v>13986</v>
      </c>
      <c r="Z38">
        <f>IF((LEN(Wine_pres_final[[#This Row],[kan_width]])-LEN(SUBSTITUTE(Wine_pres_final[[#This Row],[kan_width]]," ","")))&gt;2,Wine_pres_final[[#This Row],[kan_test_acc]],"")</f>
        <v>0.56111112733681989</v>
      </c>
      <c r="AA38" t="str">
        <f>IF((LEN(Wine_pres_final[[#This Row],[kan_width]])-LEN(SUBSTITUTE(Wine_pres_final[[#This Row],[kan_width]]," ","")))&gt;2,"",Wine_pres_final[[#This Row],[kan_test_acc]])</f>
        <v/>
      </c>
      <c r="AB38">
        <f>Wine_pres_final[[#This Row],[mlp_test_acc]]</f>
        <v>0.72592592592592586</v>
      </c>
      <c r="AC38">
        <f>Wine_pres_final[[#This Row],[mlp_test_acc2]]</f>
        <v>0.75740740740740742</v>
      </c>
    </row>
    <row r="39" spans="1:29" hidden="1" x14ac:dyDescent="0.25">
      <c r="A39" t="s">
        <v>1336</v>
      </c>
      <c r="B39">
        <v>9</v>
      </c>
      <c r="C39">
        <v>4</v>
      </c>
      <c r="D39">
        <v>0</v>
      </c>
      <c r="E39" t="s">
        <v>1403</v>
      </c>
      <c r="F39">
        <v>9269</v>
      </c>
      <c r="G39">
        <v>9069028.4166666679</v>
      </c>
      <c r="H39">
        <v>0.55740742385387421</v>
      </c>
      <c r="I39">
        <v>0.72592592592592586</v>
      </c>
      <c r="J39">
        <v>3755120.5833333335</v>
      </c>
      <c r="K39">
        <v>14323</v>
      </c>
      <c r="L39">
        <v>2</v>
      </c>
      <c r="M39">
        <v>80</v>
      </c>
      <c r="N39">
        <v>0.69814814814814818</v>
      </c>
      <c r="O39">
        <v>4145015.5833333335</v>
      </c>
      <c r="P39">
        <v>14664</v>
      </c>
      <c r="Q39">
        <v>2</v>
      </c>
      <c r="R39">
        <v>81</v>
      </c>
      <c r="S39" t="s">
        <v>1920</v>
      </c>
      <c r="Y39">
        <f>Wine_pres_final[[#This Row],[mlp_params]]</f>
        <v>14323</v>
      </c>
      <c r="Z39">
        <f>IF((LEN(Wine_pres_final[[#This Row],[kan_width]])-LEN(SUBSTITUTE(Wine_pres_final[[#This Row],[kan_width]]," ","")))&gt;2,Wine_pres_final[[#This Row],[kan_test_acc]],"")</f>
        <v>0.55740742385387421</v>
      </c>
      <c r="AA39" t="str">
        <f>IF((LEN(Wine_pres_final[[#This Row],[kan_width]])-LEN(SUBSTITUTE(Wine_pres_final[[#This Row],[kan_width]]," ","")))&gt;2,"",Wine_pres_final[[#This Row],[kan_test_acc]])</f>
        <v/>
      </c>
      <c r="AB39">
        <f>Wine_pres_final[[#This Row],[mlp_test_acc]]</f>
        <v>0.72592592592592586</v>
      </c>
      <c r="AC39">
        <f>Wine_pres_final[[#This Row],[mlp_test_acc2]]</f>
        <v>0.69814814814814818</v>
      </c>
    </row>
    <row r="40" spans="1:29" x14ac:dyDescent="0.25">
      <c r="A40" t="s">
        <v>1336</v>
      </c>
      <c r="B40">
        <v>9</v>
      </c>
      <c r="C40">
        <v>5</v>
      </c>
      <c r="D40">
        <v>0</v>
      </c>
      <c r="E40" t="s">
        <v>1361</v>
      </c>
      <c r="F40">
        <v>8622</v>
      </c>
      <c r="G40">
        <v>10101067.75</v>
      </c>
      <c r="H40">
        <v>0.57592594126860308</v>
      </c>
      <c r="I40">
        <v>0.70925925925925926</v>
      </c>
      <c r="J40">
        <v>1067456.5</v>
      </c>
      <c r="K40">
        <v>13986</v>
      </c>
      <c r="L40">
        <v>2</v>
      </c>
      <c r="M40">
        <v>79</v>
      </c>
      <c r="N40">
        <v>0.76851851851851849</v>
      </c>
      <c r="O40">
        <v>619463.25</v>
      </c>
      <c r="P40">
        <v>14323</v>
      </c>
      <c r="Q40">
        <v>2</v>
      </c>
      <c r="R40">
        <v>80</v>
      </c>
      <c r="S40" t="s">
        <v>1949</v>
      </c>
      <c r="Y40">
        <f>Wine_pres_final[[#This Row],[mlp_params]]</f>
        <v>13986</v>
      </c>
      <c r="Z40">
        <f>IF((LEN(Wine_pres_final[[#This Row],[kan_width]])-LEN(SUBSTITUTE(Wine_pres_final[[#This Row],[kan_width]]," ","")))&gt;2,Wine_pres_final[[#This Row],[kan_test_acc]],"")</f>
        <v>0.57592594126860308</v>
      </c>
      <c r="AA40" t="str">
        <f>IF((LEN(Wine_pres_final[[#This Row],[kan_width]])-LEN(SUBSTITUTE(Wine_pres_final[[#This Row],[kan_width]]," ","")))&gt;2,"",Wine_pres_final[[#This Row],[kan_test_acc]])</f>
        <v/>
      </c>
      <c r="AB40">
        <f>Wine_pres_final[[#This Row],[mlp_test_acc]]</f>
        <v>0.70925925925925926</v>
      </c>
      <c r="AC40">
        <f>Wine_pres_final[[#This Row],[mlp_test_acc2]]</f>
        <v>0.76851851851851849</v>
      </c>
    </row>
    <row r="41" spans="1:29" hidden="1" x14ac:dyDescent="0.25">
      <c r="A41" t="s">
        <v>1336</v>
      </c>
      <c r="B41">
        <v>9</v>
      </c>
      <c r="C41">
        <v>3</v>
      </c>
      <c r="D41">
        <v>0</v>
      </c>
      <c r="E41" t="s">
        <v>1399</v>
      </c>
      <c r="F41">
        <v>11462</v>
      </c>
      <c r="G41">
        <v>12627872.25</v>
      </c>
      <c r="H41">
        <v>0.55925927807887399</v>
      </c>
      <c r="I41">
        <v>0.66666666666666663</v>
      </c>
      <c r="J41">
        <v>5366782.583333333</v>
      </c>
      <c r="K41">
        <v>16429</v>
      </c>
      <c r="L41">
        <v>2</v>
      </c>
      <c r="M41">
        <v>86</v>
      </c>
      <c r="N41">
        <v>0.66666666666666674</v>
      </c>
      <c r="O41">
        <v>4807625.75</v>
      </c>
      <c r="P41">
        <v>16794</v>
      </c>
      <c r="Q41">
        <v>2</v>
      </c>
      <c r="R41">
        <v>87</v>
      </c>
      <c r="S41" t="s">
        <v>1868</v>
      </c>
      <c r="Y41">
        <f>Wine_pres_final[[#This Row],[mlp_params]]</f>
        <v>16429</v>
      </c>
      <c r="Z41">
        <f>IF((LEN(Wine_pres_final[[#This Row],[kan_width]])-LEN(SUBSTITUTE(Wine_pres_final[[#This Row],[kan_width]]," ","")))&gt;2,Wine_pres_final[[#This Row],[kan_test_acc]],"")</f>
        <v>0.55925927807887399</v>
      </c>
      <c r="AA41" t="str">
        <f>IF((LEN(Wine_pres_final[[#This Row],[kan_width]])-LEN(SUBSTITUTE(Wine_pres_final[[#This Row],[kan_width]]," ","")))&gt;2,"",Wine_pres_final[[#This Row],[kan_test_acc]])</f>
        <v/>
      </c>
      <c r="AB41">
        <f>Wine_pres_final[[#This Row],[mlp_test_acc]]</f>
        <v>0.66666666666666663</v>
      </c>
      <c r="AC41">
        <f>Wine_pres_final[[#This Row],[mlp_test_acc2]]</f>
        <v>0.66666666666666674</v>
      </c>
    </row>
    <row r="42" spans="1:29" hidden="1" x14ac:dyDescent="0.25">
      <c r="A42" t="s">
        <v>1336</v>
      </c>
      <c r="B42">
        <v>9</v>
      </c>
      <c r="C42">
        <v>4</v>
      </c>
      <c r="D42">
        <v>0</v>
      </c>
      <c r="E42" t="s">
        <v>1355</v>
      </c>
      <c r="F42">
        <v>6575</v>
      </c>
      <c r="G42">
        <v>13334912.541666668</v>
      </c>
      <c r="H42">
        <v>0.56111112236976624</v>
      </c>
      <c r="I42">
        <v>0.66666666666666663</v>
      </c>
      <c r="J42">
        <v>3590677.541666667</v>
      </c>
      <c r="K42">
        <v>10254</v>
      </c>
      <c r="L42">
        <v>2</v>
      </c>
      <c r="M42">
        <v>67</v>
      </c>
      <c r="N42">
        <v>0.68888888888888888</v>
      </c>
      <c r="O42">
        <v>2647208.666666667</v>
      </c>
      <c r="P42">
        <v>10543</v>
      </c>
      <c r="Q42">
        <v>2</v>
      </c>
      <c r="R42">
        <v>68</v>
      </c>
      <c r="S42" t="s">
        <v>1896</v>
      </c>
      <c r="Y42">
        <f>Wine_pres_final[[#This Row],[mlp_params]]</f>
        <v>10254</v>
      </c>
      <c r="Z42">
        <f>IF((LEN(Wine_pres_final[[#This Row],[kan_width]])-LEN(SUBSTITUTE(Wine_pres_final[[#This Row],[kan_width]]," ","")))&gt;2,Wine_pres_final[[#This Row],[kan_test_acc]],"")</f>
        <v>0.56111112236976624</v>
      </c>
      <c r="AA42" t="str">
        <f>IF((LEN(Wine_pres_final[[#This Row],[kan_width]])-LEN(SUBSTITUTE(Wine_pres_final[[#This Row],[kan_width]]," ","")))&gt;2,"",Wine_pres_final[[#This Row],[kan_test_acc]])</f>
        <v/>
      </c>
      <c r="AB42">
        <f>Wine_pres_final[[#This Row],[mlp_test_acc]]</f>
        <v>0.66666666666666663</v>
      </c>
      <c r="AC42">
        <f>Wine_pres_final[[#This Row],[mlp_test_acc2]]</f>
        <v>0.68888888888888888</v>
      </c>
    </row>
    <row r="43" spans="1:29" hidden="1" x14ac:dyDescent="0.25">
      <c r="A43" t="s">
        <v>1336</v>
      </c>
      <c r="B43">
        <v>9</v>
      </c>
      <c r="C43">
        <v>4</v>
      </c>
      <c r="D43">
        <v>0</v>
      </c>
      <c r="E43" t="s">
        <v>1419</v>
      </c>
      <c r="F43">
        <v>10167</v>
      </c>
      <c r="G43">
        <v>9172753.9166666679</v>
      </c>
      <c r="H43">
        <v>0.56111112485329318</v>
      </c>
      <c r="I43">
        <v>0.71481481481481479</v>
      </c>
      <c r="J43">
        <v>4400339.666666666</v>
      </c>
      <c r="K43">
        <v>15711</v>
      </c>
      <c r="L43">
        <v>2</v>
      </c>
      <c r="M43">
        <v>84</v>
      </c>
      <c r="N43">
        <v>0.73518518518518516</v>
      </c>
      <c r="O43">
        <v>3876792.75</v>
      </c>
      <c r="P43">
        <v>16068</v>
      </c>
      <c r="Q43">
        <v>2</v>
      </c>
      <c r="R43">
        <v>85</v>
      </c>
      <c r="S43" t="s">
        <v>1928</v>
      </c>
      <c r="Y43">
        <f>Wine_pres_final[[#This Row],[mlp_params]]</f>
        <v>15711</v>
      </c>
      <c r="Z43">
        <f>IF((LEN(Wine_pres_final[[#This Row],[kan_width]])-LEN(SUBSTITUTE(Wine_pres_final[[#This Row],[kan_width]]," ","")))&gt;2,Wine_pres_final[[#This Row],[kan_test_acc]],"")</f>
        <v>0.56111112485329318</v>
      </c>
      <c r="AA43" t="str">
        <f>IF((LEN(Wine_pres_final[[#This Row],[kan_width]])-LEN(SUBSTITUTE(Wine_pres_final[[#This Row],[kan_width]]," ","")))&gt;2,"",Wine_pres_final[[#This Row],[kan_test_acc]])</f>
        <v/>
      </c>
      <c r="AB43">
        <f>Wine_pres_final[[#This Row],[mlp_test_acc]]</f>
        <v>0.71481481481481479</v>
      </c>
      <c r="AC43">
        <f>Wine_pres_final[[#This Row],[mlp_test_acc2]]</f>
        <v>0.73518518518518516</v>
      </c>
    </row>
    <row r="44" spans="1:29" x14ac:dyDescent="0.25">
      <c r="A44" t="s">
        <v>1336</v>
      </c>
      <c r="B44">
        <v>9</v>
      </c>
      <c r="C44">
        <v>5</v>
      </c>
      <c r="D44">
        <v>0</v>
      </c>
      <c r="E44" t="s">
        <v>1387</v>
      </c>
      <c r="F44">
        <v>8892</v>
      </c>
      <c r="G44">
        <v>11895709.583333334</v>
      </c>
      <c r="H44">
        <v>0.57962964723507571</v>
      </c>
      <c r="I44">
        <v>0.70370370370370372</v>
      </c>
      <c r="J44">
        <v>3902001.75</v>
      </c>
      <c r="K44">
        <v>14323</v>
      </c>
      <c r="L44">
        <v>2</v>
      </c>
      <c r="M44">
        <v>80</v>
      </c>
      <c r="N44">
        <v>0.71296296296296302</v>
      </c>
      <c r="O44">
        <v>4207438</v>
      </c>
      <c r="P44">
        <v>14664</v>
      </c>
      <c r="Q44">
        <v>2</v>
      </c>
      <c r="R44">
        <v>81</v>
      </c>
      <c r="S44" t="s">
        <v>1962</v>
      </c>
      <c r="Y44">
        <f>Wine_pres_final[[#This Row],[mlp_params]]</f>
        <v>14323</v>
      </c>
      <c r="Z44">
        <f>IF((LEN(Wine_pres_final[[#This Row],[kan_width]])-LEN(SUBSTITUTE(Wine_pres_final[[#This Row],[kan_width]]," ","")))&gt;2,Wine_pres_final[[#This Row],[kan_test_acc]],"")</f>
        <v>0.57962964723507571</v>
      </c>
      <c r="AA44" t="str">
        <f>IF((LEN(Wine_pres_final[[#This Row],[kan_width]])-LEN(SUBSTITUTE(Wine_pres_final[[#This Row],[kan_width]]," ","")))&gt;2,"",Wine_pres_final[[#This Row],[kan_test_acc]])</f>
        <v/>
      </c>
      <c r="AB44">
        <f>Wine_pres_final[[#This Row],[mlp_test_acc]]</f>
        <v>0.70370370370370372</v>
      </c>
      <c r="AC44">
        <f>Wine_pres_final[[#This Row],[mlp_test_acc2]]</f>
        <v>0.71296296296296302</v>
      </c>
    </row>
    <row r="45" spans="1:29" hidden="1" x14ac:dyDescent="0.25">
      <c r="A45" t="s">
        <v>1336</v>
      </c>
      <c r="B45">
        <v>9</v>
      </c>
      <c r="C45">
        <v>4</v>
      </c>
      <c r="D45">
        <v>0</v>
      </c>
      <c r="E45" t="s">
        <v>1409</v>
      </c>
      <c r="F45">
        <v>11387</v>
      </c>
      <c r="G45">
        <v>8572214.833333334</v>
      </c>
      <c r="H45">
        <v>0.56111112982034683</v>
      </c>
      <c r="I45">
        <v>0.73518518518518516</v>
      </c>
      <c r="J45">
        <v>919784.91666666674</v>
      </c>
      <c r="K45">
        <v>17536</v>
      </c>
      <c r="L45">
        <v>2</v>
      </c>
      <c r="M45">
        <v>89</v>
      </c>
      <c r="N45">
        <v>0.72592592592592586</v>
      </c>
      <c r="O45">
        <v>1233278.1666666665</v>
      </c>
      <c r="P45">
        <v>17913</v>
      </c>
      <c r="Q45">
        <v>2</v>
      </c>
      <c r="R45">
        <v>90</v>
      </c>
      <c r="S45" t="s">
        <v>1923</v>
      </c>
      <c r="Y45">
        <f>Wine_pres_final[[#This Row],[mlp_params]]</f>
        <v>17536</v>
      </c>
      <c r="Z45">
        <f>IF((LEN(Wine_pres_final[[#This Row],[kan_width]])-LEN(SUBSTITUTE(Wine_pres_final[[#This Row],[kan_width]]," ","")))&gt;2,Wine_pres_final[[#This Row],[kan_test_acc]],"")</f>
        <v>0.56111112982034683</v>
      </c>
      <c r="AA45" t="str">
        <f>IF((LEN(Wine_pres_final[[#This Row],[kan_width]])-LEN(SUBSTITUTE(Wine_pres_final[[#This Row],[kan_width]]," ","")))&gt;2,"",Wine_pres_final[[#This Row],[kan_test_acc]])</f>
        <v/>
      </c>
      <c r="AB45">
        <f>Wine_pres_final[[#This Row],[mlp_test_acc]]</f>
        <v>0.73518518518518516</v>
      </c>
      <c r="AC45">
        <f>Wine_pres_final[[#This Row],[mlp_test_acc2]]</f>
        <v>0.72592592592592586</v>
      </c>
    </row>
    <row r="46" spans="1:29" hidden="1" x14ac:dyDescent="0.25">
      <c r="A46" t="s">
        <v>1336</v>
      </c>
      <c r="B46">
        <v>9</v>
      </c>
      <c r="C46">
        <v>4</v>
      </c>
      <c r="D46">
        <v>0</v>
      </c>
      <c r="E46" t="s">
        <v>1393</v>
      </c>
      <c r="F46">
        <v>10297</v>
      </c>
      <c r="G46">
        <v>7974766.916666666</v>
      </c>
      <c r="H46">
        <v>0.56296298156181968</v>
      </c>
      <c r="I46">
        <v>0.73888888888888893</v>
      </c>
      <c r="J46">
        <v>800404.83333333337</v>
      </c>
      <c r="K46">
        <v>15711</v>
      </c>
      <c r="L46">
        <v>2</v>
      </c>
      <c r="M46">
        <v>84</v>
      </c>
      <c r="N46">
        <v>0.69814814814814818</v>
      </c>
      <c r="O46">
        <v>752409.16666666674</v>
      </c>
      <c r="P46">
        <v>16068</v>
      </c>
      <c r="Q46">
        <v>2</v>
      </c>
      <c r="R46">
        <v>85</v>
      </c>
      <c r="S46" t="s">
        <v>1915</v>
      </c>
      <c r="Y46">
        <f>Wine_pres_final[[#This Row],[mlp_params]]</f>
        <v>15711</v>
      </c>
      <c r="Z46">
        <f>IF((LEN(Wine_pres_final[[#This Row],[kan_width]])-LEN(SUBSTITUTE(Wine_pres_final[[#This Row],[kan_width]]," ","")))&gt;2,Wine_pres_final[[#This Row],[kan_test_acc]],"")</f>
        <v>0.56296298156181968</v>
      </c>
      <c r="AA46" t="str">
        <f>IF((LEN(Wine_pres_final[[#This Row],[kan_width]])-LEN(SUBSTITUTE(Wine_pres_final[[#This Row],[kan_width]]," ","")))&gt;2,"",Wine_pres_final[[#This Row],[kan_test_acc]])</f>
        <v/>
      </c>
      <c r="AB46">
        <f>Wine_pres_final[[#This Row],[mlp_test_acc]]</f>
        <v>0.73888888888888893</v>
      </c>
      <c r="AC46">
        <f>Wine_pres_final[[#This Row],[mlp_test_acc2]]</f>
        <v>0.69814814814814818</v>
      </c>
    </row>
    <row r="47" spans="1:29" hidden="1" x14ac:dyDescent="0.25">
      <c r="A47" t="s">
        <v>1336</v>
      </c>
      <c r="B47">
        <v>5</v>
      </c>
      <c r="C47">
        <v>5</v>
      </c>
      <c r="D47">
        <v>0</v>
      </c>
      <c r="E47" t="s">
        <v>1367</v>
      </c>
      <c r="F47">
        <v>7856</v>
      </c>
      <c r="G47">
        <v>15564987.833333334</v>
      </c>
      <c r="H47">
        <v>0.5666666800777117</v>
      </c>
      <c r="I47">
        <v>0.69259259259259265</v>
      </c>
      <c r="J47">
        <v>6238671.083333334</v>
      </c>
      <c r="K47">
        <v>14323</v>
      </c>
      <c r="L47">
        <v>2</v>
      </c>
      <c r="M47">
        <v>80</v>
      </c>
      <c r="N47">
        <v>0.69444444444444442</v>
      </c>
      <c r="O47">
        <v>3615979.333333333</v>
      </c>
      <c r="P47">
        <v>14664</v>
      </c>
      <c r="Q47">
        <v>2</v>
      </c>
      <c r="R47">
        <v>81</v>
      </c>
      <c r="S47" t="s">
        <v>1752</v>
      </c>
      <c r="Y47">
        <f>Wine_pres_final[[#This Row],[mlp_params]]</f>
        <v>14323</v>
      </c>
      <c r="Z47">
        <f>IF((LEN(Wine_pres_final[[#This Row],[kan_width]])-LEN(SUBSTITUTE(Wine_pres_final[[#This Row],[kan_width]]," ","")))&gt;2,Wine_pres_final[[#This Row],[kan_test_acc]],"")</f>
        <v>0.5666666800777117</v>
      </c>
      <c r="AA47" t="str">
        <f>IF((LEN(Wine_pres_final[[#This Row],[kan_width]])-LEN(SUBSTITUTE(Wine_pres_final[[#This Row],[kan_width]]," ","")))&gt;2,"",Wine_pres_final[[#This Row],[kan_test_acc]])</f>
        <v/>
      </c>
      <c r="AB47">
        <f>Wine_pres_final[[#This Row],[mlp_test_acc]]</f>
        <v>0.69259259259259265</v>
      </c>
      <c r="AC47">
        <f>Wine_pres_final[[#This Row],[mlp_test_acc2]]</f>
        <v>0.69444444444444442</v>
      </c>
    </row>
    <row r="48" spans="1:29" x14ac:dyDescent="0.25">
      <c r="A48" t="s">
        <v>1336</v>
      </c>
      <c r="B48">
        <v>9</v>
      </c>
      <c r="C48">
        <v>5</v>
      </c>
      <c r="D48">
        <v>0</v>
      </c>
      <c r="E48" t="s">
        <v>1401</v>
      </c>
      <c r="F48">
        <v>9096</v>
      </c>
      <c r="G48">
        <v>13161019.583333332</v>
      </c>
      <c r="H48">
        <v>0.52962964028120041</v>
      </c>
      <c r="I48">
        <v>0.71111111111111103</v>
      </c>
      <c r="J48">
        <v>6894208</v>
      </c>
      <c r="K48">
        <v>14664</v>
      </c>
      <c r="L48">
        <v>2</v>
      </c>
      <c r="M48">
        <v>81</v>
      </c>
      <c r="N48">
        <v>0.7592592592592593</v>
      </c>
      <c r="O48">
        <v>7932496.833333334</v>
      </c>
      <c r="P48">
        <v>15009</v>
      </c>
      <c r="Q48">
        <v>2</v>
      </c>
      <c r="R48">
        <v>82</v>
      </c>
      <c r="S48" t="s">
        <v>1969</v>
      </c>
      <c r="Y48">
        <f>Wine_pres_final[[#This Row],[mlp_params]]</f>
        <v>14664</v>
      </c>
      <c r="Z48">
        <f>IF((LEN(Wine_pres_final[[#This Row],[kan_width]])-LEN(SUBSTITUTE(Wine_pres_final[[#This Row],[kan_width]]," ","")))&gt;2,Wine_pres_final[[#This Row],[kan_test_acc]],"")</f>
        <v>0.52962964028120041</v>
      </c>
      <c r="AA48" t="str">
        <f>IF((LEN(Wine_pres_final[[#This Row],[kan_width]])-LEN(SUBSTITUTE(Wine_pres_final[[#This Row],[kan_width]]," ","")))&gt;2,"",Wine_pres_final[[#This Row],[kan_test_acc]])</f>
        <v/>
      </c>
      <c r="AB48">
        <f>Wine_pres_final[[#This Row],[mlp_test_acc]]</f>
        <v>0.71111111111111103</v>
      </c>
      <c r="AC48">
        <f>Wine_pres_final[[#This Row],[mlp_test_acc2]]</f>
        <v>0.7592592592592593</v>
      </c>
    </row>
    <row r="49" spans="1:29" hidden="1" x14ac:dyDescent="0.25">
      <c r="A49" t="s">
        <v>1336</v>
      </c>
      <c r="B49">
        <v>9</v>
      </c>
      <c r="C49">
        <v>4</v>
      </c>
      <c r="D49">
        <v>0</v>
      </c>
      <c r="E49" t="s">
        <v>1369</v>
      </c>
      <c r="F49">
        <v>6895</v>
      </c>
      <c r="G49">
        <v>9272765.8333333321</v>
      </c>
      <c r="H49">
        <v>0.56851853430271149</v>
      </c>
      <c r="I49">
        <v>0.70370370370370372</v>
      </c>
      <c r="J49">
        <v>742793.41666666674</v>
      </c>
      <c r="K49">
        <v>10543</v>
      </c>
      <c r="L49">
        <v>2</v>
      </c>
      <c r="M49">
        <v>68</v>
      </c>
      <c r="N49">
        <v>0.68333333333333335</v>
      </c>
      <c r="O49">
        <v>901156.83333333326</v>
      </c>
      <c r="P49">
        <v>10836</v>
      </c>
      <c r="Q49">
        <v>2</v>
      </c>
      <c r="R49">
        <v>69</v>
      </c>
      <c r="S49" t="s">
        <v>1903</v>
      </c>
      <c r="Y49">
        <f>Wine_pres_final[[#This Row],[mlp_params]]</f>
        <v>10543</v>
      </c>
      <c r="Z49">
        <f>IF((LEN(Wine_pres_final[[#This Row],[kan_width]])-LEN(SUBSTITUTE(Wine_pres_final[[#This Row],[kan_width]]," ","")))&gt;2,Wine_pres_final[[#This Row],[kan_test_acc]],"")</f>
        <v>0.56851853430271149</v>
      </c>
      <c r="AA49" t="str">
        <f>IF((LEN(Wine_pres_final[[#This Row],[kan_width]])-LEN(SUBSTITUTE(Wine_pres_final[[#This Row],[kan_width]]," ","")))&gt;2,"",Wine_pres_final[[#This Row],[kan_test_acc]])</f>
        <v/>
      </c>
      <c r="AB49">
        <f>Wine_pres_final[[#This Row],[mlp_test_acc]]</f>
        <v>0.70370370370370372</v>
      </c>
      <c r="AC49">
        <f>Wine_pres_final[[#This Row],[mlp_test_acc2]]</f>
        <v>0.68333333333333335</v>
      </c>
    </row>
    <row r="50" spans="1:29" hidden="1" x14ac:dyDescent="0.25">
      <c r="A50" t="s">
        <v>1336</v>
      </c>
      <c r="B50">
        <v>5</v>
      </c>
      <c r="C50">
        <v>5</v>
      </c>
      <c r="D50">
        <v>0</v>
      </c>
      <c r="E50" t="s">
        <v>1373</v>
      </c>
      <c r="F50">
        <v>6548</v>
      </c>
      <c r="G50">
        <v>12393946.416666668</v>
      </c>
      <c r="H50">
        <v>0.56851853926976514</v>
      </c>
      <c r="I50">
        <v>0.66111111111111109</v>
      </c>
      <c r="J50">
        <v>5683649</v>
      </c>
      <c r="K50">
        <v>12048</v>
      </c>
      <c r="L50">
        <v>2</v>
      </c>
      <c r="M50">
        <v>73</v>
      </c>
      <c r="N50">
        <v>0.67037037037037028</v>
      </c>
      <c r="O50">
        <v>1792902.5</v>
      </c>
      <c r="P50">
        <v>12361</v>
      </c>
      <c r="Q50">
        <v>2</v>
      </c>
      <c r="R50">
        <v>74</v>
      </c>
      <c r="S50" t="s">
        <v>1755</v>
      </c>
      <c r="Y50">
        <f>Wine_pres_final[[#This Row],[mlp_params]]</f>
        <v>12048</v>
      </c>
      <c r="Z50">
        <f>IF((LEN(Wine_pres_final[[#This Row],[kan_width]])-LEN(SUBSTITUTE(Wine_pres_final[[#This Row],[kan_width]]," ","")))&gt;2,Wine_pres_final[[#This Row],[kan_test_acc]],"")</f>
        <v>0.56851853926976514</v>
      </c>
      <c r="AA50" t="str">
        <f>IF((LEN(Wine_pres_final[[#This Row],[kan_width]])-LEN(SUBSTITUTE(Wine_pres_final[[#This Row],[kan_width]]," ","")))&gt;2,"",Wine_pres_final[[#This Row],[kan_test_acc]])</f>
        <v/>
      </c>
      <c r="AB50">
        <f>Wine_pres_final[[#This Row],[mlp_test_acc]]</f>
        <v>0.66111111111111109</v>
      </c>
      <c r="AC50">
        <f>Wine_pres_final[[#This Row],[mlp_test_acc2]]</f>
        <v>0.67037037037037028</v>
      </c>
    </row>
    <row r="51" spans="1:29" x14ac:dyDescent="0.25">
      <c r="A51" t="s">
        <v>1336</v>
      </c>
      <c r="B51">
        <v>9</v>
      </c>
      <c r="C51">
        <v>5</v>
      </c>
      <c r="D51">
        <v>0</v>
      </c>
      <c r="E51" t="s">
        <v>1375</v>
      </c>
      <c r="F51">
        <v>9166</v>
      </c>
      <c r="G51">
        <v>9476842.6666666679</v>
      </c>
      <c r="H51">
        <v>0.5240740912655989</v>
      </c>
      <c r="I51">
        <v>0.7</v>
      </c>
      <c r="J51">
        <v>954948.33333333326</v>
      </c>
      <c r="K51">
        <v>15009</v>
      </c>
      <c r="L51">
        <v>2</v>
      </c>
      <c r="M51">
        <v>82</v>
      </c>
      <c r="N51">
        <v>0.74629629629629624</v>
      </c>
      <c r="O51">
        <v>869550</v>
      </c>
      <c r="P51">
        <v>15358</v>
      </c>
      <c r="Q51">
        <v>2</v>
      </c>
      <c r="R51">
        <v>83</v>
      </c>
      <c r="S51" t="s">
        <v>1956</v>
      </c>
      <c r="Y51">
        <f>Wine_pres_final[[#This Row],[mlp_params]]</f>
        <v>15009</v>
      </c>
      <c r="Z51">
        <f>IF((LEN(Wine_pres_final[[#This Row],[kan_width]])-LEN(SUBSTITUTE(Wine_pres_final[[#This Row],[kan_width]]," ","")))&gt;2,Wine_pres_final[[#This Row],[kan_test_acc]],"")</f>
        <v>0.5240740912655989</v>
      </c>
      <c r="AA51" t="str">
        <f>IF((LEN(Wine_pres_final[[#This Row],[kan_width]])-LEN(SUBSTITUTE(Wine_pres_final[[#This Row],[kan_width]]," ","")))&gt;2,"",Wine_pres_final[[#This Row],[kan_test_acc]])</f>
        <v/>
      </c>
      <c r="AB51">
        <f>Wine_pres_final[[#This Row],[mlp_test_acc]]</f>
        <v>0.7</v>
      </c>
      <c r="AC51">
        <f>Wine_pres_final[[#This Row],[mlp_test_acc2]]</f>
        <v>0.74629629629629624</v>
      </c>
    </row>
    <row r="52" spans="1:29" hidden="1" x14ac:dyDescent="0.25">
      <c r="A52" t="s">
        <v>1336</v>
      </c>
      <c r="B52">
        <v>9</v>
      </c>
      <c r="C52">
        <v>4</v>
      </c>
      <c r="D52">
        <v>0</v>
      </c>
      <c r="E52" t="s">
        <v>1429</v>
      </c>
      <c r="F52">
        <v>14017</v>
      </c>
      <c r="G52">
        <v>11678083.25</v>
      </c>
      <c r="H52">
        <v>0.57037038604418444</v>
      </c>
      <c r="I52">
        <v>0.76481481481481484</v>
      </c>
      <c r="J52">
        <v>7956745.583333334</v>
      </c>
      <c r="K52">
        <v>21486</v>
      </c>
      <c r="L52">
        <v>2</v>
      </c>
      <c r="M52">
        <v>99</v>
      </c>
      <c r="N52">
        <v>0.72962962962962963</v>
      </c>
      <c r="O52">
        <v>8461256.416666666</v>
      </c>
      <c r="P52">
        <v>21903</v>
      </c>
      <c r="Q52">
        <v>2</v>
      </c>
      <c r="R52">
        <v>100</v>
      </c>
      <c r="S52" t="s">
        <v>1933</v>
      </c>
      <c r="Y52">
        <f>Wine_pres_final[[#This Row],[mlp_params]]</f>
        <v>21486</v>
      </c>
      <c r="Z52">
        <f>IF((LEN(Wine_pres_final[[#This Row],[kan_width]])-LEN(SUBSTITUTE(Wine_pres_final[[#This Row],[kan_width]]," ","")))&gt;2,Wine_pres_final[[#This Row],[kan_test_acc]],"")</f>
        <v>0.57037038604418444</v>
      </c>
      <c r="AA52" t="str">
        <f>IF((LEN(Wine_pres_final[[#This Row],[kan_width]])-LEN(SUBSTITUTE(Wine_pres_final[[#This Row],[kan_width]]," ","")))&gt;2,"",Wine_pres_final[[#This Row],[kan_test_acc]])</f>
        <v/>
      </c>
      <c r="AB52">
        <f>Wine_pres_final[[#This Row],[mlp_test_acc]]</f>
        <v>0.76481481481481484</v>
      </c>
      <c r="AC52">
        <f>Wine_pres_final[[#This Row],[mlp_test_acc2]]</f>
        <v>0.72962962962962963</v>
      </c>
    </row>
    <row r="53" spans="1:29" x14ac:dyDescent="0.25">
      <c r="A53" t="s">
        <v>1336</v>
      </c>
      <c r="B53">
        <v>9</v>
      </c>
      <c r="C53">
        <v>5</v>
      </c>
      <c r="D53">
        <v>0</v>
      </c>
      <c r="E53" t="s">
        <v>1363</v>
      </c>
      <c r="F53">
        <v>9168</v>
      </c>
      <c r="G53">
        <v>10257566.333333334</v>
      </c>
      <c r="H53">
        <v>0.52407408505678177</v>
      </c>
      <c r="I53">
        <v>0.687037037037037</v>
      </c>
      <c r="J53">
        <v>885484.83333333337</v>
      </c>
      <c r="K53">
        <v>15009</v>
      </c>
      <c r="L53">
        <v>2</v>
      </c>
      <c r="M53">
        <v>82</v>
      </c>
      <c r="N53">
        <v>0.74629629629629624</v>
      </c>
      <c r="O53">
        <v>609097.41666666674</v>
      </c>
      <c r="P53">
        <v>15358</v>
      </c>
      <c r="Q53">
        <v>2</v>
      </c>
      <c r="R53">
        <v>83</v>
      </c>
      <c r="S53" t="s">
        <v>1950</v>
      </c>
      <c r="Y53">
        <f>Wine_pres_final[[#This Row],[mlp_params]]</f>
        <v>15009</v>
      </c>
      <c r="Z53">
        <f>IF((LEN(Wine_pres_final[[#This Row],[kan_width]])-LEN(SUBSTITUTE(Wine_pres_final[[#This Row],[kan_width]]," ","")))&gt;2,Wine_pres_final[[#This Row],[kan_test_acc]],"")</f>
        <v>0.52407408505678177</v>
      </c>
      <c r="AA53" t="str">
        <f>IF((LEN(Wine_pres_final[[#This Row],[kan_width]])-LEN(SUBSTITUTE(Wine_pres_final[[#This Row],[kan_width]]," ","")))&gt;2,"",Wine_pres_final[[#This Row],[kan_test_acc]])</f>
        <v/>
      </c>
      <c r="AB53">
        <f>Wine_pres_final[[#This Row],[mlp_test_acc]]</f>
        <v>0.687037037037037</v>
      </c>
      <c r="AC53">
        <f>Wine_pres_final[[#This Row],[mlp_test_acc2]]</f>
        <v>0.74629629629629624</v>
      </c>
    </row>
    <row r="54" spans="1:29" hidden="1" x14ac:dyDescent="0.25">
      <c r="A54" t="s">
        <v>1336</v>
      </c>
      <c r="B54">
        <v>9</v>
      </c>
      <c r="C54">
        <v>4</v>
      </c>
      <c r="D54">
        <v>0</v>
      </c>
      <c r="E54" t="s">
        <v>1401</v>
      </c>
      <c r="F54">
        <v>8563</v>
      </c>
      <c r="G54">
        <v>10030050.75</v>
      </c>
      <c r="H54">
        <v>0.57777779301007592</v>
      </c>
      <c r="I54">
        <v>0.75370370370370376</v>
      </c>
      <c r="J54">
        <v>4183137.5833333335</v>
      </c>
      <c r="K54">
        <v>13324</v>
      </c>
      <c r="L54">
        <v>2</v>
      </c>
      <c r="M54">
        <v>77</v>
      </c>
      <c r="N54">
        <v>0.69074074074074077</v>
      </c>
      <c r="O54">
        <v>4486839.166666667</v>
      </c>
      <c r="P54">
        <v>13653</v>
      </c>
      <c r="Q54">
        <v>2</v>
      </c>
      <c r="R54">
        <v>78</v>
      </c>
      <c r="S54" t="s">
        <v>1919</v>
      </c>
      <c r="Y54">
        <f>Wine_pres_final[[#This Row],[mlp_params]]</f>
        <v>13324</v>
      </c>
      <c r="Z54">
        <f>IF((LEN(Wine_pres_final[[#This Row],[kan_width]])-LEN(SUBSTITUTE(Wine_pres_final[[#This Row],[kan_width]]," ","")))&gt;2,Wine_pres_final[[#This Row],[kan_test_acc]],"")</f>
        <v>0.57777779301007592</v>
      </c>
      <c r="AA54" t="str">
        <f>IF((LEN(Wine_pres_final[[#This Row],[kan_width]])-LEN(SUBSTITUTE(Wine_pres_final[[#This Row],[kan_width]]," ","")))&gt;2,"",Wine_pres_final[[#This Row],[kan_test_acc]])</f>
        <v/>
      </c>
      <c r="AB54">
        <f>Wine_pres_final[[#This Row],[mlp_test_acc]]</f>
        <v>0.75370370370370376</v>
      </c>
      <c r="AC54">
        <f>Wine_pres_final[[#This Row],[mlp_test_acc2]]</f>
        <v>0.69074074074074077</v>
      </c>
    </row>
    <row r="55" spans="1:29" x14ac:dyDescent="0.25">
      <c r="A55" t="s">
        <v>1336</v>
      </c>
      <c r="B55">
        <v>9</v>
      </c>
      <c r="C55">
        <v>5</v>
      </c>
      <c r="D55">
        <v>0</v>
      </c>
      <c r="E55" t="s">
        <v>1389</v>
      </c>
      <c r="F55">
        <v>9574</v>
      </c>
      <c r="G55">
        <v>10038628.583333334</v>
      </c>
      <c r="H55">
        <v>0.54074075818061829</v>
      </c>
      <c r="I55">
        <v>0.71481481481481479</v>
      </c>
      <c r="J55">
        <v>912653.25</v>
      </c>
      <c r="K55">
        <v>15711</v>
      </c>
      <c r="L55">
        <v>2</v>
      </c>
      <c r="M55">
        <v>84</v>
      </c>
      <c r="N55">
        <v>0.68518518518518523</v>
      </c>
      <c r="O55">
        <v>710401.66666666663</v>
      </c>
      <c r="P55">
        <v>16068</v>
      </c>
      <c r="Q55">
        <v>2</v>
      </c>
      <c r="R55">
        <v>85</v>
      </c>
      <c r="S55" t="s">
        <v>1963</v>
      </c>
      <c r="Y55">
        <f>Wine_pres_final[[#This Row],[mlp_params]]</f>
        <v>15711</v>
      </c>
      <c r="Z55">
        <f>IF((LEN(Wine_pres_final[[#This Row],[kan_width]])-LEN(SUBSTITUTE(Wine_pres_final[[#This Row],[kan_width]]," ","")))&gt;2,Wine_pres_final[[#This Row],[kan_test_acc]],"")</f>
        <v>0.54074075818061829</v>
      </c>
      <c r="AA55" t="str">
        <f>IF((LEN(Wine_pres_final[[#This Row],[kan_width]])-LEN(SUBSTITUTE(Wine_pres_final[[#This Row],[kan_width]]," ","")))&gt;2,"",Wine_pres_final[[#This Row],[kan_test_acc]])</f>
        <v/>
      </c>
      <c r="AB55">
        <f>Wine_pres_final[[#This Row],[mlp_test_acc]]</f>
        <v>0.71481481481481479</v>
      </c>
      <c r="AC55">
        <f>Wine_pres_final[[#This Row],[mlp_test_acc2]]</f>
        <v>0.68518518518518523</v>
      </c>
    </row>
    <row r="56" spans="1:29" x14ac:dyDescent="0.25">
      <c r="A56" t="s">
        <v>1336</v>
      </c>
      <c r="B56">
        <v>9</v>
      </c>
      <c r="C56">
        <v>5</v>
      </c>
      <c r="D56">
        <v>0</v>
      </c>
      <c r="E56" t="s">
        <v>1365</v>
      </c>
      <c r="F56">
        <v>9714</v>
      </c>
      <c r="G56">
        <v>10014178.833333334</v>
      </c>
      <c r="H56">
        <v>0.50740741938352585</v>
      </c>
      <c r="I56">
        <v>0.71111111111111103</v>
      </c>
      <c r="J56">
        <v>820084.83333333337</v>
      </c>
      <c r="K56">
        <v>15711</v>
      </c>
      <c r="L56">
        <v>2</v>
      </c>
      <c r="M56">
        <v>84</v>
      </c>
      <c r="N56">
        <v>0.72037037037037033</v>
      </c>
      <c r="O56">
        <v>736908</v>
      </c>
      <c r="P56">
        <v>16068</v>
      </c>
      <c r="Q56">
        <v>2</v>
      </c>
      <c r="R56">
        <v>85</v>
      </c>
      <c r="S56" t="s">
        <v>1951</v>
      </c>
      <c r="Y56">
        <f>Wine_pres_final[[#This Row],[mlp_params]]</f>
        <v>15711</v>
      </c>
      <c r="Z56">
        <f>IF((LEN(Wine_pres_final[[#This Row],[kan_width]])-LEN(SUBSTITUTE(Wine_pres_final[[#This Row],[kan_width]]," ","")))&gt;2,Wine_pres_final[[#This Row],[kan_test_acc]],"")</f>
        <v>0.50740741938352585</v>
      </c>
      <c r="AA56" t="str">
        <f>IF((LEN(Wine_pres_final[[#This Row],[kan_width]])-LEN(SUBSTITUTE(Wine_pres_final[[#This Row],[kan_width]]," ","")))&gt;2,"",Wine_pres_final[[#This Row],[kan_test_acc]])</f>
        <v/>
      </c>
      <c r="AB56">
        <f>Wine_pres_final[[#This Row],[mlp_test_acc]]</f>
        <v>0.71111111111111103</v>
      </c>
      <c r="AC56">
        <f>Wine_pres_final[[#This Row],[mlp_test_acc2]]</f>
        <v>0.72037037037037033</v>
      </c>
    </row>
    <row r="57" spans="1:29" hidden="1" x14ac:dyDescent="0.25">
      <c r="A57" t="s">
        <v>1336</v>
      </c>
      <c r="B57">
        <v>9</v>
      </c>
      <c r="C57">
        <v>4</v>
      </c>
      <c r="D57">
        <v>0</v>
      </c>
      <c r="E57" t="s">
        <v>1407</v>
      </c>
      <c r="F57">
        <v>10681</v>
      </c>
      <c r="G57">
        <v>9820775.083333334</v>
      </c>
      <c r="H57">
        <v>0.57962964971860242</v>
      </c>
      <c r="I57">
        <v>0.71666666666666656</v>
      </c>
      <c r="J57">
        <v>840966.91666666674</v>
      </c>
      <c r="K57">
        <v>16429</v>
      </c>
      <c r="L57">
        <v>2</v>
      </c>
      <c r="M57">
        <v>86</v>
      </c>
      <c r="N57">
        <v>0.70185185185185184</v>
      </c>
      <c r="O57">
        <v>1418567.75</v>
      </c>
      <c r="P57">
        <v>16794</v>
      </c>
      <c r="Q57">
        <v>2</v>
      </c>
      <c r="R57">
        <v>87</v>
      </c>
      <c r="S57" t="s">
        <v>1922</v>
      </c>
      <c r="Y57">
        <f>Wine_pres_final[[#This Row],[mlp_params]]</f>
        <v>16429</v>
      </c>
      <c r="Z57">
        <f>IF((LEN(Wine_pres_final[[#This Row],[kan_width]])-LEN(SUBSTITUTE(Wine_pres_final[[#This Row],[kan_width]]," ","")))&gt;2,Wine_pres_final[[#This Row],[kan_test_acc]],"")</f>
        <v>0.57962964971860242</v>
      </c>
      <c r="AA57" t="str">
        <f>IF((LEN(Wine_pres_final[[#This Row],[kan_width]])-LEN(SUBSTITUTE(Wine_pres_final[[#This Row],[kan_width]]," ","")))&gt;2,"",Wine_pres_final[[#This Row],[kan_test_acc]])</f>
        <v/>
      </c>
      <c r="AB57">
        <f>Wine_pres_final[[#This Row],[mlp_test_acc]]</f>
        <v>0.71666666666666656</v>
      </c>
      <c r="AC57">
        <f>Wine_pres_final[[#This Row],[mlp_test_acc2]]</f>
        <v>0.70185185185185184</v>
      </c>
    </row>
    <row r="58" spans="1:29" hidden="1" x14ac:dyDescent="0.25">
      <c r="A58" t="s">
        <v>1336</v>
      </c>
      <c r="B58">
        <v>9</v>
      </c>
      <c r="C58">
        <v>4</v>
      </c>
      <c r="D58">
        <v>0</v>
      </c>
      <c r="E58" t="s">
        <v>1425</v>
      </c>
      <c r="F58">
        <v>12477</v>
      </c>
      <c r="G58">
        <v>9767884.666666666</v>
      </c>
      <c r="H58">
        <v>0.58148150146007538</v>
      </c>
      <c r="I58">
        <v>0.82592592592592595</v>
      </c>
      <c r="J58">
        <v>1727293</v>
      </c>
      <c r="K58">
        <v>19461</v>
      </c>
      <c r="L58">
        <v>2</v>
      </c>
      <c r="M58">
        <v>94</v>
      </c>
      <c r="N58">
        <v>0.65370370370370368</v>
      </c>
      <c r="O58">
        <v>997695.75</v>
      </c>
      <c r="P58">
        <v>19858</v>
      </c>
      <c r="Q58">
        <v>2</v>
      </c>
      <c r="R58">
        <v>95</v>
      </c>
      <c r="S58" t="s">
        <v>1931</v>
      </c>
      <c r="Y58">
        <f>Wine_pres_final[[#This Row],[mlp_params]]</f>
        <v>19461</v>
      </c>
      <c r="Z58">
        <f>IF((LEN(Wine_pres_final[[#This Row],[kan_width]])-LEN(SUBSTITUTE(Wine_pres_final[[#This Row],[kan_width]]," ","")))&gt;2,Wine_pres_final[[#This Row],[kan_test_acc]],"")</f>
        <v>0.58148150146007538</v>
      </c>
      <c r="AA58" t="str">
        <f>IF((LEN(Wine_pres_final[[#This Row],[kan_width]])-LEN(SUBSTITUTE(Wine_pres_final[[#This Row],[kan_width]]," ","")))&gt;2,"",Wine_pres_final[[#This Row],[kan_test_acc]])</f>
        <v/>
      </c>
      <c r="AB58">
        <f>Wine_pres_final[[#This Row],[mlp_test_acc]]</f>
        <v>0.82592592592592595</v>
      </c>
      <c r="AC58">
        <f>Wine_pres_final[[#This Row],[mlp_test_acc2]]</f>
        <v>0.65370370370370368</v>
      </c>
    </row>
    <row r="59" spans="1:29" hidden="1" x14ac:dyDescent="0.25">
      <c r="A59" t="s">
        <v>1336</v>
      </c>
      <c r="B59">
        <v>9</v>
      </c>
      <c r="C59">
        <v>4</v>
      </c>
      <c r="D59">
        <v>0</v>
      </c>
      <c r="E59" t="s">
        <v>1431</v>
      </c>
      <c r="F59">
        <v>14787</v>
      </c>
      <c r="G59">
        <v>12100709.583333332</v>
      </c>
      <c r="H59">
        <v>0.58148150146007538</v>
      </c>
      <c r="I59">
        <v>0.72592592592592586</v>
      </c>
      <c r="J59">
        <v>8687659.1666666679</v>
      </c>
      <c r="K59">
        <v>22749</v>
      </c>
      <c r="L59">
        <v>2</v>
      </c>
      <c r="M59">
        <v>102</v>
      </c>
      <c r="N59">
        <v>0.73518518518518516</v>
      </c>
      <c r="O59">
        <v>8255127.5</v>
      </c>
      <c r="P59">
        <v>23178</v>
      </c>
      <c r="Q59">
        <v>2</v>
      </c>
      <c r="R59">
        <v>103</v>
      </c>
      <c r="S59" t="s">
        <v>1934</v>
      </c>
      <c r="Y59">
        <f>Wine_pres_final[[#This Row],[mlp_params]]</f>
        <v>22749</v>
      </c>
      <c r="Z59">
        <f>IF((LEN(Wine_pres_final[[#This Row],[kan_width]])-LEN(SUBSTITUTE(Wine_pres_final[[#This Row],[kan_width]]," ","")))&gt;2,Wine_pres_final[[#This Row],[kan_test_acc]],"")</f>
        <v>0.58148150146007538</v>
      </c>
      <c r="AA59" t="str">
        <f>IF((LEN(Wine_pres_final[[#This Row],[kan_width]])-LEN(SUBSTITUTE(Wine_pres_final[[#This Row],[kan_width]]," ","")))&gt;2,"",Wine_pres_final[[#This Row],[kan_test_acc]])</f>
        <v/>
      </c>
      <c r="AB59">
        <f>Wine_pres_final[[#This Row],[mlp_test_acc]]</f>
        <v>0.72592592592592586</v>
      </c>
      <c r="AC59">
        <f>Wine_pres_final[[#This Row],[mlp_test_acc2]]</f>
        <v>0.73518518518518516</v>
      </c>
    </row>
    <row r="60" spans="1:29" x14ac:dyDescent="0.25">
      <c r="A60" t="s">
        <v>1336</v>
      </c>
      <c r="B60">
        <v>9</v>
      </c>
      <c r="C60">
        <v>5</v>
      </c>
      <c r="D60">
        <v>0</v>
      </c>
      <c r="E60" t="s">
        <v>1377</v>
      </c>
      <c r="F60">
        <v>9780</v>
      </c>
      <c r="G60">
        <v>10099055.583333334</v>
      </c>
      <c r="H60">
        <v>0.57037038480242097</v>
      </c>
      <c r="I60">
        <v>0.7314814814814814</v>
      </c>
      <c r="J60">
        <v>881087</v>
      </c>
      <c r="K60">
        <v>16068</v>
      </c>
      <c r="L60">
        <v>2</v>
      </c>
      <c r="M60">
        <v>85</v>
      </c>
      <c r="N60">
        <v>0.69814814814814818</v>
      </c>
      <c r="O60">
        <v>970912.25</v>
      </c>
      <c r="P60">
        <v>16429</v>
      </c>
      <c r="Q60">
        <v>2</v>
      </c>
      <c r="R60">
        <v>86</v>
      </c>
      <c r="S60" t="s">
        <v>1957</v>
      </c>
      <c r="Y60">
        <f>Wine_pres_final[[#This Row],[mlp_params]]</f>
        <v>16068</v>
      </c>
      <c r="Z60">
        <f>IF((LEN(Wine_pres_final[[#This Row],[kan_width]])-LEN(SUBSTITUTE(Wine_pres_final[[#This Row],[kan_width]]," ","")))&gt;2,Wine_pres_final[[#This Row],[kan_test_acc]],"")</f>
        <v>0.57037038480242097</v>
      </c>
      <c r="AA60" t="str">
        <f>IF((LEN(Wine_pres_final[[#This Row],[kan_width]])-LEN(SUBSTITUTE(Wine_pres_final[[#This Row],[kan_width]]," ","")))&gt;2,"",Wine_pres_final[[#This Row],[kan_test_acc]])</f>
        <v/>
      </c>
      <c r="AB60">
        <f>Wine_pres_final[[#This Row],[mlp_test_acc]]</f>
        <v>0.7314814814814814</v>
      </c>
      <c r="AC60">
        <f>Wine_pres_final[[#This Row],[mlp_test_acc2]]</f>
        <v>0.69814814814814818</v>
      </c>
    </row>
    <row r="61" spans="1:29" hidden="1" x14ac:dyDescent="0.25">
      <c r="A61" t="s">
        <v>1336</v>
      </c>
      <c r="B61">
        <v>5</v>
      </c>
      <c r="C61">
        <v>5</v>
      </c>
      <c r="D61">
        <v>0</v>
      </c>
      <c r="E61" t="s">
        <v>1359</v>
      </c>
      <c r="F61">
        <v>6184</v>
      </c>
      <c r="G61">
        <v>11321926.416666668</v>
      </c>
      <c r="H61">
        <v>0.58703705420096708</v>
      </c>
      <c r="I61">
        <v>0.68703703703703711</v>
      </c>
      <c r="J61">
        <v>5759110.333333334</v>
      </c>
      <c r="K61">
        <v>11133</v>
      </c>
      <c r="L61">
        <v>2</v>
      </c>
      <c r="M61">
        <v>70</v>
      </c>
      <c r="N61">
        <v>0.63888888888888884</v>
      </c>
      <c r="O61">
        <v>3391043.916666667</v>
      </c>
      <c r="P61">
        <v>11434</v>
      </c>
      <c r="Q61">
        <v>2</v>
      </c>
      <c r="R61">
        <v>71</v>
      </c>
      <c r="S61" t="s">
        <v>1748</v>
      </c>
      <c r="Y61">
        <f>Wine_pres_final[[#This Row],[mlp_params]]</f>
        <v>11133</v>
      </c>
      <c r="Z61">
        <f>IF((LEN(Wine_pres_final[[#This Row],[kan_width]])-LEN(SUBSTITUTE(Wine_pres_final[[#This Row],[kan_width]]," ","")))&gt;2,Wine_pres_final[[#This Row],[kan_test_acc]],"")</f>
        <v>0.58703705420096708</v>
      </c>
      <c r="AA61" t="str">
        <f>IF((LEN(Wine_pres_final[[#This Row],[kan_width]])-LEN(SUBSTITUTE(Wine_pres_final[[#This Row],[kan_width]]," ","")))&gt;2,"",Wine_pres_final[[#This Row],[kan_test_acc]])</f>
        <v/>
      </c>
      <c r="AB61">
        <f>Wine_pres_final[[#This Row],[mlp_test_acc]]</f>
        <v>0.68703703703703711</v>
      </c>
      <c r="AC61">
        <f>Wine_pres_final[[#This Row],[mlp_test_acc2]]</f>
        <v>0.63888888888888884</v>
      </c>
    </row>
    <row r="62" spans="1:29" x14ac:dyDescent="0.25">
      <c r="A62" t="s">
        <v>1336</v>
      </c>
      <c r="B62">
        <v>9</v>
      </c>
      <c r="C62">
        <v>5</v>
      </c>
      <c r="D62">
        <v>0</v>
      </c>
      <c r="E62" t="s">
        <v>1403</v>
      </c>
      <c r="F62">
        <v>9846</v>
      </c>
      <c r="G62">
        <v>10901059.75</v>
      </c>
      <c r="H62">
        <v>0.48888889948527015</v>
      </c>
      <c r="I62">
        <v>0.73888888888888893</v>
      </c>
      <c r="J62">
        <v>3754787.25</v>
      </c>
      <c r="K62">
        <v>16068</v>
      </c>
      <c r="L62">
        <v>2</v>
      </c>
      <c r="M62">
        <v>85</v>
      </c>
      <c r="N62">
        <v>0.78518518518518521</v>
      </c>
      <c r="O62">
        <v>3900789.5833333335</v>
      </c>
      <c r="P62">
        <v>16429</v>
      </c>
      <c r="Q62">
        <v>2</v>
      </c>
      <c r="R62">
        <v>86</v>
      </c>
      <c r="S62" t="s">
        <v>1970</v>
      </c>
      <c r="Y62">
        <f>Wine_pres_final[[#This Row],[mlp_params]]</f>
        <v>16068</v>
      </c>
      <c r="Z62">
        <f>IF((LEN(Wine_pres_final[[#This Row],[kan_width]])-LEN(SUBSTITUTE(Wine_pres_final[[#This Row],[kan_width]]," ","")))&gt;2,Wine_pres_final[[#This Row],[kan_test_acc]],"")</f>
        <v>0.48888889948527015</v>
      </c>
      <c r="AA62" t="str">
        <f>IF((LEN(Wine_pres_final[[#This Row],[kan_width]])-LEN(SUBSTITUTE(Wine_pres_final[[#This Row],[kan_width]]," ","")))&gt;2,"",Wine_pres_final[[#This Row],[kan_test_acc]])</f>
        <v/>
      </c>
      <c r="AB62">
        <f>Wine_pres_final[[#This Row],[mlp_test_acc]]</f>
        <v>0.73888888888888893</v>
      </c>
      <c r="AC62">
        <f>Wine_pres_final[[#This Row],[mlp_test_acc2]]</f>
        <v>0.78518518518518521</v>
      </c>
    </row>
    <row r="63" spans="1:29" hidden="1" x14ac:dyDescent="0.25">
      <c r="A63" t="s">
        <v>1336</v>
      </c>
      <c r="B63">
        <v>9</v>
      </c>
      <c r="C63">
        <v>4</v>
      </c>
      <c r="D63">
        <v>0</v>
      </c>
      <c r="E63" t="s">
        <v>1411</v>
      </c>
      <c r="F63">
        <v>12093</v>
      </c>
      <c r="G63">
        <v>9730103</v>
      </c>
      <c r="H63">
        <v>0.58703705420096708</v>
      </c>
      <c r="I63">
        <v>0.7314814814814814</v>
      </c>
      <c r="J63">
        <v>1423451.25</v>
      </c>
      <c r="K63">
        <v>18679</v>
      </c>
      <c r="L63">
        <v>2</v>
      </c>
      <c r="M63">
        <v>92</v>
      </c>
      <c r="N63">
        <v>0.73888888888888893</v>
      </c>
      <c r="O63">
        <v>1714935</v>
      </c>
      <c r="P63">
        <v>19068</v>
      </c>
      <c r="Q63">
        <v>2</v>
      </c>
      <c r="R63">
        <v>93</v>
      </c>
      <c r="S63" t="s">
        <v>1924</v>
      </c>
      <c r="Y63">
        <f>Wine_pres_final[[#This Row],[mlp_params]]</f>
        <v>18679</v>
      </c>
      <c r="Z63">
        <f>IF((LEN(Wine_pres_final[[#This Row],[kan_width]])-LEN(SUBSTITUTE(Wine_pres_final[[#This Row],[kan_width]]," ","")))&gt;2,Wine_pres_final[[#This Row],[kan_test_acc]],"")</f>
        <v>0.58703705420096708</v>
      </c>
      <c r="AA63" t="str">
        <f>IF((LEN(Wine_pres_final[[#This Row],[kan_width]])-LEN(SUBSTITUTE(Wine_pres_final[[#This Row],[kan_width]]," ","")))&gt;2,"",Wine_pres_final[[#This Row],[kan_test_acc]])</f>
        <v/>
      </c>
      <c r="AB63">
        <f>Wine_pres_final[[#This Row],[mlp_test_acc]]</f>
        <v>0.7314814814814814</v>
      </c>
      <c r="AC63">
        <f>Wine_pres_final[[#This Row],[mlp_test_acc2]]</f>
        <v>0.73888888888888893</v>
      </c>
    </row>
    <row r="64" spans="1:29" hidden="1" x14ac:dyDescent="0.25">
      <c r="A64" t="s">
        <v>1336</v>
      </c>
      <c r="B64">
        <v>5</v>
      </c>
      <c r="C64">
        <v>5</v>
      </c>
      <c r="D64">
        <v>0</v>
      </c>
      <c r="E64" t="s">
        <v>1417</v>
      </c>
      <c r="F64">
        <v>7642</v>
      </c>
      <c r="G64">
        <v>12968036.75</v>
      </c>
      <c r="H64">
        <v>0.58703705668449402</v>
      </c>
      <c r="I64">
        <v>0.71481481481481479</v>
      </c>
      <c r="J64">
        <v>18961994.75</v>
      </c>
      <c r="K64">
        <v>13986</v>
      </c>
      <c r="L64">
        <v>2</v>
      </c>
      <c r="M64">
        <v>79</v>
      </c>
      <c r="N64">
        <v>0.7</v>
      </c>
      <c r="O64">
        <v>21261410</v>
      </c>
      <c r="P64">
        <v>14323</v>
      </c>
      <c r="Q64">
        <v>2</v>
      </c>
      <c r="R64">
        <v>80</v>
      </c>
      <c r="S64" t="s">
        <v>1777</v>
      </c>
      <c r="Y64">
        <f>Wine_pres_final[[#This Row],[mlp_params]]</f>
        <v>13986</v>
      </c>
      <c r="Z64">
        <f>IF((LEN(Wine_pres_final[[#This Row],[kan_width]])-LEN(SUBSTITUTE(Wine_pres_final[[#This Row],[kan_width]]," ","")))&gt;2,Wine_pres_final[[#This Row],[kan_test_acc]],"")</f>
        <v>0.58703705668449402</v>
      </c>
      <c r="AA64" t="str">
        <f>IF((LEN(Wine_pres_final[[#This Row],[kan_width]])-LEN(SUBSTITUTE(Wine_pres_final[[#This Row],[kan_width]]," ","")))&gt;2,"",Wine_pres_final[[#This Row],[kan_test_acc]])</f>
        <v/>
      </c>
      <c r="AB64">
        <f>Wine_pres_final[[#This Row],[mlp_test_acc]]</f>
        <v>0.71481481481481479</v>
      </c>
      <c r="AC64">
        <f>Wine_pres_final[[#This Row],[mlp_test_acc2]]</f>
        <v>0.7</v>
      </c>
    </row>
    <row r="65" spans="1:29" hidden="1" x14ac:dyDescent="0.25">
      <c r="A65" t="s">
        <v>1336</v>
      </c>
      <c r="B65">
        <v>5</v>
      </c>
      <c r="C65">
        <v>5</v>
      </c>
      <c r="D65">
        <v>0</v>
      </c>
      <c r="E65" t="s">
        <v>1419</v>
      </c>
      <c r="F65">
        <v>8268</v>
      </c>
      <c r="G65">
        <v>12470300.833333332</v>
      </c>
      <c r="H65">
        <v>0.58888890594244003</v>
      </c>
      <c r="I65">
        <v>0.72037037037037033</v>
      </c>
      <c r="J65">
        <v>10475889.166666666</v>
      </c>
      <c r="K65">
        <v>15009</v>
      </c>
      <c r="L65">
        <v>2</v>
      </c>
      <c r="M65">
        <v>82</v>
      </c>
      <c r="N65">
        <v>0.70370370370370372</v>
      </c>
      <c r="O65">
        <v>11177907.416666668</v>
      </c>
      <c r="P65">
        <v>15358</v>
      </c>
      <c r="Q65">
        <v>2</v>
      </c>
      <c r="R65">
        <v>83</v>
      </c>
      <c r="S65" t="s">
        <v>1778</v>
      </c>
      <c r="Y65">
        <f>Wine_pres_final[[#This Row],[mlp_params]]</f>
        <v>15009</v>
      </c>
      <c r="Z65">
        <f>IF((LEN(Wine_pres_final[[#This Row],[kan_width]])-LEN(SUBSTITUTE(Wine_pres_final[[#This Row],[kan_width]]," ","")))&gt;2,Wine_pres_final[[#This Row],[kan_test_acc]],"")</f>
        <v>0.58888890594244003</v>
      </c>
      <c r="AA65" t="str">
        <f>IF((LEN(Wine_pres_final[[#This Row],[kan_width]])-LEN(SUBSTITUTE(Wine_pres_final[[#This Row],[kan_width]]," ","")))&gt;2,"",Wine_pres_final[[#This Row],[kan_test_acc]])</f>
        <v/>
      </c>
      <c r="AB65">
        <f>Wine_pres_final[[#This Row],[mlp_test_acc]]</f>
        <v>0.72037037037037033</v>
      </c>
      <c r="AC65">
        <f>Wine_pres_final[[#This Row],[mlp_test_acc2]]</f>
        <v>0.70370370370370372</v>
      </c>
    </row>
    <row r="66" spans="1:29" hidden="1" x14ac:dyDescent="0.25">
      <c r="A66" t="s">
        <v>1336</v>
      </c>
      <c r="B66">
        <v>9</v>
      </c>
      <c r="C66">
        <v>4</v>
      </c>
      <c r="D66">
        <v>0</v>
      </c>
      <c r="E66" t="s">
        <v>1399</v>
      </c>
      <c r="F66">
        <v>12223</v>
      </c>
      <c r="G66">
        <v>9891388.5833333321</v>
      </c>
      <c r="H66">
        <v>0.58888890594244003</v>
      </c>
      <c r="I66">
        <v>0.77962962962962967</v>
      </c>
      <c r="J66">
        <v>1630534.6666666665</v>
      </c>
      <c r="K66">
        <v>19068</v>
      </c>
      <c r="L66">
        <v>2</v>
      </c>
      <c r="M66">
        <v>93</v>
      </c>
      <c r="N66">
        <v>0.66296296296296298</v>
      </c>
      <c r="O66">
        <v>1239310.6666666667</v>
      </c>
      <c r="P66">
        <v>19461</v>
      </c>
      <c r="Q66">
        <v>2</v>
      </c>
      <c r="R66">
        <v>94</v>
      </c>
      <c r="S66" t="s">
        <v>1918</v>
      </c>
      <c r="Y66">
        <f>Wine_pres_final[[#This Row],[mlp_params]]</f>
        <v>19068</v>
      </c>
      <c r="Z66">
        <f>IF((LEN(Wine_pres_final[[#This Row],[kan_width]])-LEN(SUBSTITUTE(Wine_pres_final[[#This Row],[kan_width]]," ","")))&gt;2,Wine_pres_final[[#This Row],[kan_test_acc]],"")</f>
        <v>0.58888890594244003</v>
      </c>
      <c r="AA66" t="str">
        <f>IF((LEN(Wine_pres_final[[#This Row],[kan_width]])-LEN(SUBSTITUTE(Wine_pres_final[[#This Row],[kan_width]]," ","")))&gt;2,"",Wine_pres_final[[#This Row],[kan_test_acc]])</f>
        <v/>
      </c>
      <c r="AB66">
        <f>Wine_pres_final[[#This Row],[mlp_test_acc]]</f>
        <v>0.77962962962962967</v>
      </c>
      <c r="AC66">
        <f>Wine_pres_final[[#This Row],[mlp_test_acc2]]</f>
        <v>0.66296296296296298</v>
      </c>
    </row>
    <row r="67" spans="1:29" hidden="1" x14ac:dyDescent="0.25">
      <c r="A67" t="s">
        <v>1336</v>
      </c>
      <c r="B67">
        <v>9</v>
      </c>
      <c r="C67">
        <v>4</v>
      </c>
      <c r="D67">
        <v>0</v>
      </c>
      <c r="E67" t="s">
        <v>1375</v>
      </c>
      <c r="F67">
        <v>8629</v>
      </c>
      <c r="G67">
        <v>11462312.833333334</v>
      </c>
      <c r="H67">
        <v>0.59259260445833206</v>
      </c>
      <c r="I67">
        <v>0.69074074074074066</v>
      </c>
      <c r="J67">
        <v>4243259</v>
      </c>
      <c r="K67">
        <v>13324</v>
      </c>
      <c r="L67">
        <v>2</v>
      </c>
      <c r="M67">
        <v>77</v>
      </c>
      <c r="N67">
        <v>0.70555555555555549</v>
      </c>
      <c r="O67">
        <v>2398945.5</v>
      </c>
      <c r="P67">
        <v>13653</v>
      </c>
      <c r="Q67">
        <v>2</v>
      </c>
      <c r="R67">
        <v>78</v>
      </c>
      <c r="S67" t="s">
        <v>1906</v>
      </c>
      <c r="Y67">
        <f>Wine_pres_final[[#This Row],[mlp_params]]</f>
        <v>13324</v>
      </c>
      <c r="Z67">
        <f>IF((LEN(Wine_pres_final[[#This Row],[kan_width]])-LEN(SUBSTITUTE(Wine_pres_final[[#This Row],[kan_width]]," ","")))&gt;2,Wine_pres_final[[#This Row],[kan_test_acc]],"")</f>
        <v>0.59259260445833206</v>
      </c>
      <c r="AA67" t="str">
        <f>IF((LEN(Wine_pres_final[[#This Row],[kan_width]])-LEN(SUBSTITUTE(Wine_pres_final[[#This Row],[kan_width]]," ","")))&gt;2,"",Wine_pres_final[[#This Row],[kan_test_acc]])</f>
        <v/>
      </c>
      <c r="AB67">
        <f>Wine_pres_final[[#This Row],[mlp_test_acc]]</f>
        <v>0.69074074074074066</v>
      </c>
      <c r="AC67">
        <f>Wine_pres_final[[#This Row],[mlp_test_acc2]]</f>
        <v>0.70555555555555549</v>
      </c>
    </row>
    <row r="68" spans="1:29" hidden="1" x14ac:dyDescent="0.25">
      <c r="A68" t="s">
        <v>1336</v>
      </c>
      <c r="B68">
        <v>9</v>
      </c>
      <c r="C68">
        <v>4</v>
      </c>
      <c r="D68">
        <v>0</v>
      </c>
      <c r="E68" t="s">
        <v>1387</v>
      </c>
      <c r="F68">
        <v>8371</v>
      </c>
      <c r="G68">
        <v>8163965.416666666</v>
      </c>
      <c r="H68">
        <v>0.59259260942538572</v>
      </c>
      <c r="I68">
        <v>0.71851851851851856</v>
      </c>
      <c r="J68">
        <v>793724.25</v>
      </c>
      <c r="K68">
        <v>12999</v>
      </c>
      <c r="L68">
        <v>2</v>
      </c>
      <c r="M68">
        <v>76</v>
      </c>
      <c r="N68">
        <v>0.76296296296296295</v>
      </c>
      <c r="O68">
        <v>541575.75</v>
      </c>
      <c r="P68">
        <v>13324</v>
      </c>
      <c r="Q68">
        <v>2</v>
      </c>
      <c r="R68">
        <v>77</v>
      </c>
      <c r="S68" t="s">
        <v>1912</v>
      </c>
      <c r="Y68">
        <f>Wine_pres_final[[#This Row],[mlp_params]]</f>
        <v>12999</v>
      </c>
      <c r="Z68">
        <f>IF((LEN(Wine_pres_final[[#This Row],[kan_width]])-LEN(SUBSTITUTE(Wine_pres_final[[#This Row],[kan_width]]," ","")))&gt;2,Wine_pres_final[[#This Row],[kan_test_acc]],"")</f>
        <v>0.59259260942538572</v>
      </c>
      <c r="AA68" t="str">
        <f>IF((LEN(Wine_pres_final[[#This Row],[kan_width]])-LEN(SUBSTITUTE(Wine_pres_final[[#This Row],[kan_width]]," ","")))&gt;2,"",Wine_pres_final[[#This Row],[kan_test_acc]])</f>
        <v/>
      </c>
      <c r="AB68">
        <f>Wine_pres_final[[#This Row],[mlp_test_acc]]</f>
        <v>0.71851851851851856</v>
      </c>
      <c r="AC68">
        <f>Wine_pres_final[[#This Row],[mlp_test_acc2]]</f>
        <v>0.76296296296296295</v>
      </c>
    </row>
    <row r="69" spans="1:29" x14ac:dyDescent="0.25">
      <c r="A69" t="s">
        <v>1336</v>
      </c>
      <c r="B69">
        <v>9</v>
      </c>
      <c r="C69">
        <v>5</v>
      </c>
      <c r="D69">
        <v>0</v>
      </c>
      <c r="E69" t="s">
        <v>1417</v>
      </c>
      <c r="F69">
        <v>9982</v>
      </c>
      <c r="G69">
        <v>9765404</v>
      </c>
      <c r="H69">
        <v>0.4629629751046499</v>
      </c>
      <c r="I69">
        <v>0.74629629629629624</v>
      </c>
      <c r="J69">
        <v>7994607.833333334</v>
      </c>
      <c r="K69">
        <v>16068</v>
      </c>
      <c r="L69">
        <v>2</v>
      </c>
      <c r="M69">
        <v>85</v>
      </c>
      <c r="N69">
        <v>0.72592592592592586</v>
      </c>
      <c r="O69">
        <v>8691542.583333334</v>
      </c>
      <c r="P69">
        <v>16429</v>
      </c>
      <c r="Q69">
        <v>2</v>
      </c>
      <c r="R69">
        <v>86</v>
      </c>
      <c r="S69" t="s">
        <v>1977</v>
      </c>
      <c r="Y69">
        <f>Wine_pres_final[[#This Row],[mlp_params]]</f>
        <v>16068</v>
      </c>
      <c r="Z69">
        <f>IF((LEN(Wine_pres_final[[#This Row],[kan_width]])-LEN(SUBSTITUTE(Wine_pres_final[[#This Row],[kan_width]]," ","")))&gt;2,Wine_pres_final[[#This Row],[kan_test_acc]],"")</f>
        <v>0.4629629751046499</v>
      </c>
      <c r="AA69" t="str">
        <f>IF((LEN(Wine_pres_final[[#This Row],[kan_width]])-LEN(SUBSTITUTE(Wine_pres_final[[#This Row],[kan_width]]," ","")))&gt;2,"",Wine_pres_final[[#This Row],[kan_test_acc]])</f>
        <v/>
      </c>
      <c r="AB69">
        <f>Wine_pres_final[[#This Row],[mlp_test_acc]]</f>
        <v>0.74629629629629624</v>
      </c>
      <c r="AC69">
        <f>Wine_pres_final[[#This Row],[mlp_test_acc2]]</f>
        <v>0.72592592592592586</v>
      </c>
    </row>
    <row r="70" spans="1:29" hidden="1" x14ac:dyDescent="0.25">
      <c r="A70" t="s">
        <v>1336</v>
      </c>
      <c r="B70">
        <v>9</v>
      </c>
      <c r="C70">
        <v>4</v>
      </c>
      <c r="D70">
        <v>0</v>
      </c>
      <c r="E70" t="s">
        <v>1367</v>
      </c>
      <c r="F70">
        <v>9659</v>
      </c>
      <c r="G70">
        <v>8338493</v>
      </c>
      <c r="H70">
        <v>0.59444446365038561</v>
      </c>
      <c r="I70">
        <v>0.68518518518518512</v>
      </c>
      <c r="J70">
        <v>1066619.25</v>
      </c>
      <c r="K70">
        <v>15009</v>
      </c>
      <c r="L70">
        <v>2</v>
      </c>
      <c r="M70">
        <v>82</v>
      </c>
      <c r="N70">
        <v>0.72962962962962963</v>
      </c>
      <c r="O70">
        <v>1024587.9166666667</v>
      </c>
      <c r="P70">
        <v>15358</v>
      </c>
      <c r="Q70">
        <v>2</v>
      </c>
      <c r="R70">
        <v>83</v>
      </c>
      <c r="S70" t="s">
        <v>1902</v>
      </c>
      <c r="Y70">
        <f>Wine_pres_final[[#This Row],[mlp_params]]</f>
        <v>15009</v>
      </c>
      <c r="Z70">
        <f>IF((LEN(Wine_pres_final[[#This Row],[kan_width]])-LEN(SUBSTITUTE(Wine_pres_final[[#This Row],[kan_width]]," ","")))&gt;2,Wine_pres_final[[#This Row],[kan_test_acc]],"")</f>
        <v>0.59444446365038561</v>
      </c>
      <c r="AA70" t="str">
        <f>IF((LEN(Wine_pres_final[[#This Row],[kan_width]])-LEN(SUBSTITUTE(Wine_pres_final[[#This Row],[kan_width]]," ","")))&gt;2,"",Wine_pres_final[[#This Row],[kan_test_acc]])</f>
        <v/>
      </c>
      <c r="AB70">
        <f>Wine_pres_final[[#This Row],[mlp_test_acc]]</f>
        <v>0.68518518518518512</v>
      </c>
      <c r="AC70">
        <f>Wine_pres_final[[#This Row],[mlp_test_acc2]]</f>
        <v>0.72962962962962963</v>
      </c>
    </row>
    <row r="71" spans="1:29" hidden="1" x14ac:dyDescent="0.25">
      <c r="A71" t="s">
        <v>1336</v>
      </c>
      <c r="B71">
        <v>9</v>
      </c>
      <c r="C71">
        <v>4</v>
      </c>
      <c r="D71">
        <v>0</v>
      </c>
      <c r="E71" t="s">
        <v>1385</v>
      </c>
      <c r="F71">
        <v>7729</v>
      </c>
      <c r="G71">
        <v>9378741.666666666</v>
      </c>
      <c r="H71">
        <v>0.59629631042480469</v>
      </c>
      <c r="I71">
        <v>0.79629629629629628</v>
      </c>
      <c r="J71">
        <v>790690.66666666663</v>
      </c>
      <c r="K71">
        <v>12048</v>
      </c>
      <c r="L71">
        <v>2</v>
      </c>
      <c r="M71">
        <v>73</v>
      </c>
      <c r="N71">
        <v>0.6962962962962963</v>
      </c>
      <c r="O71">
        <v>617999.33333333337</v>
      </c>
      <c r="P71">
        <v>12361</v>
      </c>
      <c r="Q71">
        <v>2</v>
      </c>
      <c r="R71">
        <v>74</v>
      </c>
      <c r="S71" t="s">
        <v>1911</v>
      </c>
      <c r="Y71">
        <f>Wine_pres_final[[#This Row],[mlp_params]]</f>
        <v>12048</v>
      </c>
      <c r="Z71">
        <f>IF((LEN(Wine_pres_final[[#This Row],[kan_width]])-LEN(SUBSTITUTE(Wine_pres_final[[#This Row],[kan_width]]," ","")))&gt;2,Wine_pres_final[[#This Row],[kan_test_acc]],"")</f>
        <v>0.59629631042480469</v>
      </c>
      <c r="AA71" t="str">
        <f>IF((LEN(Wine_pres_final[[#This Row],[kan_width]])-LEN(SUBSTITUTE(Wine_pres_final[[#This Row],[kan_width]]," ","")))&gt;2,"",Wine_pres_final[[#This Row],[kan_test_acc]])</f>
        <v/>
      </c>
      <c r="AB71">
        <f>Wine_pres_final[[#This Row],[mlp_test_acc]]</f>
        <v>0.79629629629629628</v>
      </c>
      <c r="AC71">
        <f>Wine_pres_final[[#This Row],[mlp_test_acc2]]</f>
        <v>0.6962962962962963</v>
      </c>
    </row>
    <row r="72" spans="1:29" hidden="1" x14ac:dyDescent="0.25">
      <c r="A72" t="s">
        <v>1336</v>
      </c>
      <c r="B72">
        <v>5</v>
      </c>
      <c r="C72">
        <v>5</v>
      </c>
      <c r="D72">
        <v>0</v>
      </c>
      <c r="E72" t="s">
        <v>1403</v>
      </c>
      <c r="F72">
        <v>7538</v>
      </c>
      <c r="G72">
        <v>14341605.5</v>
      </c>
      <c r="H72">
        <v>0.59814816464980436</v>
      </c>
      <c r="I72">
        <v>0.72592592592592586</v>
      </c>
      <c r="J72">
        <v>4466751.916666666</v>
      </c>
      <c r="K72">
        <v>13653</v>
      </c>
      <c r="L72">
        <v>2</v>
      </c>
      <c r="M72">
        <v>78</v>
      </c>
      <c r="N72">
        <v>0.68518518518518512</v>
      </c>
      <c r="O72">
        <v>11469452.75</v>
      </c>
      <c r="P72">
        <v>13986</v>
      </c>
      <c r="Q72">
        <v>2</v>
      </c>
      <c r="R72">
        <v>79</v>
      </c>
      <c r="S72" t="s">
        <v>1770</v>
      </c>
      <c r="Y72">
        <f>Wine_pres_final[[#This Row],[mlp_params]]</f>
        <v>13653</v>
      </c>
      <c r="Z72">
        <f>IF((LEN(Wine_pres_final[[#This Row],[kan_width]])-LEN(SUBSTITUTE(Wine_pres_final[[#This Row],[kan_width]]," ","")))&gt;2,Wine_pres_final[[#This Row],[kan_test_acc]],"")</f>
        <v>0.59814816464980436</v>
      </c>
      <c r="AA72" t="str">
        <f>IF((LEN(Wine_pres_final[[#This Row],[kan_width]])-LEN(SUBSTITUTE(Wine_pres_final[[#This Row],[kan_width]]," ","")))&gt;2,"",Wine_pres_final[[#This Row],[kan_test_acc]])</f>
        <v/>
      </c>
      <c r="AB72">
        <f>Wine_pres_final[[#This Row],[mlp_test_acc]]</f>
        <v>0.72592592592592586</v>
      </c>
      <c r="AC72">
        <f>Wine_pres_final[[#This Row],[mlp_test_acc2]]</f>
        <v>0.68518518518518512</v>
      </c>
    </row>
    <row r="73" spans="1:29" hidden="1" x14ac:dyDescent="0.25">
      <c r="A73" t="s">
        <v>1336</v>
      </c>
      <c r="B73">
        <v>5</v>
      </c>
      <c r="C73">
        <v>5</v>
      </c>
      <c r="D73">
        <v>0</v>
      </c>
      <c r="E73" t="s">
        <v>1361</v>
      </c>
      <c r="F73">
        <v>6602</v>
      </c>
      <c r="G73">
        <v>11311235.083333334</v>
      </c>
      <c r="H73">
        <v>0.60000001390775037</v>
      </c>
      <c r="I73">
        <v>0.63703703703703707</v>
      </c>
      <c r="J73">
        <v>5315438</v>
      </c>
      <c r="K73">
        <v>12048</v>
      </c>
      <c r="L73">
        <v>2</v>
      </c>
      <c r="M73">
        <v>73</v>
      </c>
      <c r="N73">
        <v>0.62962962962962954</v>
      </c>
      <c r="O73">
        <v>3056003.583333333</v>
      </c>
      <c r="P73">
        <v>12361</v>
      </c>
      <c r="Q73">
        <v>2</v>
      </c>
      <c r="R73">
        <v>74</v>
      </c>
      <c r="S73" t="s">
        <v>1749</v>
      </c>
      <c r="Y73">
        <f>Wine_pres_final[[#This Row],[mlp_params]]</f>
        <v>12048</v>
      </c>
      <c r="Z73">
        <f>IF((LEN(Wine_pres_final[[#This Row],[kan_width]])-LEN(SUBSTITUTE(Wine_pres_final[[#This Row],[kan_width]]," ","")))&gt;2,Wine_pres_final[[#This Row],[kan_test_acc]],"")</f>
        <v>0.60000001390775037</v>
      </c>
      <c r="AA73" t="str">
        <f>IF((LEN(Wine_pres_final[[#This Row],[kan_width]])-LEN(SUBSTITUTE(Wine_pres_final[[#This Row],[kan_width]]," ","")))&gt;2,"",Wine_pres_final[[#This Row],[kan_test_acc]])</f>
        <v/>
      </c>
      <c r="AB73">
        <f>Wine_pres_final[[#This Row],[mlp_test_acc]]</f>
        <v>0.63703703703703707</v>
      </c>
      <c r="AC73">
        <f>Wine_pres_final[[#This Row],[mlp_test_acc2]]</f>
        <v>0.62962962962962954</v>
      </c>
    </row>
    <row r="74" spans="1:29" hidden="1" x14ac:dyDescent="0.25">
      <c r="A74" t="s">
        <v>1336</v>
      </c>
      <c r="B74">
        <v>9</v>
      </c>
      <c r="C74">
        <v>4</v>
      </c>
      <c r="D74">
        <v>0</v>
      </c>
      <c r="E74" t="s">
        <v>1365</v>
      </c>
      <c r="F74">
        <v>9145</v>
      </c>
      <c r="G74">
        <v>12532291.083333332</v>
      </c>
      <c r="H74">
        <v>0.60185186813275016</v>
      </c>
      <c r="I74">
        <v>0.71296296296296302</v>
      </c>
      <c r="J74">
        <v>4868073.583333333</v>
      </c>
      <c r="K74">
        <v>13986</v>
      </c>
      <c r="L74">
        <v>2</v>
      </c>
      <c r="M74">
        <v>79</v>
      </c>
      <c r="N74">
        <v>0.67592592592592593</v>
      </c>
      <c r="O74">
        <v>3060040.9166666665</v>
      </c>
      <c r="P74">
        <v>14323</v>
      </c>
      <c r="Q74">
        <v>2</v>
      </c>
      <c r="R74">
        <v>80</v>
      </c>
      <c r="S74" t="s">
        <v>1901</v>
      </c>
      <c r="Y74">
        <f>Wine_pres_final[[#This Row],[mlp_params]]</f>
        <v>13986</v>
      </c>
      <c r="Z74">
        <f>IF((LEN(Wine_pres_final[[#This Row],[kan_width]])-LEN(SUBSTITUTE(Wine_pres_final[[#This Row],[kan_width]]," ","")))&gt;2,Wine_pres_final[[#This Row],[kan_test_acc]],"")</f>
        <v>0.60185186813275016</v>
      </c>
      <c r="AA74" t="str">
        <f>IF((LEN(Wine_pres_final[[#This Row],[kan_width]])-LEN(SUBSTITUTE(Wine_pres_final[[#This Row],[kan_width]]," ","")))&gt;2,"",Wine_pres_final[[#This Row],[kan_test_acc]])</f>
        <v/>
      </c>
      <c r="AB74">
        <f>Wine_pres_final[[#This Row],[mlp_test_acc]]</f>
        <v>0.71296296296296302</v>
      </c>
      <c r="AC74">
        <f>Wine_pres_final[[#This Row],[mlp_test_acc2]]</f>
        <v>0.67592592592592593</v>
      </c>
    </row>
    <row r="75" spans="1:29" hidden="1" x14ac:dyDescent="0.25">
      <c r="A75" t="s">
        <v>1336</v>
      </c>
      <c r="B75">
        <v>5</v>
      </c>
      <c r="C75">
        <v>5</v>
      </c>
      <c r="D75">
        <v>0</v>
      </c>
      <c r="E75" t="s">
        <v>1413</v>
      </c>
      <c r="F75">
        <v>10408</v>
      </c>
      <c r="G75">
        <v>16551126.333333334</v>
      </c>
      <c r="H75">
        <v>0.60185186813275016</v>
      </c>
      <c r="I75">
        <v>0.67592592592592593</v>
      </c>
      <c r="J75">
        <v>5697267</v>
      </c>
      <c r="K75">
        <v>19068</v>
      </c>
      <c r="L75">
        <v>2</v>
      </c>
      <c r="M75">
        <v>93</v>
      </c>
      <c r="N75">
        <v>0.68518518518518512</v>
      </c>
      <c r="O75">
        <v>6166760</v>
      </c>
      <c r="P75">
        <v>19461</v>
      </c>
      <c r="Q75">
        <v>2</v>
      </c>
      <c r="R75">
        <v>94</v>
      </c>
      <c r="S75" t="s">
        <v>1775</v>
      </c>
      <c r="Y75">
        <f>Wine_pres_final[[#This Row],[mlp_params]]</f>
        <v>19068</v>
      </c>
      <c r="Z75">
        <f>IF((LEN(Wine_pres_final[[#This Row],[kan_width]])-LEN(SUBSTITUTE(Wine_pres_final[[#This Row],[kan_width]]," ","")))&gt;2,Wine_pres_final[[#This Row],[kan_test_acc]],"")</f>
        <v>0.60185186813275016</v>
      </c>
      <c r="AA75" t="str">
        <f>IF((LEN(Wine_pres_final[[#This Row],[kan_width]])-LEN(SUBSTITUTE(Wine_pres_final[[#This Row],[kan_width]]," ","")))&gt;2,"",Wine_pres_final[[#This Row],[kan_test_acc]])</f>
        <v/>
      </c>
      <c r="AB75">
        <f>Wine_pres_final[[#This Row],[mlp_test_acc]]</f>
        <v>0.67592592592592593</v>
      </c>
      <c r="AC75">
        <f>Wine_pres_final[[#This Row],[mlp_test_acc2]]</f>
        <v>0.68518518518518512</v>
      </c>
    </row>
    <row r="76" spans="1:29" hidden="1" x14ac:dyDescent="0.25">
      <c r="A76" t="s">
        <v>1336</v>
      </c>
      <c r="B76">
        <v>9</v>
      </c>
      <c r="C76">
        <v>3</v>
      </c>
      <c r="D76">
        <v>0</v>
      </c>
      <c r="E76" t="s">
        <v>1361</v>
      </c>
      <c r="F76">
        <v>7612</v>
      </c>
      <c r="G76">
        <v>11489937.166666666</v>
      </c>
      <c r="H76">
        <v>0.60370371490716934</v>
      </c>
      <c r="I76">
        <v>0.65740740740740744</v>
      </c>
      <c r="J76">
        <v>4080776.833333333</v>
      </c>
      <c r="K76">
        <v>11133</v>
      </c>
      <c r="L76">
        <v>2</v>
      </c>
      <c r="M76">
        <v>70</v>
      </c>
      <c r="N76">
        <v>0.69074074074074077</v>
      </c>
      <c r="O76">
        <v>1846205.8333333335</v>
      </c>
      <c r="P76">
        <v>11434</v>
      </c>
      <c r="Q76">
        <v>2</v>
      </c>
      <c r="R76">
        <v>71</v>
      </c>
      <c r="S76" t="s">
        <v>1849</v>
      </c>
      <c r="Y76">
        <f>Wine_pres_final[[#This Row],[mlp_params]]</f>
        <v>11133</v>
      </c>
      <c r="Z76">
        <f>IF((LEN(Wine_pres_final[[#This Row],[kan_width]])-LEN(SUBSTITUTE(Wine_pres_final[[#This Row],[kan_width]]," ","")))&gt;2,Wine_pres_final[[#This Row],[kan_test_acc]],"")</f>
        <v>0.60370371490716934</v>
      </c>
      <c r="AA76" t="str">
        <f>IF((LEN(Wine_pres_final[[#This Row],[kan_width]])-LEN(SUBSTITUTE(Wine_pres_final[[#This Row],[kan_width]]," ","")))&gt;2,"",Wine_pres_final[[#This Row],[kan_test_acc]])</f>
        <v/>
      </c>
      <c r="AB76">
        <f>Wine_pres_final[[#This Row],[mlp_test_acc]]</f>
        <v>0.65740740740740744</v>
      </c>
      <c r="AC76">
        <f>Wine_pres_final[[#This Row],[mlp_test_acc2]]</f>
        <v>0.69074074074074077</v>
      </c>
    </row>
    <row r="77" spans="1:29" x14ac:dyDescent="0.25">
      <c r="A77" t="s">
        <v>1336</v>
      </c>
      <c r="B77">
        <v>9</v>
      </c>
      <c r="C77">
        <v>5</v>
      </c>
      <c r="D77">
        <v>0</v>
      </c>
      <c r="E77" t="s">
        <v>1391</v>
      </c>
      <c r="F77">
        <v>10256</v>
      </c>
      <c r="G77">
        <v>9400315.9166666679</v>
      </c>
      <c r="H77">
        <v>0.57777779549360275</v>
      </c>
      <c r="I77">
        <v>0.75185185185185188</v>
      </c>
      <c r="J77">
        <v>765924.91666666674</v>
      </c>
      <c r="K77">
        <v>16794</v>
      </c>
      <c r="L77">
        <v>2</v>
      </c>
      <c r="M77">
        <v>87</v>
      </c>
      <c r="N77">
        <v>0.70185185185185195</v>
      </c>
      <c r="O77">
        <v>694342.83333333326</v>
      </c>
      <c r="P77">
        <v>17163</v>
      </c>
      <c r="Q77">
        <v>2</v>
      </c>
      <c r="R77">
        <v>88</v>
      </c>
      <c r="S77" t="s">
        <v>1964</v>
      </c>
      <c r="Y77">
        <f>Wine_pres_final[[#This Row],[mlp_params]]</f>
        <v>16794</v>
      </c>
      <c r="Z77">
        <f>IF((LEN(Wine_pres_final[[#This Row],[kan_width]])-LEN(SUBSTITUTE(Wine_pres_final[[#This Row],[kan_width]]," ","")))&gt;2,Wine_pres_final[[#This Row],[kan_test_acc]],"")</f>
        <v>0.57777779549360275</v>
      </c>
      <c r="AA77" t="str">
        <f>IF((LEN(Wine_pres_final[[#This Row],[kan_width]])-LEN(SUBSTITUTE(Wine_pres_final[[#This Row],[kan_width]]," ","")))&gt;2,"",Wine_pres_final[[#This Row],[kan_test_acc]])</f>
        <v/>
      </c>
      <c r="AB77">
        <f>Wine_pres_final[[#This Row],[mlp_test_acc]]</f>
        <v>0.75185185185185188</v>
      </c>
      <c r="AC77">
        <f>Wine_pres_final[[#This Row],[mlp_test_acc2]]</f>
        <v>0.70185185185185195</v>
      </c>
    </row>
    <row r="78" spans="1:29" hidden="1" x14ac:dyDescent="0.25">
      <c r="A78" t="s">
        <v>1336</v>
      </c>
      <c r="B78">
        <v>5</v>
      </c>
      <c r="C78">
        <v>5</v>
      </c>
      <c r="D78">
        <v>0</v>
      </c>
      <c r="E78" t="s">
        <v>1375</v>
      </c>
      <c r="F78">
        <v>7018</v>
      </c>
      <c r="G78">
        <v>10588006.666666668</v>
      </c>
      <c r="H78">
        <v>0.60370372235774994</v>
      </c>
      <c r="I78">
        <v>0.64444444444444438</v>
      </c>
      <c r="J78">
        <v>5346567.083333333</v>
      </c>
      <c r="K78">
        <v>12678</v>
      </c>
      <c r="L78">
        <v>2</v>
      </c>
      <c r="M78">
        <v>75</v>
      </c>
      <c r="N78">
        <v>0.65555555555555556</v>
      </c>
      <c r="O78">
        <v>2176491.25</v>
      </c>
      <c r="P78">
        <v>12999</v>
      </c>
      <c r="Q78">
        <v>2</v>
      </c>
      <c r="R78">
        <v>76</v>
      </c>
      <c r="S78" t="s">
        <v>1756</v>
      </c>
      <c r="Y78">
        <f>Wine_pres_final[[#This Row],[mlp_params]]</f>
        <v>12678</v>
      </c>
      <c r="Z78">
        <f>IF((LEN(Wine_pres_final[[#This Row],[kan_width]])-LEN(SUBSTITUTE(Wine_pres_final[[#This Row],[kan_width]]," ","")))&gt;2,Wine_pres_final[[#This Row],[kan_test_acc]],"")</f>
        <v>0.60370372235774994</v>
      </c>
      <c r="AA78" t="str">
        <f>IF((LEN(Wine_pres_final[[#This Row],[kan_width]])-LEN(SUBSTITUTE(Wine_pres_final[[#This Row],[kan_width]]," ","")))&gt;2,"",Wine_pres_final[[#This Row],[kan_test_acc]])</f>
        <v/>
      </c>
      <c r="AB78">
        <f>Wine_pres_final[[#This Row],[mlp_test_acc]]</f>
        <v>0.64444444444444438</v>
      </c>
      <c r="AC78">
        <f>Wine_pres_final[[#This Row],[mlp_test_acc2]]</f>
        <v>0.65555555555555556</v>
      </c>
    </row>
    <row r="79" spans="1:29" hidden="1" x14ac:dyDescent="0.25">
      <c r="A79" t="s">
        <v>1336</v>
      </c>
      <c r="B79">
        <v>9</v>
      </c>
      <c r="C79">
        <v>4</v>
      </c>
      <c r="D79">
        <v>0</v>
      </c>
      <c r="E79" t="s">
        <v>1357</v>
      </c>
      <c r="F79">
        <v>7089</v>
      </c>
      <c r="G79">
        <v>14887207.125</v>
      </c>
      <c r="H79">
        <v>0.60555556416511536</v>
      </c>
      <c r="I79">
        <v>0.68888888888888888</v>
      </c>
      <c r="J79">
        <v>2382172.875</v>
      </c>
      <c r="K79">
        <v>10836</v>
      </c>
      <c r="L79">
        <v>2</v>
      </c>
      <c r="M79">
        <v>69</v>
      </c>
      <c r="N79">
        <v>0.74444444444444446</v>
      </c>
      <c r="O79">
        <v>1609429.75</v>
      </c>
      <c r="P79">
        <v>11133</v>
      </c>
      <c r="Q79">
        <v>2</v>
      </c>
      <c r="R79">
        <v>70</v>
      </c>
      <c r="S79" t="s">
        <v>1897</v>
      </c>
      <c r="Y79">
        <f>Wine_pres_final[[#This Row],[mlp_params]]</f>
        <v>10836</v>
      </c>
      <c r="Z79">
        <f>IF((LEN(Wine_pres_final[[#This Row],[kan_width]])-LEN(SUBSTITUTE(Wine_pres_final[[#This Row],[kan_width]]," ","")))&gt;2,Wine_pres_final[[#This Row],[kan_test_acc]],"")</f>
        <v>0.60555556416511536</v>
      </c>
      <c r="AA79" t="str">
        <f>IF((LEN(Wine_pres_final[[#This Row],[kan_width]])-LEN(SUBSTITUTE(Wine_pres_final[[#This Row],[kan_width]]," ","")))&gt;2,"",Wine_pres_final[[#This Row],[kan_test_acc]])</f>
        <v/>
      </c>
      <c r="AB79">
        <f>Wine_pres_final[[#This Row],[mlp_test_acc]]</f>
        <v>0.68888888888888888</v>
      </c>
      <c r="AC79">
        <f>Wine_pres_final[[#This Row],[mlp_test_acc2]]</f>
        <v>0.74444444444444446</v>
      </c>
    </row>
    <row r="80" spans="1:29" hidden="1" x14ac:dyDescent="0.25">
      <c r="A80" t="s">
        <v>1336</v>
      </c>
      <c r="B80">
        <v>9</v>
      </c>
      <c r="C80">
        <v>4</v>
      </c>
      <c r="D80">
        <v>0</v>
      </c>
      <c r="E80" t="s">
        <v>1359</v>
      </c>
      <c r="F80">
        <v>7603</v>
      </c>
      <c r="G80">
        <v>10757484.916666666</v>
      </c>
      <c r="H80">
        <v>0.60555557409922289</v>
      </c>
      <c r="I80">
        <v>0.64444444444444449</v>
      </c>
      <c r="J80">
        <v>6610518</v>
      </c>
      <c r="K80">
        <v>11739</v>
      </c>
      <c r="L80">
        <v>2</v>
      </c>
      <c r="M80">
        <v>72</v>
      </c>
      <c r="N80">
        <v>0.74259259259259258</v>
      </c>
      <c r="O80">
        <v>2729779.1666666665</v>
      </c>
      <c r="P80">
        <v>12048</v>
      </c>
      <c r="Q80">
        <v>2</v>
      </c>
      <c r="R80">
        <v>73</v>
      </c>
      <c r="S80" t="s">
        <v>1898</v>
      </c>
      <c r="Y80">
        <f>Wine_pres_final[[#This Row],[mlp_params]]</f>
        <v>11739</v>
      </c>
      <c r="Z80">
        <f>IF((LEN(Wine_pres_final[[#This Row],[kan_width]])-LEN(SUBSTITUTE(Wine_pres_final[[#This Row],[kan_width]]," ","")))&gt;2,Wine_pres_final[[#This Row],[kan_test_acc]],"")</f>
        <v>0.60555557409922289</v>
      </c>
      <c r="AA80" t="str">
        <f>IF((LEN(Wine_pres_final[[#This Row],[kan_width]])-LEN(SUBSTITUTE(Wine_pres_final[[#This Row],[kan_width]]," ","")))&gt;2,"",Wine_pres_final[[#This Row],[kan_test_acc]])</f>
        <v/>
      </c>
      <c r="AB80">
        <f>Wine_pres_final[[#This Row],[mlp_test_acc]]</f>
        <v>0.64444444444444449</v>
      </c>
      <c r="AC80">
        <f>Wine_pres_final[[#This Row],[mlp_test_acc2]]</f>
        <v>0.74259259259259258</v>
      </c>
    </row>
    <row r="81" spans="1:29" hidden="1" x14ac:dyDescent="0.25">
      <c r="A81" t="s">
        <v>1336</v>
      </c>
      <c r="B81">
        <v>9</v>
      </c>
      <c r="C81">
        <v>3</v>
      </c>
      <c r="D81">
        <v>0</v>
      </c>
      <c r="E81" t="s">
        <v>1401</v>
      </c>
      <c r="F81">
        <v>8030</v>
      </c>
      <c r="G81">
        <v>14948075.583333332</v>
      </c>
      <c r="H81">
        <v>0.60555557658274972</v>
      </c>
      <c r="I81">
        <v>0.66851851851851851</v>
      </c>
      <c r="J81">
        <v>3979339.416666667</v>
      </c>
      <c r="K81">
        <v>11739</v>
      </c>
      <c r="L81">
        <v>2</v>
      </c>
      <c r="M81">
        <v>72</v>
      </c>
      <c r="N81">
        <v>0.68888888888888888</v>
      </c>
      <c r="O81">
        <v>4334992.5</v>
      </c>
      <c r="P81">
        <v>12048</v>
      </c>
      <c r="Q81">
        <v>2</v>
      </c>
      <c r="R81">
        <v>73</v>
      </c>
      <c r="S81" t="s">
        <v>1869</v>
      </c>
      <c r="Y81">
        <f>Wine_pres_final[[#This Row],[mlp_params]]</f>
        <v>11739</v>
      </c>
      <c r="Z81">
        <f>IF((LEN(Wine_pres_final[[#This Row],[kan_width]])-LEN(SUBSTITUTE(Wine_pres_final[[#This Row],[kan_width]]," ","")))&gt;2,Wine_pres_final[[#This Row],[kan_test_acc]],"")</f>
        <v>0.60555557658274972</v>
      </c>
      <c r="AA81" t="str">
        <f>IF((LEN(Wine_pres_final[[#This Row],[kan_width]])-LEN(SUBSTITUTE(Wine_pres_final[[#This Row],[kan_width]]," ","")))&gt;2,"",Wine_pres_final[[#This Row],[kan_test_acc]])</f>
        <v/>
      </c>
      <c r="AB81">
        <f>Wine_pres_final[[#This Row],[mlp_test_acc]]</f>
        <v>0.66851851851851851</v>
      </c>
      <c r="AC81">
        <f>Wine_pres_final[[#This Row],[mlp_test_acc2]]</f>
        <v>0.68888888888888888</v>
      </c>
    </row>
    <row r="82" spans="1:29" hidden="1" x14ac:dyDescent="0.25">
      <c r="A82" t="s">
        <v>1336</v>
      </c>
      <c r="B82">
        <v>9</v>
      </c>
      <c r="C82">
        <v>4</v>
      </c>
      <c r="D82">
        <v>0</v>
      </c>
      <c r="E82" t="s">
        <v>1389</v>
      </c>
      <c r="F82">
        <v>9013</v>
      </c>
      <c r="G82">
        <v>9045743.166666666</v>
      </c>
      <c r="H82">
        <v>0.60925927509864164</v>
      </c>
      <c r="I82">
        <v>0.66111111111111109</v>
      </c>
      <c r="J82">
        <v>648492.16666666674</v>
      </c>
      <c r="K82">
        <v>13986</v>
      </c>
      <c r="L82">
        <v>2</v>
      </c>
      <c r="M82">
        <v>79</v>
      </c>
      <c r="N82">
        <v>0.75740740740740742</v>
      </c>
      <c r="O82">
        <v>520189.66666666663</v>
      </c>
      <c r="P82">
        <v>14323</v>
      </c>
      <c r="Q82">
        <v>2</v>
      </c>
      <c r="R82">
        <v>80</v>
      </c>
      <c r="S82" t="s">
        <v>1913</v>
      </c>
      <c r="Y82">
        <f>Wine_pres_final[[#This Row],[mlp_params]]</f>
        <v>13986</v>
      </c>
      <c r="Z82">
        <f>IF((LEN(Wine_pres_final[[#This Row],[kan_width]])-LEN(SUBSTITUTE(Wine_pres_final[[#This Row],[kan_width]]," ","")))&gt;2,Wine_pres_final[[#This Row],[kan_test_acc]],"")</f>
        <v>0.60925927509864164</v>
      </c>
      <c r="AA82" t="str">
        <f>IF((LEN(Wine_pres_final[[#This Row],[kan_width]])-LEN(SUBSTITUTE(Wine_pres_final[[#This Row],[kan_width]]," ","")))&gt;2,"",Wine_pres_final[[#This Row],[kan_test_acc]])</f>
        <v/>
      </c>
      <c r="AB82">
        <f>Wine_pres_final[[#This Row],[mlp_test_acc]]</f>
        <v>0.66111111111111109</v>
      </c>
      <c r="AC82">
        <f>Wine_pres_final[[#This Row],[mlp_test_acc2]]</f>
        <v>0.75740740740740742</v>
      </c>
    </row>
    <row r="83" spans="1:29" hidden="1" x14ac:dyDescent="0.25">
      <c r="A83" t="s">
        <v>1336</v>
      </c>
      <c r="B83">
        <v>9</v>
      </c>
      <c r="C83">
        <v>4</v>
      </c>
      <c r="D83">
        <v>0</v>
      </c>
      <c r="E83" t="s">
        <v>1355</v>
      </c>
      <c r="F83">
        <v>6575</v>
      </c>
      <c r="G83">
        <v>8371032</v>
      </c>
      <c r="H83">
        <v>0.61296297361453378</v>
      </c>
      <c r="I83">
        <v>0.64814814814814814</v>
      </c>
      <c r="J83">
        <v>6253424.5</v>
      </c>
      <c r="K83">
        <v>10254</v>
      </c>
      <c r="L83">
        <v>2</v>
      </c>
      <c r="M83">
        <v>67</v>
      </c>
      <c r="N83">
        <v>0.69074074074074066</v>
      </c>
      <c r="O83">
        <v>2376840.4166666665</v>
      </c>
      <c r="P83">
        <v>10543</v>
      </c>
      <c r="Q83">
        <v>2</v>
      </c>
      <c r="R83">
        <v>68</v>
      </c>
      <c r="S83" t="s">
        <v>1896</v>
      </c>
      <c r="Y83">
        <f>Wine_pres_final[[#This Row],[mlp_params]]</f>
        <v>10254</v>
      </c>
      <c r="Z83">
        <f>IF((LEN(Wine_pres_final[[#This Row],[kan_width]])-LEN(SUBSTITUTE(Wine_pres_final[[#This Row],[kan_width]]," ","")))&gt;2,Wine_pres_final[[#This Row],[kan_test_acc]],"")</f>
        <v>0.61296297361453378</v>
      </c>
      <c r="AA83" t="str">
        <f>IF((LEN(Wine_pres_final[[#This Row],[kan_width]])-LEN(SUBSTITUTE(Wine_pres_final[[#This Row],[kan_width]]," ","")))&gt;2,"",Wine_pres_final[[#This Row],[kan_test_acc]])</f>
        <v/>
      </c>
      <c r="AB83">
        <f>Wine_pres_final[[#This Row],[mlp_test_acc]]</f>
        <v>0.64814814814814814</v>
      </c>
      <c r="AC83">
        <f>Wine_pres_final[[#This Row],[mlp_test_acc2]]</f>
        <v>0.69074074074074066</v>
      </c>
    </row>
    <row r="84" spans="1:29" hidden="1" x14ac:dyDescent="0.25">
      <c r="A84" t="s">
        <v>1336</v>
      </c>
      <c r="B84">
        <v>5</v>
      </c>
      <c r="C84">
        <v>4</v>
      </c>
      <c r="D84">
        <v>0</v>
      </c>
      <c r="E84" t="s">
        <v>1375</v>
      </c>
      <c r="F84">
        <v>6481</v>
      </c>
      <c r="G84">
        <v>15056986.583333334</v>
      </c>
      <c r="H84">
        <v>0.61481483032306028</v>
      </c>
      <c r="I84">
        <v>0.67962962962962958</v>
      </c>
      <c r="J84">
        <v>5228307.333333334</v>
      </c>
      <c r="K84">
        <v>11133</v>
      </c>
      <c r="L84">
        <v>2</v>
      </c>
      <c r="M84">
        <v>70</v>
      </c>
      <c r="N84">
        <v>0.67037037037037039</v>
      </c>
      <c r="O84">
        <v>2636300.25</v>
      </c>
      <c r="P84">
        <v>11434</v>
      </c>
      <c r="Q84">
        <v>2</v>
      </c>
      <c r="R84">
        <v>71</v>
      </c>
      <c r="S84" t="s">
        <v>1706</v>
      </c>
      <c r="Y84">
        <f>Wine_pres_final[[#This Row],[mlp_params]]</f>
        <v>11133</v>
      </c>
      <c r="Z84">
        <f>IF((LEN(Wine_pres_final[[#This Row],[kan_width]])-LEN(SUBSTITUTE(Wine_pres_final[[#This Row],[kan_width]]," ","")))&gt;2,Wine_pres_final[[#This Row],[kan_test_acc]],"")</f>
        <v>0.61481483032306028</v>
      </c>
      <c r="AA84" t="str">
        <f>IF((LEN(Wine_pres_final[[#This Row],[kan_width]])-LEN(SUBSTITUTE(Wine_pres_final[[#This Row],[kan_width]]," ","")))&gt;2,"",Wine_pres_final[[#This Row],[kan_test_acc]])</f>
        <v/>
      </c>
      <c r="AB84">
        <f>Wine_pres_final[[#This Row],[mlp_test_acc]]</f>
        <v>0.67962962962962958</v>
      </c>
      <c r="AC84">
        <f>Wine_pres_final[[#This Row],[mlp_test_acc2]]</f>
        <v>0.67037037037037039</v>
      </c>
    </row>
    <row r="85" spans="1:29" hidden="1" x14ac:dyDescent="0.25">
      <c r="A85" t="s">
        <v>1336</v>
      </c>
      <c r="B85">
        <v>9</v>
      </c>
      <c r="C85">
        <v>4</v>
      </c>
      <c r="D85">
        <v>0</v>
      </c>
      <c r="E85" t="s">
        <v>1371</v>
      </c>
      <c r="F85">
        <v>7473</v>
      </c>
      <c r="G85">
        <v>9778040.5833333321</v>
      </c>
      <c r="H85">
        <v>0.61481483280658722</v>
      </c>
      <c r="I85">
        <v>0.73148148148148151</v>
      </c>
      <c r="J85">
        <v>434842.83333333337</v>
      </c>
      <c r="K85">
        <v>11434</v>
      </c>
      <c r="L85">
        <v>2</v>
      </c>
      <c r="M85">
        <v>71</v>
      </c>
      <c r="N85">
        <v>0.67777777777777781</v>
      </c>
      <c r="O85">
        <v>514385.58333333331</v>
      </c>
      <c r="P85">
        <v>11739</v>
      </c>
      <c r="Q85">
        <v>2</v>
      </c>
      <c r="R85">
        <v>72</v>
      </c>
      <c r="S85" t="s">
        <v>1904</v>
      </c>
      <c r="Y85">
        <f>Wine_pres_final[[#This Row],[mlp_params]]</f>
        <v>11434</v>
      </c>
      <c r="Z85">
        <f>IF((LEN(Wine_pres_final[[#This Row],[kan_width]])-LEN(SUBSTITUTE(Wine_pres_final[[#This Row],[kan_width]]," ","")))&gt;2,Wine_pres_final[[#This Row],[kan_test_acc]],"")</f>
        <v>0.61481483280658722</v>
      </c>
      <c r="AA85" t="str">
        <f>IF((LEN(Wine_pres_final[[#This Row],[kan_width]])-LEN(SUBSTITUTE(Wine_pres_final[[#This Row],[kan_width]]," ","")))&gt;2,"",Wine_pres_final[[#This Row],[kan_test_acc]])</f>
        <v/>
      </c>
      <c r="AB85">
        <f>Wine_pres_final[[#This Row],[mlp_test_acc]]</f>
        <v>0.73148148148148151</v>
      </c>
      <c r="AC85">
        <f>Wine_pres_final[[#This Row],[mlp_test_acc2]]</f>
        <v>0.67777777777777781</v>
      </c>
    </row>
    <row r="86" spans="1:29" hidden="1" x14ac:dyDescent="0.25">
      <c r="A86" t="s">
        <v>1336</v>
      </c>
      <c r="B86">
        <v>5</v>
      </c>
      <c r="C86">
        <v>5</v>
      </c>
      <c r="D86">
        <v>0</v>
      </c>
      <c r="E86" t="s">
        <v>1377</v>
      </c>
      <c r="F86">
        <v>7488</v>
      </c>
      <c r="G86">
        <v>11448155.166666668</v>
      </c>
      <c r="H86">
        <v>0.61666667958100629</v>
      </c>
      <c r="I86">
        <v>0.67222222222222228</v>
      </c>
      <c r="J86">
        <v>4430339.583333333</v>
      </c>
      <c r="K86">
        <v>13653</v>
      </c>
      <c r="L86">
        <v>2</v>
      </c>
      <c r="M86">
        <v>78</v>
      </c>
      <c r="N86">
        <v>0.67777777777777781</v>
      </c>
      <c r="O86">
        <v>2074455</v>
      </c>
      <c r="P86">
        <v>13986</v>
      </c>
      <c r="Q86">
        <v>2</v>
      </c>
      <c r="R86">
        <v>79</v>
      </c>
      <c r="S86" t="s">
        <v>1757</v>
      </c>
      <c r="Y86">
        <f>Wine_pres_final[[#This Row],[mlp_params]]</f>
        <v>13653</v>
      </c>
      <c r="Z86">
        <f>IF((LEN(Wine_pres_final[[#This Row],[kan_width]])-LEN(SUBSTITUTE(Wine_pres_final[[#This Row],[kan_width]]," ","")))&gt;2,Wine_pres_final[[#This Row],[kan_test_acc]],"")</f>
        <v>0.61666667958100629</v>
      </c>
      <c r="AA86" t="str">
        <f>IF((LEN(Wine_pres_final[[#This Row],[kan_width]])-LEN(SUBSTITUTE(Wine_pres_final[[#This Row],[kan_width]]," ","")))&gt;2,"",Wine_pres_final[[#This Row],[kan_test_acc]])</f>
        <v/>
      </c>
      <c r="AB86">
        <f>Wine_pres_final[[#This Row],[mlp_test_acc]]</f>
        <v>0.67222222222222228</v>
      </c>
      <c r="AC86">
        <f>Wine_pres_final[[#This Row],[mlp_test_acc2]]</f>
        <v>0.67777777777777781</v>
      </c>
    </row>
    <row r="87" spans="1:29" hidden="1" x14ac:dyDescent="0.25">
      <c r="A87" t="s">
        <v>1336</v>
      </c>
      <c r="B87">
        <v>5</v>
      </c>
      <c r="C87">
        <v>4</v>
      </c>
      <c r="D87">
        <v>0</v>
      </c>
      <c r="E87" t="s">
        <v>1421</v>
      </c>
      <c r="F87">
        <v>8213</v>
      </c>
      <c r="G87">
        <v>15893801.333333332</v>
      </c>
      <c r="H87">
        <v>0.61666668454806017</v>
      </c>
      <c r="I87">
        <v>0.66481481481481475</v>
      </c>
      <c r="J87">
        <v>4894786.333333334</v>
      </c>
      <c r="K87">
        <v>14323</v>
      </c>
      <c r="L87">
        <v>2</v>
      </c>
      <c r="M87">
        <v>80</v>
      </c>
      <c r="N87">
        <v>0.66111111111111109</v>
      </c>
      <c r="O87">
        <v>3322168.25</v>
      </c>
      <c r="P87">
        <v>14664</v>
      </c>
      <c r="Q87">
        <v>2</v>
      </c>
      <c r="R87">
        <v>81</v>
      </c>
      <c r="S87" t="s">
        <v>1729</v>
      </c>
      <c r="Y87">
        <f>Wine_pres_final[[#This Row],[mlp_params]]</f>
        <v>14323</v>
      </c>
      <c r="Z87">
        <f>IF((LEN(Wine_pres_final[[#This Row],[kan_width]])-LEN(SUBSTITUTE(Wine_pres_final[[#This Row],[kan_width]]," ","")))&gt;2,Wine_pres_final[[#This Row],[kan_test_acc]],"")</f>
        <v>0.61666668454806017</v>
      </c>
      <c r="AA87" t="str">
        <f>IF((LEN(Wine_pres_final[[#This Row],[kan_width]])-LEN(SUBSTITUTE(Wine_pres_final[[#This Row],[kan_width]]," ","")))&gt;2,"",Wine_pres_final[[#This Row],[kan_test_acc]])</f>
        <v/>
      </c>
      <c r="AB87">
        <f>Wine_pres_final[[#This Row],[mlp_test_acc]]</f>
        <v>0.66481481481481475</v>
      </c>
      <c r="AC87">
        <f>Wine_pres_final[[#This Row],[mlp_test_acc2]]</f>
        <v>0.66111111111111109</v>
      </c>
    </row>
    <row r="88" spans="1:29" hidden="1" x14ac:dyDescent="0.25">
      <c r="A88" t="s">
        <v>1336</v>
      </c>
      <c r="B88">
        <v>5</v>
      </c>
      <c r="C88">
        <v>4</v>
      </c>
      <c r="D88">
        <v>0</v>
      </c>
      <c r="E88" t="s">
        <v>1419</v>
      </c>
      <c r="F88">
        <v>7635</v>
      </c>
      <c r="G88">
        <v>13890887.25</v>
      </c>
      <c r="H88">
        <v>0.61851853132247925</v>
      </c>
      <c r="I88">
        <v>0.68333333333333335</v>
      </c>
      <c r="J88">
        <v>5119350.583333334</v>
      </c>
      <c r="K88">
        <v>13324</v>
      </c>
      <c r="L88">
        <v>2</v>
      </c>
      <c r="M88">
        <v>77</v>
      </c>
      <c r="N88">
        <v>0.66851851851851851</v>
      </c>
      <c r="O88">
        <v>3685763.8333333335</v>
      </c>
      <c r="P88">
        <v>13653</v>
      </c>
      <c r="Q88">
        <v>2</v>
      </c>
      <c r="R88">
        <v>78</v>
      </c>
      <c r="S88" t="s">
        <v>1728</v>
      </c>
      <c r="Y88">
        <f>Wine_pres_final[[#This Row],[mlp_params]]</f>
        <v>13324</v>
      </c>
      <c r="Z88">
        <f>IF((LEN(Wine_pres_final[[#This Row],[kan_width]])-LEN(SUBSTITUTE(Wine_pres_final[[#This Row],[kan_width]]," ","")))&gt;2,Wine_pres_final[[#This Row],[kan_test_acc]],"")</f>
        <v>0.61851853132247925</v>
      </c>
      <c r="AA88" t="str">
        <f>IF((LEN(Wine_pres_final[[#This Row],[kan_width]])-LEN(SUBSTITUTE(Wine_pres_final[[#This Row],[kan_width]]," ","")))&gt;2,"",Wine_pres_final[[#This Row],[kan_test_acc]])</f>
        <v/>
      </c>
      <c r="AB88">
        <f>Wine_pres_final[[#This Row],[mlp_test_acc]]</f>
        <v>0.68333333333333335</v>
      </c>
      <c r="AC88">
        <f>Wine_pres_final[[#This Row],[mlp_test_acc2]]</f>
        <v>0.66851851851851851</v>
      </c>
    </row>
    <row r="89" spans="1:29" hidden="1" x14ac:dyDescent="0.25">
      <c r="A89" t="s">
        <v>1336</v>
      </c>
      <c r="B89">
        <v>5</v>
      </c>
      <c r="C89">
        <v>5</v>
      </c>
      <c r="D89">
        <v>0</v>
      </c>
      <c r="E89" t="s">
        <v>1427</v>
      </c>
      <c r="F89">
        <v>10772</v>
      </c>
      <c r="G89">
        <v>16949747.333333336</v>
      </c>
      <c r="H89">
        <v>0.61851853380600619</v>
      </c>
      <c r="I89">
        <v>0.687037037037037</v>
      </c>
      <c r="J89">
        <v>14229978.75</v>
      </c>
      <c r="K89">
        <v>19461</v>
      </c>
      <c r="L89">
        <v>2</v>
      </c>
      <c r="M89">
        <v>94</v>
      </c>
      <c r="N89">
        <v>0.71481481481481479</v>
      </c>
      <c r="O89">
        <v>11775565.833333332</v>
      </c>
      <c r="P89">
        <v>19858</v>
      </c>
      <c r="Q89">
        <v>2</v>
      </c>
      <c r="R89">
        <v>95</v>
      </c>
      <c r="S89" t="s">
        <v>1782</v>
      </c>
      <c r="Y89">
        <f>Wine_pres_final[[#This Row],[mlp_params]]</f>
        <v>19461</v>
      </c>
      <c r="Z89">
        <f>IF((LEN(Wine_pres_final[[#This Row],[kan_width]])-LEN(SUBSTITUTE(Wine_pres_final[[#This Row],[kan_width]]," ","")))&gt;2,Wine_pres_final[[#This Row],[kan_test_acc]],"")</f>
        <v>0.61851853380600619</v>
      </c>
      <c r="AA89" t="str">
        <f>IF((LEN(Wine_pres_final[[#This Row],[kan_width]])-LEN(SUBSTITUTE(Wine_pres_final[[#This Row],[kan_width]]," ","")))&gt;2,"",Wine_pres_final[[#This Row],[kan_test_acc]])</f>
        <v/>
      </c>
      <c r="AB89">
        <f>Wine_pres_final[[#This Row],[mlp_test_acc]]</f>
        <v>0.687037037037037</v>
      </c>
      <c r="AC89">
        <f>Wine_pres_final[[#This Row],[mlp_test_acc2]]</f>
        <v>0.71481481481481479</v>
      </c>
    </row>
    <row r="90" spans="1:29" hidden="1" x14ac:dyDescent="0.25">
      <c r="A90" t="s">
        <v>1336</v>
      </c>
      <c r="B90">
        <v>5</v>
      </c>
      <c r="C90">
        <v>5</v>
      </c>
      <c r="D90">
        <v>0</v>
      </c>
      <c r="E90" t="s">
        <v>1429</v>
      </c>
      <c r="F90">
        <v>11398</v>
      </c>
      <c r="G90">
        <v>13667932.5</v>
      </c>
      <c r="H90">
        <v>0.61851853628953291</v>
      </c>
      <c r="I90">
        <v>0.63703703703703707</v>
      </c>
      <c r="J90">
        <v>19744922.166666664</v>
      </c>
      <c r="K90">
        <v>20664</v>
      </c>
      <c r="L90">
        <v>2</v>
      </c>
      <c r="M90">
        <v>97</v>
      </c>
      <c r="N90">
        <v>0.67777777777777781</v>
      </c>
      <c r="O90">
        <v>20996606.916666664</v>
      </c>
      <c r="P90">
        <v>21073</v>
      </c>
      <c r="Q90">
        <v>2</v>
      </c>
      <c r="R90">
        <v>98</v>
      </c>
      <c r="S90" t="s">
        <v>1783</v>
      </c>
      <c r="Y90">
        <f>Wine_pres_final[[#This Row],[mlp_params]]</f>
        <v>20664</v>
      </c>
      <c r="Z90">
        <f>IF((LEN(Wine_pres_final[[#This Row],[kan_width]])-LEN(SUBSTITUTE(Wine_pres_final[[#This Row],[kan_width]]," ","")))&gt;2,Wine_pres_final[[#This Row],[kan_test_acc]],"")</f>
        <v>0.61851853628953291</v>
      </c>
      <c r="AA90" t="str">
        <f>IF((LEN(Wine_pres_final[[#This Row],[kan_width]])-LEN(SUBSTITUTE(Wine_pres_final[[#This Row],[kan_width]]," ","")))&gt;2,"",Wine_pres_final[[#This Row],[kan_test_acc]])</f>
        <v/>
      </c>
      <c r="AB90">
        <f>Wine_pres_final[[#This Row],[mlp_test_acc]]</f>
        <v>0.63703703703703707</v>
      </c>
      <c r="AC90">
        <f>Wine_pres_final[[#This Row],[mlp_test_acc2]]</f>
        <v>0.67777777777777781</v>
      </c>
    </row>
    <row r="91" spans="1:29" hidden="1" x14ac:dyDescent="0.25">
      <c r="A91" t="s">
        <v>1336</v>
      </c>
      <c r="B91">
        <v>5</v>
      </c>
      <c r="C91">
        <v>5</v>
      </c>
      <c r="D91">
        <v>0</v>
      </c>
      <c r="E91" t="s">
        <v>1379</v>
      </c>
      <c r="F91">
        <v>7958</v>
      </c>
      <c r="G91">
        <v>15108294.666666666</v>
      </c>
      <c r="H91">
        <v>0.62037038058042526</v>
      </c>
      <c r="I91">
        <v>0.687037037037037</v>
      </c>
      <c r="J91">
        <v>4944492.166666666</v>
      </c>
      <c r="K91">
        <v>14323</v>
      </c>
      <c r="L91">
        <v>2</v>
      </c>
      <c r="M91">
        <v>80</v>
      </c>
      <c r="N91">
        <v>0.66666666666666674</v>
      </c>
      <c r="O91">
        <v>2538872.75</v>
      </c>
      <c r="P91">
        <v>14664</v>
      </c>
      <c r="Q91">
        <v>2</v>
      </c>
      <c r="R91">
        <v>81</v>
      </c>
      <c r="S91" t="s">
        <v>1758</v>
      </c>
      <c r="Y91">
        <f>Wine_pres_final[[#This Row],[mlp_params]]</f>
        <v>14323</v>
      </c>
      <c r="Z91">
        <f>IF((LEN(Wine_pres_final[[#This Row],[kan_width]])-LEN(SUBSTITUTE(Wine_pres_final[[#This Row],[kan_width]]," ","")))&gt;2,Wine_pres_final[[#This Row],[kan_test_acc]],"")</f>
        <v>0.62037038058042526</v>
      </c>
      <c r="AA91" t="str">
        <f>IF((LEN(Wine_pres_final[[#This Row],[kan_width]])-LEN(SUBSTITUTE(Wine_pres_final[[#This Row],[kan_width]]," ","")))&gt;2,"",Wine_pres_final[[#This Row],[kan_test_acc]])</f>
        <v/>
      </c>
      <c r="AB91">
        <f>Wine_pres_final[[#This Row],[mlp_test_acc]]</f>
        <v>0.687037037037037</v>
      </c>
      <c r="AC91">
        <f>Wine_pres_final[[#This Row],[mlp_test_acc2]]</f>
        <v>0.66666666666666674</v>
      </c>
    </row>
    <row r="92" spans="1:29" hidden="1" x14ac:dyDescent="0.25">
      <c r="A92" t="s">
        <v>1336</v>
      </c>
      <c r="B92">
        <v>9</v>
      </c>
      <c r="C92">
        <v>3</v>
      </c>
      <c r="D92">
        <v>0</v>
      </c>
      <c r="E92" t="s">
        <v>1425</v>
      </c>
      <c r="F92">
        <v>11700</v>
      </c>
      <c r="G92">
        <v>11463849.5</v>
      </c>
      <c r="H92">
        <v>0.62037038306395209</v>
      </c>
      <c r="I92">
        <v>0.72777777777777775</v>
      </c>
      <c r="J92">
        <v>5446100</v>
      </c>
      <c r="K92">
        <v>16794</v>
      </c>
      <c r="L92">
        <v>2</v>
      </c>
      <c r="M92">
        <v>87</v>
      </c>
      <c r="N92">
        <v>0.66666666666666663</v>
      </c>
      <c r="O92">
        <v>2514341.583333333</v>
      </c>
      <c r="P92">
        <v>17163</v>
      </c>
      <c r="Q92">
        <v>2</v>
      </c>
      <c r="R92">
        <v>88</v>
      </c>
      <c r="S92" t="s">
        <v>1881</v>
      </c>
      <c r="Y92">
        <f>Wine_pres_final[[#This Row],[mlp_params]]</f>
        <v>16794</v>
      </c>
      <c r="Z92">
        <f>IF((LEN(Wine_pres_final[[#This Row],[kan_width]])-LEN(SUBSTITUTE(Wine_pres_final[[#This Row],[kan_width]]," ","")))&gt;2,Wine_pres_final[[#This Row],[kan_test_acc]],"")</f>
        <v>0.62037038306395209</v>
      </c>
      <c r="AA92" t="str">
        <f>IF((LEN(Wine_pres_final[[#This Row],[kan_width]])-LEN(SUBSTITUTE(Wine_pres_final[[#This Row],[kan_width]]," ","")))&gt;2,"",Wine_pres_final[[#This Row],[kan_test_acc]])</f>
        <v/>
      </c>
      <c r="AB92">
        <f>Wine_pres_final[[#This Row],[mlp_test_acc]]</f>
        <v>0.72777777777777775</v>
      </c>
      <c r="AC92">
        <f>Wine_pres_final[[#This Row],[mlp_test_acc2]]</f>
        <v>0.66666666666666663</v>
      </c>
    </row>
    <row r="93" spans="1:29" hidden="1" x14ac:dyDescent="0.25">
      <c r="A93" t="s">
        <v>1336</v>
      </c>
      <c r="B93">
        <v>9</v>
      </c>
      <c r="C93">
        <v>3</v>
      </c>
      <c r="D93">
        <v>0</v>
      </c>
      <c r="E93" t="s">
        <v>1359</v>
      </c>
      <c r="F93">
        <v>7130</v>
      </c>
      <c r="G93">
        <v>11823065.916666666</v>
      </c>
      <c r="H93">
        <v>0.62037038554747892</v>
      </c>
      <c r="I93">
        <v>0.67222222222222228</v>
      </c>
      <c r="J93">
        <v>1920829.3333333333</v>
      </c>
      <c r="K93">
        <v>10254</v>
      </c>
      <c r="L93">
        <v>2</v>
      </c>
      <c r="M93">
        <v>67</v>
      </c>
      <c r="N93">
        <v>0.69259259259259265</v>
      </c>
      <c r="O93">
        <v>3245579.25</v>
      </c>
      <c r="P93">
        <v>10543</v>
      </c>
      <c r="Q93">
        <v>2</v>
      </c>
      <c r="R93">
        <v>68</v>
      </c>
      <c r="S93" t="s">
        <v>1848</v>
      </c>
      <c r="Y93">
        <f>Wine_pres_final[[#This Row],[mlp_params]]</f>
        <v>10254</v>
      </c>
      <c r="Z93">
        <f>IF((LEN(Wine_pres_final[[#This Row],[kan_width]])-LEN(SUBSTITUTE(Wine_pres_final[[#This Row],[kan_width]]," ","")))&gt;2,Wine_pres_final[[#This Row],[kan_test_acc]],"")</f>
        <v>0.62037038554747892</v>
      </c>
      <c r="AA93" t="str">
        <f>IF((LEN(Wine_pres_final[[#This Row],[kan_width]])-LEN(SUBSTITUTE(Wine_pres_final[[#This Row],[kan_width]]," ","")))&gt;2,"",Wine_pres_final[[#This Row],[kan_test_acc]])</f>
        <v/>
      </c>
      <c r="AB93">
        <f>Wine_pres_final[[#This Row],[mlp_test_acc]]</f>
        <v>0.67222222222222228</v>
      </c>
      <c r="AC93">
        <f>Wine_pres_final[[#This Row],[mlp_test_acc2]]</f>
        <v>0.69259259259259265</v>
      </c>
    </row>
    <row r="94" spans="1:29" hidden="1" x14ac:dyDescent="0.25">
      <c r="A94" t="s">
        <v>1336</v>
      </c>
      <c r="B94">
        <v>9</v>
      </c>
      <c r="C94">
        <v>4</v>
      </c>
      <c r="D94">
        <v>0</v>
      </c>
      <c r="E94" t="s">
        <v>1427</v>
      </c>
      <c r="F94">
        <v>13247</v>
      </c>
      <c r="G94">
        <v>10892431.166666668</v>
      </c>
      <c r="H94">
        <v>0.62037038803100586</v>
      </c>
      <c r="I94">
        <v>0.79814814814814816</v>
      </c>
      <c r="J94">
        <v>5253539.166666667</v>
      </c>
      <c r="K94">
        <v>20664</v>
      </c>
      <c r="L94">
        <v>2</v>
      </c>
      <c r="M94">
        <v>97</v>
      </c>
      <c r="N94">
        <v>0.70925925925925926</v>
      </c>
      <c r="O94">
        <v>4730479.75</v>
      </c>
      <c r="P94">
        <v>21073</v>
      </c>
      <c r="Q94">
        <v>2</v>
      </c>
      <c r="R94">
        <v>98</v>
      </c>
      <c r="S94" t="s">
        <v>1932</v>
      </c>
      <c r="Y94">
        <f>Wine_pres_final[[#This Row],[mlp_params]]</f>
        <v>20664</v>
      </c>
      <c r="Z94">
        <f>IF((LEN(Wine_pres_final[[#This Row],[kan_width]])-LEN(SUBSTITUTE(Wine_pres_final[[#This Row],[kan_width]]," ","")))&gt;2,Wine_pres_final[[#This Row],[kan_test_acc]],"")</f>
        <v>0.62037038803100586</v>
      </c>
      <c r="AA94" t="str">
        <f>IF((LEN(Wine_pres_final[[#This Row],[kan_width]])-LEN(SUBSTITUTE(Wine_pres_final[[#This Row],[kan_width]]," ","")))&gt;2,"",Wine_pres_final[[#This Row],[kan_test_acc]])</f>
        <v/>
      </c>
      <c r="AB94">
        <f>Wine_pres_final[[#This Row],[mlp_test_acc]]</f>
        <v>0.79814814814814816</v>
      </c>
      <c r="AC94">
        <f>Wine_pres_final[[#This Row],[mlp_test_acc2]]</f>
        <v>0.70925925925925926</v>
      </c>
    </row>
    <row r="95" spans="1:29" hidden="1" x14ac:dyDescent="0.25">
      <c r="A95" t="s">
        <v>1336</v>
      </c>
      <c r="B95">
        <v>9</v>
      </c>
      <c r="C95">
        <v>4</v>
      </c>
      <c r="D95">
        <v>0</v>
      </c>
      <c r="E95" t="s">
        <v>1397</v>
      </c>
      <c r="F95">
        <v>11581</v>
      </c>
      <c r="G95">
        <v>9432889.0833333321</v>
      </c>
      <c r="H95">
        <v>0.62222224225600553</v>
      </c>
      <c r="I95">
        <v>0.82407407407407407</v>
      </c>
      <c r="J95">
        <v>955420.41666666663</v>
      </c>
      <c r="K95">
        <v>17913</v>
      </c>
      <c r="L95">
        <v>2</v>
      </c>
      <c r="M95">
        <v>90</v>
      </c>
      <c r="N95">
        <v>0.67407407407407405</v>
      </c>
      <c r="O95">
        <v>635963.75</v>
      </c>
      <c r="P95">
        <v>18294</v>
      </c>
      <c r="Q95">
        <v>2</v>
      </c>
      <c r="R95">
        <v>91</v>
      </c>
      <c r="S95" t="s">
        <v>1917</v>
      </c>
      <c r="Y95">
        <f>Wine_pres_final[[#This Row],[mlp_params]]</f>
        <v>17913</v>
      </c>
      <c r="Z95">
        <f>IF((LEN(Wine_pres_final[[#This Row],[kan_width]])-LEN(SUBSTITUTE(Wine_pres_final[[#This Row],[kan_width]]," ","")))&gt;2,Wine_pres_final[[#This Row],[kan_test_acc]],"")</f>
        <v>0.62222224225600553</v>
      </c>
      <c r="AA95" t="str">
        <f>IF((LEN(Wine_pres_final[[#This Row],[kan_width]])-LEN(SUBSTITUTE(Wine_pres_final[[#This Row],[kan_width]]," ","")))&gt;2,"",Wine_pres_final[[#This Row],[kan_test_acc]])</f>
        <v/>
      </c>
      <c r="AB95">
        <f>Wine_pres_final[[#This Row],[mlp_test_acc]]</f>
        <v>0.82407407407407407</v>
      </c>
      <c r="AC95">
        <f>Wine_pres_final[[#This Row],[mlp_test_acc2]]</f>
        <v>0.67407407407407405</v>
      </c>
    </row>
    <row r="96" spans="1:29" hidden="1" x14ac:dyDescent="0.25">
      <c r="A96" t="s">
        <v>1336</v>
      </c>
      <c r="B96">
        <v>5</v>
      </c>
      <c r="C96">
        <v>5</v>
      </c>
      <c r="D96">
        <v>0</v>
      </c>
      <c r="E96" t="s">
        <v>1423</v>
      </c>
      <c r="F96">
        <v>9520</v>
      </c>
      <c r="G96">
        <v>17316873.333333336</v>
      </c>
      <c r="H96">
        <v>0.62407408903042472</v>
      </c>
      <c r="I96">
        <v>0.62962962962962965</v>
      </c>
      <c r="J96">
        <v>4098576.5</v>
      </c>
      <c r="K96">
        <v>17536</v>
      </c>
      <c r="L96">
        <v>2</v>
      </c>
      <c r="M96">
        <v>89</v>
      </c>
      <c r="N96">
        <v>0.68888888888888888</v>
      </c>
      <c r="O96">
        <v>5310938.833333333</v>
      </c>
      <c r="P96">
        <v>17913</v>
      </c>
      <c r="Q96">
        <v>2</v>
      </c>
      <c r="R96">
        <v>90</v>
      </c>
      <c r="S96" t="s">
        <v>1780</v>
      </c>
      <c r="Y96">
        <f>Wine_pres_final[[#This Row],[mlp_params]]</f>
        <v>17536</v>
      </c>
      <c r="Z96">
        <f>IF((LEN(Wine_pres_final[[#This Row],[kan_width]])-LEN(SUBSTITUTE(Wine_pres_final[[#This Row],[kan_width]]," ","")))&gt;2,Wine_pres_final[[#This Row],[kan_test_acc]],"")</f>
        <v>0.62407408903042472</v>
      </c>
      <c r="AA96" t="str">
        <f>IF((LEN(Wine_pres_final[[#This Row],[kan_width]])-LEN(SUBSTITUTE(Wine_pres_final[[#This Row],[kan_width]]," ","")))&gt;2,"",Wine_pres_final[[#This Row],[kan_test_acc]])</f>
        <v/>
      </c>
      <c r="AB96">
        <f>Wine_pres_final[[#This Row],[mlp_test_acc]]</f>
        <v>0.62962962962962965</v>
      </c>
      <c r="AC96">
        <f>Wine_pres_final[[#This Row],[mlp_test_acc2]]</f>
        <v>0.68888888888888888</v>
      </c>
    </row>
    <row r="97" spans="1:29" x14ac:dyDescent="0.25">
      <c r="A97" t="s">
        <v>1336</v>
      </c>
      <c r="B97">
        <v>9</v>
      </c>
      <c r="C97">
        <v>5</v>
      </c>
      <c r="D97">
        <v>0</v>
      </c>
      <c r="E97" t="s">
        <v>1367</v>
      </c>
      <c r="F97">
        <v>10260</v>
      </c>
      <c r="G97">
        <v>10439641.333333334</v>
      </c>
      <c r="H97">
        <v>0.59259260942538583</v>
      </c>
      <c r="I97">
        <v>0.76111111111111107</v>
      </c>
      <c r="J97">
        <v>1108655.5833333333</v>
      </c>
      <c r="K97">
        <v>16794</v>
      </c>
      <c r="L97">
        <v>2</v>
      </c>
      <c r="M97">
        <v>87</v>
      </c>
      <c r="N97">
        <v>0.71111111111111103</v>
      </c>
      <c r="O97">
        <v>858352</v>
      </c>
      <c r="P97">
        <v>17163</v>
      </c>
      <c r="Q97">
        <v>2</v>
      </c>
      <c r="R97">
        <v>88</v>
      </c>
      <c r="S97" t="s">
        <v>1952</v>
      </c>
      <c r="Y97">
        <f>Wine_pres_final[[#This Row],[mlp_params]]</f>
        <v>16794</v>
      </c>
      <c r="Z97">
        <f>IF((LEN(Wine_pres_final[[#This Row],[kan_width]])-LEN(SUBSTITUTE(Wine_pres_final[[#This Row],[kan_width]]," ","")))&gt;2,Wine_pres_final[[#This Row],[kan_test_acc]],"")</f>
        <v>0.59259260942538583</v>
      </c>
      <c r="AA97" t="str">
        <f>IF((LEN(Wine_pres_final[[#This Row],[kan_width]])-LEN(SUBSTITUTE(Wine_pres_final[[#This Row],[kan_width]]," ","")))&gt;2,"",Wine_pres_final[[#This Row],[kan_test_acc]])</f>
        <v/>
      </c>
      <c r="AB97">
        <f>Wine_pres_final[[#This Row],[mlp_test_acc]]</f>
        <v>0.76111111111111107</v>
      </c>
      <c r="AC97">
        <f>Wine_pres_final[[#This Row],[mlp_test_acc2]]</f>
        <v>0.71111111111111103</v>
      </c>
    </row>
    <row r="98" spans="1:29" hidden="1" x14ac:dyDescent="0.25">
      <c r="A98" t="s">
        <v>1336</v>
      </c>
      <c r="B98">
        <v>9</v>
      </c>
      <c r="C98">
        <v>2</v>
      </c>
      <c r="D98">
        <v>0</v>
      </c>
      <c r="E98" t="s">
        <v>1433</v>
      </c>
      <c r="F98">
        <v>2028</v>
      </c>
      <c r="G98">
        <v>15229339.166666666</v>
      </c>
      <c r="H98">
        <v>0.62407409399747849</v>
      </c>
      <c r="I98">
        <v>0.70370370370370372</v>
      </c>
      <c r="J98">
        <v>16815927.5</v>
      </c>
      <c r="K98">
        <v>2659</v>
      </c>
      <c r="L98">
        <v>2</v>
      </c>
      <c r="M98">
        <v>32</v>
      </c>
      <c r="N98">
        <v>0.71296296296296302</v>
      </c>
      <c r="O98">
        <v>19539649.75</v>
      </c>
      <c r="P98">
        <v>2808</v>
      </c>
      <c r="Q98">
        <v>2</v>
      </c>
      <c r="R98">
        <v>33</v>
      </c>
      <c r="S98" t="s">
        <v>1785</v>
      </c>
      <c r="Y98">
        <f>Wine_pres_final[[#This Row],[mlp_params]]</f>
        <v>2659</v>
      </c>
      <c r="Z98" t="str">
        <f>IF((LEN(Wine_pres_final[[#This Row],[kan_width]])-LEN(SUBSTITUTE(Wine_pres_final[[#This Row],[kan_width]]," ","")))&gt;2,Wine_pres_final[[#This Row],[kan_test_acc]],"")</f>
        <v/>
      </c>
      <c r="AA98">
        <f>IF((LEN(Wine_pres_final[[#This Row],[kan_width]])-LEN(SUBSTITUTE(Wine_pres_final[[#This Row],[kan_width]]," ","")))&gt;2,"",Wine_pres_final[[#This Row],[kan_test_acc]])</f>
        <v>0.62407409399747849</v>
      </c>
      <c r="AB98">
        <f>Wine_pres_final[[#This Row],[mlp_test_acc]]</f>
        <v>0.70370370370370372</v>
      </c>
      <c r="AC98">
        <f>Wine_pres_final[[#This Row],[mlp_test_acc2]]</f>
        <v>0.71296296296296302</v>
      </c>
    </row>
    <row r="99" spans="1:29" hidden="1" x14ac:dyDescent="0.25">
      <c r="A99" t="s">
        <v>1336</v>
      </c>
      <c r="B99">
        <v>5</v>
      </c>
      <c r="C99">
        <v>4</v>
      </c>
      <c r="D99">
        <v>0</v>
      </c>
      <c r="E99" t="s">
        <v>1393</v>
      </c>
      <c r="F99">
        <v>7733</v>
      </c>
      <c r="G99">
        <v>13839839.583333334</v>
      </c>
      <c r="H99">
        <v>0.6259259432554245</v>
      </c>
      <c r="I99">
        <v>0.66481481481481475</v>
      </c>
      <c r="J99">
        <v>3038308.5</v>
      </c>
      <c r="K99">
        <v>13324</v>
      </c>
      <c r="L99">
        <v>2</v>
      </c>
      <c r="M99">
        <v>77</v>
      </c>
      <c r="N99">
        <v>0.64629629629629626</v>
      </c>
      <c r="O99">
        <v>2532515.5833333335</v>
      </c>
      <c r="P99">
        <v>13653</v>
      </c>
      <c r="Q99">
        <v>2</v>
      </c>
      <c r="R99">
        <v>78</v>
      </c>
      <c r="S99" t="s">
        <v>1715</v>
      </c>
      <c r="Y99">
        <f>Wine_pres_final[[#This Row],[mlp_params]]</f>
        <v>13324</v>
      </c>
      <c r="Z99">
        <f>IF((LEN(Wine_pres_final[[#This Row],[kan_width]])-LEN(SUBSTITUTE(Wine_pres_final[[#This Row],[kan_width]]," ","")))&gt;2,Wine_pres_final[[#This Row],[kan_test_acc]],"")</f>
        <v>0.6259259432554245</v>
      </c>
      <c r="AA99" t="str">
        <f>IF((LEN(Wine_pres_final[[#This Row],[kan_width]])-LEN(SUBSTITUTE(Wine_pres_final[[#This Row],[kan_width]]," ","")))&gt;2,"",Wine_pres_final[[#This Row],[kan_test_acc]])</f>
        <v/>
      </c>
      <c r="AB99">
        <f>Wine_pres_final[[#This Row],[mlp_test_acc]]</f>
        <v>0.66481481481481475</v>
      </c>
      <c r="AC99">
        <f>Wine_pres_final[[#This Row],[mlp_test_acc2]]</f>
        <v>0.64629629629629626</v>
      </c>
    </row>
    <row r="100" spans="1:29" hidden="1" x14ac:dyDescent="0.25">
      <c r="A100" t="s">
        <v>1336</v>
      </c>
      <c r="B100">
        <v>9</v>
      </c>
      <c r="C100">
        <v>4</v>
      </c>
      <c r="D100">
        <v>0</v>
      </c>
      <c r="E100" t="s">
        <v>1395</v>
      </c>
      <c r="F100">
        <v>10939</v>
      </c>
      <c r="G100">
        <v>9009086.916666666</v>
      </c>
      <c r="H100">
        <v>0.62592594822247816</v>
      </c>
      <c r="I100">
        <v>0.80740740740740735</v>
      </c>
      <c r="J100">
        <v>673528.91666666674</v>
      </c>
      <c r="K100">
        <v>16794</v>
      </c>
      <c r="L100">
        <v>2</v>
      </c>
      <c r="M100">
        <v>87</v>
      </c>
      <c r="N100">
        <v>0.72037037037037033</v>
      </c>
      <c r="O100">
        <v>670281.16666666674</v>
      </c>
      <c r="P100">
        <v>17163</v>
      </c>
      <c r="Q100">
        <v>2</v>
      </c>
      <c r="R100">
        <v>88</v>
      </c>
      <c r="S100" t="s">
        <v>1916</v>
      </c>
      <c r="Y100">
        <f>Wine_pres_final[[#This Row],[mlp_params]]</f>
        <v>16794</v>
      </c>
      <c r="Z100">
        <f>IF((LEN(Wine_pres_final[[#This Row],[kan_width]])-LEN(SUBSTITUTE(Wine_pres_final[[#This Row],[kan_width]]," ","")))&gt;2,Wine_pres_final[[#This Row],[kan_test_acc]],"")</f>
        <v>0.62592594822247816</v>
      </c>
      <c r="AA100" t="str">
        <f>IF((LEN(Wine_pres_final[[#This Row],[kan_width]])-LEN(SUBSTITUTE(Wine_pres_final[[#This Row],[kan_width]]," ","")))&gt;2,"",Wine_pres_final[[#This Row],[kan_test_acc]])</f>
        <v/>
      </c>
      <c r="AB100">
        <f>Wine_pres_final[[#This Row],[mlp_test_acc]]</f>
        <v>0.80740740740740735</v>
      </c>
      <c r="AC100">
        <f>Wine_pres_final[[#This Row],[mlp_test_acc2]]</f>
        <v>0.72037037037037033</v>
      </c>
    </row>
    <row r="101" spans="1:29" x14ac:dyDescent="0.25">
      <c r="A101" t="s">
        <v>1336</v>
      </c>
      <c r="B101">
        <v>9</v>
      </c>
      <c r="C101">
        <v>5</v>
      </c>
      <c r="D101">
        <v>0</v>
      </c>
      <c r="E101" t="s">
        <v>1379</v>
      </c>
      <c r="F101">
        <v>10394</v>
      </c>
      <c r="G101">
        <v>11483062.25</v>
      </c>
      <c r="H101">
        <v>0.62777779002984357</v>
      </c>
      <c r="I101">
        <v>0.75185185185185177</v>
      </c>
      <c r="J101">
        <v>848694.58333333326</v>
      </c>
      <c r="K101">
        <v>16794</v>
      </c>
      <c r="L101">
        <v>2</v>
      </c>
      <c r="M101">
        <v>87</v>
      </c>
      <c r="N101">
        <v>0.68333333333333335</v>
      </c>
      <c r="O101">
        <v>1031123.25</v>
      </c>
      <c r="P101">
        <v>17163</v>
      </c>
      <c r="Q101">
        <v>2</v>
      </c>
      <c r="R101">
        <v>88</v>
      </c>
      <c r="S101" t="s">
        <v>1958</v>
      </c>
      <c r="Y101">
        <f>Wine_pres_final[[#This Row],[mlp_params]]</f>
        <v>16794</v>
      </c>
      <c r="Z101">
        <f>IF((LEN(Wine_pres_final[[#This Row],[kan_width]])-LEN(SUBSTITUTE(Wine_pres_final[[#This Row],[kan_width]]," ","")))&gt;2,Wine_pres_final[[#This Row],[kan_test_acc]],"")</f>
        <v>0.62777779002984357</v>
      </c>
      <c r="AA101" t="str">
        <f>IF((LEN(Wine_pres_final[[#This Row],[kan_width]])-LEN(SUBSTITUTE(Wine_pres_final[[#This Row],[kan_width]]," ","")))&gt;2,"",Wine_pres_final[[#This Row],[kan_test_acc]])</f>
        <v/>
      </c>
      <c r="AB101">
        <f>Wine_pres_final[[#This Row],[mlp_test_acc]]</f>
        <v>0.75185185185185177</v>
      </c>
      <c r="AC101">
        <f>Wine_pres_final[[#This Row],[mlp_test_acc2]]</f>
        <v>0.68333333333333335</v>
      </c>
    </row>
    <row r="102" spans="1:29" hidden="1" x14ac:dyDescent="0.25">
      <c r="A102" t="s">
        <v>1336</v>
      </c>
      <c r="B102">
        <v>5</v>
      </c>
      <c r="C102">
        <v>5</v>
      </c>
      <c r="D102">
        <v>0</v>
      </c>
      <c r="E102" t="s">
        <v>1363</v>
      </c>
      <c r="F102">
        <v>7020</v>
      </c>
      <c r="G102">
        <v>14268109.5</v>
      </c>
      <c r="H102">
        <v>0.62777779251337051</v>
      </c>
      <c r="I102">
        <v>0.65925925925925921</v>
      </c>
      <c r="J102">
        <v>5178288.666666666</v>
      </c>
      <c r="K102">
        <v>12678</v>
      </c>
      <c r="L102">
        <v>2</v>
      </c>
      <c r="M102">
        <v>75</v>
      </c>
      <c r="N102">
        <v>0.65370370370370368</v>
      </c>
      <c r="O102">
        <v>3483217.5</v>
      </c>
      <c r="P102">
        <v>12999</v>
      </c>
      <c r="Q102">
        <v>2</v>
      </c>
      <c r="R102">
        <v>76</v>
      </c>
      <c r="S102" t="s">
        <v>1750</v>
      </c>
      <c r="Y102">
        <f>Wine_pres_final[[#This Row],[mlp_params]]</f>
        <v>12678</v>
      </c>
      <c r="Z102">
        <f>IF((LEN(Wine_pres_final[[#This Row],[kan_width]])-LEN(SUBSTITUTE(Wine_pres_final[[#This Row],[kan_width]]," ","")))&gt;2,Wine_pres_final[[#This Row],[kan_test_acc]],"")</f>
        <v>0.62777779251337051</v>
      </c>
      <c r="AA102" t="str">
        <f>IF((LEN(Wine_pres_final[[#This Row],[kan_width]])-LEN(SUBSTITUTE(Wine_pres_final[[#This Row],[kan_width]]," ","")))&gt;2,"",Wine_pres_final[[#This Row],[kan_test_acc]])</f>
        <v/>
      </c>
      <c r="AB102">
        <f>Wine_pres_final[[#This Row],[mlp_test_acc]]</f>
        <v>0.65925925925925921</v>
      </c>
      <c r="AC102">
        <f>Wine_pres_final[[#This Row],[mlp_test_acc2]]</f>
        <v>0.65370370370370368</v>
      </c>
    </row>
    <row r="103" spans="1:29" hidden="1" x14ac:dyDescent="0.25">
      <c r="A103" t="s">
        <v>1336</v>
      </c>
      <c r="B103">
        <v>9</v>
      </c>
      <c r="C103">
        <v>3</v>
      </c>
      <c r="D103">
        <v>0</v>
      </c>
      <c r="E103" t="s">
        <v>1403</v>
      </c>
      <c r="F103">
        <v>8692</v>
      </c>
      <c r="G103">
        <v>13447864.833333332</v>
      </c>
      <c r="H103">
        <v>0.62777779499689745</v>
      </c>
      <c r="I103">
        <v>0.72592592592592586</v>
      </c>
      <c r="J103">
        <v>5790828.333333334</v>
      </c>
      <c r="K103">
        <v>12678</v>
      </c>
      <c r="L103">
        <v>2</v>
      </c>
      <c r="M103">
        <v>75</v>
      </c>
      <c r="N103">
        <v>0.67962962962962958</v>
      </c>
      <c r="O103">
        <v>2062354.3333333335</v>
      </c>
      <c r="P103">
        <v>12999</v>
      </c>
      <c r="Q103">
        <v>2</v>
      </c>
      <c r="R103">
        <v>76</v>
      </c>
      <c r="S103" t="s">
        <v>1870</v>
      </c>
      <c r="Y103">
        <f>Wine_pres_final[[#This Row],[mlp_params]]</f>
        <v>12678</v>
      </c>
      <c r="Z103">
        <f>IF((LEN(Wine_pres_final[[#This Row],[kan_width]])-LEN(SUBSTITUTE(Wine_pres_final[[#This Row],[kan_width]]," ","")))&gt;2,Wine_pres_final[[#This Row],[kan_test_acc]],"")</f>
        <v>0.62777779499689745</v>
      </c>
      <c r="AA103" t="str">
        <f>IF((LEN(Wine_pres_final[[#This Row],[kan_width]])-LEN(SUBSTITUTE(Wine_pres_final[[#This Row],[kan_width]]," ","")))&gt;2,"",Wine_pres_final[[#This Row],[kan_test_acc]])</f>
        <v/>
      </c>
      <c r="AB103">
        <f>Wine_pres_final[[#This Row],[mlp_test_acc]]</f>
        <v>0.72592592592592586</v>
      </c>
      <c r="AC103">
        <f>Wine_pres_final[[#This Row],[mlp_test_acc2]]</f>
        <v>0.67962962962962958</v>
      </c>
    </row>
    <row r="104" spans="1:29" hidden="1" x14ac:dyDescent="0.25">
      <c r="A104" t="s">
        <v>1336</v>
      </c>
      <c r="B104">
        <v>9</v>
      </c>
      <c r="C104">
        <v>4</v>
      </c>
      <c r="D104">
        <v>0</v>
      </c>
      <c r="E104" t="s">
        <v>1377</v>
      </c>
      <c r="F104">
        <v>9207</v>
      </c>
      <c r="G104">
        <v>10460827.666666668</v>
      </c>
      <c r="H104">
        <v>0.62777779499689745</v>
      </c>
      <c r="I104">
        <v>0.72037037037037033</v>
      </c>
      <c r="J104">
        <v>797137.25</v>
      </c>
      <c r="K104">
        <v>14323</v>
      </c>
      <c r="L104">
        <v>2</v>
      </c>
      <c r="M104">
        <v>80</v>
      </c>
      <c r="N104">
        <v>0.72777777777777786</v>
      </c>
      <c r="O104">
        <v>489737.75</v>
      </c>
      <c r="P104">
        <v>14664</v>
      </c>
      <c r="Q104">
        <v>2</v>
      </c>
      <c r="R104">
        <v>81</v>
      </c>
      <c r="S104" t="s">
        <v>1907</v>
      </c>
      <c r="Y104">
        <f>Wine_pres_final[[#This Row],[mlp_params]]</f>
        <v>14323</v>
      </c>
      <c r="Z104">
        <f>IF((LEN(Wine_pres_final[[#This Row],[kan_width]])-LEN(SUBSTITUTE(Wine_pres_final[[#This Row],[kan_width]]," ","")))&gt;2,Wine_pres_final[[#This Row],[kan_test_acc]],"")</f>
        <v>0.62777779499689745</v>
      </c>
      <c r="AA104" t="str">
        <f>IF((LEN(Wine_pres_final[[#This Row],[kan_width]])-LEN(SUBSTITUTE(Wine_pres_final[[#This Row],[kan_width]]," ","")))&gt;2,"",Wine_pres_final[[#This Row],[kan_test_acc]])</f>
        <v/>
      </c>
      <c r="AB104">
        <f>Wine_pres_final[[#This Row],[mlp_test_acc]]</f>
        <v>0.72037037037037033</v>
      </c>
      <c r="AC104">
        <f>Wine_pres_final[[#This Row],[mlp_test_acc2]]</f>
        <v>0.72777777777777786</v>
      </c>
    </row>
    <row r="105" spans="1:29" hidden="1" x14ac:dyDescent="0.25">
      <c r="A105" t="s">
        <v>1336</v>
      </c>
      <c r="B105">
        <v>5</v>
      </c>
      <c r="C105">
        <v>5</v>
      </c>
      <c r="D105">
        <v>0</v>
      </c>
      <c r="E105" t="s">
        <v>1365</v>
      </c>
      <c r="F105">
        <v>7438</v>
      </c>
      <c r="G105">
        <v>16888168.25</v>
      </c>
      <c r="H105">
        <v>0.63333334773778915</v>
      </c>
      <c r="I105">
        <v>0.67962962962962958</v>
      </c>
      <c r="J105">
        <v>6002597.166666666</v>
      </c>
      <c r="K105">
        <v>13653</v>
      </c>
      <c r="L105">
        <v>2</v>
      </c>
      <c r="M105">
        <v>78</v>
      </c>
      <c r="N105">
        <v>0.67777777777777781</v>
      </c>
      <c r="O105">
        <v>4353380.083333333</v>
      </c>
      <c r="P105">
        <v>13986</v>
      </c>
      <c r="Q105">
        <v>2</v>
      </c>
      <c r="R105">
        <v>79</v>
      </c>
      <c r="S105" t="s">
        <v>1751</v>
      </c>
      <c r="Y105">
        <f>Wine_pres_final[[#This Row],[mlp_params]]</f>
        <v>13653</v>
      </c>
      <c r="Z105">
        <f>IF((LEN(Wine_pres_final[[#This Row],[kan_width]])-LEN(SUBSTITUTE(Wine_pres_final[[#This Row],[kan_width]]," ","")))&gt;2,Wine_pres_final[[#This Row],[kan_test_acc]],"")</f>
        <v>0.63333334773778915</v>
      </c>
      <c r="AA105" t="str">
        <f>IF((LEN(Wine_pres_final[[#This Row],[kan_width]])-LEN(SUBSTITUTE(Wine_pres_final[[#This Row],[kan_width]]," ","")))&gt;2,"",Wine_pres_final[[#This Row],[kan_test_acc]])</f>
        <v/>
      </c>
      <c r="AB105">
        <f>Wine_pres_final[[#This Row],[mlp_test_acc]]</f>
        <v>0.67962962962962958</v>
      </c>
      <c r="AC105">
        <f>Wine_pres_final[[#This Row],[mlp_test_acc2]]</f>
        <v>0.67777777777777781</v>
      </c>
    </row>
    <row r="106" spans="1:29" hidden="1" x14ac:dyDescent="0.25">
      <c r="A106" t="s">
        <v>1336</v>
      </c>
      <c r="B106">
        <v>9</v>
      </c>
      <c r="C106">
        <v>4</v>
      </c>
      <c r="D106">
        <v>0</v>
      </c>
      <c r="E106" t="s">
        <v>1367</v>
      </c>
      <c r="F106">
        <v>9659</v>
      </c>
      <c r="G106">
        <v>11867175</v>
      </c>
      <c r="H106">
        <v>0.635185199479262</v>
      </c>
      <c r="I106">
        <v>0.70925925925925926</v>
      </c>
      <c r="J106">
        <v>5116285.333333333</v>
      </c>
      <c r="K106">
        <v>15009</v>
      </c>
      <c r="L106">
        <v>2</v>
      </c>
      <c r="M106">
        <v>82</v>
      </c>
      <c r="N106">
        <v>0.70370370370370372</v>
      </c>
      <c r="O106">
        <v>3942842.916666667</v>
      </c>
      <c r="P106">
        <v>15358</v>
      </c>
      <c r="Q106">
        <v>2</v>
      </c>
      <c r="R106">
        <v>83</v>
      </c>
      <c r="S106" t="s">
        <v>1902</v>
      </c>
      <c r="Y106">
        <f>Wine_pres_final[[#This Row],[mlp_params]]</f>
        <v>15009</v>
      </c>
      <c r="Z106">
        <f>IF((LEN(Wine_pres_final[[#This Row],[kan_width]])-LEN(SUBSTITUTE(Wine_pres_final[[#This Row],[kan_width]]," ","")))&gt;2,Wine_pres_final[[#This Row],[kan_test_acc]],"")</f>
        <v>0.635185199479262</v>
      </c>
      <c r="AA106" t="str">
        <f>IF((LEN(Wine_pres_final[[#This Row],[kan_width]])-LEN(SUBSTITUTE(Wine_pres_final[[#This Row],[kan_width]]," ","")))&gt;2,"",Wine_pres_final[[#This Row],[kan_test_acc]])</f>
        <v/>
      </c>
      <c r="AB106">
        <f>Wine_pres_final[[#This Row],[mlp_test_acc]]</f>
        <v>0.70925925925925926</v>
      </c>
      <c r="AC106">
        <f>Wine_pres_final[[#This Row],[mlp_test_acc2]]</f>
        <v>0.70370370370370372</v>
      </c>
    </row>
    <row r="107" spans="1:29" hidden="1" x14ac:dyDescent="0.25">
      <c r="A107" t="s">
        <v>1336</v>
      </c>
      <c r="B107">
        <v>5</v>
      </c>
      <c r="C107">
        <v>3</v>
      </c>
      <c r="D107">
        <v>0</v>
      </c>
      <c r="E107" t="s">
        <v>1413</v>
      </c>
      <c r="F107">
        <v>8814</v>
      </c>
      <c r="G107">
        <v>14754847.833333334</v>
      </c>
      <c r="H107">
        <v>0.63703704377015435</v>
      </c>
      <c r="I107">
        <v>0.74814814814814823</v>
      </c>
      <c r="J107">
        <v>5228968.25</v>
      </c>
      <c r="K107">
        <v>14323</v>
      </c>
      <c r="L107">
        <v>2</v>
      </c>
      <c r="M107">
        <v>80</v>
      </c>
      <c r="N107">
        <v>0.70185185185185184</v>
      </c>
      <c r="O107">
        <v>3088978.75</v>
      </c>
      <c r="P107">
        <v>14664</v>
      </c>
      <c r="Q107">
        <v>2</v>
      </c>
      <c r="R107">
        <v>81</v>
      </c>
      <c r="S107" t="s">
        <v>1675</v>
      </c>
      <c r="Y107">
        <f>Wine_pres_final[[#This Row],[mlp_params]]</f>
        <v>14323</v>
      </c>
      <c r="Z107">
        <f>IF((LEN(Wine_pres_final[[#This Row],[kan_width]])-LEN(SUBSTITUTE(Wine_pres_final[[#This Row],[kan_width]]," ","")))&gt;2,Wine_pres_final[[#This Row],[kan_test_acc]],"")</f>
        <v>0.63703704377015435</v>
      </c>
      <c r="AA107" t="str">
        <f>IF((LEN(Wine_pres_final[[#This Row],[kan_width]])-LEN(SUBSTITUTE(Wine_pres_final[[#This Row],[kan_width]]," ","")))&gt;2,"",Wine_pres_final[[#This Row],[kan_test_acc]])</f>
        <v/>
      </c>
      <c r="AB107">
        <f>Wine_pres_final[[#This Row],[mlp_test_acc]]</f>
        <v>0.74814814814814823</v>
      </c>
      <c r="AC107">
        <f>Wine_pres_final[[#This Row],[mlp_test_acc2]]</f>
        <v>0.70185185185185184</v>
      </c>
    </row>
    <row r="108" spans="1:29" hidden="1" x14ac:dyDescent="0.25">
      <c r="A108" t="s">
        <v>1336</v>
      </c>
      <c r="B108">
        <v>9</v>
      </c>
      <c r="C108">
        <v>4</v>
      </c>
      <c r="D108">
        <v>0</v>
      </c>
      <c r="E108" t="s">
        <v>1369</v>
      </c>
      <c r="F108">
        <v>6895</v>
      </c>
      <c r="G108">
        <v>11606428.666666668</v>
      </c>
      <c r="H108">
        <v>0.63703705122073484</v>
      </c>
      <c r="I108">
        <v>0.70185185185185184</v>
      </c>
      <c r="J108">
        <v>4205521.666666666</v>
      </c>
      <c r="K108">
        <v>10543</v>
      </c>
      <c r="L108">
        <v>2</v>
      </c>
      <c r="M108">
        <v>68</v>
      </c>
      <c r="N108">
        <v>0.72777777777777786</v>
      </c>
      <c r="O108">
        <v>4117043.8333333335</v>
      </c>
      <c r="P108">
        <v>10836</v>
      </c>
      <c r="Q108">
        <v>2</v>
      </c>
      <c r="R108">
        <v>69</v>
      </c>
      <c r="S108" t="s">
        <v>1903</v>
      </c>
      <c r="Y108">
        <f>Wine_pres_final[[#This Row],[mlp_params]]</f>
        <v>10543</v>
      </c>
      <c r="Z108">
        <f>IF((LEN(Wine_pres_final[[#This Row],[kan_width]])-LEN(SUBSTITUTE(Wine_pres_final[[#This Row],[kan_width]]," ","")))&gt;2,Wine_pres_final[[#This Row],[kan_test_acc]],"")</f>
        <v>0.63703705122073484</v>
      </c>
      <c r="AA108" t="str">
        <f>IF((LEN(Wine_pres_final[[#This Row],[kan_width]])-LEN(SUBSTITUTE(Wine_pres_final[[#This Row],[kan_width]]," ","")))&gt;2,"",Wine_pres_final[[#This Row],[kan_test_acc]])</f>
        <v/>
      </c>
      <c r="AB108">
        <f>Wine_pres_final[[#This Row],[mlp_test_acc]]</f>
        <v>0.70185185185185184</v>
      </c>
      <c r="AC108">
        <f>Wine_pres_final[[#This Row],[mlp_test_acc2]]</f>
        <v>0.72777777777777786</v>
      </c>
    </row>
    <row r="109" spans="1:29" hidden="1" x14ac:dyDescent="0.25">
      <c r="A109" t="s">
        <v>1336</v>
      </c>
      <c r="B109">
        <v>5</v>
      </c>
      <c r="C109">
        <v>5</v>
      </c>
      <c r="D109">
        <v>0</v>
      </c>
      <c r="E109" t="s">
        <v>1391</v>
      </c>
      <c r="F109">
        <v>7852</v>
      </c>
      <c r="G109">
        <v>15044358.75</v>
      </c>
      <c r="H109">
        <v>0.63703705370426178</v>
      </c>
      <c r="I109">
        <v>0.69074074074074077</v>
      </c>
      <c r="J109">
        <v>5141753.833333333</v>
      </c>
      <c r="K109">
        <v>14323</v>
      </c>
      <c r="L109">
        <v>2</v>
      </c>
      <c r="M109">
        <v>80</v>
      </c>
      <c r="N109">
        <v>0.65925925925925921</v>
      </c>
      <c r="O109">
        <v>2699210.9166666665</v>
      </c>
      <c r="P109">
        <v>14664</v>
      </c>
      <c r="Q109">
        <v>2</v>
      </c>
      <c r="R109">
        <v>81</v>
      </c>
      <c r="S109" t="s">
        <v>1764</v>
      </c>
      <c r="Y109">
        <f>Wine_pres_final[[#This Row],[mlp_params]]</f>
        <v>14323</v>
      </c>
      <c r="Z109">
        <f>IF((LEN(Wine_pres_final[[#This Row],[kan_width]])-LEN(SUBSTITUTE(Wine_pres_final[[#This Row],[kan_width]]," ","")))&gt;2,Wine_pres_final[[#This Row],[kan_test_acc]],"")</f>
        <v>0.63703705370426178</v>
      </c>
      <c r="AA109" t="str">
        <f>IF((LEN(Wine_pres_final[[#This Row],[kan_width]])-LEN(SUBSTITUTE(Wine_pres_final[[#This Row],[kan_width]]," ","")))&gt;2,"",Wine_pres_final[[#This Row],[kan_test_acc]])</f>
        <v/>
      </c>
      <c r="AB109">
        <f>Wine_pres_final[[#This Row],[mlp_test_acc]]</f>
        <v>0.69074074074074077</v>
      </c>
      <c r="AC109">
        <f>Wine_pres_final[[#This Row],[mlp_test_acc2]]</f>
        <v>0.65925925925925921</v>
      </c>
    </row>
    <row r="110" spans="1:29" hidden="1" x14ac:dyDescent="0.25">
      <c r="A110" t="s">
        <v>1336</v>
      </c>
      <c r="B110">
        <v>5</v>
      </c>
      <c r="C110">
        <v>5</v>
      </c>
      <c r="D110">
        <v>0</v>
      </c>
      <c r="E110" t="s">
        <v>1431</v>
      </c>
      <c r="F110">
        <v>12024</v>
      </c>
      <c r="G110">
        <v>14716145.666666666</v>
      </c>
      <c r="H110">
        <v>0.63703705618778861</v>
      </c>
      <c r="I110">
        <v>0.66481481481481475</v>
      </c>
      <c r="J110">
        <v>18403873.5</v>
      </c>
      <c r="K110">
        <v>21903</v>
      </c>
      <c r="L110">
        <v>2</v>
      </c>
      <c r="M110">
        <v>100</v>
      </c>
      <c r="N110">
        <v>0.66851851851851851</v>
      </c>
      <c r="O110">
        <v>22204529.416666664</v>
      </c>
      <c r="P110">
        <v>22324</v>
      </c>
      <c r="Q110">
        <v>2</v>
      </c>
      <c r="R110">
        <v>101</v>
      </c>
      <c r="S110" t="s">
        <v>1784</v>
      </c>
      <c r="Y110">
        <f>Wine_pres_final[[#This Row],[mlp_params]]</f>
        <v>21903</v>
      </c>
      <c r="Z110">
        <f>IF((LEN(Wine_pres_final[[#This Row],[kan_width]])-LEN(SUBSTITUTE(Wine_pres_final[[#This Row],[kan_width]]," ","")))&gt;2,Wine_pres_final[[#This Row],[kan_test_acc]],"")</f>
        <v>0.63703705618778861</v>
      </c>
      <c r="AA110" t="str">
        <f>IF((LEN(Wine_pres_final[[#This Row],[kan_width]])-LEN(SUBSTITUTE(Wine_pres_final[[#This Row],[kan_width]]," ","")))&gt;2,"",Wine_pres_final[[#This Row],[kan_test_acc]])</f>
        <v/>
      </c>
      <c r="AB110">
        <f>Wine_pres_final[[#This Row],[mlp_test_acc]]</f>
        <v>0.66481481481481475</v>
      </c>
      <c r="AC110">
        <f>Wine_pres_final[[#This Row],[mlp_test_acc2]]</f>
        <v>0.66851851851851851</v>
      </c>
    </row>
    <row r="111" spans="1:29" hidden="1" x14ac:dyDescent="0.25">
      <c r="A111" t="s">
        <v>1336</v>
      </c>
      <c r="B111">
        <v>9</v>
      </c>
      <c r="C111">
        <v>4</v>
      </c>
      <c r="D111">
        <v>0</v>
      </c>
      <c r="E111" t="s">
        <v>1383</v>
      </c>
      <c r="F111">
        <v>10941</v>
      </c>
      <c r="G111">
        <v>9442064.8333333321</v>
      </c>
      <c r="H111">
        <v>0.63888890296220779</v>
      </c>
      <c r="I111">
        <v>0.8037037037037037</v>
      </c>
      <c r="J111">
        <v>975270.16666666674</v>
      </c>
      <c r="K111">
        <v>16794</v>
      </c>
      <c r="L111">
        <v>2</v>
      </c>
      <c r="M111">
        <v>87</v>
      </c>
      <c r="N111">
        <v>0.66851851851851851</v>
      </c>
      <c r="O111">
        <v>675858</v>
      </c>
      <c r="P111">
        <v>17163</v>
      </c>
      <c r="Q111">
        <v>2</v>
      </c>
      <c r="R111">
        <v>88</v>
      </c>
      <c r="S111" t="s">
        <v>1910</v>
      </c>
      <c r="Y111">
        <f>Wine_pres_final[[#This Row],[mlp_params]]</f>
        <v>16794</v>
      </c>
      <c r="Z111">
        <f>IF((LEN(Wine_pres_final[[#This Row],[kan_width]])-LEN(SUBSTITUTE(Wine_pres_final[[#This Row],[kan_width]]," ","")))&gt;2,Wine_pres_final[[#This Row],[kan_test_acc]],"")</f>
        <v>0.63888890296220779</v>
      </c>
      <c r="AA111" t="str">
        <f>IF((LEN(Wine_pres_final[[#This Row],[kan_width]])-LEN(SUBSTITUTE(Wine_pres_final[[#This Row],[kan_width]]," ","")))&gt;2,"",Wine_pres_final[[#This Row],[kan_test_acc]])</f>
        <v/>
      </c>
      <c r="AB111">
        <f>Wine_pres_final[[#This Row],[mlp_test_acc]]</f>
        <v>0.8037037037037037</v>
      </c>
      <c r="AC111">
        <f>Wine_pres_final[[#This Row],[mlp_test_acc2]]</f>
        <v>0.66851851851851851</v>
      </c>
    </row>
    <row r="112" spans="1:29" hidden="1" x14ac:dyDescent="0.25">
      <c r="A112" t="s">
        <v>1336</v>
      </c>
      <c r="B112">
        <v>9</v>
      </c>
      <c r="C112">
        <v>3</v>
      </c>
      <c r="D112">
        <v>0</v>
      </c>
      <c r="E112" t="s">
        <v>1417</v>
      </c>
      <c r="F112">
        <v>8812</v>
      </c>
      <c r="G112">
        <v>12901566.333333332</v>
      </c>
      <c r="H112">
        <v>0.64074075222015381</v>
      </c>
      <c r="I112">
        <v>0.75</v>
      </c>
      <c r="J112">
        <v>3016979.5</v>
      </c>
      <c r="K112">
        <v>12678</v>
      </c>
      <c r="L112">
        <v>2</v>
      </c>
      <c r="M112">
        <v>75</v>
      </c>
      <c r="N112">
        <v>0.68333333333333335</v>
      </c>
      <c r="O112">
        <v>11516186.333333334</v>
      </c>
      <c r="P112">
        <v>12999</v>
      </c>
      <c r="Q112">
        <v>2</v>
      </c>
      <c r="R112">
        <v>76</v>
      </c>
      <c r="S112" t="s">
        <v>1877</v>
      </c>
      <c r="Y112">
        <f>Wine_pres_final[[#This Row],[mlp_params]]</f>
        <v>12678</v>
      </c>
      <c r="Z112">
        <f>IF((LEN(Wine_pres_final[[#This Row],[kan_width]])-LEN(SUBSTITUTE(Wine_pres_final[[#This Row],[kan_width]]," ","")))&gt;2,Wine_pres_final[[#This Row],[kan_test_acc]],"")</f>
        <v>0.64074075222015381</v>
      </c>
      <c r="AA112" t="str">
        <f>IF((LEN(Wine_pres_final[[#This Row],[kan_width]])-LEN(SUBSTITUTE(Wine_pres_final[[#This Row],[kan_width]]," ","")))&gt;2,"",Wine_pres_final[[#This Row],[kan_test_acc]])</f>
        <v/>
      </c>
      <c r="AB112">
        <f>Wine_pres_final[[#This Row],[mlp_test_acc]]</f>
        <v>0.75</v>
      </c>
      <c r="AC112">
        <f>Wine_pres_final[[#This Row],[mlp_test_acc2]]</f>
        <v>0.68333333333333335</v>
      </c>
    </row>
    <row r="113" spans="1:29" hidden="1" x14ac:dyDescent="0.25">
      <c r="A113" t="s">
        <v>1336</v>
      </c>
      <c r="B113">
        <v>5</v>
      </c>
      <c r="C113">
        <v>4</v>
      </c>
      <c r="D113">
        <v>0</v>
      </c>
      <c r="E113" t="s">
        <v>1377</v>
      </c>
      <c r="F113">
        <v>6915</v>
      </c>
      <c r="G113">
        <v>17296414.833333336</v>
      </c>
      <c r="H113">
        <v>0.64074075718720747</v>
      </c>
      <c r="I113">
        <v>0.65925925925925921</v>
      </c>
      <c r="J113">
        <v>5095963.166666666</v>
      </c>
      <c r="K113">
        <v>12048</v>
      </c>
      <c r="L113">
        <v>2</v>
      </c>
      <c r="M113">
        <v>73</v>
      </c>
      <c r="N113">
        <v>0.64814814814814814</v>
      </c>
      <c r="O113">
        <v>2782481.3333333335</v>
      </c>
      <c r="P113">
        <v>12361</v>
      </c>
      <c r="Q113">
        <v>2</v>
      </c>
      <c r="R113">
        <v>74</v>
      </c>
      <c r="S113" t="s">
        <v>1707</v>
      </c>
      <c r="Y113">
        <f>Wine_pres_final[[#This Row],[mlp_params]]</f>
        <v>12048</v>
      </c>
      <c r="Z113">
        <f>IF((LEN(Wine_pres_final[[#This Row],[kan_width]])-LEN(SUBSTITUTE(Wine_pres_final[[#This Row],[kan_width]]," ","")))&gt;2,Wine_pres_final[[#This Row],[kan_test_acc]],"")</f>
        <v>0.64074075718720747</v>
      </c>
      <c r="AA113" t="str">
        <f>IF((LEN(Wine_pres_final[[#This Row],[kan_width]])-LEN(SUBSTITUTE(Wine_pres_final[[#This Row],[kan_width]]," ","")))&gt;2,"",Wine_pres_final[[#This Row],[kan_test_acc]])</f>
        <v/>
      </c>
      <c r="AB113">
        <f>Wine_pres_final[[#This Row],[mlp_test_acc]]</f>
        <v>0.65925925925925921</v>
      </c>
      <c r="AC113">
        <f>Wine_pres_final[[#This Row],[mlp_test_acc2]]</f>
        <v>0.64814814814814814</v>
      </c>
    </row>
    <row r="114" spans="1:29" hidden="1" x14ac:dyDescent="0.25">
      <c r="A114" t="s">
        <v>1336</v>
      </c>
      <c r="B114">
        <v>5</v>
      </c>
      <c r="C114">
        <v>5</v>
      </c>
      <c r="D114">
        <v>0</v>
      </c>
      <c r="E114" t="s">
        <v>1411</v>
      </c>
      <c r="F114">
        <v>9834</v>
      </c>
      <c r="G114">
        <v>16834603.583333336</v>
      </c>
      <c r="H114">
        <v>0.64074075718720747</v>
      </c>
      <c r="I114">
        <v>0.68518518518518512</v>
      </c>
      <c r="J114">
        <v>4227956.916666667</v>
      </c>
      <c r="K114">
        <v>17913</v>
      </c>
      <c r="L114">
        <v>2</v>
      </c>
      <c r="M114">
        <v>90</v>
      </c>
      <c r="N114">
        <v>0.67962962962962958</v>
      </c>
      <c r="O114">
        <v>3788871.1666666665</v>
      </c>
      <c r="P114">
        <v>18294</v>
      </c>
      <c r="Q114">
        <v>2</v>
      </c>
      <c r="R114">
        <v>91</v>
      </c>
      <c r="S114" t="s">
        <v>1774</v>
      </c>
      <c r="Y114">
        <f>Wine_pres_final[[#This Row],[mlp_params]]</f>
        <v>17913</v>
      </c>
      <c r="Z114">
        <f>IF((LEN(Wine_pres_final[[#This Row],[kan_width]])-LEN(SUBSTITUTE(Wine_pres_final[[#This Row],[kan_width]]," ","")))&gt;2,Wine_pres_final[[#This Row],[kan_test_acc]],"")</f>
        <v>0.64074075718720747</v>
      </c>
      <c r="AA114" t="str">
        <f>IF((LEN(Wine_pres_final[[#This Row],[kan_width]])-LEN(SUBSTITUTE(Wine_pres_final[[#This Row],[kan_width]]," ","")))&gt;2,"",Wine_pres_final[[#This Row],[kan_test_acc]])</f>
        <v/>
      </c>
      <c r="AB114">
        <f>Wine_pres_final[[#This Row],[mlp_test_acc]]</f>
        <v>0.68518518518518512</v>
      </c>
      <c r="AC114">
        <f>Wine_pres_final[[#This Row],[mlp_test_acc2]]</f>
        <v>0.67962962962962958</v>
      </c>
    </row>
    <row r="115" spans="1:29" hidden="1" x14ac:dyDescent="0.25">
      <c r="A115" t="s">
        <v>1336</v>
      </c>
      <c r="B115">
        <v>9</v>
      </c>
      <c r="C115">
        <v>4</v>
      </c>
      <c r="D115">
        <v>0</v>
      </c>
      <c r="E115" t="s">
        <v>1361</v>
      </c>
      <c r="F115">
        <v>8117</v>
      </c>
      <c r="G115">
        <v>8601756.25</v>
      </c>
      <c r="H115">
        <v>0.64259260892868042</v>
      </c>
      <c r="I115">
        <v>0.73333333333333339</v>
      </c>
      <c r="J115">
        <v>858190.83333333326</v>
      </c>
      <c r="K115">
        <v>12361</v>
      </c>
      <c r="L115">
        <v>2</v>
      </c>
      <c r="M115">
        <v>74</v>
      </c>
      <c r="N115">
        <v>0.7</v>
      </c>
      <c r="O115">
        <v>609750.25</v>
      </c>
      <c r="P115">
        <v>12678</v>
      </c>
      <c r="Q115">
        <v>2</v>
      </c>
      <c r="R115">
        <v>75</v>
      </c>
      <c r="S115" t="s">
        <v>1899</v>
      </c>
      <c r="Y115">
        <f>Wine_pres_final[[#This Row],[mlp_params]]</f>
        <v>12361</v>
      </c>
      <c r="Z115">
        <f>IF((LEN(Wine_pres_final[[#This Row],[kan_width]])-LEN(SUBSTITUTE(Wine_pres_final[[#This Row],[kan_width]]," ","")))&gt;2,Wine_pres_final[[#This Row],[kan_test_acc]],"")</f>
        <v>0.64259260892868042</v>
      </c>
      <c r="AA115" t="str">
        <f>IF((LEN(Wine_pres_final[[#This Row],[kan_width]])-LEN(SUBSTITUTE(Wine_pres_final[[#This Row],[kan_width]]," ","")))&gt;2,"",Wine_pres_final[[#This Row],[kan_test_acc]])</f>
        <v/>
      </c>
      <c r="AB115">
        <f>Wine_pres_final[[#This Row],[mlp_test_acc]]</f>
        <v>0.73333333333333339</v>
      </c>
      <c r="AC115">
        <f>Wine_pres_final[[#This Row],[mlp_test_acc2]]</f>
        <v>0.7</v>
      </c>
    </row>
    <row r="116" spans="1:29" hidden="1" x14ac:dyDescent="0.25">
      <c r="A116" t="s">
        <v>1336</v>
      </c>
      <c r="B116">
        <v>9</v>
      </c>
      <c r="C116">
        <v>4</v>
      </c>
      <c r="D116">
        <v>0</v>
      </c>
      <c r="E116" t="s">
        <v>1363</v>
      </c>
      <c r="F116">
        <v>8631</v>
      </c>
      <c r="G116">
        <v>13674173.666666666</v>
      </c>
      <c r="H116">
        <v>0.64259260892868042</v>
      </c>
      <c r="I116">
        <v>0.73703703703703705</v>
      </c>
      <c r="J116">
        <v>5809632.75</v>
      </c>
      <c r="K116">
        <v>13324</v>
      </c>
      <c r="L116">
        <v>2</v>
      </c>
      <c r="M116">
        <v>77</v>
      </c>
      <c r="N116">
        <v>0.66481481481481486</v>
      </c>
      <c r="O116">
        <v>3252668.1666666665</v>
      </c>
      <c r="P116">
        <v>13653</v>
      </c>
      <c r="Q116">
        <v>2</v>
      </c>
      <c r="R116">
        <v>78</v>
      </c>
      <c r="S116" t="s">
        <v>1900</v>
      </c>
      <c r="Y116">
        <f>Wine_pres_final[[#This Row],[mlp_params]]</f>
        <v>13324</v>
      </c>
      <c r="Z116">
        <f>IF((LEN(Wine_pres_final[[#This Row],[kan_width]])-LEN(SUBSTITUTE(Wine_pres_final[[#This Row],[kan_width]]," ","")))&gt;2,Wine_pres_final[[#This Row],[kan_test_acc]],"")</f>
        <v>0.64259260892868042</v>
      </c>
      <c r="AA116" t="str">
        <f>IF((LEN(Wine_pres_final[[#This Row],[kan_width]])-LEN(SUBSTITUTE(Wine_pres_final[[#This Row],[kan_width]]," ","")))&gt;2,"",Wine_pres_final[[#This Row],[kan_test_acc]])</f>
        <v/>
      </c>
      <c r="AB116">
        <f>Wine_pres_final[[#This Row],[mlp_test_acc]]</f>
        <v>0.73703703703703705</v>
      </c>
      <c r="AC116">
        <f>Wine_pres_final[[#This Row],[mlp_test_acc2]]</f>
        <v>0.66481481481481486</v>
      </c>
    </row>
    <row r="117" spans="1:29" hidden="1" x14ac:dyDescent="0.25">
      <c r="A117" t="s">
        <v>1336</v>
      </c>
      <c r="B117">
        <v>5</v>
      </c>
      <c r="C117">
        <v>3</v>
      </c>
      <c r="D117">
        <v>0</v>
      </c>
      <c r="E117" t="s">
        <v>1401</v>
      </c>
      <c r="F117">
        <v>5898</v>
      </c>
      <c r="G117">
        <v>14820800.333333334</v>
      </c>
      <c r="H117">
        <v>0.6444444519778092</v>
      </c>
      <c r="I117">
        <v>0.67962962962962958</v>
      </c>
      <c r="J117">
        <v>5287780.083333334</v>
      </c>
      <c r="K117">
        <v>9411</v>
      </c>
      <c r="L117">
        <v>2</v>
      </c>
      <c r="M117">
        <v>64</v>
      </c>
      <c r="N117">
        <v>0.70740740740740748</v>
      </c>
      <c r="O117">
        <v>3984632.416666667</v>
      </c>
      <c r="P117">
        <v>9688</v>
      </c>
      <c r="Q117">
        <v>2</v>
      </c>
      <c r="R117">
        <v>65</v>
      </c>
      <c r="S117" t="s">
        <v>1669</v>
      </c>
      <c r="Y117">
        <f>Wine_pres_final[[#This Row],[mlp_params]]</f>
        <v>9411</v>
      </c>
      <c r="Z117">
        <f>IF((LEN(Wine_pres_final[[#This Row],[kan_width]])-LEN(SUBSTITUTE(Wine_pres_final[[#This Row],[kan_width]]," ","")))&gt;2,Wine_pres_final[[#This Row],[kan_test_acc]],"")</f>
        <v>0.6444444519778092</v>
      </c>
      <c r="AA117" t="str">
        <f>IF((LEN(Wine_pres_final[[#This Row],[kan_width]])-LEN(SUBSTITUTE(Wine_pres_final[[#This Row],[kan_width]]," ","")))&gt;2,"",Wine_pres_final[[#This Row],[kan_test_acc]])</f>
        <v/>
      </c>
      <c r="AB117">
        <f>Wine_pres_final[[#This Row],[mlp_test_acc]]</f>
        <v>0.67962962962962958</v>
      </c>
      <c r="AC117">
        <f>Wine_pres_final[[#This Row],[mlp_test_acc2]]</f>
        <v>0.70740740740740748</v>
      </c>
    </row>
    <row r="118" spans="1:29" hidden="1" x14ac:dyDescent="0.25">
      <c r="A118" t="s">
        <v>1336</v>
      </c>
      <c r="B118">
        <v>9</v>
      </c>
      <c r="C118">
        <v>3</v>
      </c>
      <c r="D118">
        <v>0</v>
      </c>
      <c r="E118" t="s">
        <v>1383</v>
      </c>
      <c r="F118">
        <v>10260</v>
      </c>
      <c r="G118">
        <v>12454153.416666668</v>
      </c>
      <c r="H118">
        <v>0.64444445570309949</v>
      </c>
      <c r="I118">
        <v>0.69444444444444442</v>
      </c>
      <c r="J118">
        <v>4371894.416666667</v>
      </c>
      <c r="K118">
        <v>15009</v>
      </c>
      <c r="L118">
        <v>2</v>
      </c>
      <c r="M118">
        <v>82</v>
      </c>
      <c r="N118">
        <v>0.70370370370370372</v>
      </c>
      <c r="O118">
        <v>3308938.1666666665</v>
      </c>
      <c r="P118">
        <v>15358</v>
      </c>
      <c r="Q118">
        <v>2</v>
      </c>
      <c r="R118">
        <v>83</v>
      </c>
      <c r="S118" t="s">
        <v>1860</v>
      </c>
      <c r="Y118">
        <f>Wine_pres_final[[#This Row],[mlp_params]]</f>
        <v>15009</v>
      </c>
      <c r="Z118">
        <f>IF((LEN(Wine_pres_final[[#This Row],[kan_width]])-LEN(SUBSTITUTE(Wine_pres_final[[#This Row],[kan_width]]," ","")))&gt;2,Wine_pres_final[[#This Row],[kan_test_acc]],"")</f>
        <v>0.64444445570309949</v>
      </c>
      <c r="AA118" t="str">
        <f>IF((LEN(Wine_pres_final[[#This Row],[kan_width]])-LEN(SUBSTITUTE(Wine_pres_final[[#This Row],[kan_width]]," ","")))&gt;2,"",Wine_pres_final[[#This Row],[kan_test_acc]])</f>
        <v/>
      </c>
      <c r="AB118">
        <f>Wine_pres_final[[#This Row],[mlp_test_acc]]</f>
        <v>0.69444444444444442</v>
      </c>
      <c r="AC118">
        <f>Wine_pres_final[[#This Row],[mlp_test_acc2]]</f>
        <v>0.70370370370370372</v>
      </c>
    </row>
    <row r="119" spans="1:29" hidden="1" x14ac:dyDescent="0.25">
      <c r="A119" t="s">
        <v>1336</v>
      </c>
      <c r="B119">
        <v>5</v>
      </c>
      <c r="C119">
        <v>4</v>
      </c>
      <c r="D119">
        <v>0</v>
      </c>
      <c r="E119" t="s">
        <v>1371</v>
      </c>
      <c r="F119">
        <v>5613</v>
      </c>
      <c r="G119">
        <v>16161242.75</v>
      </c>
      <c r="H119">
        <v>0.64444445818662643</v>
      </c>
      <c r="I119">
        <v>0.67037037037037039</v>
      </c>
      <c r="J119">
        <v>1650927.8333333333</v>
      </c>
      <c r="K119">
        <v>9688</v>
      </c>
      <c r="L119">
        <v>2</v>
      </c>
      <c r="M119">
        <v>65</v>
      </c>
      <c r="N119">
        <v>0.65555555555555545</v>
      </c>
      <c r="O119">
        <v>3166293.9166666665</v>
      </c>
      <c r="P119">
        <v>9969</v>
      </c>
      <c r="Q119">
        <v>2</v>
      </c>
      <c r="R119">
        <v>66</v>
      </c>
      <c r="S119" t="s">
        <v>1704</v>
      </c>
      <c r="Y119">
        <f>Wine_pres_final[[#This Row],[mlp_params]]</f>
        <v>9688</v>
      </c>
      <c r="Z119">
        <f>IF((LEN(Wine_pres_final[[#This Row],[kan_width]])-LEN(SUBSTITUTE(Wine_pres_final[[#This Row],[kan_width]]," ","")))&gt;2,Wine_pres_final[[#This Row],[kan_test_acc]],"")</f>
        <v>0.64444445818662643</v>
      </c>
      <c r="AA119" t="str">
        <f>IF((LEN(Wine_pres_final[[#This Row],[kan_width]])-LEN(SUBSTITUTE(Wine_pres_final[[#This Row],[kan_width]]," ","")))&gt;2,"",Wine_pres_final[[#This Row],[kan_test_acc]])</f>
        <v/>
      </c>
      <c r="AB119">
        <f>Wine_pres_final[[#This Row],[mlp_test_acc]]</f>
        <v>0.67037037037037039</v>
      </c>
      <c r="AC119">
        <f>Wine_pres_final[[#This Row],[mlp_test_acc2]]</f>
        <v>0.65555555555555545</v>
      </c>
    </row>
    <row r="120" spans="1:29" x14ac:dyDescent="0.25">
      <c r="A120" t="s">
        <v>1336</v>
      </c>
      <c r="B120">
        <v>9</v>
      </c>
      <c r="C120">
        <v>5</v>
      </c>
      <c r="D120">
        <v>0</v>
      </c>
      <c r="E120" t="s">
        <v>1405</v>
      </c>
      <c r="F120">
        <v>10596</v>
      </c>
      <c r="G120">
        <v>10192503.333333334</v>
      </c>
      <c r="H120">
        <v>0.53703705221414566</v>
      </c>
      <c r="I120">
        <v>0.73333333333333339</v>
      </c>
      <c r="J120">
        <v>1283742.9166666665</v>
      </c>
      <c r="K120">
        <v>17163</v>
      </c>
      <c r="L120">
        <v>2</v>
      </c>
      <c r="M120">
        <v>88</v>
      </c>
      <c r="N120">
        <v>0.7314814814814814</v>
      </c>
      <c r="O120">
        <v>739204.66666666674</v>
      </c>
      <c r="P120">
        <v>17536</v>
      </c>
      <c r="Q120">
        <v>2</v>
      </c>
      <c r="R120">
        <v>89</v>
      </c>
      <c r="S120" t="s">
        <v>1971</v>
      </c>
      <c r="Y120">
        <f>Wine_pres_final[[#This Row],[mlp_params]]</f>
        <v>17163</v>
      </c>
      <c r="Z120">
        <f>IF((LEN(Wine_pres_final[[#This Row],[kan_width]])-LEN(SUBSTITUTE(Wine_pres_final[[#This Row],[kan_width]]," ","")))&gt;2,Wine_pres_final[[#This Row],[kan_test_acc]],"")</f>
        <v>0.53703705221414566</v>
      </c>
      <c r="AA120" t="str">
        <f>IF((LEN(Wine_pres_final[[#This Row],[kan_width]])-LEN(SUBSTITUTE(Wine_pres_final[[#This Row],[kan_width]]," ","")))&gt;2,"",Wine_pres_final[[#This Row],[kan_test_acc]])</f>
        <v/>
      </c>
      <c r="AB120">
        <f>Wine_pres_final[[#This Row],[mlp_test_acc]]</f>
        <v>0.73333333333333339</v>
      </c>
      <c r="AC120">
        <f>Wine_pres_final[[#This Row],[mlp_test_acc2]]</f>
        <v>0.7314814814814814</v>
      </c>
    </row>
    <row r="121" spans="1:29" hidden="1" x14ac:dyDescent="0.25">
      <c r="A121" t="s">
        <v>1336</v>
      </c>
      <c r="B121">
        <v>5</v>
      </c>
      <c r="C121">
        <v>5</v>
      </c>
      <c r="D121">
        <v>0</v>
      </c>
      <c r="E121" t="s">
        <v>1401</v>
      </c>
      <c r="F121">
        <v>6964</v>
      </c>
      <c r="G121">
        <v>15197009.583333332</v>
      </c>
      <c r="H121">
        <v>0.64629631241162611</v>
      </c>
      <c r="I121">
        <v>0.72407407407407409</v>
      </c>
      <c r="J121">
        <v>5763029.916666666</v>
      </c>
      <c r="K121">
        <v>12678</v>
      </c>
      <c r="L121">
        <v>2</v>
      </c>
      <c r="M121">
        <v>75</v>
      </c>
      <c r="N121">
        <v>0.66296296296296298</v>
      </c>
      <c r="O121">
        <v>11152861.833333332</v>
      </c>
      <c r="P121">
        <v>12999</v>
      </c>
      <c r="Q121">
        <v>2</v>
      </c>
      <c r="R121">
        <v>76</v>
      </c>
      <c r="S121" t="s">
        <v>1769</v>
      </c>
      <c r="Y121">
        <f>Wine_pres_final[[#This Row],[mlp_params]]</f>
        <v>12678</v>
      </c>
      <c r="Z121">
        <f>IF((LEN(Wine_pres_final[[#This Row],[kan_width]])-LEN(SUBSTITUTE(Wine_pres_final[[#This Row],[kan_width]]," ","")))&gt;2,Wine_pres_final[[#This Row],[kan_test_acc]],"")</f>
        <v>0.64629631241162611</v>
      </c>
      <c r="AA121" t="str">
        <f>IF((LEN(Wine_pres_final[[#This Row],[kan_width]])-LEN(SUBSTITUTE(Wine_pres_final[[#This Row],[kan_width]]," ","")))&gt;2,"",Wine_pres_final[[#This Row],[kan_test_acc]])</f>
        <v/>
      </c>
      <c r="AB121">
        <f>Wine_pres_final[[#This Row],[mlp_test_acc]]</f>
        <v>0.72407407407407409</v>
      </c>
      <c r="AC121">
        <f>Wine_pres_final[[#This Row],[mlp_test_acc2]]</f>
        <v>0.66296296296296298</v>
      </c>
    </row>
    <row r="122" spans="1:29" hidden="1" x14ac:dyDescent="0.25">
      <c r="A122" t="s">
        <v>1336</v>
      </c>
      <c r="B122">
        <v>9</v>
      </c>
      <c r="C122">
        <v>4</v>
      </c>
      <c r="D122">
        <v>0</v>
      </c>
      <c r="E122" t="s">
        <v>1361</v>
      </c>
      <c r="F122">
        <v>8117</v>
      </c>
      <c r="G122">
        <v>13343469.916666666</v>
      </c>
      <c r="H122">
        <v>0.64629631241162622</v>
      </c>
      <c r="I122">
        <v>0.69074074074074077</v>
      </c>
      <c r="J122">
        <v>6192639.916666667</v>
      </c>
      <c r="K122">
        <v>12361</v>
      </c>
      <c r="L122">
        <v>2</v>
      </c>
      <c r="M122">
        <v>74</v>
      </c>
      <c r="N122">
        <v>0.70370370370370372</v>
      </c>
      <c r="O122">
        <v>2566362.1666666665</v>
      </c>
      <c r="P122">
        <v>12678</v>
      </c>
      <c r="Q122">
        <v>2</v>
      </c>
      <c r="R122">
        <v>75</v>
      </c>
      <c r="S122" t="s">
        <v>1899</v>
      </c>
      <c r="Y122">
        <f>Wine_pres_final[[#This Row],[mlp_params]]</f>
        <v>12361</v>
      </c>
      <c r="Z122">
        <f>IF((LEN(Wine_pres_final[[#This Row],[kan_width]])-LEN(SUBSTITUTE(Wine_pres_final[[#This Row],[kan_width]]," ","")))&gt;2,Wine_pres_final[[#This Row],[kan_test_acc]],"")</f>
        <v>0.64629631241162622</v>
      </c>
      <c r="AA122" t="str">
        <f>IF((LEN(Wine_pres_final[[#This Row],[kan_width]])-LEN(SUBSTITUTE(Wine_pres_final[[#This Row],[kan_width]]," ","")))&gt;2,"",Wine_pres_final[[#This Row],[kan_test_acc]])</f>
        <v/>
      </c>
      <c r="AB122">
        <f>Wine_pres_final[[#This Row],[mlp_test_acc]]</f>
        <v>0.69074074074074077</v>
      </c>
      <c r="AC122">
        <f>Wine_pres_final[[#This Row],[mlp_test_acc2]]</f>
        <v>0.70370370370370372</v>
      </c>
    </row>
    <row r="123" spans="1:29" hidden="1" x14ac:dyDescent="0.25">
      <c r="A123" t="s">
        <v>1336</v>
      </c>
      <c r="B123">
        <v>5</v>
      </c>
      <c r="C123">
        <v>4</v>
      </c>
      <c r="D123">
        <v>0</v>
      </c>
      <c r="E123" t="s">
        <v>1423</v>
      </c>
      <c r="F123">
        <v>8791</v>
      </c>
      <c r="G123">
        <v>13350852.583333332</v>
      </c>
      <c r="H123">
        <v>0.64629631737867999</v>
      </c>
      <c r="I123">
        <v>0.64444444444444438</v>
      </c>
      <c r="J123">
        <v>5332945.75</v>
      </c>
      <c r="K123">
        <v>15009</v>
      </c>
      <c r="L123">
        <v>2</v>
      </c>
      <c r="M123">
        <v>82</v>
      </c>
      <c r="N123">
        <v>0.67407407407407405</v>
      </c>
      <c r="O123">
        <v>3534124.25</v>
      </c>
      <c r="P123">
        <v>15358</v>
      </c>
      <c r="Q123">
        <v>2</v>
      </c>
      <c r="R123">
        <v>83</v>
      </c>
      <c r="S123" t="s">
        <v>1730</v>
      </c>
      <c r="Y123">
        <f>Wine_pres_final[[#This Row],[mlp_params]]</f>
        <v>15009</v>
      </c>
      <c r="Z123">
        <f>IF((LEN(Wine_pres_final[[#This Row],[kan_width]])-LEN(SUBSTITUTE(Wine_pres_final[[#This Row],[kan_width]]," ","")))&gt;2,Wine_pres_final[[#This Row],[kan_test_acc]],"")</f>
        <v>0.64629631737867999</v>
      </c>
      <c r="AA123" t="str">
        <f>IF((LEN(Wine_pres_final[[#This Row],[kan_width]])-LEN(SUBSTITUTE(Wine_pres_final[[#This Row],[kan_width]]," ","")))&gt;2,"",Wine_pres_final[[#This Row],[kan_test_acc]])</f>
        <v/>
      </c>
      <c r="AB123">
        <f>Wine_pres_final[[#This Row],[mlp_test_acc]]</f>
        <v>0.64444444444444438</v>
      </c>
      <c r="AC123">
        <f>Wine_pres_final[[#This Row],[mlp_test_acc2]]</f>
        <v>0.67407407407407405</v>
      </c>
    </row>
    <row r="124" spans="1:29" x14ac:dyDescent="0.25">
      <c r="A124" t="s">
        <v>1336</v>
      </c>
      <c r="B124">
        <v>9</v>
      </c>
      <c r="C124">
        <v>5</v>
      </c>
      <c r="D124">
        <v>0</v>
      </c>
      <c r="E124" t="s">
        <v>1419</v>
      </c>
      <c r="F124">
        <v>10800</v>
      </c>
      <c r="G124">
        <v>9545929.166666666</v>
      </c>
      <c r="H124">
        <v>0.4592592716217041</v>
      </c>
      <c r="I124">
        <v>0.75</v>
      </c>
      <c r="J124">
        <v>4025434.5833333335</v>
      </c>
      <c r="K124">
        <v>17536</v>
      </c>
      <c r="L124">
        <v>2</v>
      </c>
      <c r="M124">
        <v>89</v>
      </c>
      <c r="N124">
        <v>0.71111111111111114</v>
      </c>
      <c r="O124">
        <v>4710988.5</v>
      </c>
      <c r="P124">
        <v>17913</v>
      </c>
      <c r="Q124">
        <v>2</v>
      </c>
      <c r="R124">
        <v>90</v>
      </c>
      <c r="S124" t="s">
        <v>1978</v>
      </c>
      <c r="Y124">
        <f>Wine_pres_final[[#This Row],[mlp_params]]</f>
        <v>17536</v>
      </c>
      <c r="Z124">
        <f>IF((LEN(Wine_pres_final[[#This Row],[kan_width]])-LEN(SUBSTITUTE(Wine_pres_final[[#This Row],[kan_width]]," ","")))&gt;2,Wine_pres_final[[#This Row],[kan_test_acc]],"")</f>
        <v>0.4592592716217041</v>
      </c>
      <c r="AA124" t="str">
        <f>IF((LEN(Wine_pres_final[[#This Row],[kan_width]])-LEN(SUBSTITUTE(Wine_pres_final[[#This Row],[kan_width]]," ","")))&gt;2,"",Wine_pres_final[[#This Row],[kan_test_acc]])</f>
        <v/>
      </c>
      <c r="AB124">
        <f>Wine_pres_final[[#This Row],[mlp_test_acc]]</f>
        <v>0.75</v>
      </c>
      <c r="AC124">
        <f>Wine_pres_final[[#This Row],[mlp_test_acc2]]</f>
        <v>0.71111111111111114</v>
      </c>
    </row>
    <row r="125" spans="1:29" hidden="1" x14ac:dyDescent="0.25">
      <c r="A125" t="s">
        <v>1336</v>
      </c>
      <c r="B125">
        <v>5</v>
      </c>
      <c r="C125">
        <v>4</v>
      </c>
      <c r="D125">
        <v>0</v>
      </c>
      <c r="E125" t="s">
        <v>1387</v>
      </c>
      <c r="F125">
        <v>6287</v>
      </c>
      <c r="G125">
        <v>11801320.75</v>
      </c>
      <c r="H125">
        <v>0.648148166636626</v>
      </c>
      <c r="I125">
        <v>0.6425925925925926</v>
      </c>
      <c r="J125">
        <v>4908926.833333333</v>
      </c>
      <c r="K125">
        <v>10836</v>
      </c>
      <c r="L125">
        <v>2</v>
      </c>
      <c r="M125">
        <v>69</v>
      </c>
      <c r="N125">
        <v>0.70185185185185184</v>
      </c>
      <c r="O125">
        <v>4436859.083333334</v>
      </c>
      <c r="P125">
        <v>11133</v>
      </c>
      <c r="Q125">
        <v>2</v>
      </c>
      <c r="R125">
        <v>70</v>
      </c>
      <c r="S125" t="s">
        <v>1712</v>
      </c>
      <c r="Y125">
        <f>Wine_pres_final[[#This Row],[mlp_params]]</f>
        <v>10836</v>
      </c>
      <c r="Z125">
        <f>IF((LEN(Wine_pres_final[[#This Row],[kan_width]])-LEN(SUBSTITUTE(Wine_pres_final[[#This Row],[kan_width]]," ","")))&gt;2,Wine_pres_final[[#This Row],[kan_test_acc]],"")</f>
        <v>0.648148166636626</v>
      </c>
      <c r="AA125" t="str">
        <f>IF((LEN(Wine_pres_final[[#This Row],[kan_width]])-LEN(SUBSTITUTE(Wine_pres_final[[#This Row],[kan_width]]," ","")))&gt;2,"",Wine_pres_final[[#This Row],[kan_test_acc]])</f>
        <v/>
      </c>
      <c r="AB125">
        <f>Wine_pres_final[[#This Row],[mlp_test_acc]]</f>
        <v>0.6425925925925926</v>
      </c>
      <c r="AC125">
        <f>Wine_pres_final[[#This Row],[mlp_test_acc2]]</f>
        <v>0.70185185185185184</v>
      </c>
    </row>
    <row r="126" spans="1:29" hidden="1" x14ac:dyDescent="0.25">
      <c r="A126" t="s">
        <v>1336</v>
      </c>
      <c r="B126">
        <v>9</v>
      </c>
      <c r="C126">
        <v>3</v>
      </c>
      <c r="D126">
        <v>0</v>
      </c>
      <c r="E126" t="s">
        <v>1395</v>
      </c>
      <c r="F126">
        <v>10258</v>
      </c>
      <c r="G126">
        <v>10656944.75</v>
      </c>
      <c r="H126">
        <v>0.65000001589457201</v>
      </c>
      <c r="I126">
        <v>0.7407407407407407</v>
      </c>
      <c r="J126">
        <v>5344092.5</v>
      </c>
      <c r="K126">
        <v>15009</v>
      </c>
      <c r="L126">
        <v>2</v>
      </c>
      <c r="M126">
        <v>82</v>
      </c>
      <c r="N126">
        <v>0.72037037037037033</v>
      </c>
      <c r="O126">
        <v>2145646.9166666665</v>
      </c>
      <c r="P126">
        <v>15358</v>
      </c>
      <c r="Q126">
        <v>2</v>
      </c>
      <c r="R126">
        <v>83</v>
      </c>
      <c r="S126" t="s">
        <v>1866</v>
      </c>
      <c r="Y126">
        <f>Wine_pres_final[[#This Row],[mlp_params]]</f>
        <v>15009</v>
      </c>
      <c r="Z126">
        <f>IF((LEN(Wine_pres_final[[#This Row],[kan_width]])-LEN(SUBSTITUTE(Wine_pres_final[[#This Row],[kan_width]]," ","")))&gt;2,Wine_pres_final[[#This Row],[kan_test_acc]],"")</f>
        <v>0.65000001589457201</v>
      </c>
      <c r="AA126" t="str">
        <f>IF((LEN(Wine_pres_final[[#This Row],[kan_width]])-LEN(SUBSTITUTE(Wine_pres_final[[#This Row],[kan_width]]," ","")))&gt;2,"",Wine_pres_final[[#This Row],[kan_test_acc]])</f>
        <v/>
      </c>
      <c r="AB126">
        <f>Wine_pres_final[[#This Row],[mlp_test_acc]]</f>
        <v>0.7407407407407407</v>
      </c>
      <c r="AC126">
        <f>Wine_pres_final[[#This Row],[mlp_test_acc2]]</f>
        <v>0.72037037037037033</v>
      </c>
    </row>
    <row r="127" spans="1:29" hidden="1" x14ac:dyDescent="0.25">
      <c r="A127" t="s">
        <v>1336</v>
      </c>
      <c r="B127">
        <v>9</v>
      </c>
      <c r="C127">
        <v>4</v>
      </c>
      <c r="D127">
        <v>0</v>
      </c>
      <c r="E127" t="s">
        <v>1375</v>
      </c>
      <c r="F127">
        <v>8629</v>
      </c>
      <c r="G127">
        <v>9437906</v>
      </c>
      <c r="H127">
        <v>0.65000001837809884</v>
      </c>
      <c r="I127">
        <v>0.73333333333333339</v>
      </c>
      <c r="J127">
        <v>709964.16666666674</v>
      </c>
      <c r="K127">
        <v>13324</v>
      </c>
      <c r="L127">
        <v>2</v>
      </c>
      <c r="M127">
        <v>77</v>
      </c>
      <c r="N127">
        <v>0.72407407407407409</v>
      </c>
      <c r="O127">
        <v>416587.16666666669</v>
      </c>
      <c r="P127">
        <v>13653</v>
      </c>
      <c r="Q127">
        <v>2</v>
      </c>
      <c r="R127">
        <v>78</v>
      </c>
      <c r="S127" t="s">
        <v>1906</v>
      </c>
      <c r="Y127">
        <f>Wine_pres_final[[#This Row],[mlp_params]]</f>
        <v>13324</v>
      </c>
      <c r="Z127">
        <f>IF((LEN(Wine_pres_final[[#This Row],[kan_width]])-LEN(SUBSTITUTE(Wine_pres_final[[#This Row],[kan_width]]," ","")))&gt;2,Wine_pres_final[[#This Row],[kan_test_acc]],"")</f>
        <v>0.65000001837809884</v>
      </c>
      <c r="AA127" t="str">
        <f>IF((LEN(Wine_pres_final[[#This Row],[kan_width]])-LEN(SUBSTITUTE(Wine_pres_final[[#This Row],[kan_width]]," ","")))&gt;2,"",Wine_pres_final[[#This Row],[kan_test_acc]])</f>
        <v/>
      </c>
      <c r="AB127">
        <f>Wine_pres_final[[#This Row],[mlp_test_acc]]</f>
        <v>0.73333333333333339</v>
      </c>
      <c r="AC127">
        <f>Wine_pres_final[[#This Row],[mlp_test_acc2]]</f>
        <v>0.72407407407407409</v>
      </c>
    </row>
    <row r="128" spans="1:29" hidden="1" x14ac:dyDescent="0.25">
      <c r="A128" t="s">
        <v>1336</v>
      </c>
      <c r="B128">
        <v>9</v>
      </c>
      <c r="C128">
        <v>2</v>
      </c>
      <c r="D128">
        <v>0</v>
      </c>
      <c r="E128" t="s">
        <v>1435</v>
      </c>
      <c r="F128">
        <v>2478</v>
      </c>
      <c r="G128">
        <v>9794692.166666666</v>
      </c>
      <c r="H128">
        <v>0.65000002086162567</v>
      </c>
      <c r="I128">
        <v>0.71666666666666656</v>
      </c>
      <c r="J128">
        <v>7867775.833333334</v>
      </c>
      <c r="K128">
        <v>3279</v>
      </c>
      <c r="L128">
        <v>2</v>
      </c>
      <c r="M128">
        <v>36</v>
      </c>
      <c r="N128">
        <v>0.71481481481481479</v>
      </c>
      <c r="O128">
        <v>8950474.9166666679</v>
      </c>
      <c r="P128">
        <v>3444</v>
      </c>
      <c r="Q128">
        <v>2</v>
      </c>
      <c r="R128">
        <v>37</v>
      </c>
      <c r="S128" t="s">
        <v>1786</v>
      </c>
      <c r="Y128">
        <f>Wine_pres_final[[#This Row],[mlp_params]]</f>
        <v>3279</v>
      </c>
      <c r="Z128" t="str">
        <f>IF((LEN(Wine_pres_final[[#This Row],[kan_width]])-LEN(SUBSTITUTE(Wine_pres_final[[#This Row],[kan_width]]," ","")))&gt;2,Wine_pres_final[[#This Row],[kan_test_acc]],"")</f>
        <v/>
      </c>
      <c r="AA128">
        <f>IF((LEN(Wine_pres_final[[#This Row],[kan_width]])-LEN(SUBSTITUTE(Wine_pres_final[[#This Row],[kan_width]]," ","")))&gt;2,"",Wine_pres_final[[#This Row],[kan_test_acc]])</f>
        <v>0.65000002086162567</v>
      </c>
      <c r="AB128">
        <f>Wine_pres_final[[#This Row],[mlp_test_acc]]</f>
        <v>0.71666666666666656</v>
      </c>
      <c r="AC128">
        <f>Wine_pres_final[[#This Row],[mlp_test_acc2]]</f>
        <v>0.71481481481481479</v>
      </c>
    </row>
    <row r="129" spans="1:29" hidden="1" x14ac:dyDescent="0.25">
      <c r="A129" t="s">
        <v>1336</v>
      </c>
      <c r="B129">
        <v>3</v>
      </c>
      <c r="C129">
        <v>5</v>
      </c>
      <c r="D129">
        <v>0</v>
      </c>
      <c r="E129" t="s">
        <v>1357</v>
      </c>
      <c r="F129">
        <v>4884</v>
      </c>
      <c r="G129">
        <v>13485130.583333332</v>
      </c>
      <c r="H129">
        <v>0.65185186266899109</v>
      </c>
      <c r="I129">
        <v>0.68333333333333335</v>
      </c>
      <c r="J129">
        <v>835784.91666666674</v>
      </c>
      <c r="K129">
        <v>9688</v>
      </c>
      <c r="L129">
        <v>2</v>
      </c>
      <c r="M129">
        <v>65</v>
      </c>
      <c r="N129">
        <v>0.71481481481481479</v>
      </c>
      <c r="O129">
        <v>2300923.8333333335</v>
      </c>
      <c r="P129">
        <v>9969</v>
      </c>
      <c r="Q129">
        <v>2</v>
      </c>
      <c r="R129">
        <v>66</v>
      </c>
      <c r="S129" t="s">
        <v>1547</v>
      </c>
      <c r="Y129">
        <f>Wine_pres_final[[#This Row],[mlp_params]]</f>
        <v>9688</v>
      </c>
      <c r="Z129">
        <f>IF((LEN(Wine_pres_final[[#This Row],[kan_width]])-LEN(SUBSTITUTE(Wine_pres_final[[#This Row],[kan_width]]," ","")))&gt;2,Wine_pres_final[[#This Row],[kan_test_acc]],"")</f>
        <v>0.65185186266899109</v>
      </c>
      <c r="AA129" t="str">
        <f>IF((LEN(Wine_pres_final[[#This Row],[kan_width]])-LEN(SUBSTITUTE(Wine_pres_final[[#This Row],[kan_width]]," ","")))&gt;2,"",Wine_pres_final[[#This Row],[kan_test_acc]])</f>
        <v/>
      </c>
      <c r="AB129">
        <f>Wine_pres_final[[#This Row],[mlp_test_acc]]</f>
        <v>0.68333333333333335</v>
      </c>
      <c r="AC129">
        <f>Wine_pres_final[[#This Row],[mlp_test_acc2]]</f>
        <v>0.71481481481481479</v>
      </c>
    </row>
    <row r="130" spans="1:29" hidden="1" x14ac:dyDescent="0.25">
      <c r="A130" t="s">
        <v>1336</v>
      </c>
      <c r="B130">
        <v>9</v>
      </c>
      <c r="C130">
        <v>3</v>
      </c>
      <c r="D130">
        <v>0</v>
      </c>
      <c r="E130" t="s">
        <v>1357</v>
      </c>
      <c r="F130">
        <v>6648</v>
      </c>
      <c r="G130">
        <v>11947119.166666666</v>
      </c>
      <c r="H130">
        <v>0.65185186763604475</v>
      </c>
      <c r="I130">
        <v>0.64814814814814814</v>
      </c>
      <c r="J130">
        <v>559143.25</v>
      </c>
      <c r="K130">
        <v>9688</v>
      </c>
      <c r="L130">
        <v>2</v>
      </c>
      <c r="M130">
        <v>65</v>
      </c>
      <c r="N130">
        <v>0.68888888888888888</v>
      </c>
      <c r="O130">
        <v>3425080</v>
      </c>
      <c r="P130">
        <v>9969</v>
      </c>
      <c r="Q130">
        <v>2</v>
      </c>
      <c r="R130">
        <v>66</v>
      </c>
      <c r="S130" t="s">
        <v>1847</v>
      </c>
      <c r="Y130">
        <f>Wine_pres_final[[#This Row],[mlp_params]]</f>
        <v>9688</v>
      </c>
      <c r="Z130">
        <f>IF((LEN(Wine_pres_final[[#This Row],[kan_width]])-LEN(SUBSTITUTE(Wine_pres_final[[#This Row],[kan_width]]," ","")))&gt;2,Wine_pres_final[[#This Row],[kan_test_acc]],"")</f>
        <v>0.65185186763604475</v>
      </c>
      <c r="AA130" t="str">
        <f>IF((LEN(Wine_pres_final[[#This Row],[kan_width]])-LEN(SUBSTITUTE(Wine_pres_final[[#This Row],[kan_width]]," ","")))&gt;2,"",Wine_pres_final[[#This Row],[kan_test_acc]])</f>
        <v/>
      </c>
      <c r="AB130">
        <f>Wine_pres_final[[#This Row],[mlp_test_acc]]</f>
        <v>0.64814814814814814</v>
      </c>
      <c r="AC130">
        <f>Wine_pres_final[[#This Row],[mlp_test_acc2]]</f>
        <v>0.68888888888888888</v>
      </c>
    </row>
    <row r="131" spans="1:29" hidden="1" x14ac:dyDescent="0.25">
      <c r="A131" t="s">
        <v>1336</v>
      </c>
      <c r="B131">
        <v>5</v>
      </c>
      <c r="C131">
        <v>4</v>
      </c>
      <c r="D131">
        <v>0</v>
      </c>
      <c r="E131" t="s">
        <v>1395</v>
      </c>
      <c r="F131">
        <v>8215</v>
      </c>
      <c r="G131">
        <v>14825743.25</v>
      </c>
      <c r="H131">
        <v>0.65370371441046404</v>
      </c>
      <c r="I131">
        <v>0.67777777777777781</v>
      </c>
      <c r="J131">
        <v>2903466.9166666665</v>
      </c>
      <c r="K131">
        <v>14323</v>
      </c>
      <c r="L131">
        <v>2</v>
      </c>
      <c r="M131">
        <v>80</v>
      </c>
      <c r="N131">
        <v>0.65925925925925921</v>
      </c>
      <c r="O131">
        <v>3259310.8333333335</v>
      </c>
      <c r="P131">
        <v>14664</v>
      </c>
      <c r="Q131">
        <v>2</v>
      </c>
      <c r="R131">
        <v>81</v>
      </c>
      <c r="S131" t="s">
        <v>1716</v>
      </c>
      <c r="Y131">
        <f>Wine_pres_final[[#This Row],[mlp_params]]</f>
        <v>14323</v>
      </c>
      <c r="Z131">
        <f>IF((LEN(Wine_pres_final[[#This Row],[kan_width]])-LEN(SUBSTITUTE(Wine_pres_final[[#This Row],[kan_width]]," ","")))&gt;2,Wine_pres_final[[#This Row],[kan_test_acc]],"")</f>
        <v>0.65370371441046404</v>
      </c>
      <c r="AA131" t="str">
        <f>IF((LEN(Wine_pres_final[[#This Row],[kan_width]])-LEN(SUBSTITUTE(Wine_pres_final[[#This Row],[kan_width]]," ","")))&gt;2,"",Wine_pres_final[[#This Row],[kan_test_acc]])</f>
        <v/>
      </c>
      <c r="AB131">
        <f>Wine_pres_final[[#This Row],[mlp_test_acc]]</f>
        <v>0.67777777777777781</v>
      </c>
      <c r="AC131">
        <f>Wine_pres_final[[#This Row],[mlp_test_acc2]]</f>
        <v>0.65925925925925921</v>
      </c>
    </row>
    <row r="132" spans="1:29" hidden="1" x14ac:dyDescent="0.25">
      <c r="A132" t="s">
        <v>1336</v>
      </c>
      <c r="B132">
        <v>9</v>
      </c>
      <c r="C132">
        <v>3</v>
      </c>
      <c r="D132">
        <v>0</v>
      </c>
      <c r="E132" t="s">
        <v>1365</v>
      </c>
      <c r="F132">
        <v>8576</v>
      </c>
      <c r="G132">
        <v>14285915.333333332</v>
      </c>
      <c r="H132">
        <v>0.65740742286046339</v>
      </c>
      <c r="I132">
        <v>0.71111111111111114</v>
      </c>
      <c r="J132">
        <v>4048781.75</v>
      </c>
      <c r="K132">
        <v>12361</v>
      </c>
      <c r="L132">
        <v>2</v>
      </c>
      <c r="M132">
        <v>74</v>
      </c>
      <c r="N132">
        <v>0.66666666666666674</v>
      </c>
      <c r="O132">
        <v>2145181.3333333335</v>
      </c>
      <c r="P132">
        <v>12678</v>
      </c>
      <c r="Q132">
        <v>2</v>
      </c>
      <c r="R132">
        <v>75</v>
      </c>
      <c r="S132" t="s">
        <v>1851</v>
      </c>
      <c r="Y132">
        <f>Wine_pres_final[[#This Row],[mlp_params]]</f>
        <v>12361</v>
      </c>
      <c r="Z132">
        <f>IF((LEN(Wine_pres_final[[#This Row],[kan_width]])-LEN(SUBSTITUTE(Wine_pres_final[[#This Row],[kan_width]]," ","")))&gt;2,Wine_pres_final[[#This Row],[kan_test_acc]],"")</f>
        <v>0.65740742286046339</v>
      </c>
      <c r="AA132" t="str">
        <f>IF((LEN(Wine_pres_final[[#This Row],[kan_width]])-LEN(SUBSTITUTE(Wine_pres_final[[#This Row],[kan_width]]," ","")))&gt;2,"",Wine_pres_final[[#This Row],[kan_test_acc]])</f>
        <v/>
      </c>
      <c r="AB132">
        <f>Wine_pres_final[[#This Row],[mlp_test_acc]]</f>
        <v>0.71111111111111114</v>
      </c>
      <c r="AC132">
        <f>Wine_pres_final[[#This Row],[mlp_test_acc2]]</f>
        <v>0.66666666666666674</v>
      </c>
    </row>
    <row r="133" spans="1:29" hidden="1" x14ac:dyDescent="0.25">
      <c r="A133" t="s">
        <v>1336</v>
      </c>
      <c r="B133">
        <v>9</v>
      </c>
      <c r="C133">
        <v>4</v>
      </c>
      <c r="D133">
        <v>0</v>
      </c>
      <c r="E133" t="s">
        <v>1373</v>
      </c>
      <c r="F133">
        <v>8051</v>
      </c>
      <c r="G133">
        <v>9032610.25</v>
      </c>
      <c r="H133">
        <v>0.65740742782751727</v>
      </c>
      <c r="I133">
        <v>0.73148148148148151</v>
      </c>
      <c r="J133">
        <v>537222.25</v>
      </c>
      <c r="K133">
        <v>12361</v>
      </c>
      <c r="L133">
        <v>2</v>
      </c>
      <c r="M133">
        <v>74</v>
      </c>
      <c r="N133">
        <v>0.72592592592592586</v>
      </c>
      <c r="O133">
        <v>327554.25</v>
      </c>
      <c r="P133">
        <v>12678</v>
      </c>
      <c r="Q133">
        <v>2</v>
      </c>
      <c r="R133">
        <v>75</v>
      </c>
      <c r="S133" t="s">
        <v>1905</v>
      </c>
      <c r="Y133">
        <f>Wine_pres_final[[#This Row],[mlp_params]]</f>
        <v>12361</v>
      </c>
      <c r="Z133">
        <f>IF((LEN(Wine_pres_final[[#This Row],[kan_width]])-LEN(SUBSTITUTE(Wine_pres_final[[#This Row],[kan_width]]," ","")))&gt;2,Wine_pres_final[[#This Row],[kan_test_acc]],"")</f>
        <v>0.65740742782751727</v>
      </c>
      <c r="AA133" t="str">
        <f>IF((LEN(Wine_pres_final[[#This Row],[kan_width]])-LEN(SUBSTITUTE(Wine_pres_final[[#This Row],[kan_width]]," ","")))&gt;2,"",Wine_pres_final[[#This Row],[kan_test_acc]])</f>
        <v/>
      </c>
      <c r="AB133">
        <f>Wine_pres_final[[#This Row],[mlp_test_acc]]</f>
        <v>0.73148148148148151</v>
      </c>
      <c r="AC133">
        <f>Wine_pres_final[[#This Row],[mlp_test_acc2]]</f>
        <v>0.72592592592592586</v>
      </c>
    </row>
    <row r="134" spans="1:29" x14ac:dyDescent="0.25">
      <c r="A134" t="s">
        <v>1336</v>
      </c>
      <c r="B134">
        <v>9</v>
      </c>
      <c r="C134">
        <v>5</v>
      </c>
      <c r="D134">
        <v>0</v>
      </c>
      <c r="E134" t="s">
        <v>1393</v>
      </c>
      <c r="F134">
        <v>10938</v>
      </c>
      <c r="G134">
        <v>10650155.916666668</v>
      </c>
      <c r="H134">
        <v>0.6444444631536802</v>
      </c>
      <c r="I134">
        <v>0.76296296296296295</v>
      </c>
      <c r="J134">
        <v>880467.75</v>
      </c>
      <c r="K134">
        <v>17913</v>
      </c>
      <c r="L134">
        <v>2</v>
      </c>
      <c r="M134">
        <v>90</v>
      </c>
      <c r="N134">
        <v>0.76296296296296295</v>
      </c>
      <c r="O134">
        <v>729675.66666666674</v>
      </c>
      <c r="P134">
        <v>18294</v>
      </c>
      <c r="Q134">
        <v>2</v>
      </c>
      <c r="R134">
        <v>91</v>
      </c>
      <c r="S134" t="s">
        <v>1965</v>
      </c>
      <c r="Y134">
        <f>Wine_pres_final[[#This Row],[mlp_params]]</f>
        <v>17913</v>
      </c>
      <c r="Z134">
        <f>IF((LEN(Wine_pres_final[[#This Row],[kan_width]])-LEN(SUBSTITUTE(Wine_pres_final[[#This Row],[kan_width]]," ","")))&gt;2,Wine_pres_final[[#This Row],[kan_test_acc]],"")</f>
        <v>0.6444444631536802</v>
      </c>
      <c r="AA134" t="str">
        <f>IF((LEN(Wine_pres_final[[#This Row],[kan_width]])-LEN(SUBSTITUTE(Wine_pres_final[[#This Row],[kan_width]]," ","")))&gt;2,"",Wine_pres_final[[#This Row],[kan_test_acc]])</f>
        <v/>
      </c>
      <c r="AB134">
        <f>Wine_pres_final[[#This Row],[mlp_test_acc]]</f>
        <v>0.76296296296296295</v>
      </c>
      <c r="AC134">
        <f>Wine_pres_final[[#This Row],[mlp_test_acc2]]</f>
        <v>0.76296296296296295</v>
      </c>
    </row>
    <row r="135" spans="1:29" hidden="1" x14ac:dyDescent="0.25">
      <c r="A135" t="s">
        <v>1336</v>
      </c>
      <c r="B135">
        <v>5</v>
      </c>
      <c r="C135">
        <v>5</v>
      </c>
      <c r="D135">
        <v>0</v>
      </c>
      <c r="E135" t="s">
        <v>1383</v>
      </c>
      <c r="F135">
        <v>8898</v>
      </c>
      <c r="G135">
        <v>14932357.083333334</v>
      </c>
      <c r="H135">
        <v>0.66111112882693612</v>
      </c>
      <c r="I135">
        <v>0.64074074074074072</v>
      </c>
      <c r="J135">
        <v>4959299.5</v>
      </c>
      <c r="K135">
        <v>16068</v>
      </c>
      <c r="L135">
        <v>2</v>
      </c>
      <c r="M135">
        <v>85</v>
      </c>
      <c r="N135">
        <v>0.68518518518518512</v>
      </c>
      <c r="O135">
        <v>5423572.666666666</v>
      </c>
      <c r="P135">
        <v>16429</v>
      </c>
      <c r="Q135">
        <v>2</v>
      </c>
      <c r="R135">
        <v>86</v>
      </c>
      <c r="S135" t="s">
        <v>1760</v>
      </c>
      <c r="Y135">
        <f>Wine_pres_final[[#This Row],[mlp_params]]</f>
        <v>16068</v>
      </c>
      <c r="Z135">
        <f>IF((LEN(Wine_pres_final[[#This Row],[kan_width]])-LEN(SUBSTITUTE(Wine_pres_final[[#This Row],[kan_width]]," ","")))&gt;2,Wine_pres_final[[#This Row],[kan_test_acc]],"")</f>
        <v>0.66111112882693612</v>
      </c>
      <c r="AA135" t="str">
        <f>IF((LEN(Wine_pres_final[[#This Row],[kan_width]])-LEN(SUBSTITUTE(Wine_pres_final[[#This Row],[kan_width]]," ","")))&gt;2,"",Wine_pres_final[[#This Row],[kan_test_acc]])</f>
        <v/>
      </c>
      <c r="AB135">
        <f>Wine_pres_final[[#This Row],[mlp_test_acc]]</f>
        <v>0.64074074074074072</v>
      </c>
      <c r="AC135">
        <f>Wine_pres_final[[#This Row],[mlp_test_acc2]]</f>
        <v>0.68518518518518512</v>
      </c>
    </row>
    <row r="136" spans="1:29" hidden="1" x14ac:dyDescent="0.25">
      <c r="A136" t="s">
        <v>1336</v>
      </c>
      <c r="B136">
        <v>5</v>
      </c>
      <c r="C136">
        <v>5</v>
      </c>
      <c r="D136">
        <v>0</v>
      </c>
      <c r="E136" t="s">
        <v>1381</v>
      </c>
      <c r="F136">
        <v>8428</v>
      </c>
      <c r="G136">
        <v>16099070.333333332</v>
      </c>
      <c r="H136">
        <v>0.66296297808488214</v>
      </c>
      <c r="I136">
        <v>0.65555555555555545</v>
      </c>
      <c r="J136">
        <v>5149845.333333334</v>
      </c>
      <c r="K136">
        <v>15358</v>
      </c>
      <c r="L136">
        <v>2</v>
      </c>
      <c r="M136">
        <v>83</v>
      </c>
      <c r="N136">
        <v>0.67962962962962958</v>
      </c>
      <c r="O136">
        <v>4157583.416666667</v>
      </c>
      <c r="P136">
        <v>15711</v>
      </c>
      <c r="Q136">
        <v>2</v>
      </c>
      <c r="R136">
        <v>84</v>
      </c>
      <c r="S136" t="s">
        <v>1759</v>
      </c>
      <c r="Y136">
        <f>Wine_pres_final[[#This Row],[mlp_params]]</f>
        <v>15358</v>
      </c>
      <c r="Z136">
        <f>IF((LEN(Wine_pres_final[[#This Row],[kan_width]])-LEN(SUBSTITUTE(Wine_pres_final[[#This Row],[kan_width]]," ","")))&gt;2,Wine_pres_final[[#This Row],[kan_test_acc]],"")</f>
        <v>0.66296297808488214</v>
      </c>
      <c r="AA136" t="str">
        <f>IF((LEN(Wine_pres_final[[#This Row],[kan_width]])-LEN(SUBSTITUTE(Wine_pres_final[[#This Row],[kan_width]]," ","")))&gt;2,"",Wine_pres_final[[#This Row],[kan_test_acc]])</f>
        <v/>
      </c>
      <c r="AB136">
        <f>Wine_pres_final[[#This Row],[mlp_test_acc]]</f>
        <v>0.65555555555555545</v>
      </c>
      <c r="AC136">
        <f>Wine_pres_final[[#This Row],[mlp_test_acc2]]</f>
        <v>0.67962962962962958</v>
      </c>
    </row>
    <row r="137" spans="1:29" hidden="1" x14ac:dyDescent="0.25">
      <c r="A137" t="s">
        <v>1336</v>
      </c>
      <c r="B137">
        <v>5</v>
      </c>
      <c r="C137">
        <v>4</v>
      </c>
      <c r="D137">
        <v>0</v>
      </c>
      <c r="E137" t="s">
        <v>1425</v>
      </c>
      <c r="F137">
        <v>9369</v>
      </c>
      <c r="G137">
        <v>12807508.583333332</v>
      </c>
      <c r="H137">
        <v>0.66296298305193591</v>
      </c>
      <c r="I137">
        <v>0.64074074074074072</v>
      </c>
      <c r="J137">
        <v>5586252.333333333</v>
      </c>
      <c r="K137">
        <v>16068</v>
      </c>
      <c r="L137">
        <v>2</v>
      </c>
      <c r="M137">
        <v>85</v>
      </c>
      <c r="N137">
        <v>0.66481481481481475</v>
      </c>
      <c r="O137">
        <v>4473951.416666667</v>
      </c>
      <c r="P137">
        <v>16429</v>
      </c>
      <c r="Q137">
        <v>2</v>
      </c>
      <c r="R137">
        <v>86</v>
      </c>
      <c r="S137" t="s">
        <v>1731</v>
      </c>
      <c r="Y137">
        <f>Wine_pres_final[[#This Row],[mlp_params]]</f>
        <v>16068</v>
      </c>
      <c r="Z137">
        <f>IF((LEN(Wine_pres_final[[#This Row],[kan_width]])-LEN(SUBSTITUTE(Wine_pres_final[[#This Row],[kan_width]]," ","")))&gt;2,Wine_pres_final[[#This Row],[kan_test_acc]],"")</f>
        <v>0.66296298305193591</v>
      </c>
      <c r="AA137" t="str">
        <f>IF((LEN(Wine_pres_final[[#This Row],[kan_width]])-LEN(SUBSTITUTE(Wine_pres_final[[#This Row],[kan_width]]," ","")))&gt;2,"",Wine_pres_final[[#This Row],[kan_test_acc]])</f>
        <v/>
      </c>
      <c r="AB137">
        <f>Wine_pres_final[[#This Row],[mlp_test_acc]]</f>
        <v>0.64074074074074072</v>
      </c>
      <c r="AC137">
        <f>Wine_pres_final[[#This Row],[mlp_test_acc2]]</f>
        <v>0.66481481481481475</v>
      </c>
    </row>
    <row r="138" spans="1:29" hidden="1" x14ac:dyDescent="0.25">
      <c r="A138" t="s">
        <v>1336</v>
      </c>
      <c r="B138">
        <v>5</v>
      </c>
      <c r="C138">
        <v>5</v>
      </c>
      <c r="D138">
        <v>0</v>
      </c>
      <c r="E138" t="s">
        <v>1425</v>
      </c>
      <c r="F138">
        <v>10146</v>
      </c>
      <c r="G138">
        <v>18758551.666666668</v>
      </c>
      <c r="H138">
        <v>0.66481482982635498</v>
      </c>
      <c r="I138">
        <v>0.67962962962962958</v>
      </c>
      <c r="J138">
        <v>6150846.916666666</v>
      </c>
      <c r="K138">
        <v>18679</v>
      </c>
      <c r="L138">
        <v>2</v>
      </c>
      <c r="M138">
        <v>92</v>
      </c>
      <c r="N138">
        <v>0.67962962962962958</v>
      </c>
      <c r="O138">
        <v>4146894.583333333</v>
      </c>
      <c r="P138">
        <v>19068</v>
      </c>
      <c r="Q138">
        <v>2</v>
      </c>
      <c r="R138">
        <v>93</v>
      </c>
      <c r="S138" t="s">
        <v>1781</v>
      </c>
      <c r="Y138">
        <f>Wine_pres_final[[#This Row],[mlp_params]]</f>
        <v>18679</v>
      </c>
      <c r="Z138">
        <f>IF((LEN(Wine_pres_final[[#This Row],[kan_width]])-LEN(SUBSTITUTE(Wine_pres_final[[#This Row],[kan_width]]," ","")))&gt;2,Wine_pres_final[[#This Row],[kan_test_acc]],"")</f>
        <v>0.66481482982635498</v>
      </c>
      <c r="AA138" t="str">
        <f>IF((LEN(Wine_pres_final[[#This Row],[kan_width]])-LEN(SUBSTITUTE(Wine_pres_final[[#This Row],[kan_width]]," ","")))&gt;2,"",Wine_pres_final[[#This Row],[kan_test_acc]])</f>
        <v/>
      </c>
      <c r="AB138">
        <f>Wine_pres_final[[#This Row],[mlp_test_acc]]</f>
        <v>0.67962962962962958</v>
      </c>
      <c r="AC138">
        <f>Wine_pres_final[[#This Row],[mlp_test_acc2]]</f>
        <v>0.67962962962962958</v>
      </c>
    </row>
    <row r="139" spans="1:29" hidden="1" x14ac:dyDescent="0.25">
      <c r="A139" t="s">
        <v>1336</v>
      </c>
      <c r="B139">
        <v>9</v>
      </c>
      <c r="C139">
        <v>4</v>
      </c>
      <c r="D139">
        <v>0</v>
      </c>
      <c r="E139" t="s">
        <v>1359</v>
      </c>
      <c r="F139">
        <v>7603</v>
      </c>
      <c r="G139">
        <v>11469868.5</v>
      </c>
      <c r="H139">
        <v>0.66666667660077406</v>
      </c>
      <c r="I139">
        <v>0.73518518518518516</v>
      </c>
      <c r="J139">
        <v>908620</v>
      </c>
      <c r="K139">
        <v>11739</v>
      </c>
      <c r="L139">
        <v>2</v>
      </c>
      <c r="M139">
        <v>72</v>
      </c>
      <c r="N139">
        <v>0.76296296296296306</v>
      </c>
      <c r="O139">
        <v>620091.58333333337</v>
      </c>
      <c r="P139">
        <v>12048</v>
      </c>
      <c r="Q139">
        <v>2</v>
      </c>
      <c r="R139">
        <v>73</v>
      </c>
      <c r="S139" t="s">
        <v>1898</v>
      </c>
      <c r="Y139">
        <f>Wine_pres_final[[#This Row],[mlp_params]]</f>
        <v>11739</v>
      </c>
      <c r="Z139">
        <f>IF((LEN(Wine_pres_final[[#This Row],[kan_width]])-LEN(SUBSTITUTE(Wine_pres_final[[#This Row],[kan_width]]," ","")))&gt;2,Wine_pres_final[[#This Row],[kan_test_acc]],"")</f>
        <v>0.66666667660077406</v>
      </c>
      <c r="AA139" t="str">
        <f>IF((LEN(Wine_pres_final[[#This Row],[kan_width]])-LEN(SUBSTITUTE(Wine_pres_final[[#This Row],[kan_width]]," ","")))&gt;2,"",Wine_pres_final[[#This Row],[kan_test_acc]])</f>
        <v/>
      </c>
      <c r="AB139">
        <f>Wine_pres_final[[#This Row],[mlp_test_acc]]</f>
        <v>0.73518518518518516</v>
      </c>
      <c r="AC139">
        <f>Wine_pres_final[[#This Row],[mlp_test_acc2]]</f>
        <v>0.76296296296296306</v>
      </c>
    </row>
    <row r="140" spans="1:29" hidden="1" x14ac:dyDescent="0.25">
      <c r="A140" t="s">
        <v>1336</v>
      </c>
      <c r="B140">
        <v>5</v>
      </c>
      <c r="C140">
        <v>4</v>
      </c>
      <c r="D140">
        <v>0</v>
      </c>
      <c r="E140" t="s">
        <v>1373</v>
      </c>
      <c r="F140">
        <v>6047</v>
      </c>
      <c r="G140">
        <v>12620028.75</v>
      </c>
      <c r="H140">
        <v>0.66666668032606435</v>
      </c>
      <c r="I140">
        <v>0.68333333333333335</v>
      </c>
      <c r="J140">
        <v>2869861.416666667</v>
      </c>
      <c r="K140">
        <v>10543</v>
      </c>
      <c r="L140">
        <v>2</v>
      </c>
      <c r="M140">
        <v>68</v>
      </c>
      <c r="N140">
        <v>0.67962962962962958</v>
      </c>
      <c r="O140">
        <v>2851765.6666666665</v>
      </c>
      <c r="P140">
        <v>10836</v>
      </c>
      <c r="Q140">
        <v>2</v>
      </c>
      <c r="R140">
        <v>69</v>
      </c>
      <c r="S140" t="s">
        <v>1705</v>
      </c>
      <c r="Y140">
        <f>Wine_pres_final[[#This Row],[mlp_params]]</f>
        <v>10543</v>
      </c>
      <c r="Z140">
        <f>IF((LEN(Wine_pres_final[[#This Row],[kan_width]])-LEN(SUBSTITUTE(Wine_pres_final[[#This Row],[kan_width]]," ","")))&gt;2,Wine_pres_final[[#This Row],[kan_test_acc]],"")</f>
        <v>0.66666668032606435</v>
      </c>
      <c r="AA140" t="str">
        <f>IF((LEN(Wine_pres_final[[#This Row],[kan_width]])-LEN(SUBSTITUTE(Wine_pres_final[[#This Row],[kan_width]]," ","")))&gt;2,"",Wine_pres_final[[#This Row],[kan_test_acc]])</f>
        <v/>
      </c>
      <c r="AB140">
        <f>Wine_pres_final[[#This Row],[mlp_test_acc]]</f>
        <v>0.68333333333333335</v>
      </c>
      <c r="AC140">
        <f>Wine_pres_final[[#This Row],[mlp_test_acc2]]</f>
        <v>0.67962962962962958</v>
      </c>
    </row>
    <row r="141" spans="1:29" hidden="1" x14ac:dyDescent="0.25">
      <c r="A141" t="s">
        <v>1336</v>
      </c>
      <c r="B141">
        <v>9</v>
      </c>
      <c r="C141">
        <v>4</v>
      </c>
      <c r="D141">
        <v>0</v>
      </c>
      <c r="E141" t="s">
        <v>1379</v>
      </c>
      <c r="F141">
        <v>9785</v>
      </c>
      <c r="G141">
        <v>10887050.083333334</v>
      </c>
      <c r="H141">
        <v>0.66851853330930067</v>
      </c>
      <c r="I141">
        <v>0.69074074074074066</v>
      </c>
      <c r="J141">
        <v>716725.58333333326</v>
      </c>
      <c r="K141">
        <v>15009</v>
      </c>
      <c r="L141">
        <v>2</v>
      </c>
      <c r="M141">
        <v>82</v>
      </c>
      <c r="N141">
        <v>0.75555555555555554</v>
      </c>
      <c r="O141">
        <v>462781.16666666669</v>
      </c>
      <c r="P141">
        <v>15358</v>
      </c>
      <c r="Q141">
        <v>2</v>
      </c>
      <c r="R141">
        <v>83</v>
      </c>
      <c r="S141" t="s">
        <v>1908</v>
      </c>
      <c r="Y141">
        <f>Wine_pres_final[[#This Row],[mlp_params]]</f>
        <v>15009</v>
      </c>
      <c r="Z141">
        <f>IF((LEN(Wine_pres_final[[#This Row],[kan_width]])-LEN(SUBSTITUTE(Wine_pres_final[[#This Row],[kan_width]]," ","")))&gt;2,Wine_pres_final[[#This Row],[kan_test_acc]],"")</f>
        <v>0.66851853330930067</v>
      </c>
      <c r="AA141" t="str">
        <f>IF((LEN(Wine_pres_final[[#This Row],[kan_width]])-LEN(SUBSTITUTE(Wine_pres_final[[#This Row],[kan_width]]," ","")))&gt;2,"",Wine_pres_final[[#This Row],[kan_test_acc]])</f>
        <v/>
      </c>
      <c r="AB141">
        <f>Wine_pres_final[[#This Row],[mlp_test_acc]]</f>
        <v>0.69074074074074066</v>
      </c>
      <c r="AC141">
        <f>Wine_pres_final[[#This Row],[mlp_test_acc2]]</f>
        <v>0.75555555555555554</v>
      </c>
    </row>
    <row r="142" spans="1:29" hidden="1" x14ac:dyDescent="0.25">
      <c r="A142" t="s">
        <v>1336</v>
      </c>
      <c r="B142">
        <v>9</v>
      </c>
      <c r="C142">
        <v>4</v>
      </c>
      <c r="D142">
        <v>0</v>
      </c>
      <c r="E142" t="s">
        <v>1381</v>
      </c>
      <c r="F142">
        <v>10363</v>
      </c>
      <c r="G142">
        <v>10235315.666666668</v>
      </c>
      <c r="H142">
        <v>0.66851853330930067</v>
      </c>
      <c r="I142">
        <v>0.73888888888888893</v>
      </c>
      <c r="J142">
        <v>859464.91666666674</v>
      </c>
      <c r="K142">
        <v>16068</v>
      </c>
      <c r="L142">
        <v>2</v>
      </c>
      <c r="M142">
        <v>85</v>
      </c>
      <c r="N142">
        <v>0.72592592592592597</v>
      </c>
      <c r="O142">
        <v>550022.91666666663</v>
      </c>
      <c r="P142">
        <v>16429</v>
      </c>
      <c r="Q142">
        <v>2</v>
      </c>
      <c r="R142">
        <v>86</v>
      </c>
      <c r="S142" t="s">
        <v>1909</v>
      </c>
      <c r="Y142">
        <f>Wine_pres_final[[#This Row],[mlp_params]]</f>
        <v>16068</v>
      </c>
      <c r="Z142">
        <f>IF((LEN(Wine_pres_final[[#This Row],[kan_width]])-LEN(SUBSTITUTE(Wine_pres_final[[#This Row],[kan_width]]," ","")))&gt;2,Wine_pres_final[[#This Row],[kan_test_acc]],"")</f>
        <v>0.66851853330930067</v>
      </c>
      <c r="AA142" t="str">
        <f>IF((LEN(Wine_pres_final[[#This Row],[kan_width]])-LEN(SUBSTITUTE(Wine_pres_final[[#This Row],[kan_width]]," ","")))&gt;2,"",Wine_pres_final[[#This Row],[kan_test_acc]])</f>
        <v/>
      </c>
      <c r="AB142">
        <f>Wine_pres_final[[#This Row],[mlp_test_acc]]</f>
        <v>0.73888888888888893</v>
      </c>
      <c r="AC142">
        <f>Wine_pres_final[[#This Row],[mlp_test_acc2]]</f>
        <v>0.72592592592592597</v>
      </c>
    </row>
    <row r="143" spans="1:29" hidden="1" x14ac:dyDescent="0.25">
      <c r="A143" t="s">
        <v>1336</v>
      </c>
      <c r="B143">
        <v>5</v>
      </c>
      <c r="C143">
        <v>5</v>
      </c>
      <c r="D143">
        <v>0</v>
      </c>
      <c r="E143" t="s">
        <v>1355</v>
      </c>
      <c r="F143">
        <v>5348</v>
      </c>
      <c r="G143">
        <v>9331691.083333334</v>
      </c>
      <c r="H143">
        <v>0.67037038008371996</v>
      </c>
      <c r="I143">
        <v>0.66666666666666663</v>
      </c>
      <c r="J143">
        <v>2884911.8333333335</v>
      </c>
      <c r="K143">
        <v>9688</v>
      </c>
      <c r="L143">
        <v>2</v>
      </c>
      <c r="M143">
        <v>65</v>
      </c>
      <c r="N143">
        <v>0.73518518518518516</v>
      </c>
      <c r="O143">
        <v>4242925.083333333</v>
      </c>
      <c r="P143">
        <v>9969</v>
      </c>
      <c r="Q143">
        <v>2</v>
      </c>
      <c r="R143">
        <v>66</v>
      </c>
      <c r="S143" t="s">
        <v>1746</v>
      </c>
      <c r="Y143">
        <f>Wine_pres_final[[#This Row],[mlp_params]]</f>
        <v>9688</v>
      </c>
      <c r="Z143">
        <f>IF((LEN(Wine_pres_final[[#This Row],[kan_width]])-LEN(SUBSTITUTE(Wine_pres_final[[#This Row],[kan_width]]," ","")))&gt;2,Wine_pres_final[[#This Row],[kan_test_acc]],"")</f>
        <v>0.67037038008371996</v>
      </c>
      <c r="AA143" t="str">
        <f>IF((LEN(Wine_pres_final[[#This Row],[kan_width]])-LEN(SUBSTITUTE(Wine_pres_final[[#This Row],[kan_width]]," ","")))&gt;2,"",Wine_pres_final[[#This Row],[kan_test_acc]])</f>
        <v/>
      </c>
      <c r="AB143">
        <f>Wine_pres_final[[#This Row],[mlp_test_acc]]</f>
        <v>0.66666666666666663</v>
      </c>
      <c r="AC143">
        <f>Wine_pres_final[[#This Row],[mlp_test_acc2]]</f>
        <v>0.73518518518518516</v>
      </c>
    </row>
    <row r="144" spans="1:29" hidden="1" x14ac:dyDescent="0.25">
      <c r="A144" t="s">
        <v>1336</v>
      </c>
      <c r="B144">
        <v>9</v>
      </c>
      <c r="C144">
        <v>3</v>
      </c>
      <c r="D144">
        <v>0</v>
      </c>
      <c r="E144" t="s">
        <v>1363</v>
      </c>
      <c r="F144">
        <v>8094</v>
      </c>
      <c r="G144">
        <v>12621530.666666666</v>
      </c>
      <c r="H144">
        <v>0.67037038505077362</v>
      </c>
      <c r="I144">
        <v>0.66296296296296298</v>
      </c>
      <c r="J144">
        <v>4677832.583333334</v>
      </c>
      <c r="K144">
        <v>11739</v>
      </c>
      <c r="L144">
        <v>2</v>
      </c>
      <c r="M144">
        <v>72</v>
      </c>
      <c r="N144">
        <v>0.68148148148148158</v>
      </c>
      <c r="O144">
        <v>2178091.3333333335</v>
      </c>
      <c r="P144">
        <v>12048</v>
      </c>
      <c r="Q144">
        <v>2</v>
      </c>
      <c r="R144">
        <v>73</v>
      </c>
      <c r="S144" t="s">
        <v>1850</v>
      </c>
      <c r="Y144">
        <f>Wine_pres_final[[#This Row],[mlp_params]]</f>
        <v>11739</v>
      </c>
      <c r="Z144">
        <f>IF((LEN(Wine_pres_final[[#This Row],[kan_width]])-LEN(SUBSTITUTE(Wine_pres_final[[#This Row],[kan_width]]," ","")))&gt;2,Wine_pres_final[[#This Row],[kan_test_acc]],"")</f>
        <v>0.67037038505077362</v>
      </c>
      <c r="AA144" t="str">
        <f>IF((LEN(Wine_pres_final[[#This Row],[kan_width]])-LEN(SUBSTITUTE(Wine_pres_final[[#This Row],[kan_width]]," ","")))&gt;2,"",Wine_pres_final[[#This Row],[kan_test_acc]])</f>
        <v/>
      </c>
      <c r="AB144">
        <f>Wine_pres_final[[#This Row],[mlp_test_acc]]</f>
        <v>0.66296296296296298</v>
      </c>
      <c r="AC144">
        <f>Wine_pres_final[[#This Row],[mlp_test_acc2]]</f>
        <v>0.68148148148148158</v>
      </c>
    </row>
    <row r="145" spans="1:29" hidden="1" x14ac:dyDescent="0.25">
      <c r="A145" t="s">
        <v>1336</v>
      </c>
      <c r="B145">
        <v>5</v>
      </c>
      <c r="C145">
        <v>5</v>
      </c>
      <c r="D145">
        <v>0</v>
      </c>
      <c r="E145" t="s">
        <v>1399</v>
      </c>
      <c r="F145">
        <v>9940</v>
      </c>
      <c r="G145">
        <v>17607244.333333332</v>
      </c>
      <c r="H145">
        <v>0.67592593779166532</v>
      </c>
      <c r="I145">
        <v>0.70925925925925926</v>
      </c>
      <c r="J145">
        <v>6172646.833333334</v>
      </c>
      <c r="K145">
        <v>18294</v>
      </c>
      <c r="L145">
        <v>2</v>
      </c>
      <c r="M145">
        <v>91</v>
      </c>
      <c r="N145">
        <v>0.64814814814814814</v>
      </c>
      <c r="O145">
        <v>4796506.916666667</v>
      </c>
      <c r="P145">
        <v>18679</v>
      </c>
      <c r="Q145">
        <v>2</v>
      </c>
      <c r="R145">
        <v>92</v>
      </c>
      <c r="S145" t="s">
        <v>1768</v>
      </c>
      <c r="Y145">
        <f>Wine_pres_final[[#This Row],[mlp_params]]</f>
        <v>18294</v>
      </c>
      <c r="Z145">
        <f>IF((LEN(Wine_pres_final[[#This Row],[kan_width]])-LEN(SUBSTITUTE(Wine_pres_final[[#This Row],[kan_width]]," ","")))&gt;2,Wine_pres_final[[#This Row],[kan_test_acc]],"")</f>
        <v>0.67592593779166532</v>
      </c>
      <c r="AA145" t="str">
        <f>IF((LEN(Wine_pres_final[[#This Row],[kan_width]])-LEN(SUBSTITUTE(Wine_pres_final[[#This Row],[kan_width]]," ","")))&gt;2,"",Wine_pres_final[[#This Row],[kan_test_acc]])</f>
        <v/>
      </c>
      <c r="AB145">
        <f>Wine_pres_final[[#This Row],[mlp_test_acc]]</f>
        <v>0.70925925925925926</v>
      </c>
      <c r="AC145">
        <f>Wine_pres_final[[#This Row],[mlp_test_acc2]]</f>
        <v>0.64814814814814814</v>
      </c>
    </row>
    <row r="146" spans="1:29" hidden="1" x14ac:dyDescent="0.25">
      <c r="A146" t="s">
        <v>1336</v>
      </c>
      <c r="B146">
        <v>9</v>
      </c>
      <c r="C146">
        <v>3</v>
      </c>
      <c r="D146">
        <v>0</v>
      </c>
      <c r="E146" t="s">
        <v>1405</v>
      </c>
      <c r="F146">
        <v>9354</v>
      </c>
      <c r="G146">
        <v>12502485.416666668</v>
      </c>
      <c r="H146">
        <v>0.67777779201666521</v>
      </c>
      <c r="I146">
        <v>0.72962962962962963</v>
      </c>
      <c r="J146">
        <v>7067312.416666667</v>
      </c>
      <c r="K146">
        <v>13653</v>
      </c>
      <c r="L146">
        <v>2</v>
      </c>
      <c r="M146">
        <v>78</v>
      </c>
      <c r="N146">
        <v>0.67037037037037039</v>
      </c>
      <c r="O146">
        <v>1647650.6666666667</v>
      </c>
      <c r="P146">
        <v>13986</v>
      </c>
      <c r="Q146">
        <v>2</v>
      </c>
      <c r="R146">
        <v>79</v>
      </c>
      <c r="S146" t="s">
        <v>1871</v>
      </c>
      <c r="Y146">
        <f>Wine_pres_final[[#This Row],[mlp_params]]</f>
        <v>13653</v>
      </c>
      <c r="Z146">
        <f>IF((LEN(Wine_pres_final[[#This Row],[kan_width]])-LEN(SUBSTITUTE(Wine_pres_final[[#This Row],[kan_width]]," ","")))&gt;2,Wine_pres_final[[#This Row],[kan_test_acc]],"")</f>
        <v>0.67777779201666521</v>
      </c>
      <c r="AA146" t="str">
        <f>IF((LEN(Wine_pres_final[[#This Row],[kan_width]])-LEN(SUBSTITUTE(Wine_pres_final[[#This Row],[kan_width]]," ","")))&gt;2,"",Wine_pres_final[[#This Row],[kan_test_acc]])</f>
        <v/>
      </c>
      <c r="AB146">
        <f>Wine_pres_final[[#This Row],[mlp_test_acc]]</f>
        <v>0.72962962962962963</v>
      </c>
      <c r="AC146">
        <f>Wine_pres_final[[#This Row],[mlp_test_acc2]]</f>
        <v>0.67037037037037039</v>
      </c>
    </row>
    <row r="147" spans="1:29" hidden="1" x14ac:dyDescent="0.25">
      <c r="A147" t="s">
        <v>1336</v>
      </c>
      <c r="B147">
        <v>9</v>
      </c>
      <c r="C147">
        <v>4</v>
      </c>
      <c r="D147">
        <v>0</v>
      </c>
      <c r="E147" t="s">
        <v>1363</v>
      </c>
      <c r="F147">
        <v>8631</v>
      </c>
      <c r="G147">
        <v>10566333.25</v>
      </c>
      <c r="H147">
        <v>0.67962964375813806</v>
      </c>
      <c r="I147">
        <v>0.74444444444444446</v>
      </c>
      <c r="J147">
        <v>1140892</v>
      </c>
      <c r="K147">
        <v>13324</v>
      </c>
      <c r="L147">
        <v>2</v>
      </c>
      <c r="M147">
        <v>77</v>
      </c>
      <c r="N147">
        <v>0.6962962962962963</v>
      </c>
      <c r="O147">
        <v>792763.58333333337</v>
      </c>
      <c r="P147">
        <v>13653</v>
      </c>
      <c r="Q147">
        <v>2</v>
      </c>
      <c r="R147">
        <v>78</v>
      </c>
      <c r="S147" t="s">
        <v>1900</v>
      </c>
      <c r="Y147">
        <f>Wine_pres_final[[#This Row],[mlp_params]]</f>
        <v>13324</v>
      </c>
      <c r="Z147">
        <f>IF((LEN(Wine_pres_final[[#This Row],[kan_width]])-LEN(SUBSTITUTE(Wine_pres_final[[#This Row],[kan_width]]," ","")))&gt;2,Wine_pres_final[[#This Row],[kan_test_acc]],"")</f>
        <v>0.67962964375813806</v>
      </c>
      <c r="AA147" t="str">
        <f>IF((LEN(Wine_pres_final[[#This Row],[kan_width]])-LEN(SUBSTITUTE(Wine_pres_final[[#This Row],[kan_width]]," ","")))&gt;2,"",Wine_pres_final[[#This Row],[kan_test_acc]])</f>
        <v/>
      </c>
      <c r="AB147">
        <f>Wine_pres_final[[#This Row],[mlp_test_acc]]</f>
        <v>0.74444444444444446</v>
      </c>
      <c r="AC147">
        <f>Wine_pres_final[[#This Row],[mlp_test_acc2]]</f>
        <v>0.6962962962962963</v>
      </c>
    </row>
    <row r="148" spans="1:29" hidden="1" x14ac:dyDescent="0.25">
      <c r="A148" t="s">
        <v>1336</v>
      </c>
      <c r="B148">
        <v>5</v>
      </c>
      <c r="C148">
        <v>5</v>
      </c>
      <c r="D148">
        <v>0</v>
      </c>
      <c r="E148" t="s">
        <v>1393</v>
      </c>
      <c r="F148">
        <v>8374</v>
      </c>
      <c r="G148">
        <v>16197298.666666668</v>
      </c>
      <c r="H148">
        <v>0.6851851989825567</v>
      </c>
      <c r="I148">
        <v>0.67777777777777781</v>
      </c>
      <c r="J148">
        <v>3769844.583333333</v>
      </c>
      <c r="K148">
        <v>15358</v>
      </c>
      <c r="L148">
        <v>2</v>
      </c>
      <c r="M148">
        <v>83</v>
      </c>
      <c r="N148">
        <v>0.66851851851851851</v>
      </c>
      <c r="O148">
        <v>3128138.5833333335</v>
      </c>
      <c r="P148">
        <v>15711</v>
      </c>
      <c r="Q148">
        <v>2</v>
      </c>
      <c r="R148">
        <v>84</v>
      </c>
      <c r="S148" t="s">
        <v>1765</v>
      </c>
      <c r="Y148">
        <f>Wine_pres_final[[#This Row],[mlp_params]]</f>
        <v>15358</v>
      </c>
      <c r="Z148">
        <f>IF((LEN(Wine_pres_final[[#This Row],[kan_width]])-LEN(SUBSTITUTE(Wine_pres_final[[#This Row],[kan_width]]," ","")))&gt;2,Wine_pres_final[[#This Row],[kan_test_acc]],"")</f>
        <v>0.6851851989825567</v>
      </c>
      <c r="AA148" t="str">
        <f>IF((LEN(Wine_pres_final[[#This Row],[kan_width]])-LEN(SUBSTITUTE(Wine_pres_final[[#This Row],[kan_width]]," ","")))&gt;2,"",Wine_pres_final[[#This Row],[kan_test_acc]])</f>
        <v/>
      </c>
      <c r="AB148">
        <f>Wine_pres_final[[#This Row],[mlp_test_acc]]</f>
        <v>0.67777777777777781</v>
      </c>
      <c r="AC148">
        <f>Wine_pres_final[[#This Row],[mlp_test_acc2]]</f>
        <v>0.66851851851851851</v>
      </c>
    </row>
    <row r="149" spans="1:29" hidden="1" x14ac:dyDescent="0.25">
      <c r="A149" t="s">
        <v>1336</v>
      </c>
      <c r="B149">
        <v>5</v>
      </c>
      <c r="C149">
        <v>4</v>
      </c>
      <c r="D149">
        <v>0</v>
      </c>
      <c r="E149" t="s">
        <v>1369</v>
      </c>
      <c r="F149">
        <v>5179</v>
      </c>
      <c r="G149">
        <v>16399974.833333332</v>
      </c>
      <c r="H149">
        <v>0.68518520022432017</v>
      </c>
      <c r="I149">
        <v>0.67222222222222228</v>
      </c>
      <c r="J149">
        <v>3331336.083333333</v>
      </c>
      <c r="K149">
        <v>8869</v>
      </c>
      <c r="L149">
        <v>2</v>
      </c>
      <c r="M149">
        <v>62</v>
      </c>
      <c r="N149">
        <v>0.67592592592592582</v>
      </c>
      <c r="O149">
        <v>3795757.5</v>
      </c>
      <c r="P149">
        <v>9138</v>
      </c>
      <c r="Q149">
        <v>2</v>
      </c>
      <c r="R149">
        <v>63</v>
      </c>
      <c r="S149" t="s">
        <v>1703</v>
      </c>
      <c r="Y149">
        <f>Wine_pres_final[[#This Row],[mlp_params]]</f>
        <v>8869</v>
      </c>
      <c r="Z149">
        <f>IF((LEN(Wine_pres_final[[#This Row],[kan_width]])-LEN(SUBSTITUTE(Wine_pres_final[[#This Row],[kan_width]]," ","")))&gt;2,Wine_pres_final[[#This Row],[kan_test_acc]],"")</f>
        <v>0.68518520022432017</v>
      </c>
      <c r="AA149" t="str">
        <f>IF((LEN(Wine_pres_final[[#This Row],[kan_width]])-LEN(SUBSTITUTE(Wine_pres_final[[#This Row],[kan_width]]," ","")))&gt;2,"",Wine_pres_final[[#This Row],[kan_test_acc]])</f>
        <v/>
      </c>
      <c r="AB149">
        <f>Wine_pres_final[[#This Row],[mlp_test_acc]]</f>
        <v>0.67222222222222228</v>
      </c>
      <c r="AC149">
        <f>Wine_pres_final[[#This Row],[mlp_test_acc2]]</f>
        <v>0.67592592592592582</v>
      </c>
    </row>
    <row r="150" spans="1:29" hidden="1" x14ac:dyDescent="0.25">
      <c r="A150" t="s">
        <v>1336</v>
      </c>
      <c r="B150">
        <v>9</v>
      </c>
      <c r="C150">
        <v>3</v>
      </c>
      <c r="D150">
        <v>0</v>
      </c>
      <c r="E150" t="s">
        <v>1367</v>
      </c>
      <c r="F150">
        <v>9058</v>
      </c>
      <c r="G150">
        <v>14391389</v>
      </c>
      <c r="H150">
        <v>0.6870370482405026</v>
      </c>
      <c r="I150">
        <v>0.72407407407407409</v>
      </c>
      <c r="J150">
        <v>4435894</v>
      </c>
      <c r="K150">
        <v>12999</v>
      </c>
      <c r="L150">
        <v>2</v>
      </c>
      <c r="M150">
        <v>76</v>
      </c>
      <c r="N150">
        <v>0.68703703703703711</v>
      </c>
      <c r="O150">
        <v>1760312.4166666667</v>
      </c>
      <c r="P150">
        <v>13324</v>
      </c>
      <c r="Q150">
        <v>2</v>
      </c>
      <c r="R150">
        <v>77</v>
      </c>
      <c r="S150" t="s">
        <v>1852</v>
      </c>
      <c r="Y150">
        <f>Wine_pres_final[[#This Row],[mlp_params]]</f>
        <v>12999</v>
      </c>
      <c r="Z150">
        <f>IF((LEN(Wine_pres_final[[#This Row],[kan_width]])-LEN(SUBSTITUTE(Wine_pres_final[[#This Row],[kan_width]]," ","")))&gt;2,Wine_pres_final[[#This Row],[kan_test_acc]],"")</f>
        <v>0.6870370482405026</v>
      </c>
      <c r="AA150" t="str">
        <f>IF((LEN(Wine_pres_final[[#This Row],[kan_width]])-LEN(SUBSTITUTE(Wine_pres_final[[#This Row],[kan_width]]," ","")))&gt;2,"",Wine_pres_final[[#This Row],[kan_test_acc]])</f>
        <v/>
      </c>
      <c r="AB150">
        <f>Wine_pres_final[[#This Row],[mlp_test_acc]]</f>
        <v>0.72407407407407409</v>
      </c>
      <c r="AC150">
        <f>Wine_pres_final[[#This Row],[mlp_test_acc2]]</f>
        <v>0.68703703703703711</v>
      </c>
    </row>
    <row r="151" spans="1:29" hidden="1" x14ac:dyDescent="0.25">
      <c r="A151" t="s">
        <v>1336</v>
      </c>
      <c r="B151">
        <v>9</v>
      </c>
      <c r="C151">
        <v>3</v>
      </c>
      <c r="D151">
        <v>0</v>
      </c>
      <c r="E151" t="s">
        <v>1381</v>
      </c>
      <c r="F151">
        <v>9718</v>
      </c>
      <c r="G151">
        <v>12278619</v>
      </c>
      <c r="H151">
        <v>0.68703705072402954</v>
      </c>
      <c r="I151">
        <v>0.71296296296296302</v>
      </c>
      <c r="J151">
        <v>6422738.583333334</v>
      </c>
      <c r="K151">
        <v>13986</v>
      </c>
      <c r="L151">
        <v>2</v>
      </c>
      <c r="M151">
        <v>79</v>
      </c>
      <c r="N151">
        <v>0.68148148148148158</v>
      </c>
      <c r="O151">
        <v>3489309.583333333</v>
      </c>
      <c r="P151">
        <v>14323</v>
      </c>
      <c r="Q151">
        <v>2</v>
      </c>
      <c r="R151">
        <v>80</v>
      </c>
      <c r="S151" t="s">
        <v>1859</v>
      </c>
      <c r="Y151">
        <f>Wine_pres_final[[#This Row],[mlp_params]]</f>
        <v>13986</v>
      </c>
      <c r="Z151">
        <f>IF((LEN(Wine_pres_final[[#This Row],[kan_width]])-LEN(SUBSTITUTE(Wine_pres_final[[#This Row],[kan_width]]," ","")))&gt;2,Wine_pres_final[[#This Row],[kan_test_acc]],"")</f>
        <v>0.68703705072402954</v>
      </c>
      <c r="AA151" t="str">
        <f>IF((LEN(Wine_pres_final[[#This Row],[kan_width]])-LEN(SUBSTITUTE(Wine_pres_final[[#This Row],[kan_width]]," ","")))&gt;2,"",Wine_pres_final[[#This Row],[kan_test_acc]])</f>
        <v/>
      </c>
      <c r="AB151">
        <f>Wine_pres_final[[#This Row],[mlp_test_acc]]</f>
        <v>0.71296296296296302</v>
      </c>
      <c r="AC151">
        <f>Wine_pres_final[[#This Row],[mlp_test_acc2]]</f>
        <v>0.68148148148148158</v>
      </c>
    </row>
    <row r="152" spans="1:29" hidden="1" x14ac:dyDescent="0.25">
      <c r="A152" t="s">
        <v>1336</v>
      </c>
      <c r="B152">
        <v>9</v>
      </c>
      <c r="C152">
        <v>3</v>
      </c>
      <c r="D152">
        <v>0</v>
      </c>
      <c r="E152" t="s">
        <v>1427</v>
      </c>
      <c r="F152">
        <v>12422</v>
      </c>
      <c r="G152">
        <v>13572530</v>
      </c>
      <c r="H152">
        <v>0.68703705072402954</v>
      </c>
      <c r="I152">
        <v>0.7</v>
      </c>
      <c r="J152">
        <v>4080887.166666667</v>
      </c>
      <c r="K152">
        <v>17913</v>
      </c>
      <c r="L152">
        <v>2</v>
      </c>
      <c r="M152">
        <v>90</v>
      </c>
      <c r="N152">
        <v>0.67592592592592593</v>
      </c>
      <c r="O152">
        <v>2959638.333333333</v>
      </c>
      <c r="P152">
        <v>18294</v>
      </c>
      <c r="Q152">
        <v>2</v>
      </c>
      <c r="R152">
        <v>91</v>
      </c>
      <c r="S152" t="s">
        <v>1882</v>
      </c>
      <c r="Y152">
        <f>Wine_pres_final[[#This Row],[mlp_params]]</f>
        <v>17913</v>
      </c>
      <c r="Z152">
        <f>IF((LEN(Wine_pres_final[[#This Row],[kan_width]])-LEN(SUBSTITUTE(Wine_pres_final[[#This Row],[kan_width]]," ","")))&gt;2,Wine_pres_final[[#This Row],[kan_test_acc]],"")</f>
        <v>0.68703705072402954</v>
      </c>
      <c r="AA152" t="str">
        <f>IF((LEN(Wine_pres_final[[#This Row],[kan_width]])-LEN(SUBSTITUTE(Wine_pres_final[[#This Row],[kan_width]]," ","")))&gt;2,"",Wine_pres_final[[#This Row],[kan_test_acc]])</f>
        <v/>
      </c>
      <c r="AB152">
        <f>Wine_pres_final[[#This Row],[mlp_test_acc]]</f>
        <v>0.7</v>
      </c>
      <c r="AC152">
        <f>Wine_pres_final[[#This Row],[mlp_test_acc2]]</f>
        <v>0.67592592592592593</v>
      </c>
    </row>
    <row r="153" spans="1:29" hidden="1" x14ac:dyDescent="0.25">
      <c r="A153" t="s">
        <v>1336</v>
      </c>
      <c r="B153">
        <v>5</v>
      </c>
      <c r="C153">
        <v>3</v>
      </c>
      <c r="D153">
        <v>0</v>
      </c>
      <c r="E153" t="s">
        <v>1399</v>
      </c>
      <c r="F153">
        <v>8418</v>
      </c>
      <c r="G153">
        <v>16652545.833333332</v>
      </c>
      <c r="H153">
        <v>0.68888889625668526</v>
      </c>
      <c r="I153">
        <v>0.67777777777777781</v>
      </c>
      <c r="J153">
        <v>5287796.583333334</v>
      </c>
      <c r="K153">
        <v>13653</v>
      </c>
      <c r="L153">
        <v>2</v>
      </c>
      <c r="M153">
        <v>78</v>
      </c>
      <c r="N153">
        <v>0.71851851851851856</v>
      </c>
      <c r="O153">
        <v>4121221.25</v>
      </c>
      <c r="P153">
        <v>13986</v>
      </c>
      <c r="Q153">
        <v>2</v>
      </c>
      <c r="R153">
        <v>79</v>
      </c>
      <c r="S153" t="s">
        <v>1668</v>
      </c>
      <c r="Y153">
        <f>Wine_pres_final[[#This Row],[mlp_params]]</f>
        <v>13653</v>
      </c>
      <c r="Z153">
        <f>IF((LEN(Wine_pres_final[[#This Row],[kan_width]])-LEN(SUBSTITUTE(Wine_pres_final[[#This Row],[kan_width]]," ","")))&gt;2,Wine_pres_final[[#This Row],[kan_test_acc]],"")</f>
        <v>0.68888889625668526</v>
      </c>
      <c r="AA153" t="str">
        <f>IF((LEN(Wine_pres_final[[#This Row],[kan_width]])-LEN(SUBSTITUTE(Wine_pres_final[[#This Row],[kan_width]]," ","")))&gt;2,"",Wine_pres_final[[#This Row],[kan_test_acc]])</f>
        <v/>
      </c>
      <c r="AB153">
        <f>Wine_pres_final[[#This Row],[mlp_test_acc]]</f>
        <v>0.67777777777777781</v>
      </c>
      <c r="AC153">
        <f>Wine_pres_final[[#This Row],[mlp_test_acc2]]</f>
        <v>0.71851851851851856</v>
      </c>
    </row>
    <row r="154" spans="1:29" hidden="1" x14ac:dyDescent="0.25">
      <c r="A154" t="s">
        <v>1336</v>
      </c>
      <c r="B154">
        <v>9</v>
      </c>
      <c r="C154">
        <v>3</v>
      </c>
      <c r="D154">
        <v>0</v>
      </c>
      <c r="E154" t="s">
        <v>1385</v>
      </c>
      <c r="F154">
        <v>7248</v>
      </c>
      <c r="G154">
        <v>11750338.916666668</v>
      </c>
      <c r="H154">
        <v>0.69259260346492124</v>
      </c>
      <c r="I154">
        <v>0.67222222222222228</v>
      </c>
      <c r="J154">
        <v>4158907.083333333</v>
      </c>
      <c r="K154">
        <v>10543</v>
      </c>
      <c r="L154">
        <v>2</v>
      </c>
      <c r="M154">
        <v>68</v>
      </c>
      <c r="N154">
        <v>0.69814814814814818</v>
      </c>
      <c r="O154">
        <v>3267376</v>
      </c>
      <c r="P154">
        <v>10836</v>
      </c>
      <c r="Q154">
        <v>2</v>
      </c>
      <c r="R154">
        <v>69</v>
      </c>
      <c r="S154" t="s">
        <v>1861</v>
      </c>
      <c r="Y154">
        <f>Wine_pres_final[[#This Row],[mlp_params]]</f>
        <v>10543</v>
      </c>
      <c r="Z154">
        <f>IF((LEN(Wine_pres_final[[#This Row],[kan_width]])-LEN(SUBSTITUTE(Wine_pres_final[[#This Row],[kan_width]]," ","")))&gt;2,Wine_pres_final[[#This Row],[kan_test_acc]],"")</f>
        <v>0.69259260346492124</v>
      </c>
      <c r="AA154" t="str">
        <f>IF((LEN(Wine_pres_final[[#This Row],[kan_width]])-LEN(SUBSTITUTE(Wine_pres_final[[#This Row],[kan_width]]," ","")))&gt;2,"",Wine_pres_final[[#This Row],[kan_test_acc]])</f>
        <v/>
      </c>
      <c r="AB154">
        <f>Wine_pres_final[[#This Row],[mlp_test_acc]]</f>
        <v>0.67222222222222228</v>
      </c>
      <c r="AC154">
        <f>Wine_pres_final[[#This Row],[mlp_test_acc2]]</f>
        <v>0.69814814814814818</v>
      </c>
    </row>
    <row r="155" spans="1:29" hidden="1" x14ac:dyDescent="0.25">
      <c r="A155" t="s">
        <v>1336</v>
      </c>
      <c r="B155">
        <v>9</v>
      </c>
      <c r="C155">
        <v>3</v>
      </c>
      <c r="D155">
        <v>0</v>
      </c>
      <c r="E155" t="s">
        <v>1391</v>
      </c>
      <c r="F155">
        <v>9054</v>
      </c>
      <c r="G155">
        <v>12177899.75</v>
      </c>
      <c r="H155">
        <v>0.69444445768992114</v>
      </c>
      <c r="I155">
        <v>0.66666666666666663</v>
      </c>
      <c r="J155">
        <v>3731218.5</v>
      </c>
      <c r="K155">
        <v>12999</v>
      </c>
      <c r="L155">
        <v>2</v>
      </c>
      <c r="M155">
        <v>76</v>
      </c>
      <c r="N155">
        <v>0.67222222222222228</v>
      </c>
      <c r="O155">
        <v>1880726.3333333335</v>
      </c>
      <c r="P155">
        <v>13324</v>
      </c>
      <c r="Q155">
        <v>2</v>
      </c>
      <c r="R155">
        <v>77</v>
      </c>
      <c r="S155" t="s">
        <v>1864</v>
      </c>
      <c r="Y155">
        <f>Wine_pres_final[[#This Row],[mlp_params]]</f>
        <v>12999</v>
      </c>
      <c r="Z155">
        <f>IF((LEN(Wine_pres_final[[#This Row],[kan_width]])-LEN(SUBSTITUTE(Wine_pres_final[[#This Row],[kan_width]]," ","")))&gt;2,Wine_pres_final[[#This Row],[kan_test_acc]],"")</f>
        <v>0.69444445768992114</v>
      </c>
      <c r="AA155" t="str">
        <f>IF((LEN(Wine_pres_final[[#This Row],[kan_width]])-LEN(SUBSTITUTE(Wine_pres_final[[#This Row],[kan_width]]," ","")))&gt;2,"",Wine_pres_final[[#This Row],[kan_test_acc]])</f>
        <v/>
      </c>
      <c r="AB155">
        <f>Wine_pres_final[[#This Row],[mlp_test_acc]]</f>
        <v>0.66666666666666663</v>
      </c>
      <c r="AC155">
        <f>Wine_pres_final[[#This Row],[mlp_test_acc2]]</f>
        <v>0.67222222222222228</v>
      </c>
    </row>
    <row r="156" spans="1:29" hidden="1" x14ac:dyDescent="0.25">
      <c r="A156" t="s">
        <v>1336</v>
      </c>
      <c r="B156">
        <v>9</v>
      </c>
      <c r="C156">
        <v>4</v>
      </c>
      <c r="D156">
        <v>0</v>
      </c>
      <c r="E156" t="s">
        <v>1365</v>
      </c>
      <c r="F156">
        <v>9145</v>
      </c>
      <c r="G156">
        <v>10119584.75</v>
      </c>
      <c r="H156">
        <v>0.69444446017344796</v>
      </c>
      <c r="I156">
        <v>0.72037037037037033</v>
      </c>
      <c r="J156">
        <v>1178948.5</v>
      </c>
      <c r="K156">
        <v>13986</v>
      </c>
      <c r="L156">
        <v>2</v>
      </c>
      <c r="M156">
        <v>79</v>
      </c>
      <c r="N156">
        <v>0.72962962962962963</v>
      </c>
      <c r="O156">
        <v>894379.33333333337</v>
      </c>
      <c r="P156">
        <v>14323</v>
      </c>
      <c r="Q156">
        <v>2</v>
      </c>
      <c r="R156">
        <v>80</v>
      </c>
      <c r="S156" t="s">
        <v>1901</v>
      </c>
      <c r="Y156">
        <f>Wine_pres_final[[#This Row],[mlp_params]]</f>
        <v>13986</v>
      </c>
      <c r="Z156">
        <f>IF((LEN(Wine_pres_final[[#This Row],[kan_width]])-LEN(SUBSTITUTE(Wine_pres_final[[#This Row],[kan_width]]," ","")))&gt;2,Wine_pres_final[[#This Row],[kan_test_acc]],"")</f>
        <v>0.69444446017344796</v>
      </c>
      <c r="AA156" t="str">
        <f>IF((LEN(Wine_pres_final[[#This Row],[kan_width]])-LEN(SUBSTITUTE(Wine_pres_final[[#This Row],[kan_width]]," ","")))&gt;2,"",Wine_pres_final[[#This Row],[kan_test_acc]])</f>
        <v/>
      </c>
      <c r="AB156">
        <f>Wine_pres_final[[#This Row],[mlp_test_acc]]</f>
        <v>0.72037037037037033</v>
      </c>
      <c r="AC156">
        <f>Wine_pres_final[[#This Row],[mlp_test_acc2]]</f>
        <v>0.72962962962962963</v>
      </c>
    </row>
    <row r="157" spans="1:29" hidden="1" x14ac:dyDescent="0.25">
      <c r="A157" t="s">
        <v>1336</v>
      </c>
      <c r="B157">
        <v>9</v>
      </c>
      <c r="C157">
        <v>3</v>
      </c>
      <c r="D157">
        <v>0</v>
      </c>
      <c r="E157" t="s">
        <v>1371</v>
      </c>
      <c r="F157">
        <v>7008</v>
      </c>
      <c r="G157">
        <v>10743815.666666666</v>
      </c>
      <c r="H157">
        <v>0.69814815868933999</v>
      </c>
      <c r="I157">
        <v>0.68888888888888888</v>
      </c>
      <c r="J157">
        <v>4899486.416666667</v>
      </c>
      <c r="K157">
        <v>10254</v>
      </c>
      <c r="L157">
        <v>2</v>
      </c>
      <c r="M157">
        <v>67</v>
      </c>
      <c r="N157">
        <v>0.71296296296296291</v>
      </c>
      <c r="O157">
        <v>2103382.3333333335</v>
      </c>
      <c r="P157">
        <v>10543</v>
      </c>
      <c r="Q157">
        <v>2</v>
      </c>
      <c r="R157">
        <v>68</v>
      </c>
      <c r="S157" t="s">
        <v>1854</v>
      </c>
      <c r="Y157">
        <f>Wine_pres_final[[#This Row],[mlp_params]]</f>
        <v>10254</v>
      </c>
      <c r="Z157">
        <f>IF((LEN(Wine_pres_final[[#This Row],[kan_width]])-LEN(SUBSTITUTE(Wine_pres_final[[#This Row],[kan_width]]," ","")))&gt;2,Wine_pres_final[[#This Row],[kan_test_acc]],"")</f>
        <v>0.69814815868933999</v>
      </c>
      <c r="AA157" t="str">
        <f>IF((LEN(Wine_pres_final[[#This Row],[kan_width]])-LEN(SUBSTITUTE(Wine_pres_final[[#This Row],[kan_width]]," ","")))&gt;2,"",Wine_pres_final[[#This Row],[kan_test_acc]])</f>
        <v/>
      </c>
      <c r="AB157">
        <f>Wine_pres_final[[#This Row],[mlp_test_acc]]</f>
        <v>0.68888888888888888</v>
      </c>
      <c r="AC157">
        <f>Wine_pres_final[[#This Row],[mlp_test_acc2]]</f>
        <v>0.71296296296296291</v>
      </c>
    </row>
    <row r="158" spans="1:29" hidden="1" x14ac:dyDescent="0.25">
      <c r="A158" t="s">
        <v>1336</v>
      </c>
      <c r="B158">
        <v>9</v>
      </c>
      <c r="C158">
        <v>3</v>
      </c>
      <c r="D158">
        <v>0</v>
      </c>
      <c r="E158" t="s">
        <v>1393</v>
      </c>
      <c r="F158">
        <v>9656</v>
      </c>
      <c r="G158">
        <v>11518534.083333332</v>
      </c>
      <c r="H158">
        <v>0.70000001291433978</v>
      </c>
      <c r="I158">
        <v>0.67962962962962958</v>
      </c>
      <c r="J158">
        <v>4294009.166666667</v>
      </c>
      <c r="K158">
        <v>13986</v>
      </c>
      <c r="L158">
        <v>2</v>
      </c>
      <c r="M158">
        <v>79</v>
      </c>
      <c r="N158">
        <v>0.69259259259259265</v>
      </c>
      <c r="O158">
        <v>2274375</v>
      </c>
      <c r="P158">
        <v>14323</v>
      </c>
      <c r="Q158">
        <v>2</v>
      </c>
      <c r="R158">
        <v>80</v>
      </c>
      <c r="S158" t="s">
        <v>1865</v>
      </c>
      <c r="Y158">
        <f>Wine_pres_final[[#This Row],[mlp_params]]</f>
        <v>13986</v>
      </c>
      <c r="Z158">
        <f>IF((LEN(Wine_pres_final[[#This Row],[kan_width]])-LEN(SUBSTITUTE(Wine_pres_final[[#This Row],[kan_width]]," ","")))&gt;2,Wine_pres_final[[#This Row],[kan_test_acc]],"")</f>
        <v>0.70000001291433978</v>
      </c>
      <c r="AA158" t="str">
        <f>IF((LEN(Wine_pres_final[[#This Row],[kan_width]])-LEN(SUBSTITUTE(Wine_pres_final[[#This Row],[kan_width]]," ","")))&gt;2,"",Wine_pres_final[[#This Row],[kan_test_acc]])</f>
        <v/>
      </c>
      <c r="AB158">
        <f>Wine_pres_final[[#This Row],[mlp_test_acc]]</f>
        <v>0.67962962962962958</v>
      </c>
      <c r="AC158">
        <f>Wine_pres_final[[#This Row],[mlp_test_acc2]]</f>
        <v>0.69259259259259265</v>
      </c>
    </row>
    <row r="159" spans="1:29" hidden="1" x14ac:dyDescent="0.25">
      <c r="A159" t="s">
        <v>1336</v>
      </c>
      <c r="B159">
        <v>5</v>
      </c>
      <c r="C159">
        <v>5</v>
      </c>
      <c r="D159">
        <v>0</v>
      </c>
      <c r="E159" t="s">
        <v>1385</v>
      </c>
      <c r="F159">
        <v>6286</v>
      </c>
      <c r="G159">
        <v>18094576.916666668</v>
      </c>
      <c r="H159">
        <v>0.70185186713933945</v>
      </c>
      <c r="I159">
        <v>0.66851851851851851</v>
      </c>
      <c r="J159">
        <v>5073848.666666666</v>
      </c>
      <c r="K159">
        <v>11434</v>
      </c>
      <c r="L159">
        <v>2</v>
      </c>
      <c r="M159">
        <v>71</v>
      </c>
      <c r="N159">
        <v>0.67962962962962958</v>
      </c>
      <c r="O159">
        <v>4720220.25</v>
      </c>
      <c r="P159">
        <v>11739</v>
      </c>
      <c r="Q159">
        <v>2</v>
      </c>
      <c r="R159">
        <v>72</v>
      </c>
      <c r="S159" t="s">
        <v>1761</v>
      </c>
      <c r="Y159">
        <f>Wine_pres_final[[#This Row],[mlp_params]]</f>
        <v>11434</v>
      </c>
      <c r="Z159">
        <f>IF((LEN(Wine_pres_final[[#This Row],[kan_width]])-LEN(SUBSTITUTE(Wine_pres_final[[#This Row],[kan_width]]," ","")))&gt;2,Wine_pres_final[[#This Row],[kan_test_acc]],"")</f>
        <v>0.70185186713933945</v>
      </c>
      <c r="AA159" t="str">
        <f>IF((LEN(Wine_pres_final[[#This Row],[kan_width]])-LEN(SUBSTITUTE(Wine_pres_final[[#This Row],[kan_width]]," ","")))&gt;2,"",Wine_pres_final[[#This Row],[kan_test_acc]])</f>
        <v/>
      </c>
      <c r="AB159">
        <f>Wine_pres_final[[#This Row],[mlp_test_acc]]</f>
        <v>0.66851851851851851</v>
      </c>
      <c r="AC159">
        <f>Wine_pres_final[[#This Row],[mlp_test_acc2]]</f>
        <v>0.67962962962962958</v>
      </c>
    </row>
    <row r="160" spans="1:29" hidden="1" x14ac:dyDescent="0.25">
      <c r="A160" t="s">
        <v>1336</v>
      </c>
      <c r="B160">
        <v>5</v>
      </c>
      <c r="C160">
        <v>4</v>
      </c>
      <c r="D160">
        <v>0</v>
      </c>
      <c r="E160" t="s">
        <v>1391</v>
      </c>
      <c r="F160">
        <v>7251</v>
      </c>
      <c r="G160">
        <v>12150736.333333334</v>
      </c>
      <c r="H160">
        <v>0.70185186962286639</v>
      </c>
      <c r="I160">
        <v>0.63888888888888884</v>
      </c>
      <c r="J160">
        <v>4363035.25</v>
      </c>
      <c r="K160">
        <v>12361</v>
      </c>
      <c r="L160">
        <v>2</v>
      </c>
      <c r="M160">
        <v>74</v>
      </c>
      <c r="N160">
        <v>0.67962962962962958</v>
      </c>
      <c r="O160">
        <v>2094156.3333333335</v>
      </c>
      <c r="P160">
        <v>12678</v>
      </c>
      <c r="Q160">
        <v>2</v>
      </c>
      <c r="R160">
        <v>75</v>
      </c>
      <c r="S160" t="s">
        <v>1714</v>
      </c>
      <c r="Y160">
        <f>Wine_pres_final[[#This Row],[mlp_params]]</f>
        <v>12361</v>
      </c>
      <c r="Z160">
        <f>IF((LEN(Wine_pres_final[[#This Row],[kan_width]])-LEN(SUBSTITUTE(Wine_pres_final[[#This Row],[kan_width]]," ","")))&gt;2,Wine_pres_final[[#This Row],[kan_test_acc]],"")</f>
        <v>0.70185186962286639</v>
      </c>
      <c r="AA160" t="str">
        <f>IF((LEN(Wine_pres_final[[#This Row],[kan_width]])-LEN(SUBSTITUTE(Wine_pres_final[[#This Row],[kan_width]]," ","")))&gt;2,"",Wine_pres_final[[#This Row],[kan_test_acc]])</f>
        <v/>
      </c>
      <c r="AB160">
        <f>Wine_pres_final[[#This Row],[mlp_test_acc]]</f>
        <v>0.63888888888888884</v>
      </c>
      <c r="AC160">
        <f>Wine_pres_final[[#This Row],[mlp_test_acc2]]</f>
        <v>0.67962962962962958</v>
      </c>
    </row>
    <row r="161" spans="1:29" hidden="1" x14ac:dyDescent="0.25">
      <c r="A161" t="s">
        <v>1336</v>
      </c>
      <c r="B161">
        <v>5</v>
      </c>
      <c r="C161">
        <v>3</v>
      </c>
      <c r="D161">
        <v>0</v>
      </c>
      <c r="E161" t="s">
        <v>1411</v>
      </c>
      <c r="F161">
        <v>8328</v>
      </c>
      <c r="G161">
        <v>12953609.25</v>
      </c>
      <c r="H161">
        <v>0.7037037114302318</v>
      </c>
      <c r="I161">
        <v>0.72222222222222232</v>
      </c>
      <c r="J161">
        <v>4288891.416666667</v>
      </c>
      <c r="K161">
        <v>13324</v>
      </c>
      <c r="L161">
        <v>2</v>
      </c>
      <c r="M161">
        <v>77</v>
      </c>
      <c r="N161">
        <v>0.7</v>
      </c>
      <c r="O161">
        <v>2446497.75</v>
      </c>
      <c r="P161">
        <v>13653</v>
      </c>
      <c r="Q161">
        <v>2</v>
      </c>
      <c r="R161">
        <v>78</v>
      </c>
      <c r="S161" t="s">
        <v>1674</v>
      </c>
      <c r="Y161">
        <f>Wine_pres_final[[#This Row],[mlp_params]]</f>
        <v>13324</v>
      </c>
      <c r="Z161">
        <f>IF((LEN(Wine_pres_final[[#This Row],[kan_width]])-LEN(SUBSTITUTE(Wine_pres_final[[#This Row],[kan_width]]," ","")))&gt;2,Wine_pres_final[[#This Row],[kan_test_acc]],"")</f>
        <v>0.7037037114302318</v>
      </c>
      <c r="AA161" t="str">
        <f>IF((LEN(Wine_pres_final[[#This Row],[kan_width]])-LEN(SUBSTITUTE(Wine_pres_final[[#This Row],[kan_width]]," ","")))&gt;2,"",Wine_pres_final[[#This Row],[kan_test_acc]])</f>
        <v/>
      </c>
      <c r="AB161">
        <f>Wine_pres_final[[#This Row],[mlp_test_acc]]</f>
        <v>0.72222222222222232</v>
      </c>
      <c r="AC161">
        <f>Wine_pres_final[[#This Row],[mlp_test_acc2]]</f>
        <v>0.7</v>
      </c>
    </row>
    <row r="162" spans="1:29" hidden="1" x14ac:dyDescent="0.25">
      <c r="A162" t="s">
        <v>1336</v>
      </c>
      <c r="B162">
        <v>5</v>
      </c>
      <c r="C162">
        <v>2</v>
      </c>
      <c r="D162">
        <v>0</v>
      </c>
      <c r="E162" t="s">
        <v>1359</v>
      </c>
      <c r="F162">
        <v>4765</v>
      </c>
      <c r="G162">
        <v>10995886.25</v>
      </c>
      <c r="H162">
        <v>0.70370371391375863</v>
      </c>
      <c r="I162">
        <v>0.72407407407407409</v>
      </c>
      <c r="J162">
        <v>350619.16666666663</v>
      </c>
      <c r="K162">
        <v>7098</v>
      </c>
      <c r="L162">
        <v>2</v>
      </c>
      <c r="M162">
        <v>55</v>
      </c>
      <c r="N162">
        <v>0.74814814814814812</v>
      </c>
      <c r="O162">
        <v>329668.08333333337</v>
      </c>
      <c r="P162">
        <v>7339</v>
      </c>
      <c r="Q162">
        <v>2</v>
      </c>
      <c r="R162">
        <v>56</v>
      </c>
      <c r="S162" t="s">
        <v>1598</v>
      </c>
      <c r="Y162">
        <f>Wine_pres_final[[#This Row],[mlp_params]]</f>
        <v>7098</v>
      </c>
      <c r="Z162">
        <f>IF((LEN(Wine_pres_final[[#This Row],[kan_width]])-LEN(SUBSTITUTE(Wine_pres_final[[#This Row],[kan_width]]," ","")))&gt;2,Wine_pres_final[[#This Row],[kan_test_acc]],"")</f>
        <v>0.70370371391375863</v>
      </c>
      <c r="AA162" t="str">
        <f>IF((LEN(Wine_pres_final[[#This Row],[kan_width]])-LEN(SUBSTITUTE(Wine_pres_final[[#This Row],[kan_width]]," ","")))&gt;2,"",Wine_pres_final[[#This Row],[kan_test_acc]])</f>
        <v/>
      </c>
      <c r="AB162">
        <f>Wine_pres_final[[#This Row],[mlp_test_acc]]</f>
        <v>0.72407407407407409</v>
      </c>
      <c r="AC162">
        <f>Wine_pres_final[[#This Row],[mlp_test_acc2]]</f>
        <v>0.74814814814814812</v>
      </c>
    </row>
    <row r="163" spans="1:29" hidden="1" x14ac:dyDescent="0.25">
      <c r="A163" t="s">
        <v>1336</v>
      </c>
      <c r="B163">
        <v>5</v>
      </c>
      <c r="C163">
        <v>4</v>
      </c>
      <c r="D163">
        <v>0</v>
      </c>
      <c r="E163" t="s">
        <v>1379</v>
      </c>
      <c r="F163">
        <v>7349</v>
      </c>
      <c r="G163">
        <v>15082287.333333332</v>
      </c>
      <c r="H163">
        <v>0.70370372136433912</v>
      </c>
      <c r="I163">
        <v>0.67777777777777781</v>
      </c>
      <c r="J163">
        <v>4954954.916666666</v>
      </c>
      <c r="K163">
        <v>12678</v>
      </c>
      <c r="L163">
        <v>2</v>
      </c>
      <c r="M163">
        <v>75</v>
      </c>
      <c r="N163">
        <v>0.65555555555555556</v>
      </c>
      <c r="O163">
        <v>3009402.166666667</v>
      </c>
      <c r="P163">
        <v>12999</v>
      </c>
      <c r="Q163">
        <v>2</v>
      </c>
      <c r="R163">
        <v>76</v>
      </c>
      <c r="S163" t="s">
        <v>1708</v>
      </c>
      <c r="Y163">
        <f>Wine_pres_final[[#This Row],[mlp_params]]</f>
        <v>12678</v>
      </c>
      <c r="Z163">
        <f>IF((LEN(Wine_pres_final[[#This Row],[kan_width]])-LEN(SUBSTITUTE(Wine_pres_final[[#This Row],[kan_width]]," ","")))&gt;2,Wine_pres_final[[#This Row],[kan_test_acc]],"")</f>
        <v>0.70370372136433912</v>
      </c>
      <c r="AA163" t="str">
        <f>IF((LEN(Wine_pres_final[[#This Row],[kan_width]])-LEN(SUBSTITUTE(Wine_pres_final[[#This Row],[kan_width]]," ","")))&gt;2,"",Wine_pres_final[[#This Row],[kan_test_acc]])</f>
        <v/>
      </c>
      <c r="AB163">
        <f>Wine_pres_final[[#This Row],[mlp_test_acc]]</f>
        <v>0.67777777777777781</v>
      </c>
      <c r="AC163">
        <f>Wine_pres_final[[#This Row],[mlp_test_acc2]]</f>
        <v>0.65555555555555556</v>
      </c>
    </row>
    <row r="164" spans="1:29" hidden="1" x14ac:dyDescent="0.25">
      <c r="A164" t="s">
        <v>1336</v>
      </c>
      <c r="B164">
        <v>9</v>
      </c>
      <c r="C164">
        <v>3</v>
      </c>
      <c r="D164">
        <v>0</v>
      </c>
      <c r="E164" t="s">
        <v>1423</v>
      </c>
      <c r="F164">
        <v>10978</v>
      </c>
      <c r="G164">
        <v>10230593.166666668</v>
      </c>
      <c r="H164">
        <v>0.70555556565523148</v>
      </c>
      <c r="I164">
        <v>0.68333333333333335</v>
      </c>
      <c r="J164">
        <v>5396217.333333334</v>
      </c>
      <c r="K164">
        <v>16068</v>
      </c>
      <c r="L164">
        <v>2</v>
      </c>
      <c r="M164">
        <v>85</v>
      </c>
      <c r="N164">
        <v>0.68518518518518512</v>
      </c>
      <c r="O164">
        <v>3221945.75</v>
      </c>
      <c r="P164">
        <v>16429</v>
      </c>
      <c r="Q164">
        <v>2</v>
      </c>
      <c r="R164">
        <v>86</v>
      </c>
      <c r="S164" t="s">
        <v>1880</v>
      </c>
      <c r="Y164">
        <f>Wine_pres_final[[#This Row],[mlp_params]]</f>
        <v>16068</v>
      </c>
      <c r="Z164">
        <f>IF((LEN(Wine_pres_final[[#This Row],[kan_width]])-LEN(SUBSTITUTE(Wine_pres_final[[#This Row],[kan_width]]," ","")))&gt;2,Wine_pres_final[[#This Row],[kan_test_acc]],"")</f>
        <v>0.70555556565523148</v>
      </c>
      <c r="AA164" t="str">
        <f>IF((LEN(Wine_pres_final[[#This Row],[kan_width]])-LEN(SUBSTITUTE(Wine_pres_final[[#This Row],[kan_width]]," ","")))&gt;2,"",Wine_pres_final[[#This Row],[kan_test_acc]])</f>
        <v/>
      </c>
      <c r="AB164">
        <f>Wine_pres_final[[#This Row],[mlp_test_acc]]</f>
        <v>0.68333333333333335</v>
      </c>
      <c r="AC164">
        <f>Wine_pres_final[[#This Row],[mlp_test_acc2]]</f>
        <v>0.68518518518518512</v>
      </c>
    </row>
    <row r="165" spans="1:29" hidden="1" x14ac:dyDescent="0.25">
      <c r="A165" t="s">
        <v>1336</v>
      </c>
      <c r="B165">
        <v>9</v>
      </c>
      <c r="C165">
        <v>3</v>
      </c>
      <c r="D165">
        <v>0</v>
      </c>
      <c r="E165" t="s">
        <v>1419</v>
      </c>
      <c r="F165">
        <v>9534</v>
      </c>
      <c r="G165">
        <v>11865390.416666668</v>
      </c>
      <c r="H165">
        <v>0.70555556813875842</v>
      </c>
      <c r="I165">
        <v>0.72777777777777775</v>
      </c>
      <c r="J165">
        <v>3787626.916666667</v>
      </c>
      <c r="K165">
        <v>13653</v>
      </c>
      <c r="L165">
        <v>2</v>
      </c>
      <c r="M165">
        <v>78</v>
      </c>
      <c r="N165">
        <v>0.66296296296296298</v>
      </c>
      <c r="O165">
        <v>9733364.583333334</v>
      </c>
      <c r="P165">
        <v>13986</v>
      </c>
      <c r="Q165">
        <v>2</v>
      </c>
      <c r="R165">
        <v>79</v>
      </c>
      <c r="S165" t="s">
        <v>1878</v>
      </c>
      <c r="Y165">
        <f>Wine_pres_final[[#This Row],[mlp_params]]</f>
        <v>13653</v>
      </c>
      <c r="Z165">
        <f>IF((LEN(Wine_pres_final[[#This Row],[kan_width]])-LEN(SUBSTITUTE(Wine_pres_final[[#This Row],[kan_width]]," ","")))&gt;2,Wine_pres_final[[#This Row],[kan_test_acc]],"")</f>
        <v>0.70555556813875842</v>
      </c>
      <c r="AA165" t="str">
        <f>IF((LEN(Wine_pres_final[[#This Row],[kan_width]])-LEN(SUBSTITUTE(Wine_pres_final[[#This Row],[kan_width]]," ","")))&gt;2,"",Wine_pres_final[[#This Row],[kan_test_acc]])</f>
        <v/>
      </c>
      <c r="AB165">
        <f>Wine_pres_final[[#This Row],[mlp_test_acc]]</f>
        <v>0.72777777777777775</v>
      </c>
      <c r="AC165">
        <f>Wine_pres_final[[#This Row],[mlp_test_acc2]]</f>
        <v>0.66296296296296298</v>
      </c>
    </row>
    <row r="166" spans="1:29" hidden="1" x14ac:dyDescent="0.25">
      <c r="A166" t="s">
        <v>1336</v>
      </c>
      <c r="B166">
        <v>5</v>
      </c>
      <c r="C166">
        <v>4</v>
      </c>
      <c r="D166">
        <v>0</v>
      </c>
      <c r="E166" t="s">
        <v>1389</v>
      </c>
      <c r="F166">
        <v>6769</v>
      </c>
      <c r="G166">
        <v>11091214.25</v>
      </c>
      <c r="H166">
        <v>0.70555557062228524</v>
      </c>
      <c r="I166">
        <v>0.66111111111111109</v>
      </c>
      <c r="J166">
        <v>5911704.083333334</v>
      </c>
      <c r="K166">
        <v>11739</v>
      </c>
      <c r="L166">
        <v>2</v>
      </c>
      <c r="M166">
        <v>72</v>
      </c>
      <c r="N166">
        <v>0.7</v>
      </c>
      <c r="O166">
        <v>2823953.666666667</v>
      </c>
      <c r="P166">
        <v>12048</v>
      </c>
      <c r="Q166">
        <v>2</v>
      </c>
      <c r="R166">
        <v>73</v>
      </c>
      <c r="S166" t="s">
        <v>1713</v>
      </c>
      <c r="Y166">
        <f>Wine_pres_final[[#This Row],[mlp_params]]</f>
        <v>11739</v>
      </c>
      <c r="Z166">
        <f>IF((LEN(Wine_pres_final[[#This Row],[kan_width]])-LEN(SUBSTITUTE(Wine_pres_final[[#This Row],[kan_width]]," ","")))&gt;2,Wine_pres_final[[#This Row],[kan_test_acc]],"")</f>
        <v>0.70555557062228524</v>
      </c>
      <c r="AA166" t="str">
        <f>IF((LEN(Wine_pres_final[[#This Row],[kan_width]])-LEN(SUBSTITUTE(Wine_pres_final[[#This Row],[kan_width]]," ","")))&gt;2,"",Wine_pres_final[[#This Row],[kan_test_acc]])</f>
        <v/>
      </c>
      <c r="AB166">
        <f>Wine_pres_final[[#This Row],[mlp_test_acc]]</f>
        <v>0.66111111111111109</v>
      </c>
      <c r="AC166">
        <f>Wine_pres_final[[#This Row],[mlp_test_acc2]]</f>
        <v>0.7</v>
      </c>
    </row>
    <row r="167" spans="1:29" hidden="1" x14ac:dyDescent="0.25">
      <c r="A167" t="s">
        <v>1336</v>
      </c>
      <c r="B167">
        <v>9</v>
      </c>
      <c r="C167">
        <v>3</v>
      </c>
      <c r="D167">
        <v>0</v>
      </c>
      <c r="E167" t="s">
        <v>1373</v>
      </c>
      <c r="F167">
        <v>7550</v>
      </c>
      <c r="G167">
        <v>9492391.8333333321</v>
      </c>
      <c r="H167">
        <v>0.7092592716217041</v>
      </c>
      <c r="I167">
        <v>0.68703703703703711</v>
      </c>
      <c r="J167">
        <v>5493096.416666667</v>
      </c>
      <c r="K167">
        <v>10836</v>
      </c>
      <c r="L167">
        <v>2</v>
      </c>
      <c r="M167">
        <v>69</v>
      </c>
      <c r="N167">
        <v>0.71296296296296291</v>
      </c>
      <c r="O167">
        <v>2170533.0833333335</v>
      </c>
      <c r="P167">
        <v>11133</v>
      </c>
      <c r="Q167">
        <v>2</v>
      </c>
      <c r="R167">
        <v>70</v>
      </c>
      <c r="S167" t="s">
        <v>1855</v>
      </c>
      <c r="Y167">
        <f>Wine_pres_final[[#This Row],[mlp_params]]</f>
        <v>10836</v>
      </c>
      <c r="Z167">
        <f>IF((LEN(Wine_pres_final[[#This Row],[kan_width]])-LEN(SUBSTITUTE(Wine_pres_final[[#This Row],[kan_width]]," ","")))&gt;2,Wine_pres_final[[#This Row],[kan_test_acc]],"")</f>
        <v>0.7092592716217041</v>
      </c>
      <c r="AA167" t="str">
        <f>IF((LEN(Wine_pres_final[[#This Row],[kan_width]])-LEN(SUBSTITUTE(Wine_pres_final[[#This Row],[kan_width]]," ","")))&gt;2,"",Wine_pres_final[[#This Row],[kan_test_acc]])</f>
        <v/>
      </c>
      <c r="AB167">
        <f>Wine_pres_final[[#This Row],[mlp_test_acc]]</f>
        <v>0.68703703703703711</v>
      </c>
      <c r="AC167">
        <f>Wine_pres_final[[#This Row],[mlp_test_acc2]]</f>
        <v>0.71296296296296291</v>
      </c>
    </row>
    <row r="168" spans="1:29" hidden="1" x14ac:dyDescent="0.25">
      <c r="A168" t="s">
        <v>1336</v>
      </c>
      <c r="B168">
        <v>9</v>
      </c>
      <c r="C168">
        <v>3</v>
      </c>
      <c r="D168">
        <v>0</v>
      </c>
      <c r="E168" t="s">
        <v>1415</v>
      </c>
      <c r="F168">
        <v>12664</v>
      </c>
      <c r="G168">
        <v>13393859.583333332</v>
      </c>
      <c r="H168">
        <v>0.71296297510464979</v>
      </c>
      <c r="I168">
        <v>0.70740740740740748</v>
      </c>
      <c r="J168">
        <v>3739655.75</v>
      </c>
      <c r="K168">
        <v>18294</v>
      </c>
      <c r="L168">
        <v>2</v>
      </c>
      <c r="M168">
        <v>91</v>
      </c>
      <c r="N168">
        <v>0.69814814814814818</v>
      </c>
      <c r="O168">
        <v>4528146.333333334</v>
      </c>
      <c r="P168">
        <v>18679</v>
      </c>
      <c r="Q168">
        <v>2</v>
      </c>
      <c r="R168">
        <v>92</v>
      </c>
      <c r="S168" t="s">
        <v>1876</v>
      </c>
      <c r="Y168">
        <f>Wine_pres_final[[#This Row],[mlp_params]]</f>
        <v>18294</v>
      </c>
      <c r="Z168">
        <f>IF((LEN(Wine_pres_final[[#This Row],[kan_width]])-LEN(SUBSTITUTE(Wine_pres_final[[#This Row],[kan_width]]," ","")))&gt;2,Wine_pres_final[[#This Row],[kan_test_acc]],"")</f>
        <v>0.71296297510464979</v>
      </c>
      <c r="AA168" t="str">
        <f>IF((LEN(Wine_pres_final[[#This Row],[kan_width]])-LEN(SUBSTITUTE(Wine_pres_final[[#This Row],[kan_width]]," ","")))&gt;2,"",Wine_pres_final[[#This Row],[kan_test_acc]])</f>
        <v/>
      </c>
      <c r="AB168">
        <f>Wine_pres_final[[#This Row],[mlp_test_acc]]</f>
        <v>0.70740740740740748</v>
      </c>
      <c r="AC168">
        <f>Wine_pres_final[[#This Row],[mlp_test_acc2]]</f>
        <v>0.69814814814814818</v>
      </c>
    </row>
    <row r="169" spans="1:29" x14ac:dyDescent="0.25">
      <c r="A169" t="s">
        <v>1336</v>
      </c>
      <c r="B169">
        <v>9</v>
      </c>
      <c r="C169">
        <v>5</v>
      </c>
      <c r="D169">
        <v>0</v>
      </c>
      <c r="E169" t="s">
        <v>1381</v>
      </c>
      <c r="F169">
        <v>11008</v>
      </c>
      <c r="G169">
        <v>13850032.333333332</v>
      </c>
      <c r="H169">
        <v>0.60370371739069617</v>
      </c>
      <c r="I169">
        <v>0.74814814814814812</v>
      </c>
      <c r="J169">
        <v>939872.83333333326</v>
      </c>
      <c r="K169">
        <v>17913</v>
      </c>
      <c r="L169">
        <v>2</v>
      </c>
      <c r="M169">
        <v>90</v>
      </c>
      <c r="N169">
        <v>0.68888888888888888</v>
      </c>
      <c r="O169">
        <v>800317.33333333326</v>
      </c>
      <c r="P169">
        <v>18294</v>
      </c>
      <c r="Q169">
        <v>2</v>
      </c>
      <c r="R169">
        <v>91</v>
      </c>
      <c r="S169" t="s">
        <v>1959</v>
      </c>
      <c r="Y169">
        <f>Wine_pres_final[[#This Row],[mlp_params]]</f>
        <v>17913</v>
      </c>
      <c r="Z169">
        <f>IF((LEN(Wine_pres_final[[#This Row],[kan_width]])-LEN(SUBSTITUTE(Wine_pres_final[[#This Row],[kan_width]]," ","")))&gt;2,Wine_pres_final[[#This Row],[kan_test_acc]],"")</f>
        <v>0.60370371739069617</v>
      </c>
      <c r="AA169" t="str">
        <f>IF((LEN(Wine_pres_final[[#This Row],[kan_width]])-LEN(SUBSTITUTE(Wine_pres_final[[#This Row],[kan_width]]," ","")))&gt;2,"",Wine_pres_final[[#This Row],[kan_test_acc]])</f>
        <v/>
      </c>
      <c r="AB169">
        <f>Wine_pres_final[[#This Row],[mlp_test_acc]]</f>
        <v>0.74814814814814812</v>
      </c>
      <c r="AC169">
        <f>Wine_pres_final[[#This Row],[mlp_test_acc2]]</f>
        <v>0.68888888888888888</v>
      </c>
    </row>
    <row r="170" spans="1:29" hidden="1" x14ac:dyDescent="0.25">
      <c r="A170" t="s">
        <v>1336</v>
      </c>
      <c r="B170">
        <v>5</v>
      </c>
      <c r="C170">
        <v>4</v>
      </c>
      <c r="D170">
        <v>0</v>
      </c>
      <c r="E170" t="s">
        <v>1385</v>
      </c>
      <c r="F170">
        <v>5805</v>
      </c>
      <c r="G170">
        <v>12039476.25</v>
      </c>
      <c r="H170">
        <v>0.71296298007170367</v>
      </c>
      <c r="I170">
        <v>0.69074074074074066</v>
      </c>
      <c r="J170">
        <v>4435643.583333333</v>
      </c>
      <c r="K170">
        <v>9969</v>
      </c>
      <c r="L170">
        <v>2</v>
      </c>
      <c r="M170">
        <v>66</v>
      </c>
      <c r="N170">
        <v>0.68518518518518512</v>
      </c>
      <c r="O170">
        <v>4549252.166666667</v>
      </c>
      <c r="P170">
        <v>10254</v>
      </c>
      <c r="Q170">
        <v>2</v>
      </c>
      <c r="R170">
        <v>67</v>
      </c>
      <c r="S170" t="s">
        <v>1711</v>
      </c>
      <c r="Y170">
        <f>Wine_pres_final[[#This Row],[mlp_params]]</f>
        <v>9969</v>
      </c>
      <c r="Z170">
        <f>IF((LEN(Wine_pres_final[[#This Row],[kan_width]])-LEN(SUBSTITUTE(Wine_pres_final[[#This Row],[kan_width]]," ","")))&gt;2,Wine_pres_final[[#This Row],[kan_test_acc]],"")</f>
        <v>0.71296298007170367</v>
      </c>
      <c r="AA170" t="str">
        <f>IF((LEN(Wine_pres_final[[#This Row],[kan_width]])-LEN(SUBSTITUTE(Wine_pres_final[[#This Row],[kan_width]]," ","")))&gt;2,"",Wine_pres_final[[#This Row],[kan_test_acc]])</f>
        <v/>
      </c>
      <c r="AB170">
        <f>Wine_pres_final[[#This Row],[mlp_test_acc]]</f>
        <v>0.69074074074074066</v>
      </c>
      <c r="AC170">
        <f>Wine_pres_final[[#This Row],[mlp_test_acc2]]</f>
        <v>0.68518518518518512</v>
      </c>
    </row>
    <row r="171" spans="1:29" hidden="1" x14ac:dyDescent="0.25">
      <c r="A171" t="s">
        <v>1336</v>
      </c>
      <c r="B171">
        <v>5</v>
      </c>
      <c r="C171">
        <v>4</v>
      </c>
      <c r="D171">
        <v>0</v>
      </c>
      <c r="E171" t="s">
        <v>1357</v>
      </c>
      <c r="F171">
        <v>5325</v>
      </c>
      <c r="G171">
        <v>14237832.416666668</v>
      </c>
      <c r="H171">
        <v>0.71481482684612274</v>
      </c>
      <c r="I171">
        <v>0.71851851851851856</v>
      </c>
      <c r="J171">
        <v>1036559.9166666667</v>
      </c>
      <c r="K171">
        <v>9138</v>
      </c>
      <c r="L171">
        <v>2</v>
      </c>
      <c r="M171">
        <v>63</v>
      </c>
      <c r="N171">
        <v>0.66851851851851851</v>
      </c>
      <c r="O171">
        <v>510922.41666666663</v>
      </c>
      <c r="P171">
        <v>9411</v>
      </c>
      <c r="Q171">
        <v>2</v>
      </c>
      <c r="R171">
        <v>64</v>
      </c>
      <c r="S171" t="s">
        <v>1697</v>
      </c>
      <c r="Y171">
        <f>Wine_pres_final[[#This Row],[mlp_params]]</f>
        <v>9138</v>
      </c>
      <c r="Z171">
        <f>IF((LEN(Wine_pres_final[[#This Row],[kan_width]])-LEN(SUBSTITUTE(Wine_pres_final[[#This Row],[kan_width]]," ","")))&gt;2,Wine_pres_final[[#This Row],[kan_test_acc]],"")</f>
        <v>0.71481482684612274</v>
      </c>
      <c r="AA171" t="str">
        <f>IF((LEN(Wine_pres_final[[#This Row],[kan_width]])-LEN(SUBSTITUTE(Wine_pres_final[[#This Row],[kan_width]]," ","")))&gt;2,"",Wine_pres_final[[#This Row],[kan_test_acc]])</f>
        <v/>
      </c>
      <c r="AB171">
        <f>Wine_pres_final[[#This Row],[mlp_test_acc]]</f>
        <v>0.71851851851851856</v>
      </c>
      <c r="AC171">
        <f>Wine_pres_final[[#This Row],[mlp_test_acc2]]</f>
        <v>0.66851851851851851</v>
      </c>
    </row>
    <row r="172" spans="1:29" hidden="1" x14ac:dyDescent="0.25">
      <c r="A172" t="s">
        <v>1336</v>
      </c>
      <c r="B172">
        <v>5</v>
      </c>
      <c r="C172">
        <v>4</v>
      </c>
      <c r="D172">
        <v>0</v>
      </c>
      <c r="E172" t="s">
        <v>1413</v>
      </c>
      <c r="F172">
        <v>9611</v>
      </c>
      <c r="G172">
        <v>18508804.166666668</v>
      </c>
      <c r="H172">
        <v>0.71481482932964968</v>
      </c>
      <c r="I172">
        <v>0.70555555555555549</v>
      </c>
      <c r="J172">
        <v>4184367.833333333</v>
      </c>
      <c r="K172">
        <v>16429</v>
      </c>
      <c r="L172">
        <v>2</v>
      </c>
      <c r="M172">
        <v>86</v>
      </c>
      <c r="N172">
        <v>0.68148148148148147</v>
      </c>
      <c r="O172">
        <v>3017284.5</v>
      </c>
      <c r="P172">
        <v>16794</v>
      </c>
      <c r="Q172">
        <v>2</v>
      </c>
      <c r="R172">
        <v>87</v>
      </c>
      <c r="S172" t="s">
        <v>1725</v>
      </c>
      <c r="Y172">
        <f>Wine_pres_final[[#This Row],[mlp_params]]</f>
        <v>16429</v>
      </c>
      <c r="Z172">
        <f>IF((LEN(Wine_pres_final[[#This Row],[kan_width]])-LEN(SUBSTITUTE(Wine_pres_final[[#This Row],[kan_width]]," ","")))&gt;2,Wine_pres_final[[#This Row],[kan_test_acc]],"")</f>
        <v>0.71481482932964968</v>
      </c>
      <c r="AA172" t="str">
        <f>IF((LEN(Wine_pres_final[[#This Row],[kan_width]])-LEN(SUBSTITUTE(Wine_pres_final[[#This Row],[kan_width]]," ","")))&gt;2,"",Wine_pres_final[[#This Row],[kan_test_acc]])</f>
        <v/>
      </c>
      <c r="AB172">
        <f>Wine_pres_final[[#This Row],[mlp_test_acc]]</f>
        <v>0.70555555555555549</v>
      </c>
      <c r="AC172">
        <f>Wine_pres_final[[#This Row],[mlp_test_acc2]]</f>
        <v>0.68148148148148147</v>
      </c>
    </row>
    <row r="173" spans="1:29" hidden="1" x14ac:dyDescent="0.25">
      <c r="A173" t="s">
        <v>1336</v>
      </c>
      <c r="B173">
        <v>9</v>
      </c>
      <c r="C173">
        <v>2</v>
      </c>
      <c r="D173">
        <v>0</v>
      </c>
      <c r="E173" t="s">
        <v>1407</v>
      </c>
      <c r="F173">
        <v>9351</v>
      </c>
      <c r="G173">
        <v>10296598.666666668</v>
      </c>
      <c r="H173">
        <v>0.71481483181317651</v>
      </c>
      <c r="I173">
        <v>0.69259259259259265</v>
      </c>
      <c r="J173">
        <v>5444030.25</v>
      </c>
      <c r="K173">
        <v>12361</v>
      </c>
      <c r="L173">
        <v>2</v>
      </c>
      <c r="M173">
        <v>74</v>
      </c>
      <c r="N173">
        <v>0.73518518518518516</v>
      </c>
      <c r="O173">
        <v>2875190.8333333335</v>
      </c>
      <c r="P173">
        <v>12678</v>
      </c>
      <c r="Q173">
        <v>2</v>
      </c>
      <c r="R173">
        <v>75</v>
      </c>
      <c r="S173" t="s">
        <v>1822</v>
      </c>
      <c r="Y173">
        <f>Wine_pres_final[[#This Row],[mlp_params]]</f>
        <v>12361</v>
      </c>
      <c r="Z173">
        <f>IF((LEN(Wine_pres_final[[#This Row],[kan_width]])-LEN(SUBSTITUTE(Wine_pres_final[[#This Row],[kan_width]]," ","")))&gt;2,Wine_pres_final[[#This Row],[kan_test_acc]],"")</f>
        <v>0.71481483181317651</v>
      </c>
      <c r="AA173" t="str">
        <f>IF((LEN(Wine_pres_final[[#This Row],[kan_width]])-LEN(SUBSTITUTE(Wine_pres_final[[#This Row],[kan_width]]," ","")))&gt;2,"",Wine_pres_final[[#This Row],[kan_test_acc]])</f>
        <v/>
      </c>
      <c r="AB173">
        <f>Wine_pres_final[[#This Row],[mlp_test_acc]]</f>
        <v>0.69259259259259265</v>
      </c>
      <c r="AC173">
        <f>Wine_pres_final[[#This Row],[mlp_test_acc2]]</f>
        <v>0.73518518518518516</v>
      </c>
    </row>
    <row r="174" spans="1:29" hidden="1" x14ac:dyDescent="0.25">
      <c r="A174" t="s">
        <v>1336</v>
      </c>
      <c r="B174">
        <v>9</v>
      </c>
      <c r="C174">
        <v>3</v>
      </c>
      <c r="D174">
        <v>0</v>
      </c>
      <c r="E174" t="s">
        <v>1355</v>
      </c>
      <c r="F174">
        <v>6166</v>
      </c>
      <c r="G174">
        <v>11505740.25</v>
      </c>
      <c r="H174">
        <v>0.71666667610406876</v>
      </c>
      <c r="I174">
        <v>0.64814814814814814</v>
      </c>
      <c r="J174">
        <v>3174095</v>
      </c>
      <c r="K174">
        <v>8869</v>
      </c>
      <c r="L174">
        <v>2</v>
      </c>
      <c r="M174">
        <v>62</v>
      </c>
      <c r="N174">
        <v>0.66851851851851851</v>
      </c>
      <c r="O174">
        <v>2674595.416666667</v>
      </c>
      <c r="P174">
        <v>9138</v>
      </c>
      <c r="Q174">
        <v>2</v>
      </c>
      <c r="R174">
        <v>63</v>
      </c>
      <c r="S174" t="s">
        <v>1846</v>
      </c>
      <c r="Y174">
        <f>Wine_pres_final[[#This Row],[mlp_params]]</f>
        <v>8869</v>
      </c>
      <c r="Z174">
        <f>IF((LEN(Wine_pres_final[[#This Row],[kan_width]])-LEN(SUBSTITUTE(Wine_pres_final[[#This Row],[kan_width]]," ","")))&gt;2,Wine_pres_final[[#This Row],[kan_test_acc]],"")</f>
        <v>0.71666667610406876</v>
      </c>
      <c r="AA174" t="str">
        <f>IF((LEN(Wine_pres_final[[#This Row],[kan_width]])-LEN(SUBSTITUTE(Wine_pres_final[[#This Row],[kan_width]]," ","")))&gt;2,"",Wine_pres_final[[#This Row],[kan_test_acc]])</f>
        <v/>
      </c>
      <c r="AB174">
        <f>Wine_pres_final[[#This Row],[mlp_test_acc]]</f>
        <v>0.64814814814814814</v>
      </c>
      <c r="AC174">
        <f>Wine_pres_final[[#This Row],[mlp_test_acc2]]</f>
        <v>0.66851851851851851</v>
      </c>
    </row>
    <row r="175" spans="1:29" hidden="1" x14ac:dyDescent="0.25">
      <c r="A175" t="s">
        <v>1336</v>
      </c>
      <c r="B175">
        <v>3</v>
      </c>
      <c r="C175">
        <v>5</v>
      </c>
      <c r="D175">
        <v>0</v>
      </c>
      <c r="E175" t="s">
        <v>1377</v>
      </c>
      <c r="F175">
        <v>6342</v>
      </c>
      <c r="G175">
        <v>15842123.083333332</v>
      </c>
      <c r="H175">
        <v>0.71851853032906854</v>
      </c>
      <c r="I175">
        <v>0.66666666666666663</v>
      </c>
      <c r="J175">
        <v>1470766.5833333333</v>
      </c>
      <c r="K175">
        <v>12361</v>
      </c>
      <c r="L175">
        <v>2</v>
      </c>
      <c r="M175">
        <v>74</v>
      </c>
      <c r="N175">
        <v>0.68148148148148147</v>
      </c>
      <c r="O175">
        <v>1012414.5833333333</v>
      </c>
      <c r="P175">
        <v>12678</v>
      </c>
      <c r="Q175">
        <v>2</v>
      </c>
      <c r="R175">
        <v>75</v>
      </c>
      <c r="S175" t="s">
        <v>1557</v>
      </c>
      <c r="Y175">
        <f>Wine_pres_final[[#This Row],[mlp_params]]</f>
        <v>12361</v>
      </c>
      <c r="Z175">
        <f>IF((LEN(Wine_pres_final[[#This Row],[kan_width]])-LEN(SUBSTITUTE(Wine_pres_final[[#This Row],[kan_width]]," ","")))&gt;2,Wine_pres_final[[#This Row],[kan_test_acc]],"")</f>
        <v>0.71851853032906854</v>
      </c>
      <c r="AA175" t="str">
        <f>IF((LEN(Wine_pres_final[[#This Row],[kan_width]])-LEN(SUBSTITUTE(Wine_pres_final[[#This Row],[kan_width]]," ","")))&gt;2,"",Wine_pres_final[[#This Row],[kan_test_acc]])</f>
        <v/>
      </c>
      <c r="AB175">
        <f>Wine_pres_final[[#This Row],[mlp_test_acc]]</f>
        <v>0.66666666666666663</v>
      </c>
      <c r="AC175">
        <f>Wine_pres_final[[#This Row],[mlp_test_acc2]]</f>
        <v>0.68148148148148147</v>
      </c>
    </row>
    <row r="176" spans="1:29" hidden="1" x14ac:dyDescent="0.25">
      <c r="A176" t="s">
        <v>1336</v>
      </c>
      <c r="B176">
        <v>5</v>
      </c>
      <c r="C176">
        <v>4</v>
      </c>
      <c r="D176">
        <v>0</v>
      </c>
      <c r="E176" t="s">
        <v>1397</v>
      </c>
      <c r="F176">
        <v>8697</v>
      </c>
      <c r="G176">
        <v>16080479.416666668</v>
      </c>
      <c r="H176">
        <v>0.72037038207054138</v>
      </c>
      <c r="I176">
        <v>0.67407407407407405</v>
      </c>
      <c r="J176">
        <v>3124124.1666666665</v>
      </c>
      <c r="K176">
        <v>15009</v>
      </c>
      <c r="L176">
        <v>2</v>
      </c>
      <c r="M176">
        <v>82</v>
      </c>
      <c r="N176">
        <v>0.66851851851851851</v>
      </c>
      <c r="O176">
        <v>3512371.25</v>
      </c>
      <c r="P176">
        <v>15358</v>
      </c>
      <c r="Q176">
        <v>2</v>
      </c>
      <c r="R176">
        <v>83</v>
      </c>
      <c r="S176" t="s">
        <v>1717</v>
      </c>
      <c r="Y176">
        <f>Wine_pres_final[[#This Row],[mlp_params]]</f>
        <v>15009</v>
      </c>
      <c r="Z176">
        <f>IF((LEN(Wine_pres_final[[#This Row],[kan_width]])-LEN(SUBSTITUTE(Wine_pres_final[[#This Row],[kan_width]]," ","")))&gt;2,Wine_pres_final[[#This Row],[kan_test_acc]],"")</f>
        <v>0.72037038207054138</v>
      </c>
      <c r="AA176" t="str">
        <f>IF((LEN(Wine_pres_final[[#This Row],[kan_width]])-LEN(SUBSTITUTE(Wine_pres_final[[#This Row],[kan_width]]," ","")))&gt;2,"",Wine_pres_final[[#This Row],[kan_test_acc]])</f>
        <v/>
      </c>
      <c r="AB176">
        <f>Wine_pres_final[[#This Row],[mlp_test_acc]]</f>
        <v>0.67407407407407405</v>
      </c>
      <c r="AC176">
        <f>Wine_pres_final[[#This Row],[mlp_test_acc2]]</f>
        <v>0.66851851851851851</v>
      </c>
    </row>
    <row r="177" spans="1:29" hidden="1" x14ac:dyDescent="0.25">
      <c r="A177" t="s">
        <v>1336</v>
      </c>
      <c r="B177">
        <v>3</v>
      </c>
      <c r="C177">
        <v>5</v>
      </c>
      <c r="D177">
        <v>0</v>
      </c>
      <c r="E177" t="s">
        <v>1359</v>
      </c>
      <c r="F177">
        <v>5238</v>
      </c>
      <c r="G177">
        <v>15470447.5</v>
      </c>
      <c r="H177">
        <v>0.7222222313284874</v>
      </c>
      <c r="I177">
        <v>0.71111111111111103</v>
      </c>
      <c r="J177">
        <v>2242755</v>
      </c>
      <c r="K177">
        <v>10254</v>
      </c>
      <c r="L177">
        <v>2</v>
      </c>
      <c r="M177">
        <v>67</v>
      </c>
      <c r="N177">
        <v>0.68518518518518512</v>
      </c>
      <c r="O177">
        <v>2677375.25</v>
      </c>
      <c r="P177">
        <v>10543</v>
      </c>
      <c r="Q177">
        <v>2</v>
      </c>
      <c r="R177">
        <v>68</v>
      </c>
      <c r="S177" t="s">
        <v>1548</v>
      </c>
      <c r="Y177">
        <f>Wine_pres_final[[#This Row],[mlp_params]]</f>
        <v>10254</v>
      </c>
      <c r="Z177">
        <f>IF((LEN(Wine_pres_final[[#This Row],[kan_width]])-LEN(SUBSTITUTE(Wine_pres_final[[#This Row],[kan_width]]," ","")))&gt;2,Wine_pres_final[[#This Row],[kan_test_acc]],"")</f>
        <v>0.7222222313284874</v>
      </c>
      <c r="AA177" t="str">
        <f>IF((LEN(Wine_pres_final[[#This Row],[kan_width]])-LEN(SUBSTITUTE(Wine_pres_final[[#This Row],[kan_width]]," ","")))&gt;2,"",Wine_pres_final[[#This Row],[kan_test_acc]])</f>
        <v/>
      </c>
      <c r="AB177">
        <f>Wine_pres_final[[#This Row],[mlp_test_acc]]</f>
        <v>0.71111111111111103</v>
      </c>
      <c r="AC177">
        <f>Wine_pres_final[[#This Row],[mlp_test_acc2]]</f>
        <v>0.68518518518518512</v>
      </c>
    </row>
    <row r="178" spans="1:29" hidden="1" x14ac:dyDescent="0.25">
      <c r="A178" t="s">
        <v>1336</v>
      </c>
      <c r="B178">
        <v>9</v>
      </c>
      <c r="C178">
        <v>3</v>
      </c>
      <c r="D178">
        <v>0</v>
      </c>
      <c r="E178" t="s">
        <v>1369</v>
      </c>
      <c r="F178">
        <v>6466</v>
      </c>
      <c r="G178">
        <v>13358427.583333332</v>
      </c>
      <c r="H178">
        <v>0.7222222313284874</v>
      </c>
      <c r="I178">
        <v>0.70185185185185195</v>
      </c>
      <c r="J178">
        <v>4618159.416666667</v>
      </c>
      <c r="K178">
        <v>9411</v>
      </c>
      <c r="L178">
        <v>2</v>
      </c>
      <c r="M178">
        <v>64</v>
      </c>
      <c r="N178">
        <v>0.70555555555555549</v>
      </c>
      <c r="O178">
        <v>1648850.25</v>
      </c>
      <c r="P178">
        <v>9688</v>
      </c>
      <c r="Q178">
        <v>2</v>
      </c>
      <c r="R178">
        <v>65</v>
      </c>
      <c r="S178" t="s">
        <v>1853</v>
      </c>
      <c r="Y178">
        <f>Wine_pres_final[[#This Row],[mlp_params]]</f>
        <v>9411</v>
      </c>
      <c r="Z178">
        <f>IF((LEN(Wine_pres_final[[#This Row],[kan_width]])-LEN(SUBSTITUTE(Wine_pres_final[[#This Row],[kan_width]]," ","")))&gt;2,Wine_pres_final[[#This Row],[kan_test_acc]],"")</f>
        <v>0.7222222313284874</v>
      </c>
      <c r="AA178" t="str">
        <f>IF((LEN(Wine_pres_final[[#This Row],[kan_width]])-LEN(SUBSTITUTE(Wine_pres_final[[#This Row],[kan_width]]," ","")))&gt;2,"",Wine_pres_final[[#This Row],[kan_test_acc]])</f>
        <v/>
      </c>
      <c r="AB178">
        <f>Wine_pres_final[[#This Row],[mlp_test_acc]]</f>
        <v>0.70185185185185195</v>
      </c>
      <c r="AC178">
        <f>Wine_pres_final[[#This Row],[mlp_test_acc2]]</f>
        <v>0.70555555555555549</v>
      </c>
    </row>
    <row r="179" spans="1:29" hidden="1" x14ac:dyDescent="0.25">
      <c r="A179" t="s">
        <v>1336</v>
      </c>
      <c r="B179">
        <v>5</v>
      </c>
      <c r="C179">
        <v>4</v>
      </c>
      <c r="D179">
        <v>0</v>
      </c>
      <c r="E179" t="s">
        <v>1417</v>
      </c>
      <c r="F179">
        <v>7057</v>
      </c>
      <c r="G179">
        <v>14733482.25</v>
      </c>
      <c r="H179">
        <v>0.72407408555348707</v>
      </c>
      <c r="I179">
        <v>0.69259259259259254</v>
      </c>
      <c r="J179">
        <v>5264179.416666667</v>
      </c>
      <c r="K179">
        <v>12048</v>
      </c>
      <c r="L179">
        <v>2</v>
      </c>
      <c r="M179">
        <v>73</v>
      </c>
      <c r="N179">
        <v>0.69444444444444442</v>
      </c>
      <c r="O179">
        <v>3430815.75</v>
      </c>
      <c r="P179">
        <v>12361</v>
      </c>
      <c r="Q179">
        <v>2</v>
      </c>
      <c r="R179">
        <v>74</v>
      </c>
      <c r="S179" t="s">
        <v>1727</v>
      </c>
      <c r="Y179">
        <f>Wine_pres_final[[#This Row],[mlp_params]]</f>
        <v>12048</v>
      </c>
      <c r="Z179">
        <f>IF((LEN(Wine_pres_final[[#This Row],[kan_width]])-LEN(SUBSTITUTE(Wine_pres_final[[#This Row],[kan_width]]," ","")))&gt;2,Wine_pres_final[[#This Row],[kan_test_acc]],"")</f>
        <v>0.72407408555348707</v>
      </c>
      <c r="AA179" t="str">
        <f>IF((LEN(Wine_pres_final[[#This Row],[kan_width]])-LEN(SUBSTITUTE(Wine_pres_final[[#This Row],[kan_width]]," ","")))&gt;2,"",Wine_pres_final[[#This Row],[kan_test_acc]])</f>
        <v/>
      </c>
      <c r="AB179">
        <f>Wine_pres_final[[#This Row],[mlp_test_acc]]</f>
        <v>0.69259259259259254</v>
      </c>
      <c r="AC179">
        <f>Wine_pres_final[[#This Row],[mlp_test_acc2]]</f>
        <v>0.69444444444444442</v>
      </c>
    </row>
    <row r="180" spans="1:29" hidden="1" x14ac:dyDescent="0.25">
      <c r="A180" t="s">
        <v>1336</v>
      </c>
      <c r="B180">
        <v>3</v>
      </c>
      <c r="C180">
        <v>5</v>
      </c>
      <c r="D180">
        <v>0</v>
      </c>
      <c r="E180" t="s">
        <v>1383</v>
      </c>
      <c r="F180">
        <v>7536</v>
      </c>
      <c r="G180">
        <v>19821233.833333332</v>
      </c>
      <c r="H180">
        <v>0.72407408803701401</v>
      </c>
      <c r="I180">
        <v>0.71481481481481479</v>
      </c>
      <c r="J180">
        <v>1972508.0833333335</v>
      </c>
      <c r="K180">
        <v>15009</v>
      </c>
      <c r="L180">
        <v>2</v>
      </c>
      <c r="M180">
        <v>82</v>
      </c>
      <c r="N180">
        <v>0.71851851851851856</v>
      </c>
      <c r="O180">
        <v>1196383.25</v>
      </c>
      <c r="P180">
        <v>15358</v>
      </c>
      <c r="Q180">
        <v>2</v>
      </c>
      <c r="R180">
        <v>83</v>
      </c>
      <c r="S180" t="s">
        <v>1560</v>
      </c>
      <c r="Y180">
        <f>Wine_pres_final[[#This Row],[mlp_params]]</f>
        <v>15009</v>
      </c>
      <c r="Z180">
        <f>IF((LEN(Wine_pres_final[[#This Row],[kan_width]])-LEN(SUBSTITUTE(Wine_pres_final[[#This Row],[kan_width]]," ","")))&gt;2,Wine_pres_final[[#This Row],[kan_test_acc]],"")</f>
        <v>0.72407408803701401</v>
      </c>
      <c r="AA180" t="str">
        <f>IF((LEN(Wine_pres_final[[#This Row],[kan_width]])-LEN(SUBSTITUTE(Wine_pres_final[[#This Row],[kan_width]]," ","")))&gt;2,"",Wine_pres_final[[#This Row],[kan_test_acc]])</f>
        <v/>
      </c>
      <c r="AB180">
        <f>Wine_pres_final[[#This Row],[mlp_test_acc]]</f>
        <v>0.71481481481481479</v>
      </c>
      <c r="AC180">
        <f>Wine_pres_final[[#This Row],[mlp_test_acc2]]</f>
        <v>0.71851851851851856</v>
      </c>
    </row>
    <row r="181" spans="1:29" hidden="1" x14ac:dyDescent="0.25">
      <c r="A181" t="s">
        <v>1336</v>
      </c>
      <c r="B181">
        <v>9</v>
      </c>
      <c r="C181">
        <v>2</v>
      </c>
      <c r="D181">
        <v>0</v>
      </c>
      <c r="E181" t="s">
        <v>1409</v>
      </c>
      <c r="F181">
        <v>9969</v>
      </c>
      <c r="G181">
        <v>11104600.833333334</v>
      </c>
      <c r="H181">
        <v>0.72407409052054095</v>
      </c>
      <c r="I181">
        <v>0.70740740740740737</v>
      </c>
      <c r="J181">
        <v>4884472.916666666</v>
      </c>
      <c r="K181">
        <v>13324</v>
      </c>
      <c r="L181">
        <v>2</v>
      </c>
      <c r="M181">
        <v>77</v>
      </c>
      <c r="N181">
        <v>0.70370370370370372</v>
      </c>
      <c r="O181">
        <v>2550517.75</v>
      </c>
      <c r="P181">
        <v>13653</v>
      </c>
      <c r="Q181">
        <v>2</v>
      </c>
      <c r="R181">
        <v>78</v>
      </c>
      <c r="S181" t="s">
        <v>1823</v>
      </c>
      <c r="Y181">
        <f>Wine_pres_final[[#This Row],[mlp_params]]</f>
        <v>13324</v>
      </c>
      <c r="Z181">
        <f>IF((LEN(Wine_pres_final[[#This Row],[kan_width]])-LEN(SUBSTITUTE(Wine_pres_final[[#This Row],[kan_width]]," ","")))&gt;2,Wine_pres_final[[#This Row],[kan_test_acc]],"")</f>
        <v>0.72407409052054095</v>
      </c>
      <c r="AA181" t="str">
        <f>IF((LEN(Wine_pres_final[[#This Row],[kan_width]])-LEN(SUBSTITUTE(Wine_pres_final[[#This Row],[kan_width]]," ","")))&gt;2,"",Wine_pres_final[[#This Row],[kan_test_acc]])</f>
        <v/>
      </c>
      <c r="AB181">
        <f>Wine_pres_final[[#This Row],[mlp_test_acc]]</f>
        <v>0.70740740740740737</v>
      </c>
      <c r="AC181">
        <f>Wine_pres_final[[#This Row],[mlp_test_acc2]]</f>
        <v>0.70370370370370372</v>
      </c>
    </row>
    <row r="182" spans="1:29" hidden="1" x14ac:dyDescent="0.25">
      <c r="A182" t="s">
        <v>1336</v>
      </c>
      <c r="B182">
        <v>5</v>
      </c>
      <c r="C182">
        <v>4</v>
      </c>
      <c r="D182">
        <v>0</v>
      </c>
      <c r="E182" t="s">
        <v>1363</v>
      </c>
      <c r="F182">
        <v>6483</v>
      </c>
      <c r="G182">
        <v>16033649.25</v>
      </c>
      <c r="H182">
        <v>0.72592593481143319</v>
      </c>
      <c r="I182">
        <v>0.72037037037037033</v>
      </c>
      <c r="J182">
        <v>4126457.083333333</v>
      </c>
      <c r="K182">
        <v>11133</v>
      </c>
      <c r="L182">
        <v>2</v>
      </c>
      <c r="M182">
        <v>70</v>
      </c>
      <c r="N182">
        <v>0.67037037037037039</v>
      </c>
      <c r="O182">
        <v>3603201.416666667</v>
      </c>
      <c r="P182">
        <v>11434</v>
      </c>
      <c r="Q182">
        <v>2</v>
      </c>
      <c r="R182">
        <v>71</v>
      </c>
      <c r="S182" t="s">
        <v>1700</v>
      </c>
      <c r="Y182">
        <f>Wine_pres_final[[#This Row],[mlp_params]]</f>
        <v>11133</v>
      </c>
      <c r="Z182">
        <f>IF((LEN(Wine_pres_final[[#This Row],[kan_width]])-LEN(SUBSTITUTE(Wine_pres_final[[#This Row],[kan_width]]," ","")))&gt;2,Wine_pres_final[[#This Row],[kan_test_acc]],"")</f>
        <v>0.72592593481143319</v>
      </c>
      <c r="AA182" t="str">
        <f>IF((LEN(Wine_pres_final[[#This Row],[kan_width]])-LEN(SUBSTITUTE(Wine_pres_final[[#This Row],[kan_width]]," ","")))&gt;2,"",Wine_pres_final[[#This Row],[kan_test_acc]])</f>
        <v/>
      </c>
      <c r="AB182">
        <f>Wine_pres_final[[#This Row],[mlp_test_acc]]</f>
        <v>0.72037037037037033</v>
      </c>
      <c r="AC182">
        <f>Wine_pres_final[[#This Row],[mlp_test_acc2]]</f>
        <v>0.67037037037037039</v>
      </c>
    </row>
    <row r="183" spans="1:29" hidden="1" x14ac:dyDescent="0.25">
      <c r="A183" t="s">
        <v>1336</v>
      </c>
      <c r="B183">
        <v>5</v>
      </c>
      <c r="C183">
        <v>4</v>
      </c>
      <c r="D183">
        <v>0</v>
      </c>
      <c r="E183" t="s">
        <v>1359</v>
      </c>
      <c r="F183">
        <v>5711</v>
      </c>
      <c r="G183">
        <v>17123424.166666668</v>
      </c>
      <c r="H183">
        <v>0.72592593729496002</v>
      </c>
      <c r="I183">
        <v>0.7</v>
      </c>
      <c r="J183">
        <v>2874675.8333333335</v>
      </c>
      <c r="K183">
        <v>9688</v>
      </c>
      <c r="L183">
        <v>2</v>
      </c>
      <c r="M183">
        <v>65</v>
      </c>
      <c r="N183">
        <v>0.66666666666666674</v>
      </c>
      <c r="O183">
        <v>1876441.75</v>
      </c>
      <c r="P183">
        <v>9969</v>
      </c>
      <c r="Q183">
        <v>2</v>
      </c>
      <c r="R183">
        <v>66</v>
      </c>
      <c r="S183" t="s">
        <v>1698</v>
      </c>
      <c r="Y183">
        <f>Wine_pres_final[[#This Row],[mlp_params]]</f>
        <v>9688</v>
      </c>
      <c r="Z183">
        <f>IF((LEN(Wine_pres_final[[#This Row],[kan_width]])-LEN(SUBSTITUTE(Wine_pres_final[[#This Row],[kan_width]]," ","")))&gt;2,Wine_pres_final[[#This Row],[kan_test_acc]],"")</f>
        <v>0.72592593729496002</v>
      </c>
      <c r="AA183" t="str">
        <f>IF((LEN(Wine_pres_final[[#This Row],[kan_width]])-LEN(SUBSTITUTE(Wine_pres_final[[#This Row],[kan_width]]," ","")))&gt;2,"",Wine_pres_final[[#This Row],[kan_test_acc]])</f>
        <v/>
      </c>
      <c r="AB183">
        <f>Wine_pres_final[[#This Row],[mlp_test_acc]]</f>
        <v>0.7</v>
      </c>
      <c r="AC183">
        <f>Wine_pres_final[[#This Row],[mlp_test_acc2]]</f>
        <v>0.66666666666666674</v>
      </c>
    </row>
    <row r="184" spans="1:29" hidden="1" x14ac:dyDescent="0.25">
      <c r="A184" t="s">
        <v>1336</v>
      </c>
      <c r="B184">
        <v>9</v>
      </c>
      <c r="C184">
        <v>3</v>
      </c>
      <c r="D184">
        <v>0</v>
      </c>
      <c r="E184" t="s">
        <v>1431</v>
      </c>
      <c r="F184">
        <v>13866</v>
      </c>
      <c r="G184">
        <v>16299084.666666666</v>
      </c>
      <c r="H184">
        <v>0.72777779151995969</v>
      </c>
      <c r="I184">
        <v>0.67777777777777781</v>
      </c>
      <c r="J184">
        <v>15006157.583333332</v>
      </c>
      <c r="K184">
        <v>20259</v>
      </c>
      <c r="L184">
        <v>2</v>
      </c>
      <c r="M184">
        <v>96</v>
      </c>
      <c r="N184">
        <v>0.72037037037037033</v>
      </c>
      <c r="O184">
        <v>14555777.416666666</v>
      </c>
      <c r="P184">
        <v>20664</v>
      </c>
      <c r="Q184">
        <v>2</v>
      </c>
      <c r="R184">
        <v>97</v>
      </c>
      <c r="S184" t="s">
        <v>1884</v>
      </c>
      <c r="Y184">
        <f>Wine_pres_final[[#This Row],[mlp_params]]</f>
        <v>20259</v>
      </c>
      <c r="Z184">
        <f>IF((LEN(Wine_pres_final[[#This Row],[kan_width]])-LEN(SUBSTITUTE(Wine_pres_final[[#This Row],[kan_width]]," ","")))&gt;2,Wine_pres_final[[#This Row],[kan_test_acc]],"")</f>
        <v>0.72777779151995969</v>
      </c>
      <c r="AA184" t="str">
        <f>IF((LEN(Wine_pres_final[[#This Row],[kan_width]])-LEN(SUBSTITUTE(Wine_pres_final[[#This Row],[kan_width]]," ","")))&gt;2,"",Wine_pres_final[[#This Row],[kan_test_acc]])</f>
        <v/>
      </c>
      <c r="AB184">
        <f>Wine_pres_final[[#This Row],[mlp_test_acc]]</f>
        <v>0.67777777777777781</v>
      </c>
      <c r="AC184">
        <f>Wine_pres_final[[#This Row],[mlp_test_acc2]]</f>
        <v>0.72037037037037033</v>
      </c>
    </row>
    <row r="185" spans="1:29" hidden="1" x14ac:dyDescent="0.25">
      <c r="A185" t="s">
        <v>1336</v>
      </c>
      <c r="B185">
        <v>3</v>
      </c>
      <c r="C185">
        <v>5</v>
      </c>
      <c r="D185">
        <v>0</v>
      </c>
      <c r="E185" t="s">
        <v>1355</v>
      </c>
      <c r="F185">
        <v>4530</v>
      </c>
      <c r="G185">
        <v>11003276.5</v>
      </c>
      <c r="H185">
        <v>0.72962964077790571</v>
      </c>
      <c r="I185">
        <v>0.69444444444444442</v>
      </c>
      <c r="J185">
        <v>2297482.8333333335</v>
      </c>
      <c r="K185">
        <v>8869</v>
      </c>
      <c r="L185">
        <v>2</v>
      </c>
      <c r="M185">
        <v>62</v>
      </c>
      <c r="N185">
        <v>0.72592592592592586</v>
      </c>
      <c r="O185">
        <v>1629104.5</v>
      </c>
      <c r="P185">
        <v>9138</v>
      </c>
      <c r="Q185">
        <v>2</v>
      </c>
      <c r="R185">
        <v>63</v>
      </c>
      <c r="S185" t="s">
        <v>1546</v>
      </c>
      <c r="Y185">
        <f>Wine_pres_final[[#This Row],[mlp_params]]</f>
        <v>8869</v>
      </c>
      <c r="Z185">
        <f>IF((LEN(Wine_pres_final[[#This Row],[kan_width]])-LEN(SUBSTITUTE(Wine_pres_final[[#This Row],[kan_width]]," ","")))&gt;2,Wine_pres_final[[#This Row],[kan_test_acc]],"")</f>
        <v>0.72962964077790571</v>
      </c>
      <c r="AA185" t="str">
        <f>IF((LEN(Wine_pres_final[[#This Row],[kan_width]])-LEN(SUBSTITUTE(Wine_pres_final[[#This Row],[kan_width]]," ","")))&gt;2,"",Wine_pres_final[[#This Row],[kan_test_acc]])</f>
        <v/>
      </c>
      <c r="AB185">
        <f>Wine_pres_final[[#This Row],[mlp_test_acc]]</f>
        <v>0.69444444444444442</v>
      </c>
      <c r="AC185">
        <f>Wine_pres_final[[#This Row],[mlp_test_acc2]]</f>
        <v>0.72592592592592586</v>
      </c>
    </row>
    <row r="186" spans="1:29" hidden="1" x14ac:dyDescent="0.25">
      <c r="A186" t="s">
        <v>1336</v>
      </c>
      <c r="B186">
        <v>9</v>
      </c>
      <c r="C186">
        <v>3</v>
      </c>
      <c r="D186">
        <v>0</v>
      </c>
      <c r="E186" t="s">
        <v>1411</v>
      </c>
      <c r="F186">
        <v>11340</v>
      </c>
      <c r="G186">
        <v>13652632.666666668</v>
      </c>
      <c r="H186">
        <v>0.72962964077790571</v>
      </c>
      <c r="I186">
        <v>0.66851851851851851</v>
      </c>
      <c r="J186">
        <v>3706725.25</v>
      </c>
      <c r="K186">
        <v>16429</v>
      </c>
      <c r="L186">
        <v>2</v>
      </c>
      <c r="M186">
        <v>86</v>
      </c>
      <c r="N186">
        <v>0.71481481481481479</v>
      </c>
      <c r="O186">
        <v>3676975.666666667</v>
      </c>
      <c r="P186">
        <v>16794</v>
      </c>
      <c r="Q186">
        <v>2</v>
      </c>
      <c r="R186">
        <v>87</v>
      </c>
      <c r="S186" t="s">
        <v>1874</v>
      </c>
      <c r="Y186">
        <f>Wine_pres_final[[#This Row],[mlp_params]]</f>
        <v>16429</v>
      </c>
      <c r="Z186">
        <f>IF((LEN(Wine_pres_final[[#This Row],[kan_width]])-LEN(SUBSTITUTE(Wine_pres_final[[#This Row],[kan_width]]," ","")))&gt;2,Wine_pres_final[[#This Row],[kan_test_acc]],"")</f>
        <v>0.72962964077790571</v>
      </c>
      <c r="AA186" t="str">
        <f>IF((LEN(Wine_pres_final[[#This Row],[kan_width]])-LEN(SUBSTITUTE(Wine_pres_final[[#This Row],[kan_width]]," ","")))&gt;2,"",Wine_pres_final[[#This Row],[kan_test_acc]])</f>
        <v/>
      </c>
      <c r="AB186">
        <f>Wine_pres_final[[#This Row],[mlp_test_acc]]</f>
        <v>0.66851851851851851</v>
      </c>
      <c r="AC186">
        <f>Wine_pres_final[[#This Row],[mlp_test_acc2]]</f>
        <v>0.71481481481481479</v>
      </c>
    </row>
    <row r="187" spans="1:29" hidden="1" x14ac:dyDescent="0.25">
      <c r="A187" t="s">
        <v>1336</v>
      </c>
      <c r="B187">
        <v>5</v>
      </c>
      <c r="C187">
        <v>4</v>
      </c>
      <c r="D187">
        <v>0</v>
      </c>
      <c r="E187" t="s">
        <v>1415</v>
      </c>
      <c r="F187">
        <v>10141</v>
      </c>
      <c r="G187">
        <v>19108745.333333336</v>
      </c>
      <c r="H187">
        <v>0.72962964326143265</v>
      </c>
      <c r="I187">
        <v>0.68333333333333335</v>
      </c>
      <c r="J187">
        <v>4209890.666666667</v>
      </c>
      <c r="K187">
        <v>17536</v>
      </c>
      <c r="L187">
        <v>2</v>
      </c>
      <c r="M187">
        <v>89</v>
      </c>
      <c r="N187">
        <v>0.71296296296296302</v>
      </c>
      <c r="O187">
        <v>3117279.583333333</v>
      </c>
      <c r="P187">
        <v>17913</v>
      </c>
      <c r="Q187">
        <v>2</v>
      </c>
      <c r="R187">
        <v>90</v>
      </c>
      <c r="S187" t="s">
        <v>1726</v>
      </c>
      <c r="Y187">
        <f>Wine_pres_final[[#This Row],[mlp_params]]</f>
        <v>17536</v>
      </c>
      <c r="Z187">
        <f>IF((LEN(Wine_pres_final[[#This Row],[kan_width]])-LEN(SUBSTITUTE(Wine_pres_final[[#This Row],[kan_width]]," ","")))&gt;2,Wine_pres_final[[#This Row],[kan_test_acc]],"")</f>
        <v>0.72962964326143265</v>
      </c>
      <c r="AA187" t="str">
        <f>IF((LEN(Wine_pres_final[[#This Row],[kan_width]])-LEN(SUBSTITUTE(Wine_pres_final[[#This Row],[kan_width]]," ","")))&gt;2,"",Wine_pres_final[[#This Row],[kan_test_acc]])</f>
        <v/>
      </c>
      <c r="AB187">
        <f>Wine_pres_final[[#This Row],[mlp_test_acc]]</f>
        <v>0.68333333333333335</v>
      </c>
      <c r="AC187">
        <f>Wine_pres_final[[#This Row],[mlp_test_acc2]]</f>
        <v>0.71296296296296302</v>
      </c>
    </row>
    <row r="188" spans="1:29" hidden="1" x14ac:dyDescent="0.25">
      <c r="A188" t="s">
        <v>1336</v>
      </c>
      <c r="B188">
        <v>5</v>
      </c>
      <c r="C188">
        <v>5</v>
      </c>
      <c r="D188">
        <v>0</v>
      </c>
      <c r="E188" t="s">
        <v>1389</v>
      </c>
      <c r="F188">
        <v>7330</v>
      </c>
      <c r="G188">
        <v>16735808</v>
      </c>
      <c r="H188">
        <v>0.72962964574495948</v>
      </c>
      <c r="I188">
        <v>0.69074074074074077</v>
      </c>
      <c r="J188">
        <v>5141415.666666667</v>
      </c>
      <c r="K188">
        <v>13324</v>
      </c>
      <c r="L188">
        <v>2</v>
      </c>
      <c r="M188">
        <v>77</v>
      </c>
      <c r="N188">
        <v>0.6425925925925926</v>
      </c>
      <c r="O188">
        <v>3399697.833333333</v>
      </c>
      <c r="P188">
        <v>13653</v>
      </c>
      <c r="Q188">
        <v>2</v>
      </c>
      <c r="R188">
        <v>78</v>
      </c>
      <c r="S188" t="s">
        <v>1763</v>
      </c>
      <c r="Y188">
        <f>Wine_pres_final[[#This Row],[mlp_params]]</f>
        <v>13324</v>
      </c>
      <c r="Z188">
        <f>IF((LEN(Wine_pres_final[[#This Row],[kan_width]])-LEN(SUBSTITUTE(Wine_pres_final[[#This Row],[kan_width]]," ","")))&gt;2,Wine_pres_final[[#This Row],[kan_test_acc]],"")</f>
        <v>0.72962964574495948</v>
      </c>
      <c r="AA188" t="str">
        <f>IF((LEN(Wine_pres_final[[#This Row],[kan_width]])-LEN(SUBSTITUTE(Wine_pres_final[[#This Row],[kan_width]]," ","")))&gt;2,"",Wine_pres_final[[#This Row],[kan_test_acc]])</f>
        <v/>
      </c>
      <c r="AB188">
        <f>Wine_pres_final[[#This Row],[mlp_test_acc]]</f>
        <v>0.69074074074074077</v>
      </c>
      <c r="AC188">
        <f>Wine_pres_final[[#This Row],[mlp_test_acc2]]</f>
        <v>0.6425925925925926</v>
      </c>
    </row>
    <row r="189" spans="1:29" hidden="1" x14ac:dyDescent="0.25">
      <c r="A189" t="s">
        <v>1336</v>
      </c>
      <c r="B189">
        <v>3</v>
      </c>
      <c r="C189">
        <v>5</v>
      </c>
      <c r="D189">
        <v>0</v>
      </c>
      <c r="E189" t="s">
        <v>1379</v>
      </c>
      <c r="F189">
        <v>6740</v>
      </c>
      <c r="G189">
        <v>16018000.166666668</v>
      </c>
      <c r="H189">
        <v>0.7314814950029056</v>
      </c>
      <c r="I189">
        <v>0.67407407407407405</v>
      </c>
      <c r="J189">
        <v>1601340.5</v>
      </c>
      <c r="K189">
        <v>13324</v>
      </c>
      <c r="L189">
        <v>2</v>
      </c>
      <c r="M189">
        <v>77</v>
      </c>
      <c r="N189">
        <v>0.68148148148148147</v>
      </c>
      <c r="O189">
        <v>912038.16666666674</v>
      </c>
      <c r="P189">
        <v>13653</v>
      </c>
      <c r="Q189">
        <v>2</v>
      </c>
      <c r="R189">
        <v>78</v>
      </c>
      <c r="S189" t="s">
        <v>1558</v>
      </c>
      <c r="Y189">
        <f>Wine_pres_final[[#This Row],[mlp_params]]</f>
        <v>13324</v>
      </c>
      <c r="Z189">
        <f>IF((LEN(Wine_pres_final[[#This Row],[kan_width]])-LEN(SUBSTITUTE(Wine_pres_final[[#This Row],[kan_width]]," ","")))&gt;2,Wine_pres_final[[#This Row],[kan_test_acc]],"")</f>
        <v>0.7314814950029056</v>
      </c>
      <c r="AA189" t="str">
        <f>IF((LEN(Wine_pres_final[[#This Row],[kan_width]])-LEN(SUBSTITUTE(Wine_pres_final[[#This Row],[kan_width]]," ","")))&gt;2,"",Wine_pres_final[[#This Row],[kan_test_acc]])</f>
        <v/>
      </c>
      <c r="AB189">
        <f>Wine_pres_final[[#This Row],[mlp_test_acc]]</f>
        <v>0.67407407407407405</v>
      </c>
      <c r="AC189">
        <f>Wine_pres_final[[#This Row],[mlp_test_acc2]]</f>
        <v>0.68148148148148147</v>
      </c>
    </row>
    <row r="190" spans="1:29" hidden="1" x14ac:dyDescent="0.25">
      <c r="A190" t="s">
        <v>1336</v>
      </c>
      <c r="B190">
        <v>3</v>
      </c>
      <c r="C190">
        <v>5</v>
      </c>
      <c r="D190">
        <v>0</v>
      </c>
      <c r="E190" t="s">
        <v>1391</v>
      </c>
      <c r="F190">
        <v>6650</v>
      </c>
      <c r="G190">
        <v>12854365.083333332</v>
      </c>
      <c r="H190">
        <v>0.73333334674437844</v>
      </c>
      <c r="I190">
        <v>0.68333333333333335</v>
      </c>
      <c r="J190">
        <v>1846987.75</v>
      </c>
      <c r="K190">
        <v>12999</v>
      </c>
      <c r="L190">
        <v>2</v>
      </c>
      <c r="M190">
        <v>76</v>
      </c>
      <c r="N190">
        <v>0.73703703703703694</v>
      </c>
      <c r="O190">
        <v>747262.41666666674</v>
      </c>
      <c r="P190">
        <v>13324</v>
      </c>
      <c r="Q190">
        <v>2</v>
      </c>
      <c r="R190">
        <v>77</v>
      </c>
      <c r="S190" t="s">
        <v>1564</v>
      </c>
      <c r="Y190">
        <f>Wine_pres_final[[#This Row],[mlp_params]]</f>
        <v>12999</v>
      </c>
      <c r="Z190">
        <f>IF((LEN(Wine_pres_final[[#This Row],[kan_width]])-LEN(SUBSTITUTE(Wine_pres_final[[#This Row],[kan_width]]," ","")))&gt;2,Wine_pres_final[[#This Row],[kan_test_acc]],"")</f>
        <v>0.73333334674437844</v>
      </c>
      <c r="AA190" t="str">
        <f>IF((LEN(Wine_pres_final[[#This Row],[kan_width]])-LEN(SUBSTITUTE(Wine_pres_final[[#This Row],[kan_width]]," ","")))&gt;2,"",Wine_pres_final[[#This Row],[kan_test_acc]])</f>
        <v/>
      </c>
      <c r="AB190">
        <f>Wine_pres_final[[#This Row],[mlp_test_acc]]</f>
        <v>0.68333333333333335</v>
      </c>
      <c r="AC190">
        <f>Wine_pres_final[[#This Row],[mlp_test_acc2]]</f>
        <v>0.73703703703703694</v>
      </c>
    </row>
    <row r="191" spans="1:29" hidden="1" x14ac:dyDescent="0.25">
      <c r="A191" t="s">
        <v>1336</v>
      </c>
      <c r="B191">
        <v>9</v>
      </c>
      <c r="C191">
        <v>3</v>
      </c>
      <c r="D191">
        <v>0</v>
      </c>
      <c r="E191" t="s">
        <v>1389</v>
      </c>
      <c r="F191">
        <v>8452</v>
      </c>
      <c r="G191">
        <v>11395469</v>
      </c>
      <c r="H191">
        <v>0.73333334674437844</v>
      </c>
      <c r="I191">
        <v>0.67962962962962958</v>
      </c>
      <c r="J191">
        <v>4303670.916666667</v>
      </c>
      <c r="K191">
        <v>12361</v>
      </c>
      <c r="L191">
        <v>2</v>
      </c>
      <c r="M191">
        <v>74</v>
      </c>
      <c r="N191">
        <v>0.67592592592592593</v>
      </c>
      <c r="O191">
        <v>1509380.4166666667</v>
      </c>
      <c r="P191">
        <v>12678</v>
      </c>
      <c r="Q191">
        <v>2</v>
      </c>
      <c r="R191">
        <v>75</v>
      </c>
      <c r="S191" t="s">
        <v>1863</v>
      </c>
      <c r="Y191">
        <f>Wine_pres_final[[#This Row],[mlp_params]]</f>
        <v>12361</v>
      </c>
      <c r="Z191">
        <f>IF((LEN(Wine_pres_final[[#This Row],[kan_width]])-LEN(SUBSTITUTE(Wine_pres_final[[#This Row],[kan_width]]," ","")))&gt;2,Wine_pres_final[[#This Row],[kan_test_acc]],"")</f>
        <v>0.73333334674437844</v>
      </c>
      <c r="AA191" t="str">
        <f>IF((LEN(Wine_pres_final[[#This Row],[kan_width]])-LEN(SUBSTITUTE(Wine_pres_final[[#This Row],[kan_width]]," ","")))&gt;2,"",Wine_pres_final[[#This Row],[kan_test_acc]])</f>
        <v/>
      </c>
      <c r="AB191">
        <f>Wine_pres_final[[#This Row],[mlp_test_acc]]</f>
        <v>0.67962962962962958</v>
      </c>
      <c r="AC191">
        <f>Wine_pres_final[[#This Row],[mlp_test_acc2]]</f>
        <v>0.67592592592592593</v>
      </c>
    </row>
    <row r="192" spans="1:29" hidden="1" x14ac:dyDescent="0.25">
      <c r="A192" t="s">
        <v>1336</v>
      </c>
      <c r="B192">
        <v>5</v>
      </c>
      <c r="C192">
        <v>4</v>
      </c>
      <c r="D192">
        <v>0</v>
      </c>
      <c r="E192" t="s">
        <v>1427</v>
      </c>
      <c r="F192">
        <v>9947</v>
      </c>
      <c r="G192">
        <v>18357788.5</v>
      </c>
      <c r="H192">
        <v>0.73518520096937823</v>
      </c>
      <c r="I192">
        <v>0.67592592592592593</v>
      </c>
      <c r="J192">
        <v>4463349.833333333</v>
      </c>
      <c r="K192">
        <v>17163</v>
      </c>
      <c r="L192">
        <v>2</v>
      </c>
      <c r="M192">
        <v>88</v>
      </c>
      <c r="N192">
        <v>0.64074074074074072</v>
      </c>
      <c r="O192">
        <v>3737015.25</v>
      </c>
      <c r="P192">
        <v>17536</v>
      </c>
      <c r="Q192">
        <v>2</v>
      </c>
      <c r="R192">
        <v>89</v>
      </c>
      <c r="S192" t="s">
        <v>1732</v>
      </c>
      <c r="Y192">
        <f>Wine_pres_final[[#This Row],[mlp_params]]</f>
        <v>17163</v>
      </c>
      <c r="Z192">
        <f>IF((LEN(Wine_pres_final[[#This Row],[kan_width]])-LEN(SUBSTITUTE(Wine_pres_final[[#This Row],[kan_width]]," ","")))&gt;2,Wine_pres_final[[#This Row],[kan_test_acc]],"")</f>
        <v>0.73518520096937823</v>
      </c>
      <c r="AA192" t="str">
        <f>IF((LEN(Wine_pres_final[[#This Row],[kan_width]])-LEN(SUBSTITUTE(Wine_pres_final[[#This Row],[kan_width]]," ","")))&gt;2,"",Wine_pres_final[[#This Row],[kan_test_acc]])</f>
        <v/>
      </c>
      <c r="AB192">
        <f>Wine_pres_final[[#This Row],[mlp_test_acc]]</f>
        <v>0.67592592592592593</v>
      </c>
      <c r="AC192">
        <f>Wine_pres_final[[#This Row],[mlp_test_acc2]]</f>
        <v>0.64074074074074072</v>
      </c>
    </row>
    <row r="193" spans="1:29" hidden="1" x14ac:dyDescent="0.25">
      <c r="A193" t="s">
        <v>1336</v>
      </c>
      <c r="B193">
        <v>5</v>
      </c>
      <c r="C193">
        <v>3</v>
      </c>
      <c r="D193">
        <v>0</v>
      </c>
      <c r="E193" t="s">
        <v>1371</v>
      </c>
      <c r="F193">
        <v>5148</v>
      </c>
      <c r="G193">
        <v>14283456.083333332</v>
      </c>
      <c r="H193">
        <v>0.7370370477437973</v>
      </c>
      <c r="I193">
        <v>0.7</v>
      </c>
      <c r="J193">
        <v>2068109.6666666667</v>
      </c>
      <c r="K193">
        <v>8343</v>
      </c>
      <c r="L193">
        <v>2</v>
      </c>
      <c r="M193">
        <v>60</v>
      </c>
      <c r="N193">
        <v>0.72222222222222221</v>
      </c>
      <c r="O193">
        <v>1689448</v>
      </c>
      <c r="P193">
        <v>8604</v>
      </c>
      <c r="Q193">
        <v>2</v>
      </c>
      <c r="R193">
        <v>61</v>
      </c>
      <c r="S193" t="s">
        <v>1654</v>
      </c>
      <c r="Y193">
        <f>Wine_pres_final[[#This Row],[mlp_params]]</f>
        <v>8343</v>
      </c>
      <c r="Z193">
        <f>IF((LEN(Wine_pres_final[[#This Row],[kan_width]])-LEN(SUBSTITUTE(Wine_pres_final[[#This Row],[kan_width]]," ","")))&gt;2,Wine_pres_final[[#This Row],[kan_test_acc]],"")</f>
        <v>0.7370370477437973</v>
      </c>
      <c r="AA193" t="str">
        <f>IF((LEN(Wine_pres_final[[#This Row],[kan_width]])-LEN(SUBSTITUTE(Wine_pres_final[[#This Row],[kan_width]]," ","")))&gt;2,"",Wine_pres_final[[#This Row],[kan_test_acc]])</f>
        <v/>
      </c>
      <c r="AB193">
        <f>Wine_pres_final[[#This Row],[mlp_test_acc]]</f>
        <v>0.7</v>
      </c>
      <c r="AC193">
        <f>Wine_pres_final[[#This Row],[mlp_test_acc2]]</f>
        <v>0.72222222222222221</v>
      </c>
    </row>
    <row r="194" spans="1:29" hidden="1" x14ac:dyDescent="0.25">
      <c r="A194" t="s">
        <v>1336</v>
      </c>
      <c r="B194">
        <v>5</v>
      </c>
      <c r="C194">
        <v>3</v>
      </c>
      <c r="D194">
        <v>0</v>
      </c>
      <c r="E194" t="s">
        <v>1403</v>
      </c>
      <c r="F194">
        <v>6384</v>
      </c>
      <c r="G194">
        <v>15832305.916666668</v>
      </c>
      <c r="H194">
        <v>0.7370370477437973</v>
      </c>
      <c r="I194">
        <v>0.70185185185185184</v>
      </c>
      <c r="J194">
        <v>4680106.333333334</v>
      </c>
      <c r="K194">
        <v>10254</v>
      </c>
      <c r="L194">
        <v>2</v>
      </c>
      <c r="M194">
        <v>67</v>
      </c>
      <c r="N194">
        <v>0.67407407407407405</v>
      </c>
      <c r="O194">
        <v>3131091</v>
      </c>
      <c r="P194">
        <v>10543</v>
      </c>
      <c r="Q194">
        <v>2</v>
      </c>
      <c r="R194">
        <v>68</v>
      </c>
      <c r="S194" t="s">
        <v>1670</v>
      </c>
      <c r="Y194">
        <f>Wine_pres_final[[#This Row],[mlp_params]]</f>
        <v>10254</v>
      </c>
      <c r="Z194">
        <f>IF((LEN(Wine_pres_final[[#This Row],[kan_width]])-LEN(SUBSTITUTE(Wine_pres_final[[#This Row],[kan_width]]," ","")))&gt;2,Wine_pres_final[[#This Row],[kan_test_acc]],"")</f>
        <v>0.7370370477437973</v>
      </c>
      <c r="AA194" t="str">
        <f>IF((LEN(Wine_pres_final[[#This Row],[kan_width]])-LEN(SUBSTITUTE(Wine_pres_final[[#This Row],[kan_width]]," ","")))&gt;2,"",Wine_pres_final[[#This Row],[kan_test_acc]])</f>
        <v/>
      </c>
      <c r="AB194">
        <f>Wine_pres_final[[#This Row],[mlp_test_acc]]</f>
        <v>0.70185185185185184</v>
      </c>
      <c r="AC194">
        <f>Wine_pres_final[[#This Row],[mlp_test_acc2]]</f>
        <v>0.67407407407407405</v>
      </c>
    </row>
    <row r="195" spans="1:29" hidden="1" x14ac:dyDescent="0.25">
      <c r="A195" t="s">
        <v>1336</v>
      </c>
      <c r="B195">
        <v>9</v>
      </c>
      <c r="C195">
        <v>3</v>
      </c>
      <c r="D195">
        <v>0</v>
      </c>
      <c r="E195" t="s">
        <v>1407</v>
      </c>
      <c r="F195">
        <v>10016</v>
      </c>
      <c r="G195">
        <v>12527659.75</v>
      </c>
      <c r="H195">
        <v>0.73703705022732424</v>
      </c>
      <c r="I195">
        <v>0.71296296296296302</v>
      </c>
      <c r="J195">
        <v>6445660.666666667</v>
      </c>
      <c r="K195">
        <v>14664</v>
      </c>
      <c r="L195">
        <v>2</v>
      </c>
      <c r="M195">
        <v>81</v>
      </c>
      <c r="N195">
        <v>0.68148148148148158</v>
      </c>
      <c r="O195">
        <v>2531219.75</v>
      </c>
      <c r="P195">
        <v>15009</v>
      </c>
      <c r="Q195">
        <v>2</v>
      </c>
      <c r="R195">
        <v>82</v>
      </c>
      <c r="S195" t="s">
        <v>1872</v>
      </c>
      <c r="Y195">
        <f>Wine_pres_final[[#This Row],[mlp_params]]</f>
        <v>14664</v>
      </c>
      <c r="Z195">
        <f>IF((LEN(Wine_pres_final[[#This Row],[kan_width]])-LEN(SUBSTITUTE(Wine_pres_final[[#This Row],[kan_width]]," ","")))&gt;2,Wine_pres_final[[#This Row],[kan_test_acc]],"")</f>
        <v>0.73703705022732424</v>
      </c>
      <c r="AA195" t="str">
        <f>IF((LEN(Wine_pres_final[[#This Row],[kan_width]])-LEN(SUBSTITUTE(Wine_pres_final[[#This Row],[kan_width]]," ","")))&gt;2,"",Wine_pres_final[[#This Row],[kan_test_acc]])</f>
        <v/>
      </c>
      <c r="AB195">
        <f>Wine_pres_final[[#This Row],[mlp_test_acc]]</f>
        <v>0.71296296296296302</v>
      </c>
      <c r="AC195">
        <f>Wine_pres_final[[#This Row],[mlp_test_acc2]]</f>
        <v>0.68148148148148158</v>
      </c>
    </row>
    <row r="196" spans="1:29" hidden="1" x14ac:dyDescent="0.25">
      <c r="A196" t="s">
        <v>1336</v>
      </c>
      <c r="B196">
        <v>5</v>
      </c>
      <c r="C196">
        <v>4</v>
      </c>
      <c r="D196">
        <v>0</v>
      </c>
      <c r="E196" t="s">
        <v>1381</v>
      </c>
      <c r="F196">
        <v>7783</v>
      </c>
      <c r="G196">
        <v>14210645</v>
      </c>
      <c r="H196">
        <v>0.73703705271085096</v>
      </c>
      <c r="I196">
        <v>0.71296296296296302</v>
      </c>
      <c r="J196">
        <v>4060252.083333333</v>
      </c>
      <c r="K196">
        <v>13324</v>
      </c>
      <c r="L196">
        <v>2</v>
      </c>
      <c r="M196">
        <v>77</v>
      </c>
      <c r="N196">
        <v>0.67222222222222228</v>
      </c>
      <c r="O196">
        <v>3161772.833333333</v>
      </c>
      <c r="P196">
        <v>13653</v>
      </c>
      <c r="Q196">
        <v>2</v>
      </c>
      <c r="R196">
        <v>78</v>
      </c>
      <c r="S196" t="s">
        <v>1709</v>
      </c>
      <c r="Y196">
        <f>Wine_pres_final[[#This Row],[mlp_params]]</f>
        <v>13324</v>
      </c>
      <c r="Z196">
        <f>IF((LEN(Wine_pres_final[[#This Row],[kan_width]])-LEN(SUBSTITUTE(Wine_pres_final[[#This Row],[kan_width]]," ","")))&gt;2,Wine_pres_final[[#This Row],[kan_test_acc]],"")</f>
        <v>0.73703705271085096</v>
      </c>
      <c r="AA196" t="str">
        <f>IF((LEN(Wine_pres_final[[#This Row],[kan_width]])-LEN(SUBSTITUTE(Wine_pres_final[[#This Row],[kan_width]]," ","")))&gt;2,"",Wine_pres_final[[#This Row],[kan_test_acc]])</f>
        <v/>
      </c>
      <c r="AB196">
        <f>Wine_pres_final[[#This Row],[mlp_test_acc]]</f>
        <v>0.71296296296296302</v>
      </c>
      <c r="AC196">
        <f>Wine_pres_final[[#This Row],[mlp_test_acc2]]</f>
        <v>0.67222222222222228</v>
      </c>
    </row>
    <row r="197" spans="1:29" hidden="1" x14ac:dyDescent="0.25">
      <c r="A197" t="s">
        <v>1336</v>
      </c>
      <c r="B197">
        <v>5</v>
      </c>
      <c r="C197">
        <v>5</v>
      </c>
      <c r="D197">
        <v>0</v>
      </c>
      <c r="E197" t="s">
        <v>1397</v>
      </c>
      <c r="F197">
        <v>9418</v>
      </c>
      <c r="G197">
        <v>19708405.333333336</v>
      </c>
      <c r="H197">
        <v>0.73888889948527026</v>
      </c>
      <c r="I197">
        <v>0.69814814814814818</v>
      </c>
      <c r="J197">
        <v>4789993.916666667</v>
      </c>
      <c r="K197">
        <v>17163</v>
      </c>
      <c r="L197">
        <v>2</v>
      </c>
      <c r="M197">
        <v>88</v>
      </c>
      <c r="N197">
        <v>0.66296296296296298</v>
      </c>
      <c r="O197">
        <v>3540734.0833333335</v>
      </c>
      <c r="P197">
        <v>17536</v>
      </c>
      <c r="Q197">
        <v>2</v>
      </c>
      <c r="R197">
        <v>89</v>
      </c>
      <c r="S197" t="s">
        <v>1767</v>
      </c>
      <c r="Y197">
        <f>Wine_pres_final[[#This Row],[mlp_params]]</f>
        <v>17163</v>
      </c>
      <c r="Z197">
        <f>IF((LEN(Wine_pres_final[[#This Row],[kan_width]])-LEN(SUBSTITUTE(Wine_pres_final[[#This Row],[kan_width]]," ","")))&gt;2,Wine_pres_final[[#This Row],[kan_test_acc]],"")</f>
        <v>0.73888889948527026</v>
      </c>
      <c r="AA197" t="str">
        <f>IF((LEN(Wine_pres_final[[#This Row],[kan_width]])-LEN(SUBSTITUTE(Wine_pres_final[[#This Row],[kan_width]]," ","")))&gt;2,"",Wine_pres_final[[#This Row],[kan_test_acc]])</f>
        <v/>
      </c>
      <c r="AB197">
        <f>Wine_pres_final[[#This Row],[mlp_test_acc]]</f>
        <v>0.69814814814814818</v>
      </c>
      <c r="AC197">
        <f>Wine_pres_final[[#This Row],[mlp_test_acc2]]</f>
        <v>0.66296296296296298</v>
      </c>
    </row>
    <row r="198" spans="1:29" hidden="1" x14ac:dyDescent="0.25">
      <c r="A198" t="s">
        <v>1336</v>
      </c>
      <c r="B198">
        <v>3</v>
      </c>
      <c r="C198">
        <v>5</v>
      </c>
      <c r="D198">
        <v>0</v>
      </c>
      <c r="E198" t="s">
        <v>1381</v>
      </c>
      <c r="F198">
        <v>7138</v>
      </c>
      <c r="G198">
        <v>18963468.5</v>
      </c>
      <c r="H198">
        <v>0.73888890196879697</v>
      </c>
      <c r="I198">
        <v>0.69074074074074066</v>
      </c>
      <c r="J198">
        <v>1745244.1666666667</v>
      </c>
      <c r="K198">
        <v>13986</v>
      </c>
      <c r="L198">
        <v>2</v>
      </c>
      <c r="M198">
        <v>79</v>
      </c>
      <c r="N198">
        <v>0.69814814814814818</v>
      </c>
      <c r="O198">
        <v>1215545.0833333335</v>
      </c>
      <c r="P198">
        <v>14323</v>
      </c>
      <c r="Q198">
        <v>2</v>
      </c>
      <c r="R198">
        <v>80</v>
      </c>
      <c r="S198" t="s">
        <v>1559</v>
      </c>
      <c r="Y198">
        <f>Wine_pres_final[[#This Row],[mlp_params]]</f>
        <v>13986</v>
      </c>
      <c r="Z198">
        <f>IF((LEN(Wine_pres_final[[#This Row],[kan_width]])-LEN(SUBSTITUTE(Wine_pres_final[[#This Row],[kan_width]]," ","")))&gt;2,Wine_pres_final[[#This Row],[kan_test_acc]],"")</f>
        <v>0.73888890196879697</v>
      </c>
      <c r="AA198" t="str">
        <f>IF((LEN(Wine_pres_final[[#This Row],[kan_width]])-LEN(SUBSTITUTE(Wine_pres_final[[#This Row],[kan_width]]," ","")))&gt;2,"",Wine_pres_final[[#This Row],[kan_test_acc]])</f>
        <v/>
      </c>
      <c r="AB198">
        <f>Wine_pres_final[[#This Row],[mlp_test_acc]]</f>
        <v>0.69074074074074066</v>
      </c>
      <c r="AC198">
        <f>Wine_pres_final[[#This Row],[mlp_test_acc2]]</f>
        <v>0.69814814814814818</v>
      </c>
    </row>
    <row r="199" spans="1:29" hidden="1" x14ac:dyDescent="0.25">
      <c r="A199" t="s">
        <v>1336</v>
      </c>
      <c r="B199">
        <v>9</v>
      </c>
      <c r="C199">
        <v>3</v>
      </c>
      <c r="D199">
        <v>0</v>
      </c>
      <c r="E199" t="s">
        <v>1409</v>
      </c>
      <c r="F199">
        <v>10678</v>
      </c>
      <c r="G199">
        <v>12262221.75</v>
      </c>
      <c r="H199">
        <v>0.73888890196879697</v>
      </c>
      <c r="I199">
        <v>0.70185185185185184</v>
      </c>
      <c r="J199">
        <v>4917489.25</v>
      </c>
      <c r="K199">
        <v>15358</v>
      </c>
      <c r="L199">
        <v>2</v>
      </c>
      <c r="M199">
        <v>83</v>
      </c>
      <c r="N199">
        <v>0.7055555555555556</v>
      </c>
      <c r="O199">
        <v>3026316.8333333335</v>
      </c>
      <c r="P199">
        <v>15711</v>
      </c>
      <c r="Q199">
        <v>2</v>
      </c>
      <c r="R199">
        <v>84</v>
      </c>
      <c r="S199" t="s">
        <v>1873</v>
      </c>
      <c r="Y199">
        <f>Wine_pres_final[[#This Row],[mlp_params]]</f>
        <v>15358</v>
      </c>
      <c r="Z199">
        <f>IF((LEN(Wine_pres_final[[#This Row],[kan_width]])-LEN(SUBSTITUTE(Wine_pres_final[[#This Row],[kan_width]]," ","")))&gt;2,Wine_pres_final[[#This Row],[kan_test_acc]],"")</f>
        <v>0.73888890196879697</v>
      </c>
      <c r="AA199" t="str">
        <f>IF((LEN(Wine_pres_final[[#This Row],[kan_width]])-LEN(SUBSTITUTE(Wine_pres_final[[#This Row],[kan_width]]," ","")))&gt;2,"",Wine_pres_final[[#This Row],[kan_test_acc]])</f>
        <v/>
      </c>
      <c r="AB199">
        <f>Wine_pres_final[[#This Row],[mlp_test_acc]]</f>
        <v>0.70185185185185184</v>
      </c>
      <c r="AC199">
        <f>Wine_pres_final[[#This Row],[mlp_test_acc2]]</f>
        <v>0.7055555555555556</v>
      </c>
    </row>
    <row r="200" spans="1:29" hidden="1" x14ac:dyDescent="0.25">
      <c r="A200" t="s">
        <v>1336</v>
      </c>
      <c r="B200">
        <v>5</v>
      </c>
      <c r="C200">
        <v>3</v>
      </c>
      <c r="D200">
        <v>0</v>
      </c>
      <c r="E200" t="s">
        <v>1415</v>
      </c>
      <c r="F200">
        <v>9300</v>
      </c>
      <c r="G200">
        <v>17614307.333333336</v>
      </c>
      <c r="H200">
        <v>0.74074074874321627</v>
      </c>
      <c r="I200">
        <v>0.69074074074074066</v>
      </c>
      <c r="J200">
        <v>4772452.833333334</v>
      </c>
      <c r="K200">
        <v>15009</v>
      </c>
      <c r="L200">
        <v>2</v>
      </c>
      <c r="M200">
        <v>82</v>
      </c>
      <c r="N200">
        <v>0.68888888888888888</v>
      </c>
      <c r="O200">
        <v>3075588.75</v>
      </c>
      <c r="P200">
        <v>15358</v>
      </c>
      <c r="Q200">
        <v>2</v>
      </c>
      <c r="R200">
        <v>83</v>
      </c>
      <c r="S200" t="s">
        <v>1676</v>
      </c>
      <c r="Y200">
        <f>Wine_pres_final[[#This Row],[mlp_params]]</f>
        <v>15009</v>
      </c>
      <c r="Z200">
        <f>IF((LEN(Wine_pres_final[[#This Row],[kan_width]])-LEN(SUBSTITUTE(Wine_pres_final[[#This Row],[kan_width]]," ","")))&gt;2,Wine_pres_final[[#This Row],[kan_test_acc]],"")</f>
        <v>0.74074074874321627</v>
      </c>
      <c r="AA200" t="str">
        <f>IF((LEN(Wine_pres_final[[#This Row],[kan_width]])-LEN(SUBSTITUTE(Wine_pres_final[[#This Row],[kan_width]]," ","")))&gt;2,"",Wine_pres_final[[#This Row],[kan_test_acc]])</f>
        <v/>
      </c>
      <c r="AB200">
        <f>Wine_pres_final[[#This Row],[mlp_test_acc]]</f>
        <v>0.69074074074074066</v>
      </c>
      <c r="AC200">
        <f>Wine_pres_final[[#This Row],[mlp_test_acc2]]</f>
        <v>0.68888888888888888</v>
      </c>
    </row>
    <row r="201" spans="1:29" x14ac:dyDescent="0.25">
      <c r="A201" t="s">
        <v>1336</v>
      </c>
      <c r="B201">
        <v>9</v>
      </c>
      <c r="C201">
        <v>5</v>
      </c>
      <c r="D201">
        <v>0</v>
      </c>
      <c r="E201" t="s">
        <v>1407</v>
      </c>
      <c r="F201">
        <v>11346</v>
      </c>
      <c r="G201">
        <v>11538795.25</v>
      </c>
      <c r="H201">
        <v>0.55185186987121893</v>
      </c>
      <c r="I201">
        <v>0.75740740740740742</v>
      </c>
      <c r="J201">
        <v>1123628.0833333333</v>
      </c>
      <c r="K201">
        <v>18294</v>
      </c>
      <c r="L201">
        <v>2</v>
      </c>
      <c r="M201">
        <v>91</v>
      </c>
      <c r="N201">
        <v>0.72037037037037033</v>
      </c>
      <c r="O201">
        <v>1496502.25</v>
      </c>
      <c r="P201">
        <v>18679</v>
      </c>
      <c r="Q201">
        <v>2</v>
      </c>
      <c r="R201">
        <v>92</v>
      </c>
      <c r="S201" t="s">
        <v>1972</v>
      </c>
      <c r="Y201">
        <f>Wine_pres_final[[#This Row],[mlp_params]]</f>
        <v>18294</v>
      </c>
      <c r="Z201">
        <f>IF((LEN(Wine_pres_final[[#This Row],[kan_width]])-LEN(SUBSTITUTE(Wine_pres_final[[#This Row],[kan_width]]," ","")))&gt;2,Wine_pres_final[[#This Row],[kan_test_acc]],"")</f>
        <v>0.55185186987121893</v>
      </c>
      <c r="AA201" t="str">
        <f>IF((LEN(Wine_pres_final[[#This Row],[kan_width]])-LEN(SUBSTITUTE(Wine_pres_final[[#This Row],[kan_width]]," ","")))&gt;2,"",Wine_pres_final[[#This Row],[kan_test_acc]])</f>
        <v/>
      </c>
      <c r="AB201">
        <f>Wine_pres_final[[#This Row],[mlp_test_acc]]</f>
        <v>0.75740740740740742</v>
      </c>
      <c r="AC201">
        <f>Wine_pres_final[[#This Row],[mlp_test_acc2]]</f>
        <v>0.72037037037037033</v>
      </c>
    </row>
    <row r="202" spans="1:29" hidden="1" x14ac:dyDescent="0.25">
      <c r="A202" t="s">
        <v>1336</v>
      </c>
      <c r="B202">
        <v>5</v>
      </c>
      <c r="C202">
        <v>2</v>
      </c>
      <c r="D202">
        <v>0</v>
      </c>
      <c r="E202" t="s">
        <v>1357</v>
      </c>
      <c r="F202">
        <v>4443</v>
      </c>
      <c r="G202">
        <v>10352863.916666666</v>
      </c>
      <c r="H202">
        <v>0.74074075371026993</v>
      </c>
      <c r="I202">
        <v>0.70555555555555549</v>
      </c>
      <c r="J202">
        <v>339993.25</v>
      </c>
      <c r="K202">
        <v>6628</v>
      </c>
      <c r="L202">
        <v>2</v>
      </c>
      <c r="M202">
        <v>53</v>
      </c>
      <c r="N202">
        <v>0.78518518518518521</v>
      </c>
      <c r="O202">
        <v>333319.5</v>
      </c>
      <c r="P202">
        <v>6861</v>
      </c>
      <c r="Q202">
        <v>2</v>
      </c>
      <c r="R202">
        <v>54</v>
      </c>
      <c r="S202" t="s">
        <v>1597</v>
      </c>
      <c r="Y202">
        <f>Wine_pres_final[[#This Row],[mlp_params]]</f>
        <v>6628</v>
      </c>
      <c r="Z202">
        <f>IF((LEN(Wine_pres_final[[#This Row],[kan_width]])-LEN(SUBSTITUTE(Wine_pres_final[[#This Row],[kan_width]]," ","")))&gt;2,Wine_pres_final[[#This Row],[kan_test_acc]],"")</f>
        <v>0.74074075371026993</v>
      </c>
      <c r="AA202" t="str">
        <f>IF((LEN(Wine_pres_final[[#This Row],[kan_width]])-LEN(SUBSTITUTE(Wine_pres_final[[#This Row],[kan_width]]," ","")))&gt;2,"",Wine_pres_final[[#This Row],[kan_test_acc]])</f>
        <v/>
      </c>
      <c r="AB202">
        <f>Wine_pres_final[[#This Row],[mlp_test_acc]]</f>
        <v>0.70555555555555549</v>
      </c>
      <c r="AC202">
        <f>Wine_pres_final[[#This Row],[mlp_test_acc2]]</f>
        <v>0.78518518518518521</v>
      </c>
    </row>
    <row r="203" spans="1:29" hidden="1" x14ac:dyDescent="0.25">
      <c r="A203" t="s">
        <v>1336</v>
      </c>
      <c r="B203">
        <v>5</v>
      </c>
      <c r="C203">
        <v>4</v>
      </c>
      <c r="D203">
        <v>0</v>
      </c>
      <c r="E203" t="s">
        <v>1411</v>
      </c>
      <c r="F203">
        <v>9081</v>
      </c>
      <c r="G203">
        <v>15231583.75</v>
      </c>
      <c r="H203">
        <v>0.74074075619379687</v>
      </c>
      <c r="I203">
        <v>0.70740740740740748</v>
      </c>
      <c r="J203">
        <v>4631924.75</v>
      </c>
      <c r="K203">
        <v>15711</v>
      </c>
      <c r="L203">
        <v>2</v>
      </c>
      <c r="M203">
        <v>84</v>
      </c>
      <c r="N203">
        <v>0.66296296296296298</v>
      </c>
      <c r="O203">
        <v>3182947.166666667</v>
      </c>
      <c r="P203">
        <v>16068</v>
      </c>
      <c r="Q203">
        <v>2</v>
      </c>
      <c r="R203">
        <v>85</v>
      </c>
      <c r="S203" t="s">
        <v>1724</v>
      </c>
      <c r="Y203">
        <f>Wine_pres_final[[#This Row],[mlp_params]]</f>
        <v>15711</v>
      </c>
      <c r="Z203">
        <f>IF((LEN(Wine_pres_final[[#This Row],[kan_width]])-LEN(SUBSTITUTE(Wine_pres_final[[#This Row],[kan_width]]," ","")))&gt;2,Wine_pres_final[[#This Row],[kan_test_acc]],"")</f>
        <v>0.74074075619379687</v>
      </c>
      <c r="AA203" t="str">
        <f>IF((LEN(Wine_pres_final[[#This Row],[kan_width]])-LEN(SUBSTITUTE(Wine_pres_final[[#This Row],[kan_width]]," ","")))&gt;2,"",Wine_pres_final[[#This Row],[kan_test_acc]])</f>
        <v/>
      </c>
      <c r="AB203">
        <f>Wine_pres_final[[#This Row],[mlp_test_acc]]</f>
        <v>0.70740740740740748</v>
      </c>
      <c r="AC203">
        <f>Wine_pres_final[[#This Row],[mlp_test_acc2]]</f>
        <v>0.66296296296296298</v>
      </c>
    </row>
    <row r="204" spans="1:29" hidden="1" x14ac:dyDescent="0.25">
      <c r="A204" t="s">
        <v>1336</v>
      </c>
      <c r="B204">
        <v>5</v>
      </c>
      <c r="C204">
        <v>3</v>
      </c>
      <c r="D204">
        <v>0</v>
      </c>
      <c r="E204" t="s">
        <v>1359</v>
      </c>
      <c r="F204">
        <v>5238</v>
      </c>
      <c r="G204">
        <v>12358458.833333334</v>
      </c>
      <c r="H204">
        <v>0.74259260296821594</v>
      </c>
      <c r="I204">
        <v>0.70185185185185195</v>
      </c>
      <c r="J204">
        <v>394066.16666666669</v>
      </c>
      <c r="K204">
        <v>8343</v>
      </c>
      <c r="L204">
        <v>2</v>
      </c>
      <c r="M204">
        <v>60</v>
      </c>
      <c r="N204">
        <v>0.67592592592592604</v>
      </c>
      <c r="O204">
        <v>382406.83333333337</v>
      </c>
      <c r="P204">
        <v>8604</v>
      </c>
      <c r="Q204">
        <v>2</v>
      </c>
      <c r="R204">
        <v>61</v>
      </c>
      <c r="S204" t="s">
        <v>1648</v>
      </c>
      <c r="Y204">
        <f>Wine_pres_final[[#This Row],[mlp_params]]</f>
        <v>8343</v>
      </c>
      <c r="Z204">
        <f>IF((LEN(Wine_pres_final[[#This Row],[kan_width]])-LEN(SUBSTITUTE(Wine_pres_final[[#This Row],[kan_width]]," ","")))&gt;2,Wine_pres_final[[#This Row],[kan_test_acc]],"")</f>
        <v>0.74259260296821594</v>
      </c>
      <c r="AA204" t="str">
        <f>IF((LEN(Wine_pres_final[[#This Row],[kan_width]])-LEN(SUBSTITUTE(Wine_pres_final[[#This Row],[kan_width]]," ","")))&gt;2,"",Wine_pres_final[[#This Row],[kan_test_acc]])</f>
        <v/>
      </c>
      <c r="AB204">
        <f>Wine_pres_final[[#This Row],[mlp_test_acc]]</f>
        <v>0.70185185185185195</v>
      </c>
      <c r="AC204">
        <f>Wine_pres_final[[#This Row],[mlp_test_acc2]]</f>
        <v>0.67592592592592604</v>
      </c>
    </row>
    <row r="205" spans="1:29" hidden="1" x14ac:dyDescent="0.25">
      <c r="A205" t="s">
        <v>1336</v>
      </c>
      <c r="B205">
        <v>9</v>
      </c>
      <c r="C205">
        <v>4</v>
      </c>
      <c r="D205">
        <v>0</v>
      </c>
      <c r="E205" t="s">
        <v>1433</v>
      </c>
      <c r="F205">
        <v>2316</v>
      </c>
      <c r="G205">
        <v>14140069.916666666</v>
      </c>
      <c r="H205">
        <v>0.74444445719321561</v>
      </c>
      <c r="I205">
        <v>0.6425925925925926</v>
      </c>
      <c r="J205">
        <v>20794504</v>
      </c>
      <c r="K205">
        <v>3444</v>
      </c>
      <c r="L205">
        <v>2</v>
      </c>
      <c r="M205">
        <v>37</v>
      </c>
      <c r="N205">
        <v>0.71296296296296302</v>
      </c>
      <c r="O205">
        <v>20346678.75</v>
      </c>
      <c r="P205">
        <v>3613</v>
      </c>
      <c r="Q205">
        <v>2</v>
      </c>
      <c r="R205">
        <v>38</v>
      </c>
      <c r="S205" t="s">
        <v>1885</v>
      </c>
      <c r="Y205">
        <f>Wine_pres_final[[#This Row],[mlp_params]]</f>
        <v>3444</v>
      </c>
      <c r="Z205" t="str">
        <f>IF((LEN(Wine_pres_final[[#This Row],[kan_width]])-LEN(SUBSTITUTE(Wine_pres_final[[#This Row],[kan_width]]," ","")))&gt;2,Wine_pres_final[[#This Row],[kan_test_acc]],"")</f>
        <v/>
      </c>
      <c r="AA205">
        <f>IF((LEN(Wine_pres_final[[#This Row],[kan_width]])-LEN(SUBSTITUTE(Wine_pres_final[[#This Row],[kan_width]]," ","")))&gt;2,"",Wine_pres_final[[#This Row],[kan_test_acc]])</f>
        <v>0.74444445719321561</v>
      </c>
      <c r="AB205">
        <f>Wine_pres_final[[#This Row],[mlp_test_acc]]</f>
        <v>0.6425925925925926</v>
      </c>
      <c r="AC205">
        <f>Wine_pres_final[[#This Row],[mlp_test_acc2]]</f>
        <v>0.71296296296296302</v>
      </c>
    </row>
    <row r="206" spans="1:29" hidden="1" x14ac:dyDescent="0.25">
      <c r="A206" t="s">
        <v>1336</v>
      </c>
      <c r="B206">
        <v>5</v>
      </c>
      <c r="C206">
        <v>4</v>
      </c>
      <c r="D206">
        <v>0</v>
      </c>
      <c r="E206" t="s">
        <v>1361</v>
      </c>
      <c r="F206">
        <v>6097</v>
      </c>
      <c r="G206">
        <v>17658226.416666668</v>
      </c>
      <c r="H206">
        <v>0.74629630645116174</v>
      </c>
      <c r="I206">
        <v>0.7</v>
      </c>
      <c r="J206">
        <v>4825034.5</v>
      </c>
      <c r="K206">
        <v>10543</v>
      </c>
      <c r="L206">
        <v>2</v>
      </c>
      <c r="M206">
        <v>68</v>
      </c>
      <c r="N206">
        <v>0.66851851851851851</v>
      </c>
      <c r="O206">
        <v>3703759.416666667</v>
      </c>
      <c r="P206">
        <v>10836</v>
      </c>
      <c r="Q206">
        <v>2</v>
      </c>
      <c r="R206">
        <v>69</v>
      </c>
      <c r="S206" t="s">
        <v>1699</v>
      </c>
      <c r="Y206">
        <f>Wine_pres_final[[#This Row],[mlp_params]]</f>
        <v>10543</v>
      </c>
      <c r="Z206">
        <f>IF((LEN(Wine_pres_final[[#This Row],[kan_width]])-LEN(SUBSTITUTE(Wine_pres_final[[#This Row],[kan_width]]," ","")))&gt;2,Wine_pres_final[[#This Row],[kan_test_acc]],"")</f>
        <v>0.74629630645116174</v>
      </c>
      <c r="AA206" t="str">
        <f>IF((LEN(Wine_pres_final[[#This Row],[kan_width]])-LEN(SUBSTITUTE(Wine_pres_final[[#This Row],[kan_width]]," ","")))&gt;2,"",Wine_pres_final[[#This Row],[kan_test_acc]])</f>
        <v/>
      </c>
      <c r="AB206">
        <f>Wine_pres_final[[#This Row],[mlp_test_acc]]</f>
        <v>0.7</v>
      </c>
      <c r="AC206">
        <f>Wine_pres_final[[#This Row],[mlp_test_acc2]]</f>
        <v>0.66851851851851851</v>
      </c>
    </row>
    <row r="207" spans="1:29" hidden="1" x14ac:dyDescent="0.25">
      <c r="A207" t="s">
        <v>1336</v>
      </c>
      <c r="B207">
        <v>9</v>
      </c>
      <c r="C207">
        <v>3</v>
      </c>
      <c r="D207">
        <v>0</v>
      </c>
      <c r="E207" t="s">
        <v>1387</v>
      </c>
      <c r="F207">
        <v>7850</v>
      </c>
      <c r="G207">
        <v>10950895.666666668</v>
      </c>
      <c r="H207">
        <v>0.74629630893468857</v>
      </c>
      <c r="I207">
        <v>0.66481481481481475</v>
      </c>
      <c r="J207">
        <v>4832937.75</v>
      </c>
      <c r="K207">
        <v>11434</v>
      </c>
      <c r="L207">
        <v>2</v>
      </c>
      <c r="M207">
        <v>71</v>
      </c>
      <c r="N207">
        <v>0.67962962962962958</v>
      </c>
      <c r="O207">
        <v>3032212.916666667</v>
      </c>
      <c r="P207">
        <v>11739</v>
      </c>
      <c r="Q207">
        <v>2</v>
      </c>
      <c r="R207">
        <v>72</v>
      </c>
      <c r="S207" t="s">
        <v>1862</v>
      </c>
      <c r="Y207">
        <f>Wine_pres_final[[#This Row],[mlp_params]]</f>
        <v>11434</v>
      </c>
      <c r="Z207">
        <f>IF((LEN(Wine_pres_final[[#This Row],[kan_width]])-LEN(SUBSTITUTE(Wine_pres_final[[#This Row],[kan_width]]," ","")))&gt;2,Wine_pres_final[[#This Row],[kan_test_acc]],"")</f>
        <v>0.74629630893468857</v>
      </c>
      <c r="AA207" t="str">
        <f>IF((LEN(Wine_pres_final[[#This Row],[kan_width]])-LEN(SUBSTITUTE(Wine_pres_final[[#This Row],[kan_width]]," ","")))&gt;2,"",Wine_pres_final[[#This Row],[kan_test_acc]])</f>
        <v/>
      </c>
      <c r="AB207">
        <f>Wine_pres_final[[#This Row],[mlp_test_acc]]</f>
        <v>0.66481481481481475</v>
      </c>
      <c r="AC207">
        <f>Wine_pres_final[[#This Row],[mlp_test_acc2]]</f>
        <v>0.67962962962962958</v>
      </c>
    </row>
    <row r="208" spans="1:29" hidden="1" x14ac:dyDescent="0.25">
      <c r="A208" t="s">
        <v>1336</v>
      </c>
      <c r="B208">
        <v>3</v>
      </c>
      <c r="C208">
        <v>5</v>
      </c>
      <c r="D208">
        <v>0</v>
      </c>
      <c r="E208" t="s">
        <v>1361</v>
      </c>
      <c r="F208">
        <v>5592</v>
      </c>
      <c r="G208">
        <v>16006974</v>
      </c>
      <c r="H208">
        <v>0.74814815819263458</v>
      </c>
      <c r="I208">
        <v>0.70740740740740748</v>
      </c>
      <c r="J208">
        <v>3316238.0833333335</v>
      </c>
      <c r="K208">
        <v>11133</v>
      </c>
      <c r="L208">
        <v>2</v>
      </c>
      <c r="M208">
        <v>70</v>
      </c>
      <c r="N208">
        <v>0.67962962962962958</v>
      </c>
      <c r="O208">
        <v>2028091.4166666665</v>
      </c>
      <c r="P208">
        <v>11434</v>
      </c>
      <c r="Q208">
        <v>2</v>
      </c>
      <c r="R208">
        <v>71</v>
      </c>
      <c r="S208" t="s">
        <v>1549</v>
      </c>
      <c r="Y208">
        <f>Wine_pres_final[[#This Row],[mlp_params]]</f>
        <v>11133</v>
      </c>
      <c r="Z208">
        <f>IF((LEN(Wine_pres_final[[#This Row],[kan_width]])-LEN(SUBSTITUTE(Wine_pres_final[[#This Row],[kan_width]]," ","")))&gt;2,Wine_pres_final[[#This Row],[kan_test_acc]],"")</f>
        <v>0.74814815819263458</v>
      </c>
      <c r="AA208" t="str">
        <f>IF((LEN(Wine_pres_final[[#This Row],[kan_width]])-LEN(SUBSTITUTE(Wine_pres_final[[#This Row],[kan_width]]," ","")))&gt;2,"",Wine_pres_final[[#This Row],[kan_test_acc]])</f>
        <v/>
      </c>
      <c r="AB208">
        <f>Wine_pres_final[[#This Row],[mlp_test_acc]]</f>
        <v>0.70740740740740748</v>
      </c>
      <c r="AC208">
        <f>Wine_pres_final[[#This Row],[mlp_test_acc2]]</f>
        <v>0.67962962962962958</v>
      </c>
    </row>
    <row r="209" spans="1:29" hidden="1" x14ac:dyDescent="0.25">
      <c r="A209" t="s">
        <v>1336</v>
      </c>
      <c r="B209">
        <v>5</v>
      </c>
      <c r="C209">
        <v>4</v>
      </c>
      <c r="D209">
        <v>0</v>
      </c>
      <c r="E209" t="s">
        <v>1365</v>
      </c>
      <c r="F209">
        <v>6869</v>
      </c>
      <c r="G209">
        <v>15904748.5</v>
      </c>
      <c r="H209">
        <v>0.74814815819263458</v>
      </c>
      <c r="I209">
        <v>0.67407407407407405</v>
      </c>
      <c r="J209">
        <v>2891915</v>
      </c>
      <c r="K209">
        <v>11739</v>
      </c>
      <c r="L209">
        <v>2</v>
      </c>
      <c r="M209">
        <v>72</v>
      </c>
      <c r="N209">
        <v>0.67037037037037039</v>
      </c>
      <c r="O209">
        <v>2909101.8333333335</v>
      </c>
      <c r="P209">
        <v>12048</v>
      </c>
      <c r="Q209">
        <v>2</v>
      </c>
      <c r="R209">
        <v>73</v>
      </c>
      <c r="S209" t="s">
        <v>1701</v>
      </c>
      <c r="Y209">
        <f>Wine_pres_final[[#This Row],[mlp_params]]</f>
        <v>11739</v>
      </c>
      <c r="Z209">
        <f>IF((LEN(Wine_pres_final[[#This Row],[kan_width]])-LEN(SUBSTITUTE(Wine_pres_final[[#This Row],[kan_width]]," ","")))&gt;2,Wine_pres_final[[#This Row],[kan_test_acc]],"")</f>
        <v>0.74814815819263458</v>
      </c>
      <c r="AA209" t="str">
        <f>IF((LEN(Wine_pres_final[[#This Row],[kan_width]])-LEN(SUBSTITUTE(Wine_pres_final[[#This Row],[kan_width]]," ","")))&gt;2,"",Wine_pres_final[[#This Row],[kan_test_acc]])</f>
        <v/>
      </c>
      <c r="AB209">
        <f>Wine_pres_final[[#This Row],[mlp_test_acc]]</f>
        <v>0.67407407407407405</v>
      </c>
      <c r="AC209">
        <f>Wine_pres_final[[#This Row],[mlp_test_acc2]]</f>
        <v>0.67037037037037039</v>
      </c>
    </row>
    <row r="210" spans="1:29" hidden="1" x14ac:dyDescent="0.25">
      <c r="A210" t="s">
        <v>1336</v>
      </c>
      <c r="B210">
        <v>3</v>
      </c>
      <c r="C210">
        <v>5</v>
      </c>
      <c r="D210">
        <v>0</v>
      </c>
      <c r="E210" t="s">
        <v>1429</v>
      </c>
      <c r="F210">
        <v>9652</v>
      </c>
      <c r="G210">
        <v>15910141.75</v>
      </c>
      <c r="H210">
        <v>0.74814816067616152</v>
      </c>
      <c r="I210">
        <v>0.65</v>
      </c>
      <c r="J210">
        <v>2601758.8333333335</v>
      </c>
      <c r="K210">
        <v>19068</v>
      </c>
      <c r="L210">
        <v>2</v>
      </c>
      <c r="M210">
        <v>93</v>
      </c>
      <c r="N210">
        <v>0.67592592592592593</v>
      </c>
      <c r="O210">
        <v>1932269.3333333335</v>
      </c>
      <c r="P210">
        <v>19461</v>
      </c>
      <c r="Q210">
        <v>2</v>
      </c>
      <c r="R210">
        <v>94</v>
      </c>
      <c r="S210" t="s">
        <v>1583</v>
      </c>
      <c r="Y210">
        <f>Wine_pres_final[[#This Row],[mlp_params]]</f>
        <v>19068</v>
      </c>
      <c r="Z210">
        <f>IF((LEN(Wine_pres_final[[#This Row],[kan_width]])-LEN(SUBSTITUTE(Wine_pres_final[[#This Row],[kan_width]]," ","")))&gt;2,Wine_pres_final[[#This Row],[kan_test_acc]],"")</f>
        <v>0.74814816067616152</v>
      </c>
      <c r="AA210" t="str">
        <f>IF((LEN(Wine_pres_final[[#This Row],[kan_width]])-LEN(SUBSTITUTE(Wine_pres_final[[#This Row],[kan_width]]," ","")))&gt;2,"",Wine_pres_final[[#This Row],[kan_test_acc]])</f>
        <v/>
      </c>
      <c r="AB210">
        <f>Wine_pres_final[[#This Row],[mlp_test_acc]]</f>
        <v>0.65</v>
      </c>
      <c r="AC210">
        <f>Wine_pres_final[[#This Row],[mlp_test_acc2]]</f>
        <v>0.67592592592592593</v>
      </c>
    </row>
    <row r="211" spans="1:29" hidden="1" x14ac:dyDescent="0.25">
      <c r="A211" t="s">
        <v>1336</v>
      </c>
      <c r="B211">
        <v>3</v>
      </c>
      <c r="C211">
        <v>5</v>
      </c>
      <c r="D211">
        <v>0</v>
      </c>
      <c r="E211" t="s">
        <v>1419</v>
      </c>
      <c r="F211">
        <v>7002</v>
      </c>
      <c r="G211">
        <v>18276935.166666664</v>
      </c>
      <c r="H211">
        <v>0.74814816315968824</v>
      </c>
      <c r="I211">
        <v>0.68148148148148158</v>
      </c>
      <c r="J211">
        <v>2180757.833333333</v>
      </c>
      <c r="K211">
        <v>13653</v>
      </c>
      <c r="L211">
        <v>2</v>
      </c>
      <c r="M211">
        <v>78</v>
      </c>
      <c r="N211">
        <v>0.64814814814814814</v>
      </c>
      <c r="O211">
        <v>3317831.4166666665</v>
      </c>
      <c r="P211">
        <v>13986</v>
      </c>
      <c r="Q211">
        <v>2</v>
      </c>
      <c r="R211">
        <v>79</v>
      </c>
      <c r="S211" t="s">
        <v>1578</v>
      </c>
      <c r="Y211">
        <f>Wine_pres_final[[#This Row],[mlp_params]]</f>
        <v>13653</v>
      </c>
      <c r="Z211">
        <f>IF((LEN(Wine_pres_final[[#This Row],[kan_width]])-LEN(SUBSTITUTE(Wine_pres_final[[#This Row],[kan_width]]," ","")))&gt;2,Wine_pres_final[[#This Row],[kan_test_acc]],"")</f>
        <v>0.74814816315968824</v>
      </c>
      <c r="AA211" t="str">
        <f>IF((LEN(Wine_pres_final[[#This Row],[kan_width]])-LEN(SUBSTITUTE(Wine_pres_final[[#This Row],[kan_width]]," ","")))&gt;2,"",Wine_pres_final[[#This Row],[kan_test_acc]])</f>
        <v/>
      </c>
      <c r="AB211">
        <f>Wine_pres_final[[#This Row],[mlp_test_acc]]</f>
        <v>0.68148148148148158</v>
      </c>
      <c r="AC211">
        <f>Wine_pres_final[[#This Row],[mlp_test_acc2]]</f>
        <v>0.64814814814814814</v>
      </c>
    </row>
    <row r="212" spans="1:29" hidden="1" x14ac:dyDescent="0.25">
      <c r="A212" t="s">
        <v>1336</v>
      </c>
      <c r="B212">
        <v>5</v>
      </c>
      <c r="C212">
        <v>2</v>
      </c>
      <c r="D212">
        <v>0</v>
      </c>
      <c r="E212" t="s">
        <v>1405</v>
      </c>
      <c r="F212">
        <v>6249</v>
      </c>
      <c r="G212">
        <v>12982986.25</v>
      </c>
      <c r="H212">
        <v>0.75000000993410743</v>
      </c>
      <c r="I212">
        <v>0.68148148148148158</v>
      </c>
      <c r="J212">
        <v>706289.33333333337</v>
      </c>
      <c r="K212">
        <v>9138</v>
      </c>
      <c r="L212">
        <v>2</v>
      </c>
      <c r="M212">
        <v>63</v>
      </c>
      <c r="N212">
        <v>0.69074074074074066</v>
      </c>
      <c r="O212">
        <v>502055.16666666663</v>
      </c>
      <c r="P212">
        <v>9411</v>
      </c>
      <c r="Q212">
        <v>2</v>
      </c>
      <c r="R212">
        <v>64</v>
      </c>
      <c r="S212" t="s">
        <v>1621</v>
      </c>
      <c r="Y212">
        <f>Wine_pres_final[[#This Row],[mlp_params]]</f>
        <v>9138</v>
      </c>
      <c r="Z212">
        <f>IF((LEN(Wine_pres_final[[#This Row],[kan_width]])-LEN(SUBSTITUTE(Wine_pres_final[[#This Row],[kan_width]]," ","")))&gt;2,Wine_pres_final[[#This Row],[kan_test_acc]],"")</f>
        <v>0.75000000993410743</v>
      </c>
      <c r="AA212" t="str">
        <f>IF((LEN(Wine_pres_final[[#This Row],[kan_width]])-LEN(SUBSTITUTE(Wine_pres_final[[#This Row],[kan_width]]," ","")))&gt;2,"",Wine_pres_final[[#This Row],[kan_test_acc]])</f>
        <v/>
      </c>
      <c r="AB212">
        <f>Wine_pres_final[[#This Row],[mlp_test_acc]]</f>
        <v>0.68148148148148158</v>
      </c>
      <c r="AC212">
        <f>Wine_pres_final[[#This Row],[mlp_test_acc2]]</f>
        <v>0.69074074074074066</v>
      </c>
    </row>
    <row r="213" spans="1:29" hidden="1" x14ac:dyDescent="0.25">
      <c r="A213" t="s">
        <v>1336</v>
      </c>
      <c r="B213">
        <v>3</v>
      </c>
      <c r="C213">
        <v>5</v>
      </c>
      <c r="D213">
        <v>0</v>
      </c>
      <c r="E213" t="s">
        <v>1411</v>
      </c>
      <c r="F213">
        <v>8328</v>
      </c>
      <c r="G213">
        <v>15375152</v>
      </c>
      <c r="H213">
        <v>0.75000001490116119</v>
      </c>
      <c r="I213">
        <v>0.68333333333333335</v>
      </c>
      <c r="J213">
        <v>2206184.166666667</v>
      </c>
      <c r="K213">
        <v>16429</v>
      </c>
      <c r="L213">
        <v>2</v>
      </c>
      <c r="M213">
        <v>86</v>
      </c>
      <c r="N213">
        <v>0.65555555555555556</v>
      </c>
      <c r="O213">
        <v>831588.41666666674</v>
      </c>
      <c r="P213">
        <v>16794</v>
      </c>
      <c r="Q213">
        <v>2</v>
      </c>
      <c r="R213">
        <v>87</v>
      </c>
      <c r="S213" t="s">
        <v>1574</v>
      </c>
      <c r="Y213">
        <f>Wine_pres_final[[#This Row],[mlp_params]]</f>
        <v>16429</v>
      </c>
      <c r="Z213">
        <f>IF((LEN(Wine_pres_final[[#This Row],[kan_width]])-LEN(SUBSTITUTE(Wine_pres_final[[#This Row],[kan_width]]," ","")))&gt;2,Wine_pres_final[[#This Row],[kan_test_acc]],"")</f>
        <v>0.75000001490116119</v>
      </c>
      <c r="AA213" t="str">
        <f>IF((LEN(Wine_pres_final[[#This Row],[kan_width]])-LEN(SUBSTITUTE(Wine_pres_final[[#This Row],[kan_width]]," ","")))&gt;2,"",Wine_pres_final[[#This Row],[kan_test_acc]])</f>
        <v/>
      </c>
      <c r="AB213">
        <f>Wine_pres_final[[#This Row],[mlp_test_acc]]</f>
        <v>0.68333333333333335</v>
      </c>
      <c r="AC213">
        <f>Wine_pres_final[[#This Row],[mlp_test_acc2]]</f>
        <v>0.65555555555555556</v>
      </c>
    </row>
    <row r="214" spans="1:29" hidden="1" x14ac:dyDescent="0.25">
      <c r="A214" t="s">
        <v>1336</v>
      </c>
      <c r="B214">
        <v>5</v>
      </c>
      <c r="C214">
        <v>2</v>
      </c>
      <c r="D214">
        <v>0</v>
      </c>
      <c r="E214" t="s">
        <v>1361</v>
      </c>
      <c r="F214">
        <v>5087</v>
      </c>
      <c r="G214">
        <v>13854638.333333334</v>
      </c>
      <c r="H214">
        <v>0.75185186167558038</v>
      </c>
      <c r="I214">
        <v>0.66296296296296298</v>
      </c>
      <c r="J214">
        <v>368772.83333333331</v>
      </c>
      <c r="K214">
        <v>7584</v>
      </c>
      <c r="L214">
        <v>2</v>
      </c>
      <c r="M214">
        <v>57</v>
      </c>
      <c r="N214">
        <v>0.7</v>
      </c>
      <c r="O214">
        <v>346043.91666666669</v>
      </c>
      <c r="P214">
        <v>7833</v>
      </c>
      <c r="Q214">
        <v>2</v>
      </c>
      <c r="R214">
        <v>58</v>
      </c>
      <c r="S214" t="s">
        <v>1599</v>
      </c>
      <c r="Y214">
        <f>Wine_pres_final[[#This Row],[mlp_params]]</f>
        <v>7584</v>
      </c>
      <c r="Z214">
        <f>IF((LEN(Wine_pres_final[[#This Row],[kan_width]])-LEN(SUBSTITUTE(Wine_pres_final[[#This Row],[kan_width]]," ","")))&gt;2,Wine_pres_final[[#This Row],[kan_test_acc]],"")</f>
        <v>0.75185186167558038</v>
      </c>
      <c r="AA214" t="str">
        <f>IF((LEN(Wine_pres_final[[#This Row],[kan_width]])-LEN(SUBSTITUTE(Wine_pres_final[[#This Row],[kan_width]]," ","")))&gt;2,"",Wine_pres_final[[#This Row],[kan_test_acc]])</f>
        <v/>
      </c>
      <c r="AB214">
        <f>Wine_pres_final[[#This Row],[mlp_test_acc]]</f>
        <v>0.66296296296296298</v>
      </c>
      <c r="AC214">
        <f>Wine_pres_final[[#This Row],[mlp_test_acc2]]</f>
        <v>0.7</v>
      </c>
    </row>
    <row r="215" spans="1:29" hidden="1" x14ac:dyDescent="0.25">
      <c r="A215" t="s">
        <v>1336</v>
      </c>
      <c r="B215">
        <v>5</v>
      </c>
      <c r="C215">
        <v>3</v>
      </c>
      <c r="D215">
        <v>0</v>
      </c>
      <c r="E215" t="s">
        <v>1389</v>
      </c>
      <c r="F215">
        <v>6208</v>
      </c>
      <c r="G215">
        <v>13019588.833333334</v>
      </c>
      <c r="H215">
        <v>0.75185186664263404</v>
      </c>
      <c r="I215">
        <v>0.69074074074074077</v>
      </c>
      <c r="J215">
        <v>1934574.6666666667</v>
      </c>
      <c r="K215">
        <v>9969</v>
      </c>
      <c r="L215">
        <v>2</v>
      </c>
      <c r="M215">
        <v>66</v>
      </c>
      <c r="N215">
        <v>0.67592592592592593</v>
      </c>
      <c r="O215">
        <v>1855165.5</v>
      </c>
      <c r="P215">
        <v>10254</v>
      </c>
      <c r="Q215">
        <v>2</v>
      </c>
      <c r="R215">
        <v>67</v>
      </c>
      <c r="S215" t="s">
        <v>1663</v>
      </c>
      <c r="Y215">
        <f>Wine_pres_final[[#This Row],[mlp_params]]</f>
        <v>9969</v>
      </c>
      <c r="Z215">
        <f>IF((LEN(Wine_pres_final[[#This Row],[kan_width]])-LEN(SUBSTITUTE(Wine_pres_final[[#This Row],[kan_width]]," ","")))&gt;2,Wine_pres_final[[#This Row],[kan_test_acc]],"")</f>
        <v>0.75185186664263404</v>
      </c>
      <c r="AA215" t="str">
        <f>IF((LEN(Wine_pres_final[[#This Row],[kan_width]])-LEN(SUBSTITUTE(Wine_pres_final[[#This Row],[kan_width]]," ","")))&gt;2,"",Wine_pres_final[[#This Row],[kan_test_acc]])</f>
        <v/>
      </c>
      <c r="AB215">
        <f>Wine_pres_final[[#This Row],[mlp_test_acc]]</f>
        <v>0.69074074074074077</v>
      </c>
      <c r="AC215">
        <f>Wine_pres_final[[#This Row],[mlp_test_acc2]]</f>
        <v>0.67592592592592593</v>
      </c>
    </row>
    <row r="216" spans="1:29" hidden="1" x14ac:dyDescent="0.25">
      <c r="A216" t="s">
        <v>1336</v>
      </c>
      <c r="B216">
        <v>5</v>
      </c>
      <c r="C216">
        <v>4</v>
      </c>
      <c r="D216">
        <v>0</v>
      </c>
      <c r="E216" t="s">
        <v>1399</v>
      </c>
      <c r="F216">
        <v>9179</v>
      </c>
      <c r="G216">
        <v>17768432.583333336</v>
      </c>
      <c r="H216">
        <v>0.75185186664263404</v>
      </c>
      <c r="I216">
        <v>0.66851851851851851</v>
      </c>
      <c r="J216">
        <v>4102861.25</v>
      </c>
      <c r="K216">
        <v>15711</v>
      </c>
      <c r="L216">
        <v>2</v>
      </c>
      <c r="M216">
        <v>84</v>
      </c>
      <c r="N216">
        <v>0.68888888888888888</v>
      </c>
      <c r="O216">
        <v>4023002.25</v>
      </c>
      <c r="P216">
        <v>16068</v>
      </c>
      <c r="Q216">
        <v>2</v>
      </c>
      <c r="R216">
        <v>85</v>
      </c>
      <c r="S216" t="s">
        <v>1718</v>
      </c>
      <c r="Y216">
        <f>Wine_pres_final[[#This Row],[mlp_params]]</f>
        <v>15711</v>
      </c>
      <c r="Z216">
        <f>IF((LEN(Wine_pres_final[[#This Row],[kan_width]])-LEN(SUBSTITUTE(Wine_pres_final[[#This Row],[kan_width]]," ","")))&gt;2,Wine_pres_final[[#This Row],[kan_test_acc]],"")</f>
        <v>0.75185186664263404</v>
      </c>
      <c r="AA216" t="str">
        <f>IF((LEN(Wine_pres_final[[#This Row],[kan_width]])-LEN(SUBSTITUTE(Wine_pres_final[[#This Row],[kan_width]]," ","")))&gt;2,"",Wine_pres_final[[#This Row],[kan_test_acc]])</f>
        <v/>
      </c>
      <c r="AB216">
        <f>Wine_pres_final[[#This Row],[mlp_test_acc]]</f>
        <v>0.66851851851851851</v>
      </c>
      <c r="AC216">
        <f>Wine_pres_final[[#This Row],[mlp_test_acc2]]</f>
        <v>0.68888888888888888</v>
      </c>
    </row>
    <row r="217" spans="1:29" hidden="1" x14ac:dyDescent="0.25">
      <c r="A217" t="s">
        <v>1336</v>
      </c>
      <c r="B217">
        <v>3</v>
      </c>
      <c r="C217">
        <v>5</v>
      </c>
      <c r="D217">
        <v>0</v>
      </c>
      <c r="E217" t="s">
        <v>1389</v>
      </c>
      <c r="F217">
        <v>6208</v>
      </c>
      <c r="G217">
        <v>13324673.25</v>
      </c>
      <c r="H217">
        <v>0.75370371590058016</v>
      </c>
      <c r="I217">
        <v>0.6611111111111112</v>
      </c>
      <c r="J217">
        <v>2010486.4166666665</v>
      </c>
      <c r="K217">
        <v>12361</v>
      </c>
      <c r="L217">
        <v>2</v>
      </c>
      <c r="M217">
        <v>74</v>
      </c>
      <c r="N217">
        <v>0.72962962962962963</v>
      </c>
      <c r="O217">
        <v>663933.41666666663</v>
      </c>
      <c r="P217">
        <v>12678</v>
      </c>
      <c r="Q217">
        <v>2</v>
      </c>
      <c r="R217">
        <v>75</v>
      </c>
      <c r="S217" t="s">
        <v>1563</v>
      </c>
      <c r="Y217">
        <f>Wine_pres_final[[#This Row],[mlp_params]]</f>
        <v>12361</v>
      </c>
      <c r="Z217">
        <f>IF((LEN(Wine_pres_final[[#This Row],[kan_width]])-LEN(SUBSTITUTE(Wine_pres_final[[#This Row],[kan_width]]," ","")))&gt;2,Wine_pres_final[[#This Row],[kan_test_acc]],"")</f>
        <v>0.75370371590058016</v>
      </c>
      <c r="AA217" t="str">
        <f>IF((LEN(Wine_pres_final[[#This Row],[kan_width]])-LEN(SUBSTITUTE(Wine_pres_final[[#This Row],[kan_width]]," ","")))&gt;2,"",Wine_pres_final[[#This Row],[kan_test_acc]])</f>
        <v/>
      </c>
      <c r="AB217">
        <f>Wine_pres_final[[#This Row],[mlp_test_acc]]</f>
        <v>0.6611111111111112</v>
      </c>
      <c r="AC217">
        <f>Wine_pres_final[[#This Row],[mlp_test_acc2]]</f>
        <v>0.72962962962962963</v>
      </c>
    </row>
    <row r="218" spans="1:29" hidden="1" x14ac:dyDescent="0.25">
      <c r="A218" t="s">
        <v>1336</v>
      </c>
      <c r="B218">
        <v>9</v>
      </c>
      <c r="C218">
        <v>3</v>
      </c>
      <c r="D218">
        <v>0</v>
      </c>
      <c r="E218" t="s">
        <v>1379</v>
      </c>
      <c r="F218">
        <v>9176</v>
      </c>
      <c r="G218">
        <v>10871813.666666666</v>
      </c>
      <c r="H218">
        <v>0.75555556764205301</v>
      </c>
      <c r="I218">
        <v>0.71666666666666667</v>
      </c>
      <c r="J218">
        <v>6547718</v>
      </c>
      <c r="K218">
        <v>13324</v>
      </c>
      <c r="L218">
        <v>2</v>
      </c>
      <c r="M218">
        <v>77</v>
      </c>
      <c r="N218">
        <v>0.69074074074074077</v>
      </c>
      <c r="O218">
        <v>2312496.4166666665</v>
      </c>
      <c r="P218">
        <v>13653</v>
      </c>
      <c r="Q218">
        <v>2</v>
      </c>
      <c r="R218">
        <v>78</v>
      </c>
      <c r="S218" t="s">
        <v>1858</v>
      </c>
      <c r="Y218">
        <f>Wine_pres_final[[#This Row],[mlp_params]]</f>
        <v>13324</v>
      </c>
      <c r="Z218">
        <f>IF((LEN(Wine_pres_final[[#This Row],[kan_width]])-LEN(SUBSTITUTE(Wine_pres_final[[#This Row],[kan_width]]," ","")))&gt;2,Wine_pres_final[[#This Row],[kan_test_acc]],"")</f>
        <v>0.75555556764205301</v>
      </c>
      <c r="AA218" t="str">
        <f>IF((LEN(Wine_pres_final[[#This Row],[kan_width]])-LEN(SUBSTITUTE(Wine_pres_final[[#This Row],[kan_width]]," ","")))&gt;2,"",Wine_pres_final[[#This Row],[kan_test_acc]])</f>
        <v/>
      </c>
      <c r="AB218">
        <f>Wine_pres_final[[#This Row],[mlp_test_acc]]</f>
        <v>0.71666666666666667</v>
      </c>
      <c r="AC218">
        <f>Wine_pres_final[[#This Row],[mlp_test_acc2]]</f>
        <v>0.69074074074074077</v>
      </c>
    </row>
    <row r="219" spans="1:29" hidden="1" x14ac:dyDescent="0.25">
      <c r="A219" t="s">
        <v>1336</v>
      </c>
      <c r="B219">
        <v>5</v>
      </c>
      <c r="C219">
        <v>3</v>
      </c>
      <c r="D219">
        <v>0</v>
      </c>
      <c r="E219" t="s">
        <v>1373</v>
      </c>
      <c r="F219">
        <v>5546</v>
      </c>
      <c r="G219">
        <v>11799775.666666666</v>
      </c>
      <c r="H219">
        <v>0.75740741689999891</v>
      </c>
      <c r="I219">
        <v>0.73888888888888893</v>
      </c>
      <c r="J219">
        <v>423532.08333333331</v>
      </c>
      <c r="K219">
        <v>8869</v>
      </c>
      <c r="L219">
        <v>2</v>
      </c>
      <c r="M219">
        <v>62</v>
      </c>
      <c r="N219">
        <v>0.67777777777777781</v>
      </c>
      <c r="O219">
        <v>513216.66666666663</v>
      </c>
      <c r="P219">
        <v>9138</v>
      </c>
      <c r="Q219">
        <v>2</v>
      </c>
      <c r="R219">
        <v>63</v>
      </c>
      <c r="S219" t="s">
        <v>1655</v>
      </c>
      <c r="Y219">
        <f>Wine_pres_final[[#This Row],[mlp_params]]</f>
        <v>8869</v>
      </c>
      <c r="Z219">
        <f>IF((LEN(Wine_pres_final[[#This Row],[kan_width]])-LEN(SUBSTITUTE(Wine_pres_final[[#This Row],[kan_width]]," ","")))&gt;2,Wine_pres_final[[#This Row],[kan_test_acc]],"")</f>
        <v>0.75740741689999891</v>
      </c>
      <c r="AA219" t="str">
        <f>IF((LEN(Wine_pres_final[[#This Row],[kan_width]])-LEN(SUBSTITUTE(Wine_pres_final[[#This Row],[kan_width]]," ","")))&gt;2,"",Wine_pres_final[[#This Row],[kan_test_acc]])</f>
        <v/>
      </c>
      <c r="AB219">
        <f>Wine_pres_final[[#This Row],[mlp_test_acc]]</f>
        <v>0.73888888888888893</v>
      </c>
      <c r="AC219">
        <f>Wine_pres_final[[#This Row],[mlp_test_acc2]]</f>
        <v>0.67777777777777781</v>
      </c>
    </row>
    <row r="220" spans="1:29" hidden="1" x14ac:dyDescent="0.25">
      <c r="A220" t="s">
        <v>1336</v>
      </c>
      <c r="B220">
        <v>5</v>
      </c>
      <c r="C220">
        <v>5</v>
      </c>
      <c r="D220">
        <v>0</v>
      </c>
      <c r="E220" t="s">
        <v>1433</v>
      </c>
      <c r="F220">
        <v>1884</v>
      </c>
      <c r="G220">
        <v>18671914.833333332</v>
      </c>
      <c r="H220">
        <v>0.75740741938352585</v>
      </c>
      <c r="I220">
        <v>0.66666666666666674</v>
      </c>
      <c r="J220">
        <v>12783452.916666666</v>
      </c>
      <c r="K220">
        <v>3444</v>
      </c>
      <c r="L220">
        <v>2</v>
      </c>
      <c r="M220">
        <v>37</v>
      </c>
      <c r="N220">
        <v>0.7314814814814814</v>
      </c>
      <c r="O220">
        <v>19610325.166666668</v>
      </c>
      <c r="P220">
        <v>3613</v>
      </c>
      <c r="Q220">
        <v>2</v>
      </c>
      <c r="R220">
        <v>38</v>
      </c>
      <c r="S220" t="s">
        <v>1735</v>
      </c>
      <c r="Y220">
        <f>Wine_pres_final[[#This Row],[mlp_params]]</f>
        <v>3444</v>
      </c>
      <c r="Z220" t="str">
        <f>IF((LEN(Wine_pres_final[[#This Row],[kan_width]])-LEN(SUBSTITUTE(Wine_pres_final[[#This Row],[kan_width]]," ","")))&gt;2,Wine_pres_final[[#This Row],[kan_test_acc]],"")</f>
        <v/>
      </c>
      <c r="AA220">
        <f>IF((LEN(Wine_pres_final[[#This Row],[kan_width]])-LEN(SUBSTITUTE(Wine_pres_final[[#This Row],[kan_width]]," ","")))&gt;2,"",Wine_pres_final[[#This Row],[kan_test_acc]])</f>
        <v>0.75740741938352585</v>
      </c>
      <c r="AB220">
        <f>Wine_pres_final[[#This Row],[mlp_test_acc]]</f>
        <v>0.66666666666666674</v>
      </c>
      <c r="AC220">
        <f>Wine_pres_final[[#This Row],[mlp_test_acc2]]</f>
        <v>0.7314814814814814</v>
      </c>
    </row>
    <row r="221" spans="1:29" hidden="1" x14ac:dyDescent="0.25">
      <c r="A221" t="s">
        <v>1336</v>
      </c>
      <c r="B221">
        <v>5</v>
      </c>
      <c r="C221">
        <v>4</v>
      </c>
      <c r="D221">
        <v>0</v>
      </c>
      <c r="E221" t="s">
        <v>1405</v>
      </c>
      <c r="F221">
        <v>7491</v>
      </c>
      <c r="G221">
        <v>14751973.166666666</v>
      </c>
      <c r="H221">
        <v>0.75740741938352585</v>
      </c>
      <c r="I221">
        <v>0.66111111111111109</v>
      </c>
      <c r="J221">
        <v>4571719.583333334</v>
      </c>
      <c r="K221">
        <v>12999</v>
      </c>
      <c r="L221">
        <v>2</v>
      </c>
      <c r="M221">
        <v>76</v>
      </c>
      <c r="N221">
        <v>0.66296296296296298</v>
      </c>
      <c r="O221">
        <v>3281208.333333333</v>
      </c>
      <c r="P221">
        <v>13324</v>
      </c>
      <c r="Q221">
        <v>2</v>
      </c>
      <c r="R221">
        <v>77</v>
      </c>
      <c r="S221" t="s">
        <v>1721</v>
      </c>
      <c r="Y221">
        <f>Wine_pres_final[[#This Row],[mlp_params]]</f>
        <v>12999</v>
      </c>
      <c r="Z221">
        <f>IF((LEN(Wine_pres_final[[#This Row],[kan_width]])-LEN(SUBSTITUTE(Wine_pres_final[[#This Row],[kan_width]]," ","")))&gt;2,Wine_pres_final[[#This Row],[kan_test_acc]],"")</f>
        <v>0.75740741938352585</v>
      </c>
      <c r="AA221" t="str">
        <f>IF((LEN(Wine_pres_final[[#This Row],[kan_width]])-LEN(SUBSTITUTE(Wine_pres_final[[#This Row],[kan_width]]," ","")))&gt;2,"",Wine_pres_final[[#This Row],[kan_test_acc]])</f>
        <v/>
      </c>
      <c r="AB221">
        <f>Wine_pres_final[[#This Row],[mlp_test_acc]]</f>
        <v>0.66111111111111109</v>
      </c>
      <c r="AC221">
        <f>Wine_pres_final[[#This Row],[mlp_test_acc2]]</f>
        <v>0.66296296296296298</v>
      </c>
    </row>
    <row r="222" spans="1:29" hidden="1" x14ac:dyDescent="0.25">
      <c r="A222" t="s">
        <v>1336</v>
      </c>
      <c r="B222">
        <v>5</v>
      </c>
      <c r="C222">
        <v>3</v>
      </c>
      <c r="D222">
        <v>0</v>
      </c>
      <c r="E222" t="s">
        <v>1387</v>
      </c>
      <c r="F222">
        <v>5766</v>
      </c>
      <c r="G222">
        <v>13631125.25</v>
      </c>
      <c r="H222">
        <v>0.75740742186705268</v>
      </c>
      <c r="I222">
        <v>0.69074074074074066</v>
      </c>
      <c r="J222">
        <v>2304806.166666667</v>
      </c>
      <c r="K222">
        <v>9411</v>
      </c>
      <c r="L222">
        <v>2</v>
      </c>
      <c r="M222">
        <v>64</v>
      </c>
      <c r="N222">
        <v>0.66851851851851851</v>
      </c>
      <c r="O222">
        <v>1649682.3333333333</v>
      </c>
      <c r="P222">
        <v>9688</v>
      </c>
      <c r="Q222">
        <v>2</v>
      </c>
      <c r="R222">
        <v>65</v>
      </c>
      <c r="S222" t="s">
        <v>1662</v>
      </c>
      <c r="Y222">
        <f>Wine_pres_final[[#This Row],[mlp_params]]</f>
        <v>9411</v>
      </c>
      <c r="Z222">
        <f>IF((LEN(Wine_pres_final[[#This Row],[kan_width]])-LEN(SUBSTITUTE(Wine_pres_final[[#This Row],[kan_width]]," ","")))&gt;2,Wine_pres_final[[#This Row],[kan_test_acc]],"")</f>
        <v>0.75740742186705268</v>
      </c>
      <c r="AA222" t="str">
        <f>IF((LEN(Wine_pres_final[[#This Row],[kan_width]])-LEN(SUBSTITUTE(Wine_pres_final[[#This Row],[kan_width]]," ","")))&gt;2,"",Wine_pres_final[[#This Row],[kan_test_acc]])</f>
        <v/>
      </c>
      <c r="AB222">
        <f>Wine_pres_final[[#This Row],[mlp_test_acc]]</f>
        <v>0.69074074074074066</v>
      </c>
      <c r="AC222">
        <f>Wine_pres_final[[#This Row],[mlp_test_acc2]]</f>
        <v>0.66851851851851851</v>
      </c>
    </row>
    <row r="223" spans="1:29" hidden="1" x14ac:dyDescent="0.25">
      <c r="A223" t="s">
        <v>1336</v>
      </c>
      <c r="B223">
        <v>3</v>
      </c>
      <c r="C223">
        <v>5</v>
      </c>
      <c r="D223">
        <v>0</v>
      </c>
      <c r="E223" t="s">
        <v>1417</v>
      </c>
      <c r="F223">
        <v>6472</v>
      </c>
      <c r="G223">
        <v>20580871.25</v>
      </c>
      <c r="H223">
        <v>0.75740742186705268</v>
      </c>
      <c r="I223">
        <v>0.71851851851851856</v>
      </c>
      <c r="J223">
        <v>2383261.4166666665</v>
      </c>
      <c r="K223">
        <v>12678</v>
      </c>
      <c r="L223">
        <v>2</v>
      </c>
      <c r="M223">
        <v>75</v>
      </c>
      <c r="N223">
        <v>0.67962962962962958</v>
      </c>
      <c r="O223">
        <v>3703159.333333333</v>
      </c>
      <c r="P223">
        <v>12999</v>
      </c>
      <c r="Q223">
        <v>2</v>
      </c>
      <c r="R223">
        <v>76</v>
      </c>
      <c r="S223" t="s">
        <v>1577</v>
      </c>
      <c r="Y223">
        <f>Wine_pres_final[[#This Row],[mlp_params]]</f>
        <v>12678</v>
      </c>
      <c r="Z223">
        <f>IF((LEN(Wine_pres_final[[#This Row],[kan_width]])-LEN(SUBSTITUTE(Wine_pres_final[[#This Row],[kan_width]]," ","")))&gt;2,Wine_pres_final[[#This Row],[kan_test_acc]],"")</f>
        <v>0.75740742186705268</v>
      </c>
      <c r="AA223" t="str">
        <f>IF((LEN(Wine_pres_final[[#This Row],[kan_width]])-LEN(SUBSTITUTE(Wine_pres_final[[#This Row],[kan_width]]," ","")))&gt;2,"",Wine_pres_final[[#This Row],[kan_test_acc]])</f>
        <v/>
      </c>
      <c r="AB223">
        <f>Wine_pres_final[[#This Row],[mlp_test_acc]]</f>
        <v>0.71851851851851856</v>
      </c>
      <c r="AC223">
        <f>Wine_pres_final[[#This Row],[mlp_test_acc2]]</f>
        <v>0.67962962962962958</v>
      </c>
    </row>
    <row r="224" spans="1:29" hidden="1" x14ac:dyDescent="0.25">
      <c r="A224" t="s">
        <v>1336</v>
      </c>
      <c r="B224">
        <v>5</v>
      </c>
      <c r="C224">
        <v>5</v>
      </c>
      <c r="D224">
        <v>0</v>
      </c>
      <c r="E224" t="s">
        <v>1387</v>
      </c>
      <c r="F224">
        <v>6808</v>
      </c>
      <c r="G224">
        <v>19489189.166666664</v>
      </c>
      <c r="H224">
        <v>0.75740742186705268</v>
      </c>
      <c r="I224">
        <v>0.66851851851851851</v>
      </c>
      <c r="J224">
        <v>4549716.916666667</v>
      </c>
      <c r="K224">
        <v>12361</v>
      </c>
      <c r="L224">
        <v>2</v>
      </c>
      <c r="M224">
        <v>74</v>
      </c>
      <c r="N224">
        <v>0.66481481481481475</v>
      </c>
      <c r="O224">
        <v>3510121.833333333</v>
      </c>
      <c r="P224">
        <v>12678</v>
      </c>
      <c r="Q224">
        <v>2</v>
      </c>
      <c r="R224">
        <v>75</v>
      </c>
      <c r="S224" t="s">
        <v>1762</v>
      </c>
      <c r="Y224">
        <f>Wine_pres_final[[#This Row],[mlp_params]]</f>
        <v>12361</v>
      </c>
      <c r="Z224">
        <f>IF((LEN(Wine_pres_final[[#This Row],[kan_width]])-LEN(SUBSTITUTE(Wine_pres_final[[#This Row],[kan_width]]," ","")))&gt;2,Wine_pres_final[[#This Row],[kan_test_acc]],"")</f>
        <v>0.75740742186705268</v>
      </c>
      <c r="AA224" t="str">
        <f>IF((LEN(Wine_pres_final[[#This Row],[kan_width]])-LEN(SUBSTITUTE(Wine_pres_final[[#This Row],[kan_width]]," ","")))&gt;2,"",Wine_pres_final[[#This Row],[kan_test_acc]])</f>
        <v/>
      </c>
      <c r="AB224">
        <f>Wine_pres_final[[#This Row],[mlp_test_acc]]</f>
        <v>0.66851851851851851</v>
      </c>
      <c r="AC224">
        <f>Wine_pres_final[[#This Row],[mlp_test_acc2]]</f>
        <v>0.66481481481481475</v>
      </c>
    </row>
    <row r="225" spans="1:29" hidden="1" x14ac:dyDescent="0.25">
      <c r="A225" t="s">
        <v>1336</v>
      </c>
      <c r="B225">
        <v>3</v>
      </c>
      <c r="C225">
        <v>5</v>
      </c>
      <c r="D225">
        <v>0</v>
      </c>
      <c r="E225" t="s">
        <v>1425</v>
      </c>
      <c r="F225">
        <v>8592</v>
      </c>
      <c r="G225">
        <v>14635530.75</v>
      </c>
      <c r="H225">
        <v>0.75740742186705279</v>
      </c>
      <c r="I225">
        <v>0.67962962962962958</v>
      </c>
      <c r="J225">
        <v>2167620.25</v>
      </c>
      <c r="K225">
        <v>16794</v>
      </c>
      <c r="L225">
        <v>2</v>
      </c>
      <c r="M225">
        <v>87</v>
      </c>
      <c r="N225">
        <v>0.71111111111111114</v>
      </c>
      <c r="O225">
        <v>1663884.5833333333</v>
      </c>
      <c r="P225">
        <v>17163</v>
      </c>
      <c r="Q225">
        <v>2</v>
      </c>
      <c r="R225">
        <v>88</v>
      </c>
      <c r="S225" t="s">
        <v>1581</v>
      </c>
      <c r="Y225">
        <f>Wine_pres_final[[#This Row],[mlp_params]]</f>
        <v>16794</v>
      </c>
      <c r="Z225">
        <f>IF((LEN(Wine_pres_final[[#This Row],[kan_width]])-LEN(SUBSTITUTE(Wine_pres_final[[#This Row],[kan_width]]," ","")))&gt;2,Wine_pres_final[[#This Row],[kan_test_acc]],"")</f>
        <v>0.75740742186705279</v>
      </c>
      <c r="AA225" t="str">
        <f>IF((LEN(Wine_pres_final[[#This Row],[kan_width]])-LEN(SUBSTITUTE(Wine_pres_final[[#This Row],[kan_width]]," ","")))&gt;2,"",Wine_pres_final[[#This Row],[kan_test_acc]])</f>
        <v/>
      </c>
      <c r="AB225">
        <f>Wine_pres_final[[#This Row],[mlp_test_acc]]</f>
        <v>0.67962962962962958</v>
      </c>
      <c r="AC225">
        <f>Wine_pres_final[[#This Row],[mlp_test_acc2]]</f>
        <v>0.71111111111111114</v>
      </c>
    </row>
    <row r="226" spans="1:29" hidden="1" x14ac:dyDescent="0.25">
      <c r="A226" t="s">
        <v>1336</v>
      </c>
      <c r="B226">
        <v>9</v>
      </c>
      <c r="C226">
        <v>3</v>
      </c>
      <c r="D226">
        <v>0</v>
      </c>
      <c r="E226" t="s">
        <v>1429</v>
      </c>
      <c r="F226">
        <v>13144</v>
      </c>
      <c r="G226">
        <v>14983087.916666668</v>
      </c>
      <c r="H226">
        <v>0.75740742186705279</v>
      </c>
      <c r="I226">
        <v>0.67592592592592593</v>
      </c>
      <c r="J226">
        <v>5124614.333333333</v>
      </c>
      <c r="K226">
        <v>19068</v>
      </c>
      <c r="L226">
        <v>2</v>
      </c>
      <c r="M226">
        <v>93</v>
      </c>
      <c r="N226">
        <v>0.71296296296296302</v>
      </c>
      <c r="O226">
        <v>5087232</v>
      </c>
      <c r="P226">
        <v>19461</v>
      </c>
      <c r="Q226">
        <v>2</v>
      </c>
      <c r="R226">
        <v>94</v>
      </c>
      <c r="S226" t="s">
        <v>1883</v>
      </c>
      <c r="Y226">
        <f>Wine_pres_final[[#This Row],[mlp_params]]</f>
        <v>19068</v>
      </c>
      <c r="Z226">
        <f>IF((LEN(Wine_pres_final[[#This Row],[kan_width]])-LEN(SUBSTITUTE(Wine_pres_final[[#This Row],[kan_width]]," ","")))&gt;2,Wine_pres_final[[#This Row],[kan_test_acc]],"")</f>
        <v>0.75740742186705279</v>
      </c>
      <c r="AA226" t="str">
        <f>IF((LEN(Wine_pres_final[[#This Row],[kan_width]])-LEN(SUBSTITUTE(Wine_pres_final[[#This Row],[kan_width]]," ","")))&gt;2,"",Wine_pres_final[[#This Row],[kan_test_acc]])</f>
        <v/>
      </c>
      <c r="AB226">
        <f>Wine_pres_final[[#This Row],[mlp_test_acc]]</f>
        <v>0.67592592592592593</v>
      </c>
      <c r="AC226">
        <f>Wine_pres_final[[#This Row],[mlp_test_acc2]]</f>
        <v>0.71296296296296302</v>
      </c>
    </row>
    <row r="227" spans="1:29" hidden="1" x14ac:dyDescent="0.25">
      <c r="A227" t="s">
        <v>1336</v>
      </c>
      <c r="B227">
        <v>5</v>
      </c>
      <c r="C227">
        <v>4</v>
      </c>
      <c r="D227">
        <v>0</v>
      </c>
      <c r="E227" t="s">
        <v>1403</v>
      </c>
      <c r="F227">
        <v>6961</v>
      </c>
      <c r="G227">
        <v>15742135.416666668</v>
      </c>
      <c r="H227">
        <v>0.75925927360852552</v>
      </c>
      <c r="I227">
        <v>0.66481481481481475</v>
      </c>
      <c r="J227">
        <v>4488252.416666667</v>
      </c>
      <c r="K227">
        <v>12048</v>
      </c>
      <c r="L227">
        <v>2</v>
      </c>
      <c r="M227">
        <v>73</v>
      </c>
      <c r="N227">
        <v>0.66851851851851851</v>
      </c>
      <c r="O227">
        <v>3747717.333333333</v>
      </c>
      <c r="P227">
        <v>12361</v>
      </c>
      <c r="Q227">
        <v>2</v>
      </c>
      <c r="R227">
        <v>74</v>
      </c>
      <c r="S227" t="s">
        <v>1720</v>
      </c>
      <c r="Y227">
        <f>Wine_pres_final[[#This Row],[mlp_params]]</f>
        <v>12048</v>
      </c>
      <c r="Z227">
        <f>IF((LEN(Wine_pres_final[[#This Row],[kan_width]])-LEN(SUBSTITUTE(Wine_pres_final[[#This Row],[kan_width]]," ","")))&gt;2,Wine_pres_final[[#This Row],[kan_test_acc]],"")</f>
        <v>0.75925927360852552</v>
      </c>
      <c r="AA227" t="str">
        <f>IF((LEN(Wine_pres_final[[#This Row],[kan_width]])-LEN(SUBSTITUTE(Wine_pres_final[[#This Row],[kan_width]]," ","")))&gt;2,"",Wine_pres_final[[#This Row],[kan_test_acc]])</f>
        <v/>
      </c>
      <c r="AB227">
        <f>Wine_pres_final[[#This Row],[mlp_test_acc]]</f>
        <v>0.66481481481481475</v>
      </c>
      <c r="AC227">
        <f>Wine_pres_final[[#This Row],[mlp_test_acc2]]</f>
        <v>0.66851851851851851</v>
      </c>
    </row>
    <row r="228" spans="1:29" hidden="1" x14ac:dyDescent="0.25">
      <c r="A228" t="s">
        <v>1336</v>
      </c>
      <c r="B228">
        <v>3</v>
      </c>
      <c r="C228">
        <v>5</v>
      </c>
      <c r="D228">
        <v>0</v>
      </c>
      <c r="E228" t="s">
        <v>1409</v>
      </c>
      <c r="F228">
        <v>7842</v>
      </c>
      <c r="G228">
        <v>15890420.833333332</v>
      </c>
      <c r="H228">
        <v>0.75925927360852552</v>
      </c>
      <c r="I228">
        <v>0.70555555555555549</v>
      </c>
      <c r="J228">
        <v>2214345.416666667</v>
      </c>
      <c r="K228">
        <v>15358</v>
      </c>
      <c r="L228">
        <v>2</v>
      </c>
      <c r="M228">
        <v>83</v>
      </c>
      <c r="N228">
        <v>0.66296296296296298</v>
      </c>
      <c r="O228">
        <v>965080.08333333337</v>
      </c>
      <c r="P228">
        <v>15711</v>
      </c>
      <c r="Q228">
        <v>2</v>
      </c>
      <c r="R228">
        <v>84</v>
      </c>
      <c r="S228" t="s">
        <v>1573</v>
      </c>
      <c r="Y228">
        <f>Wine_pres_final[[#This Row],[mlp_params]]</f>
        <v>15358</v>
      </c>
      <c r="Z228">
        <f>IF((LEN(Wine_pres_final[[#This Row],[kan_width]])-LEN(SUBSTITUTE(Wine_pres_final[[#This Row],[kan_width]]," ","")))&gt;2,Wine_pres_final[[#This Row],[kan_test_acc]],"")</f>
        <v>0.75925927360852552</v>
      </c>
      <c r="AA228" t="str">
        <f>IF((LEN(Wine_pres_final[[#This Row],[kan_width]])-LEN(SUBSTITUTE(Wine_pres_final[[#This Row],[kan_width]]," ","")))&gt;2,"",Wine_pres_final[[#This Row],[kan_test_acc]])</f>
        <v/>
      </c>
      <c r="AB228">
        <f>Wine_pres_final[[#This Row],[mlp_test_acc]]</f>
        <v>0.70555555555555549</v>
      </c>
      <c r="AC228">
        <f>Wine_pres_final[[#This Row],[mlp_test_acc2]]</f>
        <v>0.66296296296296298</v>
      </c>
    </row>
    <row r="229" spans="1:29" x14ac:dyDescent="0.25">
      <c r="A229" t="s">
        <v>1336</v>
      </c>
      <c r="B229">
        <v>9</v>
      </c>
      <c r="C229">
        <v>5</v>
      </c>
      <c r="D229">
        <v>0</v>
      </c>
      <c r="E229" t="s">
        <v>1395</v>
      </c>
      <c r="F229">
        <v>11620</v>
      </c>
      <c r="G229">
        <v>11515002.916666668</v>
      </c>
      <c r="H229">
        <v>0.62407409151395166</v>
      </c>
      <c r="I229">
        <v>0.76481481481481484</v>
      </c>
      <c r="J229">
        <v>1294242.5833333333</v>
      </c>
      <c r="K229">
        <v>19068</v>
      </c>
      <c r="L229">
        <v>2</v>
      </c>
      <c r="M229">
        <v>93</v>
      </c>
      <c r="N229">
        <v>0.7592592592592593</v>
      </c>
      <c r="O229">
        <v>1847930.3333333335</v>
      </c>
      <c r="P229">
        <v>19461</v>
      </c>
      <c r="Q229">
        <v>2</v>
      </c>
      <c r="R229">
        <v>94</v>
      </c>
      <c r="S229" t="s">
        <v>1966</v>
      </c>
      <c r="Y229">
        <f>Wine_pres_final[[#This Row],[mlp_params]]</f>
        <v>19068</v>
      </c>
      <c r="Z229">
        <f>IF((LEN(Wine_pres_final[[#This Row],[kan_width]])-LEN(SUBSTITUTE(Wine_pres_final[[#This Row],[kan_width]]," ","")))&gt;2,Wine_pres_final[[#This Row],[kan_test_acc]],"")</f>
        <v>0.62407409151395166</v>
      </c>
      <c r="AA229" t="str">
        <f>IF((LEN(Wine_pres_final[[#This Row],[kan_width]])-LEN(SUBSTITUTE(Wine_pres_final[[#This Row],[kan_width]]," ","")))&gt;2,"",Wine_pres_final[[#This Row],[kan_test_acc]])</f>
        <v/>
      </c>
      <c r="AB229">
        <f>Wine_pres_final[[#This Row],[mlp_test_acc]]</f>
        <v>0.76481481481481484</v>
      </c>
      <c r="AC229">
        <f>Wine_pres_final[[#This Row],[mlp_test_acc2]]</f>
        <v>0.7592592592592593</v>
      </c>
    </row>
    <row r="230" spans="1:29" hidden="1" x14ac:dyDescent="0.25">
      <c r="A230" t="s">
        <v>1336</v>
      </c>
      <c r="B230">
        <v>5</v>
      </c>
      <c r="C230">
        <v>3</v>
      </c>
      <c r="D230">
        <v>0</v>
      </c>
      <c r="E230" t="s">
        <v>1357</v>
      </c>
      <c r="F230">
        <v>4884</v>
      </c>
      <c r="G230">
        <v>11131727.25</v>
      </c>
      <c r="H230">
        <v>0.76111112534999847</v>
      </c>
      <c r="I230">
        <v>0.73333333333333339</v>
      </c>
      <c r="J230">
        <v>393228.5</v>
      </c>
      <c r="K230">
        <v>7833</v>
      </c>
      <c r="L230">
        <v>2</v>
      </c>
      <c r="M230">
        <v>58</v>
      </c>
      <c r="N230">
        <v>0.66296296296296298</v>
      </c>
      <c r="O230">
        <v>378390.41666666669</v>
      </c>
      <c r="P230">
        <v>8086</v>
      </c>
      <c r="Q230">
        <v>2</v>
      </c>
      <c r="R230">
        <v>59</v>
      </c>
      <c r="S230" t="s">
        <v>1647</v>
      </c>
      <c r="Y230">
        <f>Wine_pres_final[[#This Row],[mlp_params]]</f>
        <v>7833</v>
      </c>
      <c r="Z230">
        <f>IF((LEN(Wine_pres_final[[#This Row],[kan_width]])-LEN(SUBSTITUTE(Wine_pres_final[[#This Row],[kan_width]]," ","")))&gt;2,Wine_pres_final[[#This Row],[kan_test_acc]],"")</f>
        <v>0.76111112534999847</v>
      </c>
      <c r="AA230" t="str">
        <f>IF((LEN(Wine_pres_final[[#This Row],[kan_width]])-LEN(SUBSTITUTE(Wine_pres_final[[#This Row],[kan_width]]," ","")))&gt;2,"",Wine_pres_final[[#This Row],[kan_test_acc]])</f>
        <v/>
      </c>
      <c r="AB230">
        <f>Wine_pres_final[[#This Row],[mlp_test_acc]]</f>
        <v>0.73333333333333339</v>
      </c>
      <c r="AC230">
        <f>Wine_pres_final[[#This Row],[mlp_test_acc2]]</f>
        <v>0.66296296296296298</v>
      </c>
    </row>
    <row r="231" spans="1:29" hidden="1" x14ac:dyDescent="0.25">
      <c r="A231" t="s">
        <v>1336</v>
      </c>
      <c r="B231">
        <v>9</v>
      </c>
      <c r="C231">
        <v>2</v>
      </c>
      <c r="D231">
        <v>0</v>
      </c>
      <c r="E231" t="s">
        <v>1399</v>
      </c>
      <c r="F231">
        <v>10701</v>
      </c>
      <c r="G231">
        <v>12268830.25</v>
      </c>
      <c r="H231">
        <v>0.76111112534999847</v>
      </c>
      <c r="I231">
        <v>0.7314814814814814</v>
      </c>
      <c r="J231">
        <v>4836770.916666666</v>
      </c>
      <c r="K231">
        <v>14323</v>
      </c>
      <c r="L231">
        <v>2</v>
      </c>
      <c r="M231">
        <v>80</v>
      </c>
      <c r="N231">
        <v>0.7592592592592593</v>
      </c>
      <c r="O231">
        <v>3858175</v>
      </c>
      <c r="P231">
        <v>14664</v>
      </c>
      <c r="Q231">
        <v>2</v>
      </c>
      <c r="R231">
        <v>81</v>
      </c>
      <c r="S231" t="s">
        <v>1818</v>
      </c>
      <c r="Y231">
        <f>Wine_pres_final[[#This Row],[mlp_params]]</f>
        <v>14323</v>
      </c>
      <c r="Z231">
        <f>IF((LEN(Wine_pres_final[[#This Row],[kan_width]])-LEN(SUBSTITUTE(Wine_pres_final[[#This Row],[kan_width]]," ","")))&gt;2,Wine_pres_final[[#This Row],[kan_test_acc]],"")</f>
        <v>0.76111112534999847</v>
      </c>
      <c r="AA231" t="str">
        <f>IF((LEN(Wine_pres_final[[#This Row],[kan_width]])-LEN(SUBSTITUTE(Wine_pres_final[[#This Row],[kan_width]]," ","")))&gt;2,"",Wine_pres_final[[#This Row],[kan_test_acc]])</f>
        <v/>
      </c>
      <c r="AB231">
        <f>Wine_pres_final[[#This Row],[mlp_test_acc]]</f>
        <v>0.7314814814814814</v>
      </c>
      <c r="AC231">
        <f>Wine_pres_final[[#This Row],[mlp_test_acc2]]</f>
        <v>0.7592592592592593</v>
      </c>
    </row>
    <row r="232" spans="1:29" hidden="1" x14ac:dyDescent="0.25">
      <c r="A232" t="s">
        <v>1336</v>
      </c>
      <c r="B232">
        <v>5</v>
      </c>
      <c r="C232">
        <v>3</v>
      </c>
      <c r="D232">
        <v>0</v>
      </c>
      <c r="E232" t="s">
        <v>1397</v>
      </c>
      <c r="F232">
        <v>7976</v>
      </c>
      <c r="G232">
        <v>16242148.583333332</v>
      </c>
      <c r="H232">
        <v>0.76296297460794449</v>
      </c>
      <c r="I232">
        <v>0.69814814814814818</v>
      </c>
      <c r="J232">
        <v>4736788</v>
      </c>
      <c r="K232">
        <v>12999</v>
      </c>
      <c r="L232">
        <v>2</v>
      </c>
      <c r="M232">
        <v>76</v>
      </c>
      <c r="N232">
        <v>0.68888888888888888</v>
      </c>
      <c r="O232">
        <v>2948982.416666667</v>
      </c>
      <c r="P232">
        <v>13324</v>
      </c>
      <c r="Q232">
        <v>2</v>
      </c>
      <c r="R232">
        <v>77</v>
      </c>
      <c r="S232" t="s">
        <v>1667</v>
      </c>
      <c r="Y232">
        <f>Wine_pres_final[[#This Row],[mlp_params]]</f>
        <v>12999</v>
      </c>
      <c r="Z232">
        <f>IF((LEN(Wine_pres_final[[#This Row],[kan_width]])-LEN(SUBSTITUTE(Wine_pres_final[[#This Row],[kan_width]]," ","")))&gt;2,Wine_pres_final[[#This Row],[kan_test_acc]],"")</f>
        <v>0.76296297460794449</v>
      </c>
      <c r="AA232" t="str">
        <f>IF((LEN(Wine_pres_final[[#This Row],[kan_width]])-LEN(SUBSTITUTE(Wine_pres_final[[#This Row],[kan_width]]," ","")))&gt;2,"",Wine_pres_final[[#This Row],[kan_test_acc]])</f>
        <v/>
      </c>
      <c r="AB232">
        <f>Wine_pres_final[[#This Row],[mlp_test_acc]]</f>
        <v>0.69814814814814818</v>
      </c>
      <c r="AC232">
        <f>Wine_pres_final[[#This Row],[mlp_test_acc2]]</f>
        <v>0.68888888888888888</v>
      </c>
    </row>
    <row r="233" spans="1:29" hidden="1" x14ac:dyDescent="0.25">
      <c r="A233" t="s">
        <v>1336</v>
      </c>
      <c r="B233">
        <v>5</v>
      </c>
      <c r="C233">
        <v>3</v>
      </c>
      <c r="D233">
        <v>0</v>
      </c>
      <c r="E233" t="s">
        <v>1361</v>
      </c>
      <c r="F233">
        <v>5592</v>
      </c>
      <c r="G233">
        <v>13127271.833333334</v>
      </c>
      <c r="H233">
        <v>0.76481482138236356</v>
      </c>
      <c r="I233">
        <v>0.71111111111111114</v>
      </c>
      <c r="J233">
        <v>416389.83333333337</v>
      </c>
      <c r="K233">
        <v>8869</v>
      </c>
      <c r="L233">
        <v>2</v>
      </c>
      <c r="M233">
        <v>62</v>
      </c>
      <c r="N233">
        <v>0.68148148148148158</v>
      </c>
      <c r="O233">
        <v>644349.66666666674</v>
      </c>
      <c r="P233">
        <v>9138</v>
      </c>
      <c r="Q233">
        <v>2</v>
      </c>
      <c r="R233">
        <v>63</v>
      </c>
      <c r="S233" t="s">
        <v>1649</v>
      </c>
      <c r="Y233">
        <f>Wine_pres_final[[#This Row],[mlp_params]]</f>
        <v>8869</v>
      </c>
      <c r="Z233">
        <f>IF((LEN(Wine_pres_final[[#This Row],[kan_width]])-LEN(SUBSTITUTE(Wine_pres_final[[#This Row],[kan_width]]," ","")))&gt;2,Wine_pres_final[[#This Row],[kan_test_acc]],"")</f>
        <v>0.76481482138236356</v>
      </c>
      <c r="AA233" t="str">
        <f>IF((LEN(Wine_pres_final[[#This Row],[kan_width]])-LEN(SUBSTITUTE(Wine_pres_final[[#This Row],[kan_width]]," ","")))&gt;2,"",Wine_pres_final[[#This Row],[kan_test_acc]])</f>
        <v/>
      </c>
      <c r="AB233">
        <f>Wine_pres_final[[#This Row],[mlp_test_acc]]</f>
        <v>0.71111111111111114</v>
      </c>
      <c r="AC233">
        <f>Wine_pres_final[[#This Row],[mlp_test_acc2]]</f>
        <v>0.68148148148148158</v>
      </c>
    </row>
    <row r="234" spans="1:29" hidden="1" x14ac:dyDescent="0.25">
      <c r="A234" t="s">
        <v>1336</v>
      </c>
      <c r="B234">
        <v>5</v>
      </c>
      <c r="C234">
        <v>4</v>
      </c>
      <c r="D234">
        <v>0</v>
      </c>
      <c r="E234" t="s">
        <v>1431</v>
      </c>
      <c r="F234">
        <v>11103</v>
      </c>
      <c r="G234">
        <v>19634509.25</v>
      </c>
      <c r="H234">
        <v>0.76481482634941733</v>
      </c>
      <c r="I234">
        <v>0.67037037037037039</v>
      </c>
      <c r="J234">
        <v>7108547.083333333</v>
      </c>
      <c r="K234">
        <v>19068</v>
      </c>
      <c r="L234">
        <v>2</v>
      </c>
      <c r="M234">
        <v>93</v>
      </c>
      <c r="N234">
        <v>0.70185185185185184</v>
      </c>
      <c r="O234">
        <v>13424596.666666668</v>
      </c>
      <c r="P234">
        <v>19461</v>
      </c>
      <c r="Q234">
        <v>2</v>
      </c>
      <c r="R234">
        <v>94</v>
      </c>
      <c r="S234" t="s">
        <v>1734</v>
      </c>
      <c r="Y234">
        <f>Wine_pres_final[[#This Row],[mlp_params]]</f>
        <v>19068</v>
      </c>
      <c r="Z234">
        <f>IF((LEN(Wine_pres_final[[#This Row],[kan_width]])-LEN(SUBSTITUTE(Wine_pres_final[[#This Row],[kan_width]]," ","")))&gt;2,Wine_pres_final[[#This Row],[kan_test_acc]],"")</f>
        <v>0.76481482634941733</v>
      </c>
      <c r="AA234" t="str">
        <f>IF((LEN(Wine_pres_final[[#This Row],[kan_width]])-LEN(SUBSTITUTE(Wine_pres_final[[#This Row],[kan_width]]," ","")))&gt;2,"",Wine_pres_final[[#This Row],[kan_test_acc]])</f>
        <v/>
      </c>
      <c r="AB234">
        <f>Wine_pres_final[[#This Row],[mlp_test_acc]]</f>
        <v>0.67037037037037039</v>
      </c>
      <c r="AC234">
        <f>Wine_pres_final[[#This Row],[mlp_test_acc2]]</f>
        <v>0.70185185185185184</v>
      </c>
    </row>
    <row r="235" spans="1:29" hidden="1" x14ac:dyDescent="0.25">
      <c r="A235" t="s">
        <v>1336</v>
      </c>
      <c r="B235">
        <v>3</v>
      </c>
      <c r="C235">
        <v>5</v>
      </c>
      <c r="D235">
        <v>0</v>
      </c>
      <c r="E235" t="s">
        <v>1423</v>
      </c>
      <c r="F235">
        <v>8062</v>
      </c>
      <c r="G235">
        <v>12543382</v>
      </c>
      <c r="H235">
        <v>0.76481482883294427</v>
      </c>
      <c r="I235">
        <v>0.65925925925925921</v>
      </c>
      <c r="J235">
        <v>2330128.916666667</v>
      </c>
      <c r="K235">
        <v>16068</v>
      </c>
      <c r="L235">
        <v>2</v>
      </c>
      <c r="M235">
        <v>85</v>
      </c>
      <c r="N235">
        <v>0.68703703703703711</v>
      </c>
      <c r="O235">
        <v>1122685.3333333335</v>
      </c>
      <c r="P235">
        <v>16429</v>
      </c>
      <c r="Q235">
        <v>2</v>
      </c>
      <c r="R235">
        <v>86</v>
      </c>
      <c r="S235" t="s">
        <v>1580</v>
      </c>
      <c r="Y235">
        <f>Wine_pres_final[[#This Row],[mlp_params]]</f>
        <v>16068</v>
      </c>
      <c r="Z235">
        <f>IF((LEN(Wine_pres_final[[#This Row],[kan_width]])-LEN(SUBSTITUTE(Wine_pres_final[[#This Row],[kan_width]]," ","")))&gt;2,Wine_pres_final[[#This Row],[kan_test_acc]],"")</f>
        <v>0.76481482883294427</v>
      </c>
      <c r="AA235" t="str">
        <f>IF((LEN(Wine_pres_final[[#This Row],[kan_width]])-LEN(SUBSTITUTE(Wine_pres_final[[#This Row],[kan_width]]," ","")))&gt;2,"",Wine_pres_final[[#This Row],[kan_test_acc]])</f>
        <v/>
      </c>
      <c r="AB235">
        <f>Wine_pres_final[[#This Row],[mlp_test_acc]]</f>
        <v>0.65925925925925921</v>
      </c>
      <c r="AC235">
        <f>Wine_pres_final[[#This Row],[mlp_test_acc2]]</f>
        <v>0.68703703703703711</v>
      </c>
    </row>
    <row r="236" spans="1:29" hidden="1" x14ac:dyDescent="0.25">
      <c r="A236" t="s">
        <v>1336</v>
      </c>
      <c r="B236">
        <v>5</v>
      </c>
      <c r="C236">
        <v>2</v>
      </c>
      <c r="D236">
        <v>0</v>
      </c>
      <c r="E236" t="s">
        <v>1385</v>
      </c>
      <c r="F236">
        <v>4843</v>
      </c>
      <c r="G236">
        <v>13012221.583333334</v>
      </c>
      <c r="H236">
        <v>0.76666667560736346</v>
      </c>
      <c r="I236">
        <v>0.69444444444444442</v>
      </c>
      <c r="J236">
        <v>2872140.916666667</v>
      </c>
      <c r="K236">
        <v>7098</v>
      </c>
      <c r="L236">
        <v>2</v>
      </c>
      <c r="M236">
        <v>55</v>
      </c>
      <c r="N236">
        <v>0.72592592592592586</v>
      </c>
      <c r="O236">
        <v>2655160.833333333</v>
      </c>
      <c r="P236">
        <v>7339</v>
      </c>
      <c r="Q236">
        <v>2</v>
      </c>
      <c r="R236">
        <v>56</v>
      </c>
      <c r="S236" t="s">
        <v>1611</v>
      </c>
      <c r="Y236">
        <f>Wine_pres_final[[#This Row],[mlp_params]]</f>
        <v>7098</v>
      </c>
      <c r="Z236">
        <f>IF((LEN(Wine_pres_final[[#This Row],[kan_width]])-LEN(SUBSTITUTE(Wine_pres_final[[#This Row],[kan_width]]," ","")))&gt;2,Wine_pres_final[[#This Row],[kan_test_acc]],"")</f>
        <v>0.76666667560736346</v>
      </c>
      <c r="AA236" t="str">
        <f>IF((LEN(Wine_pres_final[[#This Row],[kan_width]])-LEN(SUBSTITUTE(Wine_pres_final[[#This Row],[kan_width]]," ","")))&gt;2,"",Wine_pres_final[[#This Row],[kan_test_acc]])</f>
        <v/>
      </c>
      <c r="AB236">
        <f>Wine_pres_final[[#This Row],[mlp_test_acc]]</f>
        <v>0.69444444444444442</v>
      </c>
      <c r="AC236">
        <f>Wine_pres_final[[#This Row],[mlp_test_acc2]]</f>
        <v>0.72592592592592586</v>
      </c>
    </row>
    <row r="237" spans="1:29" hidden="1" x14ac:dyDescent="0.25">
      <c r="A237" t="s">
        <v>1336</v>
      </c>
      <c r="B237">
        <v>5</v>
      </c>
      <c r="C237">
        <v>3</v>
      </c>
      <c r="D237">
        <v>0</v>
      </c>
      <c r="E237" t="s">
        <v>1377</v>
      </c>
      <c r="F237">
        <v>6342</v>
      </c>
      <c r="G237">
        <v>12215827</v>
      </c>
      <c r="H237">
        <v>0.76666667560736346</v>
      </c>
      <c r="I237">
        <v>0.71481481481481479</v>
      </c>
      <c r="J237">
        <v>2852542.166666667</v>
      </c>
      <c r="K237">
        <v>10254</v>
      </c>
      <c r="L237">
        <v>2</v>
      </c>
      <c r="M237">
        <v>67</v>
      </c>
      <c r="N237">
        <v>0.67777777777777781</v>
      </c>
      <c r="O237">
        <v>2865071.6666666665</v>
      </c>
      <c r="P237">
        <v>10543</v>
      </c>
      <c r="Q237">
        <v>2</v>
      </c>
      <c r="R237">
        <v>68</v>
      </c>
      <c r="S237" t="s">
        <v>1657</v>
      </c>
      <c r="Y237">
        <f>Wine_pres_final[[#This Row],[mlp_params]]</f>
        <v>10254</v>
      </c>
      <c r="Z237">
        <f>IF((LEN(Wine_pres_final[[#This Row],[kan_width]])-LEN(SUBSTITUTE(Wine_pres_final[[#This Row],[kan_width]]," ","")))&gt;2,Wine_pres_final[[#This Row],[kan_test_acc]],"")</f>
        <v>0.76666667560736346</v>
      </c>
      <c r="AA237" t="str">
        <f>IF((LEN(Wine_pres_final[[#This Row],[kan_width]])-LEN(SUBSTITUTE(Wine_pres_final[[#This Row],[kan_width]]," ","")))&gt;2,"",Wine_pres_final[[#This Row],[kan_test_acc]])</f>
        <v/>
      </c>
      <c r="AB237">
        <f>Wine_pres_final[[#This Row],[mlp_test_acc]]</f>
        <v>0.71481481481481479</v>
      </c>
      <c r="AC237">
        <f>Wine_pres_final[[#This Row],[mlp_test_acc2]]</f>
        <v>0.67777777777777781</v>
      </c>
    </row>
    <row r="238" spans="1:29" hidden="1" x14ac:dyDescent="0.25">
      <c r="A238" t="s">
        <v>1336</v>
      </c>
      <c r="B238">
        <v>9</v>
      </c>
      <c r="C238">
        <v>3</v>
      </c>
      <c r="D238">
        <v>0</v>
      </c>
      <c r="E238" t="s">
        <v>1413</v>
      </c>
      <c r="F238">
        <v>12002</v>
      </c>
      <c r="G238">
        <v>14464067.5</v>
      </c>
      <c r="H238">
        <v>0.76666667809089017</v>
      </c>
      <c r="I238">
        <v>0.67592592592592593</v>
      </c>
      <c r="J238">
        <v>3843604.416666667</v>
      </c>
      <c r="K238">
        <v>17536</v>
      </c>
      <c r="L238">
        <v>2</v>
      </c>
      <c r="M238">
        <v>89</v>
      </c>
      <c r="N238">
        <v>0.70370370370370372</v>
      </c>
      <c r="O238">
        <v>3968692.75</v>
      </c>
      <c r="P238">
        <v>17913</v>
      </c>
      <c r="Q238">
        <v>2</v>
      </c>
      <c r="R238">
        <v>90</v>
      </c>
      <c r="S238" t="s">
        <v>1875</v>
      </c>
      <c r="Y238">
        <f>Wine_pres_final[[#This Row],[mlp_params]]</f>
        <v>17536</v>
      </c>
      <c r="Z238">
        <f>IF((LEN(Wine_pres_final[[#This Row],[kan_width]])-LEN(SUBSTITUTE(Wine_pres_final[[#This Row],[kan_width]]," ","")))&gt;2,Wine_pres_final[[#This Row],[kan_test_acc]],"")</f>
        <v>0.76666667809089017</v>
      </c>
      <c r="AA238" t="str">
        <f>IF((LEN(Wine_pres_final[[#This Row],[kan_width]])-LEN(SUBSTITUTE(Wine_pres_final[[#This Row],[kan_width]]," ","")))&gt;2,"",Wine_pres_final[[#This Row],[kan_test_acc]])</f>
        <v/>
      </c>
      <c r="AB238">
        <f>Wine_pres_final[[#This Row],[mlp_test_acc]]</f>
        <v>0.67592592592592593</v>
      </c>
      <c r="AC238">
        <f>Wine_pres_final[[#This Row],[mlp_test_acc2]]</f>
        <v>0.70370370370370372</v>
      </c>
    </row>
    <row r="239" spans="1:29" hidden="1" x14ac:dyDescent="0.25">
      <c r="A239" t="s">
        <v>1336</v>
      </c>
      <c r="B239">
        <v>5</v>
      </c>
      <c r="C239">
        <v>4</v>
      </c>
      <c r="D239">
        <v>0</v>
      </c>
      <c r="E239" t="s">
        <v>1367</v>
      </c>
      <c r="F239">
        <v>7255</v>
      </c>
      <c r="G239">
        <v>14678350.25</v>
      </c>
      <c r="H239">
        <v>0.76666668057441711</v>
      </c>
      <c r="I239">
        <v>0.6425925925925926</v>
      </c>
      <c r="J239">
        <v>3519671.5</v>
      </c>
      <c r="K239">
        <v>12361</v>
      </c>
      <c r="L239">
        <v>2</v>
      </c>
      <c r="M239">
        <v>74</v>
      </c>
      <c r="N239">
        <v>0.68888888888888888</v>
      </c>
      <c r="O239">
        <v>3298515.5833333335</v>
      </c>
      <c r="P239">
        <v>12678</v>
      </c>
      <c r="Q239">
        <v>2</v>
      </c>
      <c r="R239">
        <v>75</v>
      </c>
      <c r="S239" t="s">
        <v>1702</v>
      </c>
      <c r="Y239">
        <f>Wine_pres_final[[#This Row],[mlp_params]]</f>
        <v>12361</v>
      </c>
      <c r="Z239">
        <f>IF((LEN(Wine_pres_final[[#This Row],[kan_width]])-LEN(SUBSTITUTE(Wine_pres_final[[#This Row],[kan_width]]," ","")))&gt;2,Wine_pres_final[[#This Row],[kan_test_acc]],"")</f>
        <v>0.76666668057441711</v>
      </c>
      <c r="AA239" t="str">
        <f>IF((LEN(Wine_pres_final[[#This Row],[kan_width]])-LEN(SUBSTITUTE(Wine_pres_final[[#This Row],[kan_width]]," ","")))&gt;2,"",Wine_pres_final[[#This Row],[kan_test_acc]])</f>
        <v/>
      </c>
      <c r="AB239">
        <f>Wine_pres_final[[#This Row],[mlp_test_acc]]</f>
        <v>0.6425925925925926</v>
      </c>
      <c r="AC239">
        <f>Wine_pres_final[[#This Row],[mlp_test_acc2]]</f>
        <v>0.68888888888888888</v>
      </c>
    </row>
    <row r="240" spans="1:29" x14ac:dyDescent="0.25">
      <c r="A240" t="s">
        <v>1336</v>
      </c>
      <c r="B240">
        <v>9</v>
      </c>
      <c r="C240">
        <v>5</v>
      </c>
      <c r="D240">
        <v>0</v>
      </c>
      <c r="E240" t="s">
        <v>1383</v>
      </c>
      <c r="F240">
        <v>11622</v>
      </c>
      <c r="G240">
        <v>13908274.166666668</v>
      </c>
      <c r="H240">
        <v>0.58703705420096708</v>
      </c>
      <c r="I240">
        <v>0.75</v>
      </c>
      <c r="J240">
        <v>1918803.5</v>
      </c>
      <c r="K240">
        <v>19068</v>
      </c>
      <c r="L240">
        <v>2</v>
      </c>
      <c r="M240">
        <v>93</v>
      </c>
      <c r="N240">
        <v>0.72777777777777775</v>
      </c>
      <c r="O240">
        <v>1456297.6666666665</v>
      </c>
      <c r="P240">
        <v>19461</v>
      </c>
      <c r="Q240">
        <v>2</v>
      </c>
      <c r="R240">
        <v>94</v>
      </c>
      <c r="S240" t="s">
        <v>1960</v>
      </c>
      <c r="Y240">
        <f>Wine_pres_final[[#This Row],[mlp_params]]</f>
        <v>19068</v>
      </c>
      <c r="Z240">
        <f>IF((LEN(Wine_pres_final[[#This Row],[kan_width]])-LEN(SUBSTITUTE(Wine_pres_final[[#This Row],[kan_width]]," ","")))&gt;2,Wine_pres_final[[#This Row],[kan_test_acc]],"")</f>
        <v>0.58703705420096708</v>
      </c>
      <c r="AA240" t="str">
        <f>IF((LEN(Wine_pres_final[[#This Row],[kan_width]])-LEN(SUBSTITUTE(Wine_pres_final[[#This Row],[kan_width]]," ","")))&gt;2,"",Wine_pres_final[[#This Row],[kan_test_acc]])</f>
        <v/>
      </c>
      <c r="AB240">
        <f>Wine_pres_final[[#This Row],[mlp_test_acc]]</f>
        <v>0.75</v>
      </c>
      <c r="AC240">
        <f>Wine_pres_final[[#This Row],[mlp_test_acc2]]</f>
        <v>0.72777777777777775</v>
      </c>
    </row>
    <row r="241" spans="1:29" hidden="1" x14ac:dyDescent="0.25">
      <c r="A241" t="s">
        <v>1336</v>
      </c>
      <c r="B241">
        <v>9</v>
      </c>
      <c r="C241">
        <v>2</v>
      </c>
      <c r="D241">
        <v>0</v>
      </c>
      <c r="E241" t="s">
        <v>1397</v>
      </c>
      <c r="F241">
        <v>10139</v>
      </c>
      <c r="G241">
        <v>11878501.416666668</v>
      </c>
      <c r="H241">
        <v>0.7703703840573628</v>
      </c>
      <c r="I241">
        <v>0.70925925925925926</v>
      </c>
      <c r="J241">
        <v>5119608.5</v>
      </c>
      <c r="K241">
        <v>13653</v>
      </c>
      <c r="L241">
        <v>2</v>
      </c>
      <c r="M241">
        <v>78</v>
      </c>
      <c r="N241">
        <v>0.72962962962962963</v>
      </c>
      <c r="O241">
        <v>3224593.75</v>
      </c>
      <c r="P241">
        <v>13986</v>
      </c>
      <c r="Q241">
        <v>2</v>
      </c>
      <c r="R241">
        <v>79</v>
      </c>
      <c r="S241" t="s">
        <v>1817</v>
      </c>
      <c r="Y241">
        <f>Wine_pres_final[[#This Row],[mlp_params]]</f>
        <v>13653</v>
      </c>
      <c r="Z241">
        <f>IF((LEN(Wine_pres_final[[#This Row],[kan_width]])-LEN(SUBSTITUTE(Wine_pres_final[[#This Row],[kan_width]]," ","")))&gt;2,Wine_pres_final[[#This Row],[kan_test_acc]],"")</f>
        <v>0.7703703840573628</v>
      </c>
      <c r="AA241" t="str">
        <f>IF((LEN(Wine_pres_final[[#This Row],[kan_width]])-LEN(SUBSTITUTE(Wine_pres_final[[#This Row],[kan_width]]," ","")))&gt;2,"",Wine_pres_final[[#This Row],[kan_test_acc]])</f>
        <v/>
      </c>
      <c r="AB241">
        <f>Wine_pres_final[[#This Row],[mlp_test_acc]]</f>
        <v>0.70925925925925926</v>
      </c>
      <c r="AC241">
        <f>Wine_pres_final[[#This Row],[mlp_test_acc2]]</f>
        <v>0.72962962962962963</v>
      </c>
    </row>
    <row r="242" spans="1:29" hidden="1" x14ac:dyDescent="0.25">
      <c r="A242" t="s">
        <v>1336</v>
      </c>
      <c r="B242">
        <v>9</v>
      </c>
      <c r="C242">
        <v>2</v>
      </c>
      <c r="D242">
        <v>0</v>
      </c>
      <c r="E242" t="s">
        <v>1411</v>
      </c>
      <c r="F242">
        <v>10587</v>
      </c>
      <c r="G242">
        <v>10769970.75</v>
      </c>
      <c r="H242">
        <v>0.7703703840573628</v>
      </c>
      <c r="I242">
        <v>0.68703703703703711</v>
      </c>
      <c r="J242">
        <v>5350353.583333333</v>
      </c>
      <c r="K242">
        <v>14323</v>
      </c>
      <c r="L242">
        <v>2</v>
      </c>
      <c r="M242">
        <v>80</v>
      </c>
      <c r="N242">
        <v>0.68518518518518523</v>
      </c>
      <c r="O242">
        <v>2587178.75</v>
      </c>
      <c r="P242">
        <v>14664</v>
      </c>
      <c r="Q242">
        <v>2</v>
      </c>
      <c r="R242">
        <v>81</v>
      </c>
      <c r="S242" t="s">
        <v>1824</v>
      </c>
      <c r="Y242">
        <f>Wine_pres_final[[#This Row],[mlp_params]]</f>
        <v>14323</v>
      </c>
      <c r="Z242">
        <f>IF((LEN(Wine_pres_final[[#This Row],[kan_width]])-LEN(SUBSTITUTE(Wine_pres_final[[#This Row],[kan_width]]," ","")))&gt;2,Wine_pres_final[[#This Row],[kan_test_acc]],"")</f>
        <v>0.7703703840573628</v>
      </c>
      <c r="AA242" t="str">
        <f>IF((LEN(Wine_pres_final[[#This Row],[kan_width]])-LEN(SUBSTITUTE(Wine_pres_final[[#This Row],[kan_width]]," ","")))&gt;2,"",Wine_pres_final[[#This Row],[kan_test_acc]])</f>
        <v/>
      </c>
      <c r="AB242">
        <f>Wine_pres_final[[#This Row],[mlp_test_acc]]</f>
        <v>0.68703703703703711</v>
      </c>
      <c r="AC242">
        <f>Wine_pres_final[[#This Row],[mlp_test_acc2]]</f>
        <v>0.68518518518518523</v>
      </c>
    </row>
    <row r="243" spans="1:29" hidden="1" x14ac:dyDescent="0.25">
      <c r="A243" t="s">
        <v>1336</v>
      </c>
      <c r="B243">
        <v>3</v>
      </c>
      <c r="C243">
        <v>4</v>
      </c>
      <c r="D243">
        <v>0</v>
      </c>
      <c r="E243" t="s">
        <v>1425</v>
      </c>
      <c r="F243">
        <v>7815</v>
      </c>
      <c r="G243">
        <v>17108659.916666668</v>
      </c>
      <c r="H243">
        <v>0.77222223331530881</v>
      </c>
      <c r="I243">
        <v>0.65370370370370368</v>
      </c>
      <c r="J243">
        <v>1342709.1666666665</v>
      </c>
      <c r="K243">
        <v>14664</v>
      </c>
      <c r="L243">
        <v>2</v>
      </c>
      <c r="M243">
        <v>81</v>
      </c>
      <c r="N243">
        <v>0.69629629629629641</v>
      </c>
      <c r="O243">
        <v>920898.33333333337</v>
      </c>
      <c r="P243">
        <v>15009</v>
      </c>
      <c r="Q243">
        <v>2</v>
      </c>
      <c r="R243">
        <v>82</v>
      </c>
      <c r="S243" t="s">
        <v>1531</v>
      </c>
      <c r="Y243">
        <f>Wine_pres_final[[#This Row],[mlp_params]]</f>
        <v>14664</v>
      </c>
      <c r="Z243">
        <f>IF((LEN(Wine_pres_final[[#This Row],[kan_width]])-LEN(SUBSTITUTE(Wine_pres_final[[#This Row],[kan_width]]," ","")))&gt;2,Wine_pres_final[[#This Row],[kan_test_acc]],"")</f>
        <v>0.77222223331530881</v>
      </c>
      <c r="AA243" t="str">
        <f>IF((LEN(Wine_pres_final[[#This Row],[kan_width]])-LEN(SUBSTITUTE(Wine_pres_final[[#This Row],[kan_width]]," ","")))&gt;2,"",Wine_pres_final[[#This Row],[kan_test_acc]])</f>
        <v/>
      </c>
      <c r="AB243">
        <f>Wine_pres_final[[#This Row],[mlp_test_acc]]</f>
        <v>0.65370370370370368</v>
      </c>
      <c r="AC243">
        <f>Wine_pres_final[[#This Row],[mlp_test_acc2]]</f>
        <v>0.69629629629629641</v>
      </c>
    </row>
    <row r="244" spans="1:29" hidden="1" x14ac:dyDescent="0.25">
      <c r="A244" t="s">
        <v>1336</v>
      </c>
      <c r="B244">
        <v>9</v>
      </c>
      <c r="C244">
        <v>2</v>
      </c>
      <c r="D244">
        <v>0</v>
      </c>
      <c r="E244" t="s">
        <v>1365</v>
      </c>
      <c r="F244">
        <v>8007</v>
      </c>
      <c r="G244">
        <v>9378669.5</v>
      </c>
      <c r="H244">
        <v>0.77222223579883575</v>
      </c>
      <c r="I244">
        <v>0.67592592592592593</v>
      </c>
      <c r="J244">
        <v>5614534.666666667</v>
      </c>
      <c r="K244">
        <v>10836</v>
      </c>
      <c r="L244">
        <v>2</v>
      </c>
      <c r="M244">
        <v>69</v>
      </c>
      <c r="N244">
        <v>0.71851851851851856</v>
      </c>
      <c r="O244">
        <v>2072950</v>
      </c>
      <c r="P244">
        <v>11133</v>
      </c>
      <c r="Q244">
        <v>2</v>
      </c>
      <c r="R244">
        <v>70</v>
      </c>
      <c r="S244" t="s">
        <v>1801</v>
      </c>
      <c r="Y244">
        <f>Wine_pres_final[[#This Row],[mlp_params]]</f>
        <v>10836</v>
      </c>
      <c r="Z244">
        <f>IF((LEN(Wine_pres_final[[#This Row],[kan_width]])-LEN(SUBSTITUTE(Wine_pres_final[[#This Row],[kan_width]]," ","")))&gt;2,Wine_pres_final[[#This Row],[kan_test_acc]],"")</f>
        <v>0.77222223579883575</v>
      </c>
      <c r="AA244" t="str">
        <f>IF((LEN(Wine_pres_final[[#This Row],[kan_width]])-LEN(SUBSTITUTE(Wine_pres_final[[#This Row],[kan_width]]," ","")))&gt;2,"",Wine_pres_final[[#This Row],[kan_test_acc]])</f>
        <v/>
      </c>
      <c r="AB244">
        <f>Wine_pres_final[[#This Row],[mlp_test_acc]]</f>
        <v>0.67592592592592593</v>
      </c>
      <c r="AC244">
        <f>Wine_pres_final[[#This Row],[mlp_test_acc2]]</f>
        <v>0.71851851851851856</v>
      </c>
    </row>
    <row r="245" spans="1:29" hidden="1" x14ac:dyDescent="0.25">
      <c r="A245" t="s">
        <v>1336</v>
      </c>
      <c r="B245">
        <v>5</v>
      </c>
      <c r="C245">
        <v>4</v>
      </c>
      <c r="D245">
        <v>0</v>
      </c>
      <c r="E245" t="s">
        <v>1429</v>
      </c>
      <c r="F245">
        <v>10525</v>
      </c>
      <c r="G245">
        <v>19677135</v>
      </c>
      <c r="H245">
        <v>0.77222223579883575</v>
      </c>
      <c r="I245">
        <v>0.68888888888888888</v>
      </c>
      <c r="J245">
        <v>4369194.666666667</v>
      </c>
      <c r="K245">
        <v>18294</v>
      </c>
      <c r="L245">
        <v>2</v>
      </c>
      <c r="M245">
        <v>91</v>
      </c>
      <c r="N245">
        <v>0.64444444444444438</v>
      </c>
      <c r="O245">
        <v>4432928.833333334</v>
      </c>
      <c r="P245">
        <v>18679</v>
      </c>
      <c r="Q245">
        <v>2</v>
      </c>
      <c r="R245">
        <v>92</v>
      </c>
      <c r="S245" t="s">
        <v>1733</v>
      </c>
      <c r="Y245">
        <f>Wine_pres_final[[#This Row],[mlp_params]]</f>
        <v>18294</v>
      </c>
      <c r="Z245">
        <f>IF((LEN(Wine_pres_final[[#This Row],[kan_width]])-LEN(SUBSTITUTE(Wine_pres_final[[#This Row],[kan_width]]," ","")))&gt;2,Wine_pres_final[[#This Row],[kan_test_acc]],"")</f>
        <v>0.77222223579883575</v>
      </c>
      <c r="AA245" t="str">
        <f>IF((LEN(Wine_pres_final[[#This Row],[kan_width]])-LEN(SUBSTITUTE(Wine_pres_final[[#This Row],[kan_width]]," ","")))&gt;2,"",Wine_pres_final[[#This Row],[kan_test_acc]])</f>
        <v/>
      </c>
      <c r="AB245">
        <f>Wine_pres_final[[#This Row],[mlp_test_acc]]</f>
        <v>0.68888888888888888</v>
      </c>
      <c r="AC245">
        <f>Wine_pres_final[[#This Row],[mlp_test_acc2]]</f>
        <v>0.64444444444444438</v>
      </c>
    </row>
    <row r="246" spans="1:29" hidden="1" x14ac:dyDescent="0.25">
      <c r="A246" t="s">
        <v>1336</v>
      </c>
      <c r="B246">
        <v>9</v>
      </c>
      <c r="C246">
        <v>3</v>
      </c>
      <c r="D246">
        <v>0</v>
      </c>
      <c r="E246" t="s">
        <v>1375</v>
      </c>
      <c r="F246">
        <v>8092</v>
      </c>
      <c r="G246">
        <v>10863174</v>
      </c>
      <c r="H246">
        <v>0.77407408505678177</v>
      </c>
      <c r="I246">
        <v>0.69074074074074066</v>
      </c>
      <c r="J246">
        <v>4993648.333333334</v>
      </c>
      <c r="K246">
        <v>11739</v>
      </c>
      <c r="L246">
        <v>2</v>
      </c>
      <c r="M246">
        <v>72</v>
      </c>
      <c r="N246">
        <v>0.687037037037037</v>
      </c>
      <c r="O246">
        <v>2900970.5</v>
      </c>
      <c r="P246">
        <v>12048</v>
      </c>
      <c r="Q246">
        <v>2</v>
      </c>
      <c r="R246">
        <v>73</v>
      </c>
      <c r="S246" t="s">
        <v>1856</v>
      </c>
      <c r="Y246">
        <f>Wine_pres_final[[#This Row],[mlp_params]]</f>
        <v>11739</v>
      </c>
      <c r="Z246">
        <f>IF((LEN(Wine_pres_final[[#This Row],[kan_width]])-LEN(SUBSTITUTE(Wine_pres_final[[#This Row],[kan_width]]," ","")))&gt;2,Wine_pres_final[[#This Row],[kan_test_acc]],"")</f>
        <v>0.77407408505678177</v>
      </c>
      <c r="AA246" t="str">
        <f>IF((LEN(Wine_pres_final[[#This Row],[kan_width]])-LEN(SUBSTITUTE(Wine_pres_final[[#This Row],[kan_width]]," ","")))&gt;2,"",Wine_pres_final[[#This Row],[kan_test_acc]])</f>
        <v/>
      </c>
      <c r="AB246">
        <f>Wine_pres_final[[#This Row],[mlp_test_acc]]</f>
        <v>0.69074074074074066</v>
      </c>
      <c r="AC246">
        <f>Wine_pres_final[[#This Row],[mlp_test_acc2]]</f>
        <v>0.687037037037037</v>
      </c>
    </row>
    <row r="247" spans="1:29" hidden="1" x14ac:dyDescent="0.25">
      <c r="A247" t="s">
        <v>1336</v>
      </c>
      <c r="B247">
        <v>5</v>
      </c>
      <c r="C247">
        <v>4</v>
      </c>
      <c r="D247">
        <v>0</v>
      </c>
      <c r="E247" t="s">
        <v>1401</v>
      </c>
      <c r="F247">
        <v>6431</v>
      </c>
      <c r="G247">
        <v>17812054.083333336</v>
      </c>
      <c r="H247">
        <v>0.7740740875403086</v>
      </c>
      <c r="I247">
        <v>0.65555555555555556</v>
      </c>
      <c r="J247">
        <v>4511281</v>
      </c>
      <c r="K247">
        <v>11133</v>
      </c>
      <c r="L247">
        <v>2</v>
      </c>
      <c r="M247">
        <v>70</v>
      </c>
      <c r="N247">
        <v>0.70185185185185184</v>
      </c>
      <c r="O247">
        <v>4632011.916666666</v>
      </c>
      <c r="P247">
        <v>11434</v>
      </c>
      <c r="Q247">
        <v>2</v>
      </c>
      <c r="R247">
        <v>71</v>
      </c>
      <c r="S247" t="s">
        <v>1719</v>
      </c>
      <c r="Y247">
        <f>Wine_pres_final[[#This Row],[mlp_params]]</f>
        <v>11133</v>
      </c>
      <c r="Z247">
        <f>IF((LEN(Wine_pres_final[[#This Row],[kan_width]])-LEN(SUBSTITUTE(Wine_pres_final[[#This Row],[kan_width]]," ","")))&gt;2,Wine_pres_final[[#This Row],[kan_test_acc]],"")</f>
        <v>0.7740740875403086</v>
      </c>
      <c r="AA247" t="str">
        <f>IF((LEN(Wine_pres_final[[#This Row],[kan_width]])-LEN(SUBSTITUTE(Wine_pres_final[[#This Row],[kan_width]]," ","")))&gt;2,"",Wine_pres_final[[#This Row],[kan_test_acc]])</f>
        <v/>
      </c>
      <c r="AB247">
        <f>Wine_pres_final[[#This Row],[mlp_test_acc]]</f>
        <v>0.65555555555555556</v>
      </c>
      <c r="AC247">
        <f>Wine_pres_final[[#This Row],[mlp_test_acc2]]</f>
        <v>0.70185185185185184</v>
      </c>
    </row>
    <row r="248" spans="1:29" hidden="1" x14ac:dyDescent="0.25">
      <c r="A248" t="s">
        <v>1336</v>
      </c>
      <c r="B248">
        <v>3</v>
      </c>
      <c r="C248">
        <v>5</v>
      </c>
      <c r="D248">
        <v>0</v>
      </c>
      <c r="E248" t="s">
        <v>1385</v>
      </c>
      <c r="F248">
        <v>5324</v>
      </c>
      <c r="G248">
        <v>19837395.166666664</v>
      </c>
      <c r="H248">
        <v>0.77407408754030871</v>
      </c>
      <c r="I248">
        <v>0.70370370370370372</v>
      </c>
      <c r="J248">
        <v>2086143.9166666665</v>
      </c>
      <c r="K248">
        <v>10543</v>
      </c>
      <c r="L248">
        <v>2</v>
      </c>
      <c r="M248">
        <v>68</v>
      </c>
      <c r="N248">
        <v>0.68333333333333335</v>
      </c>
      <c r="O248">
        <v>964395.83333333326</v>
      </c>
      <c r="P248">
        <v>10836</v>
      </c>
      <c r="Q248">
        <v>2</v>
      </c>
      <c r="R248">
        <v>69</v>
      </c>
      <c r="S248" t="s">
        <v>1561</v>
      </c>
      <c r="Y248">
        <f>Wine_pres_final[[#This Row],[mlp_params]]</f>
        <v>10543</v>
      </c>
      <c r="Z248">
        <f>IF((LEN(Wine_pres_final[[#This Row],[kan_width]])-LEN(SUBSTITUTE(Wine_pres_final[[#This Row],[kan_width]]," ","")))&gt;2,Wine_pres_final[[#This Row],[kan_test_acc]],"")</f>
        <v>0.77407408754030871</v>
      </c>
      <c r="AA248" t="str">
        <f>IF((LEN(Wine_pres_final[[#This Row],[kan_width]])-LEN(SUBSTITUTE(Wine_pres_final[[#This Row],[kan_width]]," ","")))&gt;2,"",Wine_pres_final[[#This Row],[kan_test_acc]])</f>
        <v/>
      </c>
      <c r="AB248">
        <f>Wine_pres_final[[#This Row],[mlp_test_acc]]</f>
        <v>0.70370370370370372</v>
      </c>
      <c r="AC248">
        <f>Wine_pres_final[[#This Row],[mlp_test_acc2]]</f>
        <v>0.68333333333333335</v>
      </c>
    </row>
    <row r="249" spans="1:29" hidden="1" x14ac:dyDescent="0.25">
      <c r="A249" t="s">
        <v>1336</v>
      </c>
      <c r="B249">
        <v>9</v>
      </c>
      <c r="C249">
        <v>4</v>
      </c>
      <c r="D249">
        <v>0</v>
      </c>
      <c r="E249" t="s">
        <v>1353</v>
      </c>
      <c r="F249">
        <v>6061</v>
      </c>
      <c r="G249">
        <v>7741535.5</v>
      </c>
      <c r="H249">
        <v>0.77777778853972757</v>
      </c>
      <c r="I249">
        <v>0.64814814814814814</v>
      </c>
      <c r="J249">
        <v>5918189.75</v>
      </c>
      <c r="K249">
        <v>9411</v>
      </c>
      <c r="L249">
        <v>2</v>
      </c>
      <c r="M249">
        <v>64</v>
      </c>
      <c r="N249">
        <v>0.68703703703703711</v>
      </c>
      <c r="O249">
        <v>2152195.3333333335</v>
      </c>
      <c r="P249">
        <v>9688</v>
      </c>
      <c r="Q249">
        <v>2</v>
      </c>
      <c r="R249">
        <v>65</v>
      </c>
      <c r="S249" t="s">
        <v>1895</v>
      </c>
      <c r="Y249">
        <f>Wine_pres_final[[#This Row],[mlp_params]]</f>
        <v>9411</v>
      </c>
      <c r="Z249">
        <f>IF((LEN(Wine_pres_final[[#This Row],[kan_width]])-LEN(SUBSTITUTE(Wine_pres_final[[#This Row],[kan_width]]," ","")))&gt;2,Wine_pres_final[[#This Row],[kan_test_acc]],"")</f>
        <v>0.77777778853972757</v>
      </c>
      <c r="AA249" t="str">
        <f>IF((LEN(Wine_pres_final[[#This Row],[kan_width]])-LEN(SUBSTITUTE(Wine_pres_final[[#This Row],[kan_width]]," ","")))&gt;2,"",Wine_pres_final[[#This Row],[kan_test_acc]])</f>
        <v/>
      </c>
      <c r="AB249">
        <f>Wine_pres_final[[#This Row],[mlp_test_acc]]</f>
        <v>0.64814814814814814</v>
      </c>
      <c r="AC249">
        <f>Wine_pres_final[[#This Row],[mlp_test_acc2]]</f>
        <v>0.68703703703703711</v>
      </c>
    </row>
    <row r="250" spans="1:29" hidden="1" x14ac:dyDescent="0.25">
      <c r="A250" t="s">
        <v>1336</v>
      </c>
      <c r="B250">
        <v>3</v>
      </c>
      <c r="C250">
        <v>5</v>
      </c>
      <c r="D250">
        <v>0</v>
      </c>
      <c r="E250" t="s">
        <v>1427</v>
      </c>
      <c r="F250">
        <v>9122</v>
      </c>
      <c r="G250">
        <v>15647727.666666668</v>
      </c>
      <c r="H250">
        <v>0.77777779102325439</v>
      </c>
      <c r="I250">
        <v>0.6611111111111112</v>
      </c>
      <c r="J250">
        <v>1768461.8333333335</v>
      </c>
      <c r="K250">
        <v>17913</v>
      </c>
      <c r="L250">
        <v>2</v>
      </c>
      <c r="M250">
        <v>90</v>
      </c>
      <c r="N250">
        <v>0.69444444444444442</v>
      </c>
      <c r="O250">
        <v>1815903.75</v>
      </c>
      <c r="P250">
        <v>18294</v>
      </c>
      <c r="Q250">
        <v>2</v>
      </c>
      <c r="R250">
        <v>91</v>
      </c>
      <c r="S250" t="s">
        <v>1582</v>
      </c>
      <c r="Y250">
        <f>Wine_pres_final[[#This Row],[mlp_params]]</f>
        <v>17913</v>
      </c>
      <c r="Z250">
        <f>IF((LEN(Wine_pres_final[[#This Row],[kan_width]])-LEN(SUBSTITUTE(Wine_pres_final[[#This Row],[kan_width]]," ","")))&gt;2,Wine_pres_final[[#This Row],[kan_test_acc]],"")</f>
        <v>0.77777779102325439</v>
      </c>
      <c r="AA250" t="str">
        <f>IF((LEN(Wine_pres_final[[#This Row],[kan_width]])-LEN(SUBSTITUTE(Wine_pres_final[[#This Row],[kan_width]]," ","")))&gt;2,"",Wine_pres_final[[#This Row],[kan_test_acc]])</f>
        <v/>
      </c>
      <c r="AB250">
        <f>Wine_pres_final[[#This Row],[mlp_test_acc]]</f>
        <v>0.6611111111111112</v>
      </c>
      <c r="AC250">
        <f>Wine_pres_final[[#This Row],[mlp_test_acc2]]</f>
        <v>0.69444444444444442</v>
      </c>
    </row>
    <row r="251" spans="1:29" hidden="1" x14ac:dyDescent="0.25">
      <c r="A251" t="s">
        <v>1336</v>
      </c>
      <c r="B251">
        <v>3</v>
      </c>
      <c r="C251">
        <v>5</v>
      </c>
      <c r="D251">
        <v>0</v>
      </c>
      <c r="E251" t="s">
        <v>1403</v>
      </c>
      <c r="F251">
        <v>6384</v>
      </c>
      <c r="G251">
        <v>16109372.583333332</v>
      </c>
      <c r="H251">
        <v>0.77962964028120041</v>
      </c>
      <c r="I251">
        <v>0.67592592592592593</v>
      </c>
      <c r="J251">
        <v>2517115.583333333</v>
      </c>
      <c r="K251">
        <v>12678</v>
      </c>
      <c r="L251">
        <v>2</v>
      </c>
      <c r="M251">
        <v>75</v>
      </c>
      <c r="N251">
        <v>0.67592592592592593</v>
      </c>
      <c r="O251">
        <v>1257640.5</v>
      </c>
      <c r="P251">
        <v>12999</v>
      </c>
      <c r="Q251">
        <v>2</v>
      </c>
      <c r="R251">
        <v>76</v>
      </c>
      <c r="S251" t="s">
        <v>1570</v>
      </c>
      <c r="Y251">
        <f>Wine_pres_final[[#This Row],[mlp_params]]</f>
        <v>12678</v>
      </c>
      <c r="Z251">
        <f>IF((LEN(Wine_pres_final[[#This Row],[kan_width]])-LEN(SUBSTITUTE(Wine_pres_final[[#This Row],[kan_width]]," ","")))&gt;2,Wine_pres_final[[#This Row],[kan_test_acc]],"")</f>
        <v>0.77962964028120041</v>
      </c>
      <c r="AA251" t="str">
        <f>IF((LEN(Wine_pres_final[[#This Row],[kan_width]])-LEN(SUBSTITUTE(Wine_pres_final[[#This Row],[kan_width]]," ","")))&gt;2,"",Wine_pres_final[[#This Row],[kan_test_acc]])</f>
        <v/>
      </c>
      <c r="AB251">
        <f>Wine_pres_final[[#This Row],[mlp_test_acc]]</f>
        <v>0.67592592592592593</v>
      </c>
      <c r="AC251">
        <f>Wine_pres_final[[#This Row],[mlp_test_acc2]]</f>
        <v>0.67592592592592593</v>
      </c>
    </row>
    <row r="252" spans="1:29" hidden="1" x14ac:dyDescent="0.25">
      <c r="A252" t="s">
        <v>1336</v>
      </c>
      <c r="B252">
        <v>5</v>
      </c>
      <c r="C252">
        <v>3</v>
      </c>
      <c r="D252">
        <v>0</v>
      </c>
      <c r="E252" t="s">
        <v>1409</v>
      </c>
      <c r="F252">
        <v>7842</v>
      </c>
      <c r="G252">
        <v>12858662.75</v>
      </c>
      <c r="H252">
        <v>0.77962964028120041</v>
      </c>
      <c r="I252">
        <v>0.66851851851851851</v>
      </c>
      <c r="J252">
        <v>3503759.25</v>
      </c>
      <c r="K252">
        <v>12678</v>
      </c>
      <c r="L252">
        <v>2</v>
      </c>
      <c r="M252">
        <v>75</v>
      </c>
      <c r="N252">
        <v>0.66481481481481486</v>
      </c>
      <c r="O252">
        <v>2448313.5</v>
      </c>
      <c r="P252">
        <v>12999</v>
      </c>
      <c r="Q252">
        <v>2</v>
      </c>
      <c r="R252">
        <v>76</v>
      </c>
      <c r="S252" t="s">
        <v>1673</v>
      </c>
      <c r="Y252">
        <f>Wine_pres_final[[#This Row],[mlp_params]]</f>
        <v>12678</v>
      </c>
      <c r="Z252">
        <f>IF((LEN(Wine_pres_final[[#This Row],[kan_width]])-LEN(SUBSTITUTE(Wine_pres_final[[#This Row],[kan_width]]," ","")))&gt;2,Wine_pres_final[[#This Row],[kan_test_acc]],"")</f>
        <v>0.77962964028120041</v>
      </c>
      <c r="AA252" t="str">
        <f>IF((LEN(Wine_pres_final[[#This Row],[kan_width]])-LEN(SUBSTITUTE(Wine_pres_final[[#This Row],[kan_width]]," ","")))&gt;2,"",Wine_pres_final[[#This Row],[kan_test_acc]])</f>
        <v/>
      </c>
      <c r="AB252">
        <f>Wine_pres_final[[#This Row],[mlp_test_acc]]</f>
        <v>0.66851851851851851</v>
      </c>
      <c r="AC252">
        <f>Wine_pres_final[[#This Row],[mlp_test_acc2]]</f>
        <v>0.66481481481481486</v>
      </c>
    </row>
    <row r="253" spans="1:29" hidden="1" x14ac:dyDescent="0.25">
      <c r="A253" t="s">
        <v>1336</v>
      </c>
      <c r="B253">
        <v>3</v>
      </c>
      <c r="C253">
        <v>5</v>
      </c>
      <c r="D253">
        <v>0</v>
      </c>
      <c r="E253" t="s">
        <v>1363</v>
      </c>
      <c r="F253">
        <v>5946</v>
      </c>
      <c r="G253">
        <v>15466370.5</v>
      </c>
      <c r="H253">
        <v>0.78148149202267336</v>
      </c>
      <c r="I253">
        <v>0.67037037037037039</v>
      </c>
      <c r="J253">
        <v>3181459</v>
      </c>
      <c r="K253">
        <v>11739</v>
      </c>
      <c r="L253">
        <v>2</v>
      </c>
      <c r="M253">
        <v>72</v>
      </c>
      <c r="N253">
        <v>0.66851851851851851</v>
      </c>
      <c r="O253">
        <v>2291081.1666666665</v>
      </c>
      <c r="P253">
        <v>12048</v>
      </c>
      <c r="Q253">
        <v>2</v>
      </c>
      <c r="R253">
        <v>73</v>
      </c>
      <c r="S253" t="s">
        <v>1550</v>
      </c>
      <c r="Y253">
        <f>Wine_pres_final[[#This Row],[mlp_params]]</f>
        <v>11739</v>
      </c>
      <c r="Z253">
        <f>IF((LEN(Wine_pres_final[[#This Row],[kan_width]])-LEN(SUBSTITUTE(Wine_pres_final[[#This Row],[kan_width]]," ","")))&gt;2,Wine_pres_final[[#This Row],[kan_test_acc]],"")</f>
        <v>0.78148149202267336</v>
      </c>
      <c r="AA253" t="str">
        <f>IF((LEN(Wine_pres_final[[#This Row],[kan_width]])-LEN(SUBSTITUTE(Wine_pres_final[[#This Row],[kan_width]]," ","")))&gt;2,"",Wine_pres_final[[#This Row],[kan_test_acc]])</f>
        <v/>
      </c>
      <c r="AB253">
        <f>Wine_pres_final[[#This Row],[mlp_test_acc]]</f>
        <v>0.67037037037037039</v>
      </c>
      <c r="AC253">
        <f>Wine_pres_final[[#This Row],[mlp_test_acc2]]</f>
        <v>0.66851851851851851</v>
      </c>
    </row>
    <row r="254" spans="1:29" hidden="1" x14ac:dyDescent="0.25">
      <c r="A254" t="s">
        <v>1336</v>
      </c>
      <c r="B254">
        <v>5</v>
      </c>
      <c r="C254">
        <v>3</v>
      </c>
      <c r="D254">
        <v>0</v>
      </c>
      <c r="E254" t="s">
        <v>1385</v>
      </c>
      <c r="F254">
        <v>5324</v>
      </c>
      <c r="G254">
        <v>13924711</v>
      </c>
      <c r="H254">
        <v>0.78148149450620008</v>
      </c>
      <c r="I254">
        <v>0.69814814814814818</v>
      </c>
      <c r="J254">
        <v>4239639.833333333</v>
      </c>
      <c r="K254">
        <v>8604</v>
      </c>
      <c r="L254">
        <v>2</v>
      </c>
      <c r="M254">
        <v>61</v>
      </c>
      <c r="N254">
        <v>0.69814814814814818</v>
      </c>
      <c r="O254">
        <v>2296104.5</v>
      </c>
      <c r="P254">
        <v>8869</v>
      </c>
      <c r="Q254">
        <v>2</v>
      </c>
      <c r="R254">
        <v>62</v>
      </c>
      <c r="S254" t="s">
        <v>1661</v>
      </c>
      <c r="Y254">
        <f>Wine_pres_final[[#This Row],[mlp_params]]</f>
        <v>8604</v>
      </c>
      <c r="Z254">
        <f>IF((LEN(Wine_pres_final[[#This Row],[kan_width]])-LEN(SUBSTITUTE(Wine_pres_final[[#This Row],[kan_width]]," ","")))&gt;2,Wine_pres_final[[#This Row],[kan_test_acc]],"")</f>
        <v>0.78148149450620008</v>
      </c>
      <c r="AA254" t="str">
        <f>IF((LEN(Wine_pres_final[[#This Row],[kan_width]])-LEN(SUBSTITUTE(Wine_pres_final[[#This Row],[kan_width]]," ","")))&gt;2,"",Wine_pres_final[[#This Row],[kan_test_acc]])</f>
        <v/>
      </c>
      <c r="AB254">
        <f>Wine_pres_final[[#This Row],[mlp_test_acc]]</f>
        <v>0.69814814814814818</v>
      </c>
      <c r="AC254">
        <f>Wine_pres_final[[#This Row],[mlp_test_acc2]]</f>
        <v>0.69814814814814818</v>
      </c>
    </row>
    <row r="255" spans="1:29" hidden="1" x14ac:dyDescent="0.25">
      <c r="A255" t="s">
        <v>1336</v>
      </c>
      <c r="B255">
        <v>3</v>
      </c>
      <c r="C255">
        <v>5</v>
      </c>
      <c r="D255">
        <v>0</v>
      </c>
      <c r="E255" t="s">
        <v>1405</v>
      </c>
      <c r="F255">
        <v>6870</v>
      </c>
      <c r="G255">
        <v>16600007.166666668</v>
      </c>
      <c r="H255">
        <v>0.78148149450620008</v>
      </c>
      <c r="I255">
        <v>0.70925925925925926</v>
      </c>
      <c r="J255">
        <v>2716654.1666666665</v>
      </c>
      <c r="K255">
        <v>13653</v>
      </c>
      <c r="L255">
        <v>2</v>
      </c>
      <c r="M255">
        <v>78</v>
      </c>
      <c r="N255">
        <v>0.68148148148148147</v>
      </c>
      <c r="O255">
        <v>1215992.5</v>
      </c>
      <c r="P255">
        <v>13986</v>
      </c>
      <c r="Q255">
        <v>2</v>
      </c>
      <c r="R255">
        <v>79</v>
      </c>
      <c r="S255" t="s">
        <v>1571</v>
      </c>
      <c r="Y255">
        <f>Wine_pres_final[[#This Row],[mlp_params]]</f>
        <v>13653</v>
      </c>
      <c r="Z255">
        <f>IF((LEN(Wine_pres_final[[#This Row],[kan_width]])-LEN(SUBSTITUTE(Wine_pres_final[[#This Row],[kan_width]]," ","")))&gt;2,Wine_pres_final[[#This Row],[kan_test_acc]],"")</f>
        <v>0.78148149450620008</v>
      </c>
      <c r="AA255" t="str">
        <f>IF((LEN(Wine_pres_final[[#This Row],[kan_width]])-LEN(SUBSTITUTE(Wine_pres_final[[#This Row],[kan_width]]," ","")))&gt;2,"",Wine_pres_final[[#This Row],[kan_test_acc]])</f>
        <v/>
      </c>
      <c r="AB255">
        <f>Wine_pres_final[[#This Row],[mlp_test_acc]]</f>
        <v>0.70925925925925926</v>
      </c>
      <c r="AC255">
        <f>Wine_pres_final[[#This Row],[mlp_test_acc2]]</f>
        <v>0.68148148148148147</v>
      </c>
    </row>
    <row r="256" spans="1:29" hidden="1" x14ac:dyDescent="0.25">
      <c r="A256" t="s">
        <v>1336</v>
      </c>
      <c r="B256">
        <v>5</v>
      </c>
      <c r="C256">
        <v>4</v>
      </c>
      <c r="D256">
        <v>0</v>
      </c>
      <c r="E256" t="s">
        <v>1355</v>
      </c>
      <c r="F256">
        <v>4939</v>
      </c>
      <c r="G256">
        <v>11403224.416666668</v>
      </c>
      <c r="H256">
        <v>0.78333334376414621</v>
      </c>
      <c r="I256">
        <v>0.69444444444444442</v>
      </c>
      <c r="J256">
        <v>422552.75</v>
      </c>
      <c r="K256">
        <v>8604</v>
      </c>
      <c r="L256">
        <v>2</v>
      </c>
      <c r="M256">
        <v>61</v>
      </c>
      <c r="N256">
        <v>0.66666666666666674</v>
      </c>
      <c r="O256">
        <v>1981390.1666666665</v>
      </c>
      <c r="P256">
        <v>8869</v>
      </c>
      <c r="Q256">
        <v>2</v>
      </c>
      <c r="R256">
        <v>62</v>
      </c>
      <c r="S256" t="s">
        <v>1696</v>
      </c>
      <c r="Y256">
        <f>Wine_pres_final[[#This Row],[mlp_params]]</f>
        <v>8604</v>
      </c>
      <c r="Z256">
        <f>IF((LEN(Wine_pres_final[[#This Row],[kan_width]])-LEN(SUBSTITUTE(Wine_pres_final[[#This Row],[kan_width]]," ","")))&gt;2,Wine_pres_final[[#This Row],[kan_test_acc]],"")</f>
        <v>0.78333334376414621</v>
      </c>
      <c r="AA256" t="str">
        <f>IF((LEN(Wine_pres_final[[#This Row],[kan_width]])-LEN(SUBSTITUTE(Wine_pres_final[[#This Row],[kan_width]]," ","")))&gt;2,"",Wine_pres_final[[#This Row],[kan_test_acc]])</f>
        <v/>
      </c>
      <c r="AB256">
        <f>Wine_pres_final[[#This Row],[mlp_test_acc]]</f>
        <v>0.69444444444444442</v>
      </c>
      <c r="AC256">
        <f>Wine_pres_final[[#This Row],[mlp_test_acc2]]</f>
        <v>0.66666666666666674</v>
      </c>
    </row>
    <row r="257" spans="1:29" hidden="1" x14ac:dyDescent="0.25">
      <c r="A257" t="s">
        <v>1336</v>
      </c>
      <c r="B257">
        <v>5</v>
      </c>
      <c r="C257">
        <v>3</v>
      </c>
      <c r="D257">
        <v>0</v>
      </c>
      <c r="E257" t="s">
        <v>1365</v>
      </c>
      <c r="F257">
        <v>6300</v>
      </c>
      <c r="G257">
        <v>10636351.416666666</v>
      </c>
      <c r="H257">
        <v>0.78333334376414621</v>
      </c>
      <c r="I257">
        <v>0.67962962962962958</v>
      </c>
      <c r="J257">
        <v>2267688.25</v>
      </c>
      <c r="K257">
        <v>10254</v>
      </c>
      <c r="L257">
        <v>2</v>
      </c>
      <c r="M257">
        <v>67</v>
      </c>
      <c r="N257">
        <v>0.66666666666666663</v>
      </c>
      <c r="O257">
        <v>2871930.833333333</v>
      </c>
      <c r="P257">
        <v>10543</v>
      </c>
      <c r="Q257">
        <v>2</v>
      </c>
      <c r="R257">
        <v>68</v>
      </c>
      <c r="S257" t="s">
        <v>1651</v>
      </c>
      <c r="Y257">
        <f>Wine_pres_final[[#This Row],[mlp_params]]</f>
        <v>10254</v>
      </c>
      <c r="Z257">
        <f>IF((LEN(Wine_pres_final[[#This Row],[kan_width]])-LEN(SUBSTITUTE(Wine_pres_final[[#This Row],[kan_width]]," ","")))&gt;2,Wine_pres_final[[#This Row],[kan_test_acc]],"")</f>
        <v>0.78333334376414621</v>
      </c>
      <c r="AA257" t="str">
        <f>IF((LEN(Wine_pres_final[[#This Row],[kan_width]])-LEN(SUBSTITUTE(Wine_pres_final[[#This Row],[kan_width]]," ","")))&gt;2,"",Wine_pres_final[[#This Row],[kan_test_acc]])</f>
        <v/>
      </c>
      <c r="AB257">
        <f>Wine_pres_final[[#This Row],[mlp_test_acc]]</f>
        <v>0.67962962962962958</v>
      </c>
      <c r="AC257">
        <f>Wine_pres_final[[#This Row],[mlp_test_acc2]]</f>
        <v>0.66666666666666663</v>
      </c>
    </row>
    <row r="258" spans="1:29" hidden="1" x14ac:dyDescent="0.25">
      <c r="A258" t="s">
        <v>1336</v>
      </c>
      <c r="B258">
        <v>3</v>
      </c>
      <c r="C258">
        <v>5</v>
      </c>
      <c r="D258">
        <v>0</v>
      </c>
      <c r="E258" t="s">
        <v>1431</v>
      </c>
      <c r="F258">
        <v>10182</v>
      </c>
      <c r="G258">
        <v>16792736.583333332</v>
      </c>
      <c r="H258">
        <v>0.78333334376414621</v>
      </c>
      <c r="I258">
        <v>0.67592592592592593</v>
      </c>
      <c r="J258">
        <v>6523498.833333333</v>
      </c>
      <c r="K258">
        <v>20259</v>
      </c>
      <c r="L258">
        <v>2</v>
      </c>
      <c r="M258">
        <v>96</v>
      </c>
      <c r="N258">
        <v>0.6962962962962963</v>
      </c>
      <c r="O258">
        <v>5043800.583333333</v>
      </c>
      <c r="P258">
        <v>20664</v>
      </c>
      <c r="Q258">
        <v>2</v>
      </c>
      <c r="R258">
        <v>97</v>
      </c>
      <c r="S258" t="s">
        <v>1584</v>
      </c>
      <c r="Y258">
        <f>Wine_pres_final[[#This Row],[mlp_params]]</f>
        <v>20259</v>
      </c>
      <c r="Z258">
        <f>IF((LEN(Wine_pres_final[[#This Row],[kan_width]])-LEN(SUBSTITUTE(Wine_pres_final[[#This Row],[kan_width]]," ","")))&gt;2,Wine_pres_final[[#This Row],[kan_test_acc]],"")</f>
        <v>0.78333334376414621</v>
      </c>
      <c r="AA258" t="str">
        <f>IF((LEN(Wine_pres_final[[#This Row],[kan_width]])-LEN(SUBSTITUTE(Wine_pres_final[[#This Row],[kan_width]]," ","")))&gt;2,"",Wine_pres_final[[#This Row],[kan_test_acc]])</f>
        <v/>
      </c>
      <c r="AB258">
        <f>Wine_pres_final[[#This Row],[mlp_test_acc]]</f>
        <v>0.67592592592592593</v>
      </c>
      <c r="AC258">
        <f>Wine_pres_final[[#This Row],[mlp_test_acc2]]</f>
        <v>0.6962962962962963</v>
      </c>
    </row>
    <row r="259" spans="1:29" hidden="1" x14ac:dyDescent="0.25">
      <c r="A259" t="s">
        <v>1336</v>
      </c>
      <c r="B259">
        <v>9</v>
      </c>
      <c r="C259">
        <v>3</v>
      </c>
      <c r="D259">
        <v>0</v>
      </c>
      <c r="E259" t="s">
        <v>1421</v>
      </c>
      <c r="F259">
        <v>10256</v>
      </c>
      <c r="G259">
        <v>10415491.666666668</v>
      </c>
      <c r="H259">
        <v>0.78333334376414621</v>
      </c>
      <c r="I259">
        <v>0.66481481481481475</v>
      </c>
      <c r="J259">
        <v>4468800.666666667</v>
      </c>
      <c r="K259">
        <v>15009</v>
      </c>
      <c r="L259">
        <v>2</v>
      </c>
      <c r="M259">
        <v>82</v>
      </c>
      <c r="N259">
        <v>0.67777777777777781</v>
      </c>
      <c r="O259">
        <v>2997821</v>
      </c>
      <c r="P259">
        <v>15358</v>
      </c>
      <c r="Q259">
        <v>2</v>
      </c>
      <c r="R259">
        <v>83</v>
      </c>
      <c r="S259" t="s">
        <v>1879</v>
      </c>
      <c r="Y259">
        <f>Wine_pres_final[[#This Row],[mlp_params]]</f>
        <v>15009</v>
      </c>
      <c r="Z259">
        <f>IF((LEN(Wine_pres_final[[#This Row],[kan_width]])-LEN(SUBSTITUTE(Wine_pres_final[[#This Row],[kan_width]]," ","")))&gt;2,Wine_pres_final[[#This Row],[kan_test_acc]],"")</f>
        <v>0.78333334376414621</v>
      </c>
      <c r="AA259" t="str">
        <f>IF((LEN(Wine_pres_final[[#This Row],[kan_width]])-LEN(SUBSTITUTE(Wine_pres_final[[#This Row],[kan_width]]," ","")))&gt;2,"",Wine_pres_final[[#This Row],[kan_test_acc]])</f>
        <v/>
      </c>
      <c r="AB259">
        <f>Wine_pres_final[[#This Row],[mlp_test_acc]]</f>
        <v>0.66481481481481475</v>
      </c>
      <c r="AC259">
        <f>Wine_pres_final[[#This Row],[mlp_test_acc2]]</f>
        <v>0.67777777777777781</v>
      </c>
    </row>
    <row r="260" spans="1:29" x14ac:dyDescent="0.25">
      <c r="A260" t="s">
        <v>1336</v>
      </c>
      <c r="B260">
        <v>9</v>
      </c>
      <c r="C260">
        <v>5</v>
      </c>
      <c r="D260">
        <v>0</v>
      </c>
      <c r="E260" t="s">
        <v>1409</v>
      </c>
      <c r="F260">
        <v>12096</v>
      </c>
      <c r="G260">
        <v>11290414.75</v>
      </c>
      <c r="H260">
        <v>0.51666668181618047</v>
      </c>
      <c r="I260">
        <v>0.76481481481481484</v>
      </c>
      <c r="J260">
        <v>1780602.5</v>
      </c>
      <c r="K260">
        <v>19858</v>
      </c>
      <c r="L260">
        <v>2</v>
      </c>
      <c r="M260">
        <v>95</v>
      </c>
      <c r="N260">
        <v>0.74629629629629624</v>
      </c>
      <c r="O260">
        <v>5083190.583333333</v>
      </c>
      <c r="P260">
        <v>20259</v>
      </c>
      <c r="Q260">
        <v>2</v>
      </c>
      <c r="R260">
        <v>96</v>
      </c>
      <c r="S260" t="s">
        <v>1973</v>
      </c>
      <c r="Y260">
        <f>Wine_pres_final[[#This Row],[mlp_params]]</f>
        <v>19858</v>
      </c>
      <c r="Z260">
        <f>IF((LEN(Wine_pres_final[[#This Row],[kan_width]])-LEN(SUBSTITUTE(Wine_pres_final[[#This Row],[kan_width]]," ","")))&gt;2,Wine_pres_final[[#This Row],[kan_test_acc]],"")</f>
        <v>0.51666668181618047</v>
      </c>
      <c r="AA260" t="str">
        <f>IF((LEN(Wine_pres_final[[#This Row],[kan_width]])-LEN(SUBSTITUTE(Wine_pres_final[[#This Row],[kan_width]]," ","")))&gt;2,"",Wine_pres_final[[#This Row],[kan_test_acc]])</f>
        <v/>
      </c>
      <c r="AB260">
        <f>Wine_pres_final[[#This Row],[mlp_test_acc]]</f>
        <v>0.76481481481481484</v>
      </c>
      <c r="AC260">
        <f>Wine_pres_final[[#This Row],[mlp_test_acc2]]</f>
        <v>0.74629629629629624</v>
      </c>
    </row>
    <row r="261" spans="1:29" hidden="1" x14ac:dyDescent="0.25">
      <c r="A261" t="s">
        <v>1336</v>
      </c>
      <c r="B261">
        <v>3</v>
      </c>
      <c r="C261">
        <v>5</v>
      </c>
      <c r="D261">
        <v>0</v>
      </c>
      <c r="E261" t="s">
        <v>1393</v>
      </c>
      <c r="F261">
        <v>7092</v>
      </c>
      <c r="G261">
        <v>16252539.25</v>
      </c>
      <c r="H261">
        <v>0.78333334624767303</v>
      </c>
      <c r="I261">
        <v>0.7</v>
      </c>
      <c r="J261">
        <v>1839980</v>
      </c>
      <c r="K261">
        <v>13986</v>
      </c>
      <c r="L261">
        <v>2</v>
      </c>
      <c r="M261">
        <v>79</v>
      </c>
      <c r="N261">
        <v>0.70925925925925926</v>
      </c>
      <c r="O261">
        <v>842758.91666666674</v>
      </c>
      <c r="P261">
        <v>14323</v>
      </c>
      <c r="Q261">
        <v>2</v>
      </c>
      <c r="R261">
        <v>80</v>
      </c>
      <c r="S261" t="s">
        <v>1565</v>
      </c>
      <c r="Y261">
        <f>Wine_pres_final[[#This Row],[mlp_params]]</f>
        <v>13986</v>
      </c>
      <c r="Z261">
        <f>IF((LEN(Wine_pres_final[[#This Row],[kan_width]])-LEN(SUBSTITUTE(Wine_pres_final[[#This Row],[kan_width]]," ","")))&gt;2,Wine_pres_final[[#This Row],[kan_test_acc]],"")</f>
        <v>0.78333334624767303</v>
      </c>
      <c r="AA261" t="str">
        <f>IF((LEN(Wine_pres_final[[#This Row],[kan_width]])-LEN(SUBSTITUTE(Wine_pres_final[[#This Row],[kan_width]]," ","")))&gt;2,"",Wine_pres_final[[#This Row],[kan_test_acc]])</f>
        <v/>
      </c>
      <c r="AB261">
        <f>Wine_pres_final[[#This Row],[mlp_test_acc]]</f>
        <v>0.7</v>
      </c>
      <c r="AC261">
        <f>Wine_pres_final[[#This Row],[mlp_test_acc2]]</f>
        <v>0.70925925925925926</v>
      </c>
    </row>
    <row r="262" spans="1:29" hidden="1" x14ac:dyDescent="0.25">
      <c r="A262" t="s">
        <v>1336</v>
      </c>
      <c r="B262">
        <v>3</v>
      </c>
      <c r="C262">
        <v>5</v>
      </c>
      <c r="D262">
        <v>0</v>
      </c>
      <c r="E262" t="s">
        <v>1407</v>
      </c>
      <c r="F262">
        <v>7356</v>
      </c>
      <c r="G262">
        <v>17839394.583333336</v>
      </c>
      <c r="H262">
        <v>0.78518519798914588</v>
      </c>
      <c r="I262">
        <v>0.71296296296296291</v>
      </c>
      <c r="J262">
        <v>2411018.583333333</v>
      </c>
      <c r="K262">
        <v>14664</v>
      </c>
      <c r="L262">
        <v>2</v>
      </c>
      <c r="M262">
        <v>81</v>
      </c>
      <c r="N262">
        <v>0.68888888888888888</v>
      </c>
      <c r="O262">
        <v>1359960.3333333335</v>
      </c>
      <c r="P262">
        <v>15009</v>
      </c>
      <c r="Q262">
        <v>2</v>
      </c>
      <c r="R262">
        <v>82</v>
      </c>
      <c r="S262" t="s">
        <v>1572</v>
      </c>
      <c r="Y262">
        <f>Wine_pres_final[[#This Row],[mlp_params]]</f>
        <v>14664</v>
      </c>
      <c r="Z262">
        <f>IF((LEN(Wine_pres_final[[#This Row],[kan_width]])-LEN(SUBSTITUTE(Wine_pres_final[[#This Row],[kan_width]]," ","")))&gt;2,Wine_pres_final[[#This Row],[kan_test_acc]],"")</f>
        <v>0.78518519798914588</v>
      </c>
      <c r="AA262" t="str">
        <f>IF((LEN(Wine_pres_final[[#This Row],[kan_width]])-LEN(SUBSTITUTE(Wine_pres_final[[#This Row],[kan_width]]," ","")))&gt;2,"",Wine_pres_final[[#This Row],[kan_test_acc]])</f>
        <v/>
      </c>
      <c r="AB262">
        <f>Wine_pres_final[[#This Row],[mlp_test_acc]]</f>
        <v>0.71296296296296291</v>
      </c>
      <c r="AC262">
        <f>Wine_pres_final[[#This Row],[mlp_test_acc2]]</f>
        <v>0.68888888888888888</v>
      </c>
    </row>
    <row r="263" spans="1:29" hidden="1" x14ac:dyDescent="0.25">
      <c r="A263" t="s">
        <v>1336</v>
      </c>
      <c r="B263">
        <v>9</v>
      </c>
      <c r="C263">
        <v>2</v>
      </c>
      <c r="D263">
        <v>0</v>
      </c>
      <c r="E263" t="s">
        <v>1367</v>
      </c>
      <c r="F263">
        <v>8457</v>
      </c>
      <c r="G263">
        <v>9342572.6666666679</v>
      </c>
      <c r="H263">
        <v>0.78518519798914588</v>
      </c>
      <c r="I263">
        <v>0.68703703703703711</v>
      </c>
      <c r="J263">
        <v>6421440.666666667</v>
      </c>
      <c r="K263">
        <v>11434</v>
      </c>
      <c r="L263">
        <v>2</v>
      </c>
      <c r="M263">
        <v>71</v>
      </c>
      <c r="N263">
        <v>0.72962962962962963</v>
      </c>
      <c r="O263">
        <v>1942490</v>
      </c>
      <c r="P263">
        <v>11739</v>
      </c>
      <c r="Q263">
        <v>2</v>
      </c>
      <c r="R263">
        <v>72</v>
      </c>
      <c r="S263" t="s">
        <v>1802</v>
      </c>
      <c r="Y263">
        <f>Wine_pres_final[[#This Row],[mlp_params]]</f>
        <v>11434</v>
      </c>
      <c r="Z263">
        <f>IF((LEN(Wine_pres_final[[#This Row],[kan_width]])-LEN(SUBSTITUTE(Wine_pres_final[[#This Row],[kan_width]]," ","")))&gt;2,Wine_pres_final[[#This Row],[kan_test_acc]],"")</f>
        <v>0.78518519798914588</v>
      </c>
      <c r="AA263" t="str">
        <f>IF((LEN(Wine_pres_final[[#This Row],[kan_width]])-LEN(SUBSTITUTE(Wine_pres_final[[#This Row],[kan_width]]," ","")))&gt;2,"",Wine_pres_final[[#This Row],[kan_test_acc]])</f>
        <v/>
      </c>
      <c r="AB263">
        <f>Wine_pres_final[[#This Row],[mlp_test_acc]]</f>
        <v>0.68703703703703711</v>
      </c>
      <c r="AC263">
        <f>Wine_pres_final[[#This Row],[mlp_test_acc2]]</f>
        <v>0.72962962962962963</v>
      </c>
    </row>
    <row r="264" spans="1:29" hidden="1" x14ac:dyDescent="0.25">
      <c r="A264" t="s">
        <v>1336</v>
      </c>
      <c r="B264">
        <v>3</v>
      </c>
      <c r="C264">
        <v>5</v>
      </c>
      <c r="D264">
        <v>0</v>
      </c>
      <c r="E264" t="s">
        <v>1421</v>
      </c>
      <c r="F264">
        <v>7532</v>
      </c>
      <c r="G264">
        <v>12486418.5</v>
      </c>
      <c r="H264">
        <v>0.78518519798914599</v>
      </c>
      <c r="I264">
        <v>0.65555555555555556</v>
      </c>
      <c r="J264">
        <v>2262680.416666667</v>
      </c>
      <c r="K264">
        <v>15009</v>
      </c>
      <c r="L264">
        <v>2</v>
      </c>
      <c r="M264">
        <v>82</v>
      </c>
      <c r="N264">
        <v>0.64814814814814814</v>
      </c>
      <c r="O264">
        <v>1093840.8333333335</v>
      </c>
      <c r="P264">
        <v>15358</v>
      </c>
      <c r="Q264">
        <v>2</v>
      </c>
      <c r="R264">
        <v>83</v>
      </c>
      <c r="S264" t="s">
        <v>1579</v>
      </c>
      <c r="Y264">
        <f>Wine_pres_final[[#This Row],[mlp_params]]</f>
        <v>15009</v>
      </c>
      <c r="Z264">
        <f>IF((LEN(Wine_pres_final[[#This Row],[kan_width]])-LEN(SUBSTITUTE(Wine_pres_final[[#This Row],[kan_width]]," ","")))&gt;2,Wine_pres_final[[#This Row],[kan_test_acc]],"")</f>
        <v>0.78518519798914599</v>
      </c>
      <c r="AA264" t="str">
        <f>IF((LEN(Wine_pres_final[[#This Row],[kan_width]])-LEN(SUBSTITUTE(Wine_pres_final[[#This Row],[kan_width]]," ","")))&gt;2,"",Wine_pres_final[[#This Row],[kan_test_acc]])</f>
        <v/>
      </c>
      <c r="AB264">
        <f>Wine_pres_final[[#This Row],[mlp_test_acc]]</f>
        <v>0.65555555555555556</v>
      </c>
      <c r="AC264">
        <f>Wine_pres_final[[#This Row],[mlp_test_acc2]]</f>
        <v>0.64814814814814814</v>
      </c>
    </row>
    <row r="265" spans="1:29" hidden="1" x14ac:dyDescent="0.25">
      <c r="A265" t="s">
        <v>1336</v>
      </c>
      <c r="B265">
        <v>5</v>
      </c>
      <c r="C265">
        <v>3</v>
      </c>
      <c r="D265">
        <v>0</v>
      </c>
      <c r="E265" t="s">
        <v>1383</v>
      </c>
      <c r="F265">
        <v>7536</v>
      </c>
      <c r="G265">
        <v>11960432.916666668</v>
      </c>
      <c r="H265">
        <v>0.78518519798914599</v>
      </c>
      <c r="I265">
        <v>0.69259259259259265</v>
      </c>
      <c r="J265">
        <v>4547413.5</v>
      </c>
      <c r="K265">
        <v>12048</v>
      </c>
      <c r="L265">
        <v>2</v>
      </c>
      <c r="M265">
        <v>73</v>
      </c>
      <c r="N265">
        <v>0.71296296296296302</v>
      </c>
      <c r="O265">
        <v>1898133.25</v>
      </c>
      <c r="P265">
        <v>12361</v>
      </c>
      <c r="Q265">
        <v>2</v>
      </c>
      <c r="R265">
        <v>74</v>
      </c>
      <c r="S265" t="s">
        <v>1660</v>
      </c>
      <c r="Y265">
        <f>Wine_pres_final[[#This Row],[mlp_params]]</f>
        <v>12048</v>
      </c>
      <c r="Z265">
        <f>IF((LEN(Wine_pres_final[[#This Row],[kan_width]])-LEN(SUBSTITUTE(Wine_pres_final[[#This Row],[kan_width]]," ","")))&gt;2,Wine_pres_final[[#This Row],[kan_test_acc]],"")</f>
        <v>0.78518519798914599</v>
      </c>
      <c r="AA265" t="str">
        <f>IF((LEN(Wine_pres_final[[#This Row],[kan_width]])-LEN(SUBSTITUTE(Wine_pres_final[[#This Row],[kan_width]]," ","")))&gt;2,"",Wine_pres_final[[#This Row],[kan_test_acc]])</f>
        <v/>
      </c>
      <c r="AB265">
        <f>Wine_pres_final[[#This Row],[mlp_test_acc]]</f>
        <v>0.69259259259259265</v>
      </c>
      <c r="AC265">
        <f>Wine_pres_final[[#This Row],[mlp_test_acc2]]</f>
        <v>0.71296296296296302</v>
      </c>
    </row>
    <row r="266" spans="1:29" hidden="1" x14ac:dyDescent="0.25">
      <c r="A266" t="s">
        <v>1336</v>
      </c>
      <c r="B266">
        <v>5</v>
      </c>
      <c r="C266">
        <v>3</v>
      </c>
      <c r="D266">
        <v>0</v>
      </c>
      <c r="E266" t="s">
        <v>1405</v>
      </c>
      <c r="F266">
        <v>6870</v>
      </c>
      <c r="G266">
        <v>15817267.166666668</v>
      </c>
      <c r="H266">
        <v>0.78703704973061872</v>
      </c>
      <c r="I266">
        <v>0.71111111111111103</v>
      </c>
      <c r="J266">
        <v>3682164.416666667</v>
      </c>
      <c r="K266">
        <v>11133</v>
      </c>
      <c r="L266">
        <v>2</v>
      </c>
      <c r="M266">
        <v>70</v>
      </c>
      <c r="N266">
        <v>0.67037037037037039</v>
      </c>
      <c r="O266">
        <v>2628477</v>
      </c>
      <c r="P266">
        <v>11434</v>
      </c>
      <c r="Q266">
        <v>2</v>
      </c>
      <c r="R266">
        <v>71</v>
      </c>
      <c r="S266" t="s">
        <v>1671</v>
      </c>
      <c r="Y266">
        <f>Wine_pres_final[[#This Row],[mlp_params]]</f>
        <v>11133</v>
      </c>
      <c r="Z266">
        <f>IF((LEN(Wine_pres_final[[#This Row],[kan_width]])-LEN(SUBSTITUTE(Wine_pres_final[[#This Row],[kan_width]]," ","")))&gt;2,Wine_pres_final[[#This Row],[kan_test_acc]],"")</f>
        <v>0.78703704973061872</v>
      </c>
      <c r="AA266" t="str">
        <f>IF((LEN(Wine_pres_final[[#This Row],[kan_width]])-LEN(SUBSTITUTE(Wine_pres_final[[#This Row],[kan_width]]," ","")))&gt;2,"",Wine_pres_final[[#This Row],[kan_test_acc]])</f>
        <v/>
      </c>
      <c r="AB266">
        <f>Wine_pres_final[[#This Row],[mlp_test_acc]]</f>
        <v>0.71111111111111103</v>
      </c>
      <c r="AC266">
        <f>Wine_pres_final[[#This Row],[mlp_test_acc2]]</f>
        <v>0.67037037037037039</v>
      </c>
    </row>
    <row r="267" spans="1:29" hidden="1" x14ac:dyDescent="0.25">
      <c r="A267" t="s">
        <v>1336</v>
      </c>
      <c r="B267">
        <v>9</v>
      </c>
      <c r="C267">
        <v>2</v>
      </c>
      <c r="D267">
        <v>0</v>
      </c>
      <c r="E267" t="s">
        <v>1383</v>
      </c>
      <c r="F267">
        <v>9579</v>
      </c>
      <c r="G267">
        <v>10119212.5</v>
      </c>
      <c r="H267">
        <v>0.78703704973061872</v>
      </c>
      <c r="I267">
        <v>0.7</v>
      </c>
      <c r="J267">
        <v>5556490</v>
      </c>
      <c r="K267">
        <v>12678</v>
      </c>
      <c r="L267">
        <v>2</v>
      </c>
      <c r="M267">
        <v>75</v>
      </c>
      <c r="N267">
        <v>0.71296296296296302</v>
      </c>
      <c r="O267">
        <v>2907945.25</v>
      </c>
      <c r="P267">
        <v>12999</v>
      </c>
      <c r="Q267">
        <v>2</v>
      </c>
      <c r="R267">
        <v>76</v>
      </c>
      <c r="S267" t="s">
        <v>1810</v>
      </c>
      <c r="Y267">
        <f>Wine_pres_final[[#This Row],[mlp_params]]</f>
        <v>12678</v>
      </c>
      <c r="Z267">
        <f>IF((LEN(Wine_pres_final[[#This Row],[kan_width]])-LEN(SUBSTITUTE(Wine_pres_final[[#This Row],[kan_width]]," ","")))&gt;2,Wine_pres_final[[#This Row],[kan_test_acc]],"")</f>
        <v>0.78703704973061872</v>
      </c>
      <c r="AA267" t="str">
        <f>IF((LEN(Wine_pres_final[[#This Row],[kan_width]])-LEN(SUBSTITUTE(Wine_pres_final[[#This Row],[kan_width]]," ","")))&gt;2,"",Wine_pres_final[[#This Row],[kan_test_acc]])</f>
        <v/>
      </c>
      <c r="AB267">
        <f>Wine_pres_final[[#This Row],[mlp_test_acc]]</f>
        <v>0.7</v>
      </c>
      <c r="AC267">
        <f>Wine_pres_final[[#This Row],[mlp_test_acc2]]</f>
        <v>0.71296296296296302</v>
      </c>
    </row>
    <row r="268" spans="1:29" hidden="1" x14ac:dyDescent="0.25">
      <c r="A268" t="s">
        <v>1336</v>
      </c>
      <c r="B268">
        <v>5</v>
      </c>
      <c r="C268">
        <v>2</v>
      </c>
      <c r="D268">
        <v>0</v>
      </c>
      <c r="E268" t="s">
        <v>1355</v>
      </c>
      <c r="F268">
        <v>4121</v>
      </c>
      <c r="G268">
        <v>8339724</v>
      </c>
      <c r="H268">
        <v>0.78888890147209167</v>
      </c>
      <c r="I268">
        <v>0.66296296296296298</v>
      </c>
      <c r="J268">
        <v>337969</v>
      </c>
      <c r="K268">
        <v>5953</v>
      </c>
      <c r="L268">
        <v>2</v>
      </c>
      <c r="M268">
        <v>50</v>
      </c>
      <c r="N268">
        <v>0.72962962962962963</v>
      </c>
      <c r="O268">
        <v>340140.75</v>
      </c>
      <c r="P268">
        <v>6174</v>
      </c>
      <c r="Q268">
        <v>2</v>
      </c>
      <c r="R268">
        <v>51</v>
      </c>
      <c r="S268" t="s">
        <v>1596</v>
      </c>
      <c r="Y268">
        <f>Wine_pres_final[[#This Row],[mlp_params]]</f>
        <v>5953</v>
      </c>
      <c r="Z268">
        <f>IF((LEN(Wine_pres_final[[#This Row],[kan_width]])-LEN(SUBSTITUTE(Wine_pres_final[[#This Row],[kan_width]]," ","")))&gt;2,Wine_pres_final[[#This Row],[kan_test_acc]],"")</f>
        <v>0.78888890147209167</v>
      </c>
      <c r="AA268" t="str">
        <f>IF((LEN(Wine_pres_final[[#This Row],[kan_width]])-LEN(SUBSTITUTE(Wine_pres_final[[#This Row],[kan_width]]," ","")))&gt;2,"",Wine_pres_final[[#This Row],[kan_test_acc]])</f>
        <v/>
      </c>
      <c r="AB268">
        <f>Wine_pres_final[[#This Row],[mlp_test_acc]]</f>
        <v>0.66296296296296298</v>
      </c>
      <c r="AC268">
        <f>Wine_pres_final[[#This Row],[mlp_test_acc2]]</f>
        <v>0.72962962962962963</v>
      </c>
    </row>
    <row r="269" spans="1:29" hidden="1" x14ac:dyDescent="0.25">
      <c r="A269" t="s">
        <v>1336</v>
      </c>
      <c r="B269">
        <v>3</v>
      </c>
      <c r="C269">
        <v>5</v>
      </c>
      <c r="D269">
        <v>0</v>
      </c>
      <c r="E269" t="s">
        <v>1387</v>
      </c>
      <c r="F269">
        <v>5766</v>
      </c>
      <c r="G269">
        <v>17566166.5</v>
      </c>
      <c r="H269">
        <v>0.78888890147209167</v>
      </c>
      <c r="I269">
        <v>0.6518518518518519</v>
      </c>
      <c r="J269">
        <v>2147065.5</v>
      </c>
      <c r="K269">
        <v>11434</v>
      </c>
      <c r="L269">
        <v>2</v>
      </c>
      <c r="M269">
        <v>71</v>
      </c>
      <c r="N269">
        <v>0.67592592592592593</v>
      </c>
      <c r="O269">
        <v>708003</v>
      </c>
      <c r="P269">
        <v>11739</v>
      </c>
      <c r="Q269">
        <v>2</v>
      </c>
      <c r="R269">
        <v>72</v>
      </c>
      <c r="S269" t="s">
        <v>1562</v>
      </c>
      <c r="Y269">
        <f>Wine_pres_final[[#This Row],[mlp_params]]</f>
        <v>11434</v>
      </c>
      <c r="Z269">
        <f>IF((LEN(Wine_pres_final[[#This Row],[kan_width]])-LEN(SUBSTITUTE(Wine_pres_final[[#This Row],[kan_width]]," ","")))&gt;2,Wine_pres_final[[#This Row],[kan_test_acc]],"")</f>
        <v>0.78888890147209167</v>
      </c>
      <c r="AA269" t="str">
        <f>IF((LEN(Wine_pres_final[[#This Row],[kan_width]])-LEN(SUBSTITUTE(Wine_pres_final[[#This Row],[kan_width]]," ","")))&gt;2,"",Wine_pres_final[[#This Row],[kan_test_acc]])</f>
        <v/>
      </c>
      <c r="AB269">
        <f>Wine_pres_final[[#This Row],[mlp_test_acc]]</f>
        <v>0.6518518518518519</v>
      </c>
      <c r="AC269">
        <f>Wine_pres_final[[#This Row],[mlp_test_acc2]]</f>
        <v>0.67592592592592593</v>
      </c>
    </row>
    <row r="270" spans="1:29" hidden="1" x14ac:dyDescent="0.25">
      <c r="A270" t="s">
        <v>1336</v>
      </c>
      <c r="B270">
        <v>5</v>
      </c>
      <c r="C270">
        <v>4</v>
      </c>
      <c r="D270">
        <v>0</v>
      </c>
      <c r="E270" t="s">
        <v>1383</v>
      </c>
      <c r="F270">
        <v>8217</v>
      </c>
      <c r="G270">
        <v>13016124.75</v>
      </c>
      <c r="H270">
        <v>0.78888890147209167</v>
      </c>
      <c r="I270">
        <v>0.75555555555555554</v>
      </c>
      <c r="J270">
        <v>4184703.583333333</v>
      </c>
      <c r="K270">
        <v>14323</v>
      </c>
      <c r="L270">
        <v>2</v>
      </c>
      <c r="M270">
        <v>80</v>
      </c>
      <c r="N270">
        <v>0.67407407407407405</v>
      </c>
      <c r="O270">
        <v>3744827.9166666665</v>
      </c>
      <c r="P270">
        <v>14664</v>
      </c>
      <c r="Q270">
        <v>2</v>
      </c>
      <c r="R270">
        <v>81</v>
      </c>
      <c r="S270" t="s">
        <v>1710</v>
      </c>
      <c r="Y270">
        <f>Wine_pres_final[[#This Row],[mlp_params]]</f>
        <v>14323</v>
      </c>
      <c r="Z270">
        <f>IF((LEN(Wine_pres_final[[#This Row],[kan_width]])-LEN(SUBSTITUTE(Wine_pres_final[[#This Row],[kan_width]]," ","")))&gt;2,Wine_pres_final[[#This Row],[kan_test_acc]],"")</f>
        <v>0.78888890147209167</v>
      </c>
      <c r="AA270" t="str">
        <f>IF((LEN(Wine_pres_final[[#This Row],[kan_width]])-LEN(SUBSTITUTE(Wine_pres_final[[#This Row],[kan_width]]," ","")))&gt;2,"",Wine_pres_final[[#This Row],[kan_test_acc]])</f>
        <v/>
      </c>
      <c r="AB270">
        <f>Wine_pres_final[[#This Row],[mlp_test_acc]]</f>
        <v>0.75555555555555554</v>
      </c>
      <c r="AC270">
        <f>Wine_pres_final[[#This Row],[mlp_test_acc2]]</f>
        <v>0.67407407407407405</v>
      </c>
    </row>
    <row r="271" spans="1:29" hidden="1" x14ac:dyDescent="0.25">
      <c r="A271" t="s">
        <v>1336</v>
      </c>
      <c r="B271">
        <v>5</v>
      </c>
      <c r="C271">
        <v>3</v>
      </c>
      <c r="D271">
        <v>0</v>
      </c>
      <c r="E271" t="s">
        <v>1391</v>
      </c>
      <c r="F271">
        <v>6650</v>
      </c>
      <c r="G271">
        <v>13962567.666666668</v>
      </c>
      <c r="H271">
        <v>0.79074075073003769</v>
      </c>
      <c r="I271">
        <v>0.7</v>
      </c>
      <c r="J271">
        <v>4515570.25</v>
      </c>
      <c r="K271">
        <v>10836</v>
      </c>
      <c r="L271">
        <v>2</v>
      </c>
      <c r="M271">
        <v>69</v>
      </c>
      <c r="N271">
        <v>0.68888888888888888</v>
      </c>
      <c r="O271">
        <v>2867499.75</v>
      </c>
      <c r="P271">
        <v>11133</v>
      </c>
      <c r="Q271">
        <v>2</v>
      </c>
      <c r="R271">
        <v>70</v>
      </c>
      <c r="S271" t="s">
        <v>1664</v>
      </c>
      <c r="Y271">
        <f>Wine_pres_final[[#This Row],[mlp_params]]</f>
        <v>10836</v>
      </c>
      <c r="Z271">
        <f>IF((LEN(Wine_pres_final[[#This Row],[kan_width]])-LEN(SUBSTITUTE(Wine_pres_final[[#This Row],[kan_width]]," ","")))&gt;2,Wine_pres_final[[#This Row],[kan_test_acc]],"")</f>
        <v>0.79074075073003769</v>
      </c>
      <c r="AA271" t="str">
        <f>IF((LEN(Wine_pres_final[[#This Row],[kan_width]])-LEN(SUBSTITUTE(Wine_pres_final[[#This Row],[kan_width]]," ","")))&gt;2,"",Wine_pres_final[[#This Row],[kan_test_acc]])</f>
        <v/>
      </c>
      <c r="AB271">
        <f>Wine_pres_final[[#This Row],[mlp_test_acc]]</f>
        <v>0.7</v>
      </c>
      <c r="AC271">
        <f>Wine_pres_final[[#This Row],[mlp_test_acc2]]</f>
        <v>0.68888888888888888</v>
      </c>
    </row>
    <row r="272" spans="1:29" hidden="1" x14ac:dyDescent="0.25">
      <c r="A272" t="s">
        <v>1336</v>
      </c>
      <c r="B272">
        <v>3</v>
      </c>
      <c r="C272">
        <v>5</v>
      </c>
      <c r="D272">
        <v>0</v>
      </c>
      <c r="E272" t="s">
        <v>1413</v>
      </c>
      <c r="F272">
        <v>8814</v>
      </c>
      <c r="G272">
        <v>17377027.166666668</v>
      </c>
      <c r="H272">
        <v>0.79074075321356463</v>
      </c>
      <c r="I272">
        <v>0.70185185185185184</v>
      </c>
      <c r="J272">
        <v>2502484.916666667</v>
      </c>
      <c r="K272">
        <v>17536</v>
      </c>
      <c r="L272">
        <v>2</v>
      </c>
      <c r="M272">
        <v>89</v>
      </c>
      <c r="N272">
        <v>0.68333333333333335</v>
      </c>
      <c r="O272">
        <v>1057614.6666666667</v>
      </c>
      <c r="P272">
        <v>17913</v>
      </c>
      <c r="Q272">
        <v>2</v>
      </c>
      <c r="R272">
        <v>90</v>
      </c>
      <c r="S272" t="s">
        <v>1575</v>
      </c>
      <c r="Y272">
        <f>Wine_pres_final[[#This Row],[mlp_params]]</f>
        <v>17536</v>
      </c>
      <c r="Z272">
        <f>IF((LEN(Wine_pres_final[[#This Row],[kan_width]])-LEN(SUBSTITUTE(Wine_pres_final[[#This Row],[kan_width]]," ","")))&gt;2,Wine_pres_final[[#This Row],[kan_test_acc]],"")</f>
        <v>0.79074075321356463</v>
      </c>
      <c r="AA272" t="str">
        <f>IF((LEN(Wine_pres_final[[#This Row],[kan_width]])-LEN(SUBSTITUTE(Wine_pres_final[[#This Row],[kan_width]]," ","")))&gt;2,"",Wine_pres_final[[#This Row],[kan_test_acc]])</f>
        <v/>
      </c>
      <c r="AB272">
        <f>Wine_pres_final[[#This Row],[mlp_test_acc]]</f>
        <v>0.70185185185185184</v>
      </c>
      <c r="AC272">
        <f>Wine_pres_final[[#This Row],[mlp_test_acc2]]</f>
        <v>0.68333333333333335</v>
      </c>
    </row>
    <row r="273" spans="1:29" hidden="1" x14ac:dyDescent="0.25">
      <c r="A273" t="s">
        <v>1336</v>
      </c>
      <c r="B273">
        <v>5</v>
      </c>
      <c r="C273">
        <v>3</v>
      </c>
      <c r="D273">
        <v>0</v>
      </c>
      <c r="E273" t="s">
        <v>1363</v>
      </c>
      <c r="F273">
        <v>5946</v>
      </c>
      <c r="G273">
        <v>11717402.25</v>
      </c>
      <c r="H273">
        <v>0.7925925999879837</v>
      </c>
      <c r="I273">
        <v>0.71111111111111114</v>
      </c>
      <c r="J273">
        <v>543212.5</v>
      </c>
      <c r="K273">
        <v>9688</v>
      </c>
      <c r="L273">
        <v>2</v>
      </c>
      <c r="M273">
        <v>65</v>
      </c>
      <c r="N273">
        <v>0.66851851851851851</v>
      </c>
      <c r="O273">
        <v>2010545</v>
      </c>
      <c r="P273">
        <v>9969</v>
      </c>
      <c r="Q273">
        <v>2</v>
      </c>
      <c r="R273">
        <v>66</v>
      </c>
      <c r="S273" t="s">
        <v>1650</v>
      </c>
      <c r="Y273">
        <f>Wine_pres_final[[#This Row],[mlp_params]]</f>
        <v>9688</v>
      </c>
      <c r="Z273">
        <f>IF((LEN(Wine_pres_final[[#This Row],[kan_width]])-LEN(SUBSTITUTE(Wine_pres_final[[#This Row],[kan_width]]," ","")))&gt;2,Wine_pres_final[[#This Row],[kan_test_acc]],"")</f>
        <v>0.7925925999879837</v>
      </c>
      <c r="AA273" t="str">
        <f>IF((LEN(Wine_pres_final[[#This Row],[kan_width]])-LEN(SUBSTITUTE(Wine_pres_final[[#This Row],[kan_width]]," ","")))&gt;2,"",Wine_pres_final[[#This Row],[kan_test_acc]])</f>
        <v/>
      </c>
      <c r="AB273">
        <f>Wine_pres_final[[#This Row],[mlp_test_acc]]</f>
        <v>0.71111111111111114</v>
      </c>
      <c r="AC273">
        <f>Wine_pres_final[[#This Row],[mlp_test_acc2]]</f>
        <v>0.66851851851851851</v>
      </c>
    </row>
    <row r="274" spans="1:29" hidden="1" x14ac:dyDescent="0.25">
      <c r="A274" t="s">
        <v>1336</v>
      </c>
      <c r="B274">
        <v>5</v>
      </c>
      <c r="C274">
        <v>2</v>
      </c>
      <c r="D274">
        <v>0</v>
      </c>
      <c r="E274" t="s">
        <v>1433</v>
      </c>
      <c r="F274">
        <v>1452</v>
      </c>
      <c r="G274">
        <v>15394665.5</v>
      </c>
      <c r="H274">
        <v>0.79259260247151064</v>
      </c>
      <c r="I274">
        <v>0.71111111111111114</v>
      </c>
      <c r="J274">
        <v>8283858.583333333</v>
      </c>
      <c r="K274">
        <v>2103</v>
      </c>
      <c r="L274">
        <v>2</v>
      </c>
      <c r="M274">
        <v>28</v>
      </c>
      <c r="N274">
        <v>0.68888888888888888</v>
      </c>
      <c r="O274">
        <v>6968795.916666666</v>
      </c>
      <c r="P274">
        <v>2236</v>
      </c>
      <c r="Q274">
        <v>2</v>
      </c>
      <c r="R274">
        <v>29</v>
      </c>
      <c r="S274" t="s">
        <v>1585</v>
      </c>
      <c r="Y274">
        <f>Wine_pres_final[[#This Row],[mlp_params]]</f>
        <v>2103</v>
      </c>
      <c r="Z274" t="str">
        <f>IF((LEN(Wine_pres_final[[#This Row],[kan_width]])-LEN(SUBSTITUTE(Wine_pres_final[[#This Row],[kan_width]]," ","")))&gt;2,Wine_pres_final[[#This Row],[kan_test_acc]],"")</f>
        <v/>
      </c>
      <c r="AA274">
        <f>IF((LEN(Wine_pres_final[[#This Row],[kan_width]])-LEN(SUBSTITUTE(Wine_pres_final[[#This Row],[kan_width]]," ","")))&gt;2,"",Wine_pres_final[[#This Row],[kan_test_acc]])</f>
        <v>0.79259260247151064</v>
      </c>
      <c r="AB274">
        <f>Wine_pres_final[[#This Row],[mlp_test_acc]]</f>
        <v>0.71111111111111114</v>
      </c>
      <c r="AC274">
        <f>Wine_pres_final[[#This Row],[mlp_test_acc2]]</f>
        <v>0.68888888888888888</v>
      </c>
    </row>
    <row r="275" spans="1:29" hidden="1" x14ac:dyDescent="0.25">
      <c r="A275" t="s">
        <v>1336</v>
      </c>
      <c r="B275">
        <v>5</v>
      </c>
      <c r="C275">
        <v>3</v>
      </c>
      <c r="D275">
        <v>0</v>
      </c>
      <c r="E275" t="s">
        <v>1375</v>
      </c>
      <c r="F275">
        <v>5944</v>
      </c>
      <c r="G275">
        <v>11849356.666666666</v>
      </c>
      <c r="H275">
        <v>0.79259260247151064</v>
      </c>
      <c r="I275">
        <v>0.70370370370370372</v>
      </c>
      <c r="J275">
        <v>613399.75</v>
      </c>
      <c r="K275">
        <v>9688</v>
      </c>
      <c r="L275">
        <v>2</v>
      </c>
      <c r="M275">
        <v>65</v>
      </c>
      <c r="N275">
        <v>0.66851851851851851</v>
      </c>
      <c r="O275">
        <v>2058036.8333333333</v>
      </c>
      <c r="P275">
        <v>9969</v>
      </c>
      <c r="Q275">
        <v>2</v>
      </c>
      <c r="R275">
        <v>66</v>
      </c>
      <c r="S275" t="s">
        <v>1656</v>
      </c>
      <c r="Y275">
        <f>Wine_pres_final[[#This Row],[mlp_params]]</f>
        <v>9688</v>
      </c>
      <c r="Z275">
        <f>IF((LEN(Wine_pres_final[[#This Row],[kan_width]])-LEN(SUBSTITUTE(Wine_pres_final[[#This Row],[kan_width]]," ","")))&gt;2,Wine_pres_final[[#This Row],[kan_test_acc]],"")</f>
        <v>0.79259260247151064</v>
      </c>
      <c r="AA275" t="str">
        <f>IF((LEN(Wine_pres_final[[#This Row],[kan_width]])-LEN(SUBSTITUTE(Wine_pres_final[[#This Row],[kan_width]]," ","")))&gt;2,"",Wine_pres_final[[#This Row],[kan_test_acc]])</f>
        <v/>
      </c>
      <c r="AB275">
        <f>Wine_pres_final[[#This Row],[mlp_test_acc]]</f>
        <v>0.70370370370370372</v>
      </c>
      <c r="AC275">
        <f>Wine_pres_final[[#This Row],[mlp_test_acc2]]</f>
        <v>0.66851851851851851</v>
      </c>
    </row>
    <row r="276" spans="1:29" hidden="1" x14ac:dyDescent="0.25">
      <c r="A276" t="s">
        <v>1336</v>
      </c>
      <c r="B276">
        <v>5</v>
      </c>
      <c r="C276">
        <v>5</v>
      </c>
      <c r="D276">
        <v>0</v>
      </c>
      <c r="E276" t="s">
        <v>1395</v>
      </c>
      <c r="F276">
        <v>8896</v>
      </c>
      <c r="G276">
        <v>18107478.083333336</v>
      </c>
      <c r="H276">
        <v>0.79259260495503747</v>
      </c>
      <c r="I276">
        <v>0.67037037037037028</v>
      </c>
      <c r="J276">
        <v>3966122.8333333335</v>
      </c>
      <c r="K276">
        <v>16068</v>
      </c>
      <c r="L276">
        <v>2</v>
      </c>
      <c r="M276">
        <v>85</v>
      </c>
      <c r="N276">
        <v>0.67592592592592593</v>
      </c>
      <c r="O276">
        <v>3756658.666666667</v>
      </c>
      <c r="P276">
        <v>16429</v>
      </c>
      <c r="Q276">
        <v>2</v>
      </c>
      <c r="R276">
        <v>86</v>
      </c>
      <c r="S276" t="s">
        <v>1766</v>
      </c>
      <c r="Y276">
        <f>Wine_pres_final[[#This Row],[mlp_params]]</f>
        <v>16068</v>
      </c>
      <c r="Z276">
        <f>IF((LEN(Wine_pres_final[[#This Row],[kan_width]])-LEN(SUBSTITUTE(Wine_pres_final[[#This Row],[kan_width]]," ","")))&gt;2,Wine_pres_final[[#This Row],[kan_test_acc]],"")</f>
        <v>0.79259260495503747</v>
      </c>
      <c r="AA276" t="str">
        <f>IF((LEN(Wine_pres_final[[#This Row],[kan_width]])-LEN(SUBSTITUTE(Wine_pres_final[[#This Row],[kan_width]]," ","")))&gt;2,"",Wine_pres_final[[#This Row],[kan_test_acc]])</f>
        <v/>
      </c>
      <c r="AB276">
        <f>Wine_pres_final[[#This Row],[mlp_test_acc]]</f>
        <v>0.67037037037037028</v>
      </c>
      <c r="AC276">
        <f>Wine_pres_final[[#This Row],[mlp_test_acc2]]</f>
        <v>0.67592592592592593</v>
      </c>
    </row>
    <row r="277" spans="1:29" hidden="1" x14ac:dyDescent="0.25">
      <c r="A277" t="s">
        <v>1336</v>
      </c>
      <c r="B277">
        <v>9</v>
      </c>
      <c r="C277">
        <v>3</v>
      </c>
      <c r="D277">
        <v>0</v>
      </c>
      <c r="E277" t="s">
        <v>1377</v>
      </c>
      <c r="F277">
        <v>8634</v>
      </c>
      <c r="G277">
        <v>11169408.833333332</v>
      </c>
      <c r="H277">
        <v>0.79444445421298349</v>
      </c>
      <c r="I277">
        <v>0.70740740740740737</v>
      </c>
      <c r="J277">
        <v>4968427.166666666</v>
      </c>
      <c r="K277">
        <v>12361</v>
      </c>
      <c r="L277">
        <v>2</v>
      </c>
      <c r="M277">
        <v>74</v>
      </c>
      <c r="N277">
        <v>0.69259259259259265</v>
      </c>
      <c r="O277">
        <v>3081149.9166666665</v>
      </c>
      <c r="P277">
        <v>12678</v>
      </c>
      <c r="Q277">
        <v>2</v>
      </c>
      <c r="R277">
        <v>75</v>
      </c>
      <c r="S277" t="s">
        <v>1857</v>
      </c>
      <c r="Y277">
        <f>Wine_pres_final[[#This Row],[mlp_params]]</f>
        <v>12361</v>
      </c>
      <c r="Z277">
        <f>IF((LEN(Wine_pres_final[[#This Row],[kan_width]])-LEN(SUBSTITUTE(Wine_pres_final[[#This Row],[kan_width]]," ","")))&gt;2,Wine_pres_final[[#This Row],[kan_test_acc]],"")</f>
        <v>0.79444445421298349</v>
      </c>
      <c r="AA277" t="str">
        <f>IF((LEN(Wine_pres_final[[#This Row],[kan_width]])-LEN(SUBSTITUTE(Wine_pres_final[[#This Row],[kan_width]]," ","")))&gt;2,"",Wine_pres_final[[#This Row],[kan_test_acc]])</f>
        <v/>
      </c>
      <c r="AB277">
        <f>Wine_pres_final[[#This Row],[mlp_test_acc]]</f>
        <v>0.70740740740740737</v>
      </c>
      <c r="AC277">
        <f>Wine_pres_final[[#This Row],[mlp_test_acc2]]</f>
        <v>0.69259259259259265</v>
      </c>
    </row>
    <row r="278" spans="1:29" hidden="1" x14ac:dyDescent="0.25">
      <c r="A278" t="s">
        <v>1336</v>
      </c>
      <c r="B278">
        <v>5</v>
      </c>
      <c r="C278">
        <v>5</v>
      </c>
      <c r="D278">
        <v>0</v>
      </c>
      <c r="E278" t="s">
        <v>1345</v>
      </c>
      <c r="F278">
        <v>4392</v>
      </c>
      <c r="G278">
        <v>6977726.083333334</v>
      </c>
      <c r="H278">
        <v>0.79444445669651031</v>
      </c>
      <c r="I278">
        <v>0.68148148148148147</v>
      </c>
      <c r="J278">
        <v>369733</v>
      </c>
      <c r="K278">
        <v>8086</v>
      </c>
      <c r="L278">
        <v>2</v>
      </c>
      <c r="M278">
        <v>59</v>
      </c>
      <c r="N278">
        <v>0.69444444444444442</v>
      </c>
      <c r="O278">
        <v>380953.08333333337</v>
      </c>
      <c r="P278">
        <v>8343</v>
      </c>
      <c r="Q278">
        <v>2</v>
      </c>
      <c r="R278">
        <v>60</v>
      </c>
      <c r="S278" t="s">
        <v>1741</v>
      </c>
      <c r="Y278">
        <f>Wine_pres_final[[#This Row],[mlp_params]]</f>
        <v>8086</v>
      </c>
      <c r="Z278" t="str">
        <f>IF((LEN(Wine_pres_final[[#This Row],[kan_width]])-LEN(SUBSTITUTE(Wine_pres_final[[#This Row],[kan_width]]," ","")))&gt;2,Wine_pres_final[[#This Row],[kan_test_acc]],"")</f>
        <v/>
      </c>
      <c r="AA278">
        <f>IF((LEN(Wine_pres_final[[#This Row],[kan_width]])-LEN(SUBSTITUTE(Wine_pres_final[[#This Row],[kan_width]]," ","")))&gt;2,"",Wine_pres_final[[#This Row],[kan_test_acc]])</f>
        <v>0.79444445669651031</v>
      </c>
      <c r="AB278">
        <f>Wine_pres_final[[#This Row],[mlp_test_acc]]</f>
        <v>0.68148148148148147</v>
      </c>
      <c r="AC278">
        <f>Wine_pres_final[[#This Row],[mlp_test_acc2]]</f>
        <v>0.69444444444444442</v>
      </c>
    </row>
    <row r="279" spans="1:29" hidden="1" x14ac:dyDescent="0.25">
      <c r="A279" t="s">
        <v>1336</v>
      </c>
      <c r="B279">
        <v>5</v>
      </c>
      <c r="C279">
        <v>5</v>
      </c>
      <c r="D279">
        <v>0</v>
      </c>
      <c r="E279" t="s">
        <v>1347</v>
      </c>
      <c r="F279">
        <v>4810</v>
      </c>
      <c r="G279">
        <v>7005222.583333334</v>
      </c>
      <c r="H279">
        <v>0.79444445669651031</v>
      </c>
      <c r="I279">
        <v>0.70740740740740748</v>
      </c>
      <c r="J279">
        <v>396599.25</v>
      </c>
      <c r="K279">
        <v>8604</v>
      </c>
      <c r="L279">
        <v>2</v>
      </c>
      <c r="M279">
        <v>61</v>
      </c>
      <c r="N279">
        <v>0.75555555555555554</v>
      </c>
      <c r="O279">
        <v>386663.33333333337</v>
      </c>
      <c r="P279">
        <v>8869</v>
      </c>
      <c r="Q279">
        <v>2</v>
      </c>
      <c r="R279">
        <v>62</v>
      </c>
      <c r="S279" t="s">
        <v>1742</v>
      </c>
      <c r="Y279">
        <f>Wine_pres_final[[#This Row],[mlp_params]]</f>
        <v>8604</v>
      </c>
      <c r="Z279" t="str">
        <f>IF((LEN(Wine_pres_final[[#This Row],[kan_width]])-LEN(SUBSTITUTE(Wine_pres_final[[#This Row],[kan_width]]," ","")))&gt;2,Wine_pres_final[[#This Row],[kan_test_acc]],"")</f>
        <v/>
      </c>
      <c r="AA279">
        <f>IF((LEN(Wine_pres_final[[#This Row],[kan_width]])-LEN(SUBSTITUTE(Wine_pres_final[[#This Row],[kan_width]]," ","")))&gt;2,"",Wine_pres_final[[#This Row],[kan_test_acc]])</f>
        <v>0.79444445669651031</v>
      </c>
      <c r="AB279">
        <f>Wine_pres_final[[#This Row],[mlp_test_acc]]</f>
        <v>0.70740740740740748</v>
      </c>
      <c r="AC279">
        <f>Wine_pres_final[[#This Row],[mlp_test_acc2]]</f>
        <v>0.75555555555555554</v>
      </c>
    </row>
    <row r="280" spans="1:29" hidden="1" x14ac:dyDescent="0.25">
      <c r="A280" t="s">
        <v>1336</v>
      </c>
      <c r="B280">
        <v>5</v>
      </c>
      <c r="C280">
        <v>4</v>
      </c>
      <c r="D280">
        <v>0</v>
      </c>
      <c r="E280" t="s">
        <v>1409</v>
      </c>
      <c r="F280">
        <v>8551</v>
      </c>
      <c r="G280">
        <v>16185324.166666668</v>
      </c>
      <c r="H280">
        <v>0.79444445669651031</v>
      </c>
      <c r="I280">
        <v>0.67592592592592604</v>
      </c>
      <c r="J280">
        <v>3560918.916666667</v>
      </c>
      <c r="K280">
        <v>14664</v>
      </c>
      <c r="L280">
        <v>2</v>
      </c>
      <c r="M280">
        <v>81</v>
      </c>
      <c r="N280">
        <v>0.68888888888888888</v>
      </c>
      <c r="O280">
        <v>5160805.833333333</v>
      </c>
      <c r="P280">
        <v>15009</v>
      </c>
      <c r="Q280">
        <v>2</v>
      </c>
      <c r="R280">
        <v>82</v>
      </c>
      <c r="S280" t="s">
        <v>1723</v>
      </c>
      <c r="Y280">
        <f>Wine_pres_final[[#This Row],[mlp_params]]</f>
        <v>14664</v>
      </c>
      <c r="Z280">
        <f>IF((LEN(Wine_pres_final[[#This Row],[kan_width]])-LEN(SUBSTITUTE(Wine_pres_final[[#This Row],[kan_width]]," ","")))&gt;2,Wine_pres_final[[#This Row],[kan_test_acc]],"")</f>
        <v>0.79444445669651031</v>
      </c>
      <c r="AA280" t="str">
        <f>IF((LEN(Wine_pres_final[[#This Row],[kan_width]])-LEN(SUBSTITUTE(Wine_pres_final[[#This Row],[kan_width]]," ","")))&gt;2,"",Wine_pres_final[[#This Row],[kan_test_acc]])</f>
        <v/>
      </c>
      <c r="AB280">
        <f>Wine_pres_final[[#This Row],[mlp_test_acc]]</f>
        <v>0.67592592592592604</v>
      </c>
      <c r="AC280">
        <f>Wine_pres_final[[#This Row],[mlp_test_acc2]]</f>
        <v>0.68888888888888888</v>
      </c>
    </row>
    <row r="281" spans="1:29" hidden="1" x14ac:dyDescent="0.25">
      <c r="A281" t="s">
        <v>1336</v>
      </c>
      <c r="B281">
        <v>3</v>
      </c>
      <c r="C281">
        <v>5</v>
      </c>
      <c r="D281">
        <v>0</v>
      </c>
      <c r="E281" t="s">
        <v>1415</v>
      </c>
      <c r="F281">
        <v>9300</v>
      </c>
      <c r="G281">
        <v>18359470.333333336</v>
      </c>
      <c r="H281">
        <v>0.79444445669651031</v>
      </c>
      <c r="I281">
        <v>0.72592592592592586</v>
      </c>
      <c r="J281">
        <v>2710815.25</v>
      </c>
      <c r="K281">
        <v>18294</v>
      </c>
      <c r="L281">
        <v>2</v>
      </c>
      <c r="M281">
        <v>91</v>
      </c>
      <c r="N281">
        <v>0.70370370370370372</v>
      </c>
      <c r="O281">
        <v>1461525.6666666665</v>
      </c>
      <c r="P281">
        <v>18679</v>
      </c>
      <c r="Q281">
        <v>2</v>
      </c>
      <c r="R281">
        <v>92</v>
      </c>
      <c r="S281" t="s">
        <v>1576</v>
      </c>
      <c r="Y281">
        <f>Wine_pres_final[[#This Row],[mlp_params]]</f>
        <v>18294</v>
      </c>
      <c r="Z281">
        <f>IF((LEN(Wine_pres_final[[#This Row],[kan_width]])-LEN(SUBSTITUTE(Wine_pres_final[[#This Row],[kan_width]]," ","")))&gt;2,Wine_pres_final[[#This Row],[kan_test_acc]],"")</f>
        <v>0.79444445669651031</v>
      </c>
      <c r="AA281" t="str">
        <f>IF((LEN(Wine_pres_final[[#This Row],[kan_width]])-LEN(SUBSTITUTE(Wine_pres_final[[#This Row],[kan_width]]," ","")))&gt;2,"",Wine_pres_final[[#This Row],[kan_test_acc]])</f>
        <v/>
      </c>
      <c r="AB281">
        <f>Wine_pres_final[[#This Row],[mlp_test_acc]]</f>
        <v>0.72592592592592586</v>
      </c>
      <c r="AC281">
        <f>Wine_pres_final[[#This Row],[mlp_test_acc2]]</f>
        <v>0.70370370370370372</v>
      </c>
    </row>
    <row r="282" spans="1:29" hidden="1" x14ac:dyDescent="0.25">
      <c r="A282" t="s">
        <v>1336</v>
      </c>
      <c r="B282">
        <v>5</v>
      </c>
      <c r="C282">
        <v>2</v>
      </c>
      <c r="D282">
        <v>0</v>
      </c>
      <c r="E282" t="s">
        <v>1387</v>
      </c>
      <c r="F282">
        <v>5245</v>
      </c>
      <c r="G282">
        <v>11467756.333333334</v>
      </c>
      <c r="H282">
        <v>0.79629630595445633</v>
      </c>
      <c r="I282">
        <v>0.68888888888888888</v>
      </c>
      <c r="J282">
        <v>1505681.4166666667</v>
      </c>
      <c r="K282">
        <v>7833</v>
      </c>
      <c r="L282">
        <v>2</v>
      </c>
      <c r="M282">
        <v>58</v>
      </c>
      <c r="N282">
        <v>0.69814814814814818</v>
      </c>
      <c r="O282">
        <v>1568145.3333333333</v>
      </c>
      <c r="P282">
        <v>8086</v>
      </c>
      <c r="Q282">
        <v>2</v>
      </c>
      <c r="R282">
        <v>59</v>
      </c>
      <c r="S282" t="s">
        <v>1612</v>
      </c>
      <c r="Y282">
        <f>Wine_pres_final[[#This Row],[mlp_params]]</f>
        <v>7833</v>
      </c>
      <c r="Z282">
        <f>IF((LEN(Wine_pres_final[[#This Row],[kan_width]])-LEN(SUBSTITUTE(Wine_pres_final[[#This Row],[kan_width]]," ","")))&gt;2,Wine_pres_final[[#This Row],[kan_test_acc]],"")</f>
        <v>0.79629630595445633</v>
      </c>
      <c r="AA282" t="str">
        <f>IF((LEN(Wine_pres_final[[#This Row],[kan_width]])-LEN(SUBSTITUTE(Wine_pres_final[[#This Row],[kan_width]]," ","")))&gt;2,"",Wine_pres_final[[#This Row],[kan_test_acc]])</f>
        <v/>
      </c>
      <c r="AB282">
        <f>Wine_pres_final[[#This Row],[mlp_test_acc]]</f>
        <v>0.68888888888888888</v>
      </c>
      <c r="AC282">
        <f>Wine_pres_final[[#This Row],[mlp_test_acc2]]</f>
        <v>0.69814814814814818</v>
      </c>
    </row>
    <row r="283" spans="1:29" hidden="1" x14ac:dyDescent="0.25">
      <c r="A283" t="s">
        <v>1336</v>
      </c>
      <c r="B283">
        <v>5</v>
      </c>
      <c r="C283">
        <v>3</v>
      </c>
      <c r="D283">
        <v>0</v>
      </c>
      <c r="E283" t="s">
        <v>1421</v>
      </c>
      <c r="F283">
        <v>7532</v>
      </c>
      <c r="G283">
        <v>13556404.083333332</v>
      </c>
      <c r="H283">
        <v>0.79629630595445633</v>
      </c>
      <c r="I283">
        <v>0.65925925925925921</v>
      </c>
      <c r="J283">
        <v>4549374.916666666</v>
      </c>
      <c r="K283">
        <v>12048</v>
      </c>
      <c r="L283">
        <v>2</v>
      </c>
      <c r="M283">
        <v>73</v>
      </c>
      <c r="N283">
        <v>0.687037037037037</v>
      </c>
      <c r="O283">
        <v>2600478.083333333</v>
      </c>
      <c r="P283">
        <v>12361</v>
      </c>
      <c r="Q283">
        <v>2</v>
      </c>
      <c r="R283">
        <v>74</v>
      </c>
      <c r="S283" t="s">
        <v>1679</v>
      </c>
      <c r="Y283">
        <f>Wine_pres_final[[#This Row],[mlp_params]]</f>
        <v>12048</v>
      </c>
      <c r="Z283">
        <f>IF((LEN(Wine_pres_final[[#This Row],[kan_width]])-LEN(SUBSTITUTE(Wine_pres_final[[#This Row],[kan_width]]," ","")))&gt;2,Wine_pres_final[[#This Row],[kan_test_acc]],"")</f>
        <v>0.79629630595445633</v>
      </c>
      <c r="AA283" t="str">
        <f>IF((LEN(Wine_pres_final[[#This Row],[kan_width]])-LEN(SUBSTITUTE(Wine_pres_final[[#This Row],[kan_width]]," ","")))&gt;2,"",Wine_pres_final[[#This Row],[kan_test_acc]])</f>
        <v/>
      </c>
      <c r="AB283">
        <f>Wine_pres_final[[#This Row],[mlp_test_acc]]</f>
        <v>0.65925925925925921</v>
      </c>
      <c r="AC283">
        <f>Wine_pres_final[[#This Row],[mlp_test_acc2]]</f>
        <v>0.687037037037037</v>
      </c>
    </row>
    <row r="284" spans="1:29" hidden="1" x14ac:dyDescent="0.25">
      <c r="A284" t="s">
        <v>1336</v>
      </c>
      <c r="B284">
        <v>5</v>
      </c>
      <c r="C284">
        <v>3</v>
      </c>
      <c r="D284">
        <v>0</v>
      </c>
      <c r="E284" t="s">
        <v>1395</v>
      </c>
      <c r="F284">
        <v>7534</v>
      </c>
      <c r="G284">
        <v>13775933.166666668</v>
      </c>
      <c r="H284">
        <v>0.79629630843798316</v>
      </c>
      <c r="I284">
        <v>0.69444444444444442</v>
      </c>
      <c r="J284">
        <v>3942430</v>
      </c>
      <c r="K284">
        <v>12048</v>
      </c>
      <c r="L284">
        <v>2</v>
      </c>
      <c r="M284">
        <v>73</v>
      </c>
      <c r="N284">
        <v>0.67777777777777781</v>
      </c>
      <c r="O284">
        <v>1972593.1666666665</v>
      </c>
      <c r="P284">
        <v>12361</v>
      </c>
      <c r="Q284">
        <v>2</v>
      </c>
      <c r="R284">
        <v>74</v>
      </c>
      <c r="S284" t="s">
        <v>1666</v>
      </c>
      <c r="Y284">
        <f>Wine_pres_final[[#This Row],[mlp_params]]</f>
        <v>12048</v>
      </c>
      <c r="Z284">
        <f>IF((LEN(Wine_pres_final[[#This Row],[kan_width]])-LEN(SUBSTITUTE(Wine_pres_final[[#This Row],[kan_width]]," ","")))&gt;2,Wine_pres_final[[#This Row],[kan_test_acc]],"")</f>
        <v>0.79629630843798316</v>
      </c>
      <c r="AA284" t="str">
        <f>IF((LEN(Wine_pres_final[[#This Row],[kan_width]])-LEN(SUBSTITUTE(Wine_pres_final[[#This Row],[kan_width]]," ","")))&gt;2,"",Wine_pres_final[[#This Row],[kan_test_acc]])</f>
        <v/>
      </c>
      <c r="AB284">
        <f>Wine_pres_final[[#This Row],[mlp_test_acc]]</f>
        <v>0.69444444444444442</v>
      </c>
      <c r="AC284">
        <f>Wine_pres_final[[#This Row],[mlp_test_acc2]]</f>
        <v>0.67777777777777781</v>
      </c>
    </row>
    <row r="285" spans="1:29" hidden="1" x14ac:dyDescent="0.25">
      <c r="A285" t="s">
        <v>1336</v>
      </c>
      <c r="B285">
        <v>9</v>
      </c>
      <c r="C285">
        <v>4</v>
      </c>
      <c r="D285">
        <v>0</v>
      </c>
      <c r="E285" t="s">
        <v>1337</v>
      </c>
      <c r="F285">
        <v>3344</v>
      </c>
      <c r="G285">
        <v>5952334.25</v>
      </c>
      <c r="H285">
        <v>0.79629630843798327</v>
      </c>
      <c r="I285">
        <v>0.67037037037037039</v>
      </c>
      <c r="J285">
        <v>311100.5</v>
      </c>
      <c r="K285">
        <v>5109</v>
      </c>
      <c r="L285">
        <v>2</v>
      </c>
      <c r="M285">
        <v>46</v>
      </c>
      <c r="N285">
        <v>0.7</v>
      </c>
      <c r="O285">
        <v>304470.41666666663</v>
      </c>
      <c r="P285">
        <v>5314</v>
      </c>
      <c r="Q285">
        <v>2</v>
      </c>
      <c r="R285">
        <v>47</v>
      </c>
      <c r="S285" t="s">
        <v>1887</v>
      </c>
      <c r="Y285">
        <f>Wine_pres_final[[#This Row],[mlp_params]]</f>
        <v>5109</v>
      </c>
      <c r="Z285" t="str">
        <f>IF((LEN(Wine_pres_final[[#This Row],[kan_width]])-LEN(SUBSTITUTE(Wine_pres_final[[#This Row],[kan_width]]," ","")))&gt;2,Wine_pres_final[[#This Row],[kan_test_acc]],"")</f>
        <v/>
      </c>
      <c r="AA285">
        <f>IF((LEN(Wine_pres_final[[#This Row],[kan_width]])-LEN(SUBSTITUTE(Wine_pres_final[[#This Row],[kan_width]]," ","")))&gt;2,"",Wine_pres_final[[#This Row],[kan_test_acc]])</f>
        <v>0.79629630843798327</v>
      </c>
      <c r="AB285">
        <f>Wine_pres_final[[#This Row],[mlp_test_acc]]</f>
        <v>0.67037037037037039</v>
      </c>
      <c r="AC285">
        <f>Wine_pres_final[[#This Row],[mlp_test_acc2]]</f>
        <v>0.7</v>
      </c>
    </row>
    <row r="286" spans="1:29" hidden="1" x14ac:dyDescent="0.25">
      <c r="A286" t="s">
        <v>1336</v>
      </c>
      <c r="B286">
        <v>3</v>
      </c>
      <c r="C286">
        <v>4</v>
      </c>
      <c r="D286">
        <v>0</v>
      </c>
      <c r="E286" t="s">
        <v>1403</v>
      </c>
      <c r="F286">
        <v>5807</v>
      </c>
      <c r="G286">
        <v>12719482.666666666</v>
      </c>
      <c r="H286">
        <v>0.79629630843798327</v>
      </c>
      <c r="I286">
        <v>0.64444444444444438</v>
      </c>
      <c r="J286">
        <v>1787336.75</v>
      </c>
      <c r="K286">
        <v>10836</v>
      </c>
      <c r="L286">
        <v>2</v>
      </c>
      <c r="M286">
        <v>69</v>
      </c>
      <c r="N286">
        <v>0.67037037037037028</v>
      </c>
      <c r="O286">
        <v>1027939.3333333334</v>
      </c>
      <c r="P286">
        <v>11133</v>
      </c>
      <c r="Q286">
        <v>2</v>
      </c>
      <c r="R286">
        <v>70</v>
      </c>
      <c r="S286" t="s">
        <v>1520</v>
      </c>
      <c r="Y286">
        <f>Wine_pres_final[[#This Row],[mlp_params]]</f>
        <v>10836</v>
      </c>
      <c r="Z286">
        <f>IF((LEN(Wine_pres_final[[#This Row],[kan_width]])-LEN(SUBSTITUTE(Wine_pres_final[[#This Row],[kan_width]]," ","")))&gt;2,Wine_pres_final[[#This Row],[kan_test_acc]],"")</f>
        <v>0.79629630843798327</v>
      </c>
      <c r="AA286" t="str">
        <f>IF((LEN(Wine_pres_final[[#This Row],[kan_width]])-LEN(SUBSTITUTE(Wine_pres_final[[#This Row],[kan_width]]," ","")))&gt;2,"",Wine_pres_final[[#This Row],[kan_test_acc]])</f>
        <v/>
      </c>
      <c r="AB286">
        <f>Wine_pres_final[[#This Row],[mlp_test_acc]]</f>
        <v>0.64444444444444438</v>
      </c>
      <c r="AC286">
        <f>Wine_pres_final[[#This Row],[mlp_test_acc2]]</f>
        <v>0.67037037037037028</v>
      </c>
    </row>
    <row r="287" spans="1:29" hidden="1" x14ac:dyDescent="0.25">
      <c r="A287" t="s">
        <v>1336</v>
      </c>
      <c r="B287">
        <v>3</v>
      </c>
      <c r="C287">
        <v>4</v>
      </c>
      <c r="D287">
        <v>0</v>
      </c>
      <c r="E287" t="s">
        <v>1427</v>
      </c>
      <c r="F287">
        <v>8297</v>
      </c>
      <c r="G287">
        <v>17284278.583333336</v>
      </c>
      <c r="H287">
        <v>0.798148160179456</v>
      </c>
      <c r="I287">
        <v>0.67962962962962958</v>
      </c>
      <c r="J287">
        <v>1289734.5</v>
      </c>
      <c r="K287">
        <v>15711</v>
      </c>
      <c r="L287">
        <v>2</v>
      </c>
      <c r="M287">
        <v>84</v>
      </c>
      <c r="N287">
        <v>0.71666666666666679</v>
      </c>
      <c r="O287">
        <v>854410.75</v>
      </c>
      <c r="P287">
        <v>16068</v>
      </c>
      <c r="Q287">
        <v>2</v>
      </c>
      <c r="R287">
        <v>85</v>
      </c>
      <c r="S287" t="s">
        <v>1532</v>
      </c>
      <c r="Y287">
        <f>Wine_pres_final[[#This Row],[mlp_params]]</f>
        <v>15711</v>
      </c>
      <c r="Z287">
        <f>IF((LEN(Wine_pres_final[[#This Row],[kan_width]])-LEN(SUBSTITUTE(Wine_pres_final[[#This Row],[kan_width]]," ","")))&gt;2,Wine_pres_final[[#This Row],[kan_test_acc]],"")</f>
        <v>0.798148160179456</v>
      </c>
      <c r="AA287" t="str">
        <f>IF((LEN(Wine_pres_final[[#This Row],[kan_width]])-LEN(SUBSTITUTE(Wine_pres_final[[#This Row],[kan_width]]," ","")))&gt;2,"",Wine_pres_final[[#This Row],[kan_test_acc]])</f>
        <v/>
      </c>
      <c r="AB287">
        <f>Wine_pres_final[[#This Row],[mlp_test_acc]]</f>
        <v>0.67962962962962958</v>
      </c>
      <c r="AC287">
        <f>Wine_pres_final[[#This Row],[mlp_test_acc2]]</f>
        <v>0.71666666666666679</v>
      </c>
    </row>
    <row r="288" spans="1:29" hidden="1" x14ac:dyDescent="0.25">
      <c r="A288" t="s">
        <v>1336</v>
      </c>
      <c r="B288">
        <v>9</v>
      </c>
      <c r="C288">
        <v>4</v>
      </c>
      <c r="D288">
        <v>0</v>
      </c>
      <c r="E288" t="s">
        <v>1339</v>
      </c>
      <c r="F288">
        <v>3858</v>
      </c>
      <c r="G288">
        <v>6085996.666666666</v>
      </c>
      <c r="H288">
        <v>0.79814816017945611</v>
      </c>
      <c r="I288">
        <v>0.71111111111111114</v>
      </c>
      <c r="J288">
        <v>358326.91666666663</v>
      </c>
      <c r="K288">
        <v>5953</v>
      </c>
      <c r="L288">
        <v>2</v>
      </c>
      <c r="M288">
        <v>50</v>
      </c>
      <c r="N288">
        <v>0.68518518518518512</v>
      </c>
      <c r="O288">
        <v>325444.66666666663</v>
      </c>
      <c r="P288">
        <v>6174</v>
      </c>
      <c r="Q288">
        <v>2</v>
      </c>
      <c r="R288">
        <v>51</v>
      </c>
      <c r="S288" t="s">
        <v>1888</v>
      </c>
      <c r="Y288">
        <f>Wine_pres_final[[#This Row],[mlp_params]]</f>
        <v>5953</v>
      </c>
      <c r="Z288" t="str">
        <f>IF((LEN(Wine_pres_final[[#This Row],[kan_width]])-LEN(SUBSTITUTE(Wine_pres_final[[#This Row],[kan_width]]," ","")))&gt;2,Wine_pres_final[[#This Row],[kan_test_acc]],"")</f>
        <v/>
      </c>
      <c r="AA288">
        <f>IF((LEN(Wine_pres_final[[#This Row],[kan_width]])-LEN(SUBSTITUTE(Wine_pres_final[[#This Row],[kan_width]]," ","")))&gt;2,"",Wine_pres_final[[#This Row],[kan_test_acc]])</f>
        <v>0.79814816017945611</v>
      </c>
      <c r="AB288">
        <f>Wine_pres_final[[#This Row],[mlp_test_acc]]</f>
        <v>0.71111111111111114</v>
      </c>
      <c r="AC288">
        <f>Wine_pres_final[[#This Row],[mlp_test_acc2]]</f>
        <v>0.68518518518518512</v>
      </c>
    </row>
    <row r="289" spans="1:29" hidden="1" x14ac:dyDescent="0.25">
      <c r="A289" t="s">
        <v>1336</v>
      </c>
      <c r="B289">
        <v>3</v>
      </c>
      <c r="C289">
        <v>5</v>
      </c>
      <c r="D289">
        <v>0</v>
      </c>
      <c r="E289" t="s">
        <v>1371</v>
      </c>
      <c r="F289">
        <v>5148</v>
      </c>
      <c r="G289">
        <v>22688256.166666664</v>
      </c>
      <c r="H289">
        <v>0.80000000943740202</v>
      </c>
      <c r="I289">
        <v>0.68703703703703711</v>
      </c>
      <c r="J289">
        <v>3281463.416666667</v>
      </c>
      <c r="K289">
        <v>10254</v>
      </c>
      <c r="L289">
        <v>2</v>
      </c>
      <c r="M289">
        <v>67</v>
      </c>
      <c r="N289">
        <v>0.72407407407407409</v>
      </c>
      <c r="O289">
        <v>2938657.8333333335</v>
      </c>
      <c r="P289">
        <v>10543</v>
      </c>
      <c r="Q289">
        <v>2</v>
      </c>
      <c r="R289">
        <v>68</v>
      </c>
      <c r="S289" t="s">
        <v>1554</v>
      </c>
      <c r="Y289">
        <f>Wine_pres_final[[#This Row],[mlp_params]]</f>
        <v>10254</v>
      </c>
      <c r="Z289">
        <f>IF((LEN(Wine_pres_final[[#This Row],[kan_width]])-LEN(SUBSTITUTE(Wine_pres_final[[#This Row],[kan_width]]," ","")))&gt;2,Wine_pres_final[[#This Row],[kan_test_acc]],"")</f>
        <v>0.80000000943740202</v>
      </c>
      <c r="AA289" t="str">
        <f>IF((LEN(Wine_pres_final[[#This Row],[kan_width]])-LEN(SUBSTITUTE(Wine_pres_final[[#This Row],[kan_width]]," ","")))&gt;2,"",Wine_pres_final[[#This Row],[kan_test_acc]])</f>
        <v/>
      </c>
      <c r="AB289">
        <f>Wine_pres_final[[#This Row],[mlp_test_acc]]</f>
        <v>0.68703703703703711</v>
      </c>
      <c r="AC289">
        <f>Wine_pres_final[[#This Row],[mlp_test_acc2]]</f>
        <v>0.72407407407407409</v>
      </c>
    </row>
    <row r="290" spans="1:29" hidden="1" x14ac:dyDescent="0.25">
      <c r="A290" t="s">
        <v>1336</v>
      </c>
      <c r="B290">
        <v>5</v>
      </c>
      <c r="C290">
        <v>3</v>
      </c>
      <c r="D290">
        <v>0</v>
      </c>
      <c r="E290" t="s">
        <v>1423</v>
      </c>
      <c r="F290">
        <v>8062</v>
      </c>
      <c r="G290">
        <v>12828159</v>
      </c>
      <c r="H290">
        <v>0.80000000943740202</v>
      </c>
      <c r="I290">
        <v>0.69444444444444442</v>
      </c>
      <c r="J290">
        <v>3810374.916666667</v>
      </c>
      <c r="K290">
        <v>12999</v>
      </c>
      <c r="L290">
        <v>2</v>
      </c>
      <c r="M290">
        <v>76</v>
      </c>
      <c r="N290">
        <v>0.68888888888888888</v>
      </c>
      <c r="O290">
        <v>2208425.9166666665</v>
      </c>
      <c r="P290">
        <v>13324</v>
      </c>
      <c r="Q290">
        <v>2</v>
      </c>
      <c r="R290">
        <v>77</v>
      </c>
      <c r="S290" t="s">
        <v>1680</v>
      </c>
      <c r="Y290">
        <f>Wine_pres_final[[#This Row],[mlp_params]]</f>
        <v>12999</v>
      </c>
      <c r="Z290">
        <f>IF((LEN(Wine_pres_final[[#This Row],[kan_width]])-LEN(SUBSTITUTE(Wine_pres_final[[#This Row],[kan_width]]," ","")))&gt;2,Wine_pres_final[[#This Row],[kan_test_acc]],"")</f>
        <v>0.80000000943740202</v>
      </c>
      <c r="AA290" t="str">
        <f>IF((LEN(Wine_pres_final[[#This Row],[kan_width]])-LEN(SUBSTITUTE(Wine_pres_final[[#This Row],[kan_width]]," ","")))&gt;2,"",Wine_pres_final[[#This Row],[kan_test_acc]])</f>
        <v/>
      </c>
      <c r="AB290">
        <f>Wine_pres_final[[#This Row],[mlp_test_acc]]</f>
        <v>0.69444444444444442</v>
      </c>
      <c r="AC290">
        <f>Wine_pres_final[[#This Row],[mlp_test_acc2]]</f>
        <v>0.68888888888888888</v>
      </c>
    </row>
    <row r="291" spans="1:29" hidden="1" x14ac:dyDescent="0.25">
      <c r="A291" t="s">
        <v>1336</v>
      </c>
      <c r="B291">
        <v>9</v>
      </c>
      <c r="C291">
        <v>2</v>
      </c>
      <c r="D291">
        <v>0</v>
      </c>
      <c r="E291" t="s">
        <v>1405</v>
      </c>
      <c r="F291">
        <v>8733</v>
      </c>
      <c r="G291">
        <v>9062984.25</v>
      </c>
      <c r="H291">
        <v>0.80000001192092896</v>
      </c>
      <c r="I291">
        <v>0.66666666666666674</v>
      </c>
      <c r="J291">
        <v>6030235.416666666</v>
      </c>
      <c r="K291">
        <v>11739</v>
      </c>
      <c r="L291">
        <v>2</v>
      </c>
      <c r="M291">
        <v>72</v>
      </c>
      <c r="N291">
        <v>0.75185185185185177</v>
      </c>
      <c r="O291">
        <v>3368380.916666667</v>
      </c>
      <c r="P291">
        <v>12048</v>
      </c>
      <c r="Q291">
        <v>2</v>
      </c>
      <c r="R291">
        <v>73</v>
      </c>
      <c r="S291" t="s">
        <v>1821</v>
      </c>
      <c r="Y291">
        <f>Wine_pres_final[[#This Row],[mlp_params]]</f>
        <v>11739</v>
      </c>
      <c r="Z291">
        <f>IF((LEN(Wine_pres_final[[#This Row],[kan_width]])-LEN(SUBSTITUTE(Wine_pres_final[[#This Row],[kan_width]]," ","")))&gt;2,Wine_pres_final[[#This Row],[kan_test_acc]],"")</f>
        <v>0.80000001192092896</v>
      </c>
      <c r="AA291" t="str">
        <f>IF((LEN(Wine_pres_final[[#This Row],[kan_width]])-LEN(SUBSTITUTE(Wine_pres_final[[#This Row],[kan_width]]," ","")))&gt;2,"",Wine_pres_final[[#This Row],[kan_test_acc]])</f>
        <v/>
      </c>
      <c r="AB291">
        <f>Wine_pres_final[[#This Row],[mlp_test_acc]]</f>
        <v>0.66666666666666674</v>
      </c>
      <c r="AC291">
        <f>Wine_pres_final[[#This Row],[mlp_test_acc2]]</f>
        <v>0.75185185185185177</v>
      </c>
    </row>
    <row r="292" spans="1:29" hidden="1" x14ac:dyDescent="0.25">
      <c r="A292" t="s">
        <v>1336</v>
      </c>
      <c r="B292">
        <v>9</v>
      </c>
      <c r="C292">
        <v>2</v>
      </c>
      <c r="D292">
        <v>0</v>
      </c>
      <c r="E292" t="s">
        <v>1401</v>
      </c>
      <c r="F292">
        <v>7497</v>
      </c>
      <c r="G292">
        <v>10600897.25</v>
      </c>
      <c r="H292">
        <v>0.80185186366240191</v>
      </c>
      <c r="I292">
        <v>0.67222222222222217</v>
      </c>
      <c r="J292">
        <v>5006785.75</v>
      </c>
      <c r="K292">
        <v>9969</v>
      </c>
      <c r="L292">
        <v>2</v>
      </c>
      <c r="M292">
        <v>66</v>
      </c>
      <c r="N292">
        <v>0.71296296296296291</v>
      </c>
      <c r="O292">
        <v>3253891.083333333</v>
      </c>
      <c r="P292">
        <v>10254</v>
      </c>
      <c r="Q292">
        <v>2</v>
      </c>
      <c r="R292">
        <v>67</v>
      </c>
      <c r="S292" t="s">
        <v>1819</v>
      </c>
      <c r="Y292">
        <f>Wine_pres_final[[#This Row],[mlp_params]]</f>
        <v>9969</v>
      </c>
      <c r="Z292">
        <f>IF((LEN(Wine_pres_final[[#This Row],[kan_width]])-LEN(SUBSTITUTE(Wine_pres_final[[#This Row],[kan_width]]," ","")))&gt;2,Wine_pres_final[[#This Row],[kan_test_acc]],"")</f>
        <v>0.80185186366240191</v>
      </c>
      <c r="AA292" t="str">
        <f>IF((LEN(Wine_pres_final[[#This Row],[kan_width]])-LEN(SUBSTITUTE(Wine_pres_final[[#This Row],[kan_width]]," ","")))&gt;2,"",Wine_pres_final[[#This Row],[kan_test_acc]])</f>
        <v/>
      </c>
      <c r="AB292">
        <f>Wine_pres_final[[#This Row],[mlp_test_acc]]</f>
        <v>0.67222222222222217</v>
      </c>
      <c r="AC292">
        <f>Wine_pres_final[[#This Row],[mlp_test_acc2]]</f>
        <v>0.71296296296296291</v>
      </c>
    </row>
    <row r="293" spans="1:29" hidden="1" x14ac:dyDescent="0.25">
      <c r="A293" t="s">
        <v>1336</v>
      </c>
      <c r="B293">
        <v>9</v>
      </c>
      <c r="C293">
        <v>2</v>
      </c>
      <c r="D293">
        <v>0</v>
      </c>
      <c r="E293" t="s">
        <v>1337</v>
      </c>
      <c r="F293">
        <v>2928</v>
      </c>
      <c r="G293">
        <v>4638061</v>
      </c>
      <c r="H293">
        <v>0.80370371540387464</v>
      </c>
      <c r="I293">
        <v>0.75740740740740731</v>
      </c>
      <c r="J293">
        <v>272886.16666666663</v>
      </c>
      <c r="K293">
        <v>3963</v>
      </c>
      <c r="L293">
        <v>2</v>
      </c>
      <c r="M293">
        <v>40</v>
      </c>
      <c r="N293">
        <v>0.67962962962962958</v>
      </c>
      <c r="O293">
        <v>242415.33333333331</v>
      </c>
      <c r="P293">
        <v>4144</v>
      </c>
      <c r="Q293">
        <v>2</v>
      </c>
      <c r="R293">
        <v>41</v>
      </c>
      <c r="S293" t="s">
        <v>1787</v>
      </c>
      <c r="Y293">
        <f>Wine_pres_final[[#This Row],[mlp_params]]</f>
        <v>3963</v>
      </c>
      <c r="Z293" t="str">
        <f>IF((LEN(Wine_pres_final[[#This Row],[kan_width]])-LEN(SUBSTITUTE(Wine_pres_final[[#This Row],[kan_width]]," ","")))&gt;2,Wine_pres_final[[#This Row],[kan_test_acc]],"")</f>
        <v/>
      </c>
      <c r="AA293">
        <f>IF((LEN(Wine_pres_final[[#This Row],[kan_width]])-LEN(SUBSTITUTE(Wine_pres_final[[#This Row],[kan_width]]," ","")))&gt;2,"",Wine_pres_final[[#This Row],[kan_test_acc]])</f>
        <v>0.80370371540387464</v>
      </c>
      <c r="AB293">
        <f>Wine_pres_final[[#This Row],[mlp_test_acc]]</f>
        <v>0.75740740740740731</v>
      </c>
      <c r="AC293">
        <f>Wine_pres_final[[#This Row],[mlp_test_acc2]]</f>
        <v>0.67962962962962958</v>
      </c>
    </row>
    <row r="294" spans="1:29" hidden="1" x14ac:dyDescent="0.25">
      <c r="A294" t="s">
        <v>1336</v>
      </c>
      <c r="B294">
        <v>5</v>
      </c>
      <c r="C294">
        <v>3</v>
      </c>
      <c r="D294">
        <v>0</v>
      </c>
      <c r="E294" t="s">
        <v>1407</v>
      </c>
      <c r="F294">
        <v>7356</v>
      </c>
      <c r="G294">
        <v>13389171.916666668</v>
      </c>
      <c r="H294">
        <v>0.80370371540387464</v>
      </c>
      <c r="I294">
        <v>0.67037037037037028</v>
      </c>
      <c r="J294">
        <v>3963680.5</v>
      </c>
      <c r="K294">
        <v>11739</v>
      </c>
      <c r="L294">
        <v>2</v>
      </c>
      <c r="M294">
        <v>72</v>
      </c>
      <c r="N294">
        <v>0.6611111111111112</v>
      </c>
      <c r="O294">
        <v>2273161.083333333</v>
      </c>
      <c r="P294">
        <v>12048</v>
      </c>
      <c r="Q294">
        <v>2</v>
      </c>
      <c r="R294">
        <v>73</v>
      </c>
      <c r="S294" t="s">
        <v>1672</v>
      </c>
      <c r="Y294">
        <f>Wine_pres_final[[#This Row],[mlp_params]]</f>
        <v>11739</v>
      </c>
      <c r="Z294">
        <f>IF((LEN(Wine_pres_final[[#This Row],[kan_width]])-LEN(SUBSTITUTE(Wine_pres_final[[#This Row],[kan_width]]," ","")))&gt;2,Wine_pres_final[[#This Row],[kan_test_acc]],"")</f>
        <v>0.80370371540387464</v>
      </c>
      <c r="AA294" t="str">
        <f>IF((LEN(Wine_pres_final[[#This Row],[kan_width]])-LEN(SUBSTITUTE(Wine_pres_final[[#This Row],[kan_width]]," ","")))&gt;2,"",Wine_pres_final[[#This Row],[kan_test_acc]])</f>
        <v/>
      </c>
      <c r="AB294">
        <f>Wine_pres_final[[#This Row],[mlp_test_acc]]</f>
        <v>0.67037037037037028</v>
      </c>
      <c r="AC294">
        <f>Wine_pres_final[[#This Row],[mlp_test_acc2]]</f>
        <v>0.6611111111111112</v>
      </c>
    </row>
    <row r="295" spans="1:29" hidden="1" x14ac:dyDescent="0.25">
      <c r="A295" t="s">
        <v>1336</v>
      </c>
      <c r="B295">
        <v>9</v>
      </c>
      <c r="C295">
        <v>2</v>
      </c>
      <c r="D295">
        <v>0</v>
      </c>
      <c r="E295" t="s">
        <v>1413</v>
      </c>
      <c r="F295">
        <v>11205</v>
      </c>
      <c r="G295">
        <v>12358647.916666666</v>
      </c>
      <c r="H295">
        <v>0.80370371540387464</v>
      </c>
      <c r="I295">
        <v>0.66296296296296298</v>
      </c>
      <c r="J295">
        <v>5554237.666666666</v>
      </c>
      <c r="K295">
        <v>15009</v>
      </c>
      <c r="L295">
        <v>2</v>
      </c>
      <c r="M295">
        <v>82</v>
      </c>
      <c r="N295">
        <v>0.6333333333333333</v>
      </c>
      <c r="O295">
        <v>2991932.9166666665</v>
      </c>
      <c r="P295">
        <v>15358</v>
      </c>
      <c r="Q295">
        <v>2</v>
      </c>
      <c r="R295">
        <v>83</v>
      </c>
      <c r="S295" t="s">
        <v>1825</v>
      </c>
      <c r="Y295">
        <f>Wine_pres_final[[#This Row],[mlp_params]]</f>
        <v>15009</v>
      </c>
      <c r="Z295">
        <f>IF((LEN(Wine_pres_final[[#This Row],[kan_width]])-LEN(SUBSTITUTE(Wine_pres_final[[#This Row],[kan_width]]," ","")))&gt;2,Wine_pres_final[[#This Row],[kan_test_acc]],"")</f>
        <v>0.80370371540387464</v>
      </c>
      <c r="AA295" t="str">
        <f>IF((LEN(Wine_pres_final[[#This Row],[kan_width]])-LEN(SUBSTITUTE(Wine_pres_final[[#This Row],[kan_width]]," ","")))&gt;2,"",Wine_pres_final[[#This Row],[kan_test_acc]])</f>
        <v/>
      </c>
      <c r="AB295">
        <f>Wine_pres_final[[#This Row],[mlp_test_acc]]</f>
        <v>0.66296296296296298</v>
      </c>
      <c r="AC295">
        <f>Wine_pres_final[[#This Row],[mlp_test_acc2]]</f>
        <v>0.6333333333333333</v>
      </c>
    </row>
    <row r="296" spans="1:29" hidden="1" x14ac:dyDescent="0.25">
      <c r="A296" t="s">
        <v>1336</v>
      </c>
      <c r="B296">
        <v>5</v>
      </c>
      <c r="C296">
        <v>3</v>
      </c>
      <c r="D296">
        <v>0</v>
      </c>
      <c r="E296" t="s">
        <v>1393</v>
      </c>
      <c r="F296">
        <v>7092</v>
      </c>
      <c r="G296">
        <v>13043026.5</v>
      </c>
      <c r="H296">
        <v>0.80740741640329361</v>
      </c>
      <c r="I296">
        <v>0.68888888888888888</v>
      </c>
      <c r="J296">
        <v>5117133.916666667</v>
      </c>
      <c r="K296">
        <v>11434</v>
      </c>
      <c r="L296">
        <v>2</v>
      </c>
      <c r="M296">
        <v>71</v>
      </c>
      <c r="N296">
        <v>0.68518518518518523</v>
      </c>
      <c r="O296">
        <v>2178814.75</v>
      </c>
      <c r="P296">
        <v>11739</v>
      </c>
      <c r="Q296">
        <v>2</v>
      </c>
      <c r="R296">
        <v>72</v>
      </c>
      <c r="S296" t="s">
        <v>1665</v>
      </c>
      <c r="Y296">
        <f>Wine_pres_final[[#This Row],[mlp_params]]</f>
        <v>11434</v>
      </c>
      <c r="Z296">
        <f>IF((LEN(Wine_pres_final[[#This Row],[kan_width]])-LEN(SUBSTITUTE(Wine_pres_final[[#This Row],[kan_width]]," ","")))&gt;2,Wine_pres_final[[#This Row],[kan_test_acc]],"")</f>
        <v>0.80740741640329361</v>
      </c>
      <c r="AA296" t="str">
        <f>IF((LEN(Wine_pres_final[[#This Row],[kan_width]])-LEN(SUBSTITUTE(Wine_pres_final[[#This Row],[kan_width]]," ","")))&gt;2,"",Wine_pres_final[[#This Row],[kan_test_acc]])</f>
        <v/>
      </c>
      <c r="AB296">
        <f>Wine_pres_final[[#This Row],[mlp_test_acc]]</f>
        <v>0.68888888888888888</v>
      </c>
      <c r="AC296">
        <f>Wine_pres_final[[#This Row],[mlp_test_acc2]]</f>
        <v>0.68518518518518523</v>
      </c>
    </row>
    <row r="297" spans="1:29" hidden="1" x14ac:dyDescent="0.25">
      <c r="A297" t="s">
        <v>1336</v>
      </c>
      <c r="B297">
        <v>3</v>
      </c>
      <c r="C297">
        <v>4</v>
      </c>
      <c r="D297">
        <v>0</v>
      </c>
      <c r="E297" t="s">
        <v>1429</v>
      </c>
      <c r="F297">
        <v>8779</v>
      </c>
      <c r="G297">
        <v>17043554</v>
      </c>
      <c r="H297">
        <v>0.80740741888682044</v>
      </c>
      <c r="I297">
        <v>0.67222222222222228</v>
      </c>
      <c r="J297">
        <v>1163021.5</v>
      </c>
      <c r="K297">
        <v>16429</v>
      </c>
      <c r="L297">
        <v>2</v>
      </c>
      <c r="M297">
        <v>86</v>
      </c>
      <c r="N297">
        <v>0.69444444444444442</v>
      </c>
      <c r="O297">
        <v>687159.91666666663</v>
      </c>
      <c r="P297">
        <v>16794</v>
      </c>
      <c r="Q297">
        <v>2</v>
      </c>
      <c r="R297">
        <v>87</v>
      </c>
      <c r="S297" t="s">
        <v>1533</v>
      </c>
      <c r="Y297">
        <f>Wine_pres_final[[#This Row],[mlp_params]]</f>
        <v>16429</v>
      </c>
      <c r="Z297">
        <f>IF((LEN(Wine_pres_final[[#This Row],[kan_width]])-LEN(SUBSTITUTE(Wine_pres_final[[#This Row],[kan_width]]," ","")))&gt;2,Wine_pres_final[[#This Row],[kan_test_acc]],"")</f>
        <v>0.80740741888682044</v>
      </c>
      <c r="AA297" t="str">
        <f>IF((LEN(Wine_pres_final[[#This Row],[kan_width]])-LEN(SUBSTITUTE(Wine_pres_final[[#This Row],[kan_width]]," ","")))&gt;2,"",Wine_pres_final[[#This Row],[kan_test_acc]])</f>
        <v/>
      </c>
      <c r="AB297">
        <f>Wine_pres_final[[#This Row],[mlp_test_acc]]</f>
        <v>0.67222222222222228</v>
      </c>
      <c r="AC297">
        <f>Wine_pres_final[[#This Row],[mlp_test_acc2]]</f>
        <v>0.69444444444444442</v>
      </c>
    </row>
    <row r="298" spans="1:29" hidden="1" x14ac:dyDescent="0.25">
      <c r="A298" t="s">
        <v>1336</v>
      </c>
      <c r="B298">
        <v>5</v>
      </c>
      <c r="C298">
        <v>3</v>
      </c>
      <c r="D298">
        <v>0</v>
      </c>
      <c r="E298" t="s">
        <v>1379</v>
      </c>
      <c r="F298">
        <v>6740</v>
      </c>
      <c r="G298">
        <v>11772887.083333334</v>
      </c>
      <c r="H298">
        <v>0.80925926566123962</v>
      </c>
      <c r="I298">
        <v>0.73518518518518516</v>
      </c>
      <c r="J298">
        <v>4641602.083333334</v>
      </c>
      <c r="K298">
        <v>10836</v>
      </c>
      <c r="L298">
        <v>2</v>
      </c>
      <c r="M298">
        <v>69</v>
      </c>
      <c r="N298">
        <v>0.67962962962962958</v>
      </c>
      <c r="O298">
        <v>2248738.583333333</v>
      </c>
      <c r="P298">
        <v>11133</v>
      </c>
      <c r="Q298">
        <v>2</v>
      </c>
      <c r="R298">
        <v>70</v>
      </c>
      <c r="S298" t="s">
        <v>1658</v>
      </c>
      <c r="Y298">
        <f>Wine_pres_final[[#This Row],[mlp_params]]</f>
        <v>10836</v>
      </c>
      <c r="Z298">
        <f>IF((LEN(Wine_pres_final[[#This Row],[kan_width]])-LEN(SUBSTITUTE(Wine_pres_final[[#This Row],[kan_width]]," ","")))&gt;2,Wine_pres_final[[#This Row],[kan_test_acc]],"")</f>
        <v>0.80925926566123962</v>
      </c>
      <c r="AA298" t="str">
        <f>IF((LEN(Wine_pres_final[[#This Row],[kan_width]])-LEN(SUBSTITUTE(Wine_pres_final[[#This Row],[kan_width]]," ","")))&gt;2,"",Wine_pres_final[[#This Row],[kan_test_acc]])</f>
        <v/>
      </c>
      <c r="AB298">
        <f>Wine_pres_final[[#This Row],[mlp_test_acc]]</f>
        <v>0.73518518518518516</v>
      </c>
      <c r="AC298">
        <f>Wine_pres_final[[#This Row],[mlp_test_acc2]]</f>
        <v>0.67962962962962958</v>
      </c>
    </row>
    <row r="299" spans="1:29" hidden="1" x14ac:dyDescent="0.25">
      <c r="A299" t="s">
        <v>1336</v>
      </c>
      <c r="B299">
        <v>5</v>
      </c>
      <c r="C299">
        <v>2</v>
      </c>
      <c r="D299">
        <v>0</v>
      </c>
      <c r="E299" t="s">
        <v>1407</v>
      </c>
      <c r="F299">
        <v>6691</v>
      </c>
      <c r="G299">
        <v>14358591</v>
      </c>
      <c r="H299">
        <v>0.80925926814476645</v>
      </c>
      <c r="I299">
        <v>0.72407407407407409</v>
      </c>
      <c r="J299">
        <v>2524091.75</v>
      </c>
      <c r="K299">
        <v>9969</v>
      </c>
      <c r="L299">
        <v>2</v>
      </c>
      <c r="M299">
        <v>66</v>
      </c>
      <c r="N299">
        <v>0.67222222222222217</v>
      </c>
      <c r="O299">
        <v>1266395.1666666665</v>
      </c>
      <c r="P299">
        <v>10254</v>
      </c>
      <c r="Q299">
        <v>2</v>
      </c>
      <c r="R299">
        <v>67</v>
      </c>
      <c r="S299" t="s">
        <v>1622</v>
      </c>
      <c r="Y299">
        <f>Wine_pres_final[[#This Row],[mlp_params]]</f>
        <v>9969</v>
      </c>
      <c r="Z299">
        <f>IF((LEN(Wine_pres_final[[#This Row],[kan_width]])-LEN(SUBSTITUTE(Wine_pres_final[[#This Row],[kan_width]]," ","")))&gt;2,Wine_pres_final[[#This Row],[kan_test_acc]],"")</f>
        <v>0.80925926814476645</v>
      </c>
      <c r="AA299" t="str">
        <f>IF((LEN(Wine_pres_final[[#This Row],[kan_width]])-LEN(SUBSTITUTE(Wine_pres_final[[#This Row],[kan_width]]," ","")))&gt;2,"",Wine_pres_final[[#This Row],[kan_test_acc]])</f>
        <v/>
      </c>
      <c r="AB299">
        <f>Wine_pres_final[[#This Row],[mlp_test_acc]]</f>
        <v>0.72407407407407409</v>
      </c>
      <c r="AC299">
        <f>Wine_pres_final[[#This Row],[mlp_test_acc2]]</f>
        <v>0.67222222222222217</v>
      </c>
    </row>
    <row r="300" spans="1:29" hidden="1" x14ac:dyDescent="0.25">
      <c r="A300" t="s">
        <v>1336</v>
      </c>
      <c r="B300">
        <v>3</v>
      </c>
      <c r="C300">
        <v>5</v>
      </c>
      <c r="D300">
        <v>0</v>
      </c>
      <c r="E300" t="s">
        <v>1401</v>
      </c>
      <c r="F300">
        <v>5898</v>
      </c>
      <c r="G300">
        <v>19302362.916666664</v>
      </c>
      <c r="H300">
        <v>0.80925926814476656</v>
      </c>
      <c r="I300">
        <v>0.63888888888888884</v>
      </c>
      <c r="J300">
        <v>1955320.9166666665</v>
      </c>
      <c r="K300">
        <v>11739</v>
      </c>
      <c r="L300">
        <v>2</v>
      </c>
      <c r="M300">
        <v>72</v>
      </c>
      <c r="N300">
        <v>0.69259259259259265</v>
      </c>
      <c r="O300">
        <v>1622338.3333333335</v>
      </c>
      <c r="P300">
        <v>12048</v>
      </c>
      <c r="Q300">
        <v>2</v>
      </c>
      <c r="R300">
        <v>73</v>
      </c>
      <c r="S300" t="s">
        <v>1569</v>
      </c>
      <c r="Y300">
        <f>Wine_pres_final[[#This Row],[mlp_params]]</f>
        <v>11739</v>
      </c>
      <c r="Z300">
        <f>IF((LEN(Wine_pres_final[[#This Row],[kan_width]])-LEN(SUBSTITUTE(Wine_pres_final[[#This Row],[kan_width]]," ","")))&gt;2,Wine_pres_final[[#This Row],[kan_test_acc]],"")</f>
        <v>0.80925926814476656</v>
      </c>
      <c r="AA300" t="str">
        <f>IF((LEN(Wine_pres_final[[#This Row],[kan_width]])-LEN(SUBSTITUTE(Wine_pres_final[[#This Row],[kan_width]]," ","")))&gt;2,"",Wine_pres_final[[#This Row],[kan_test_acc]])</f>
        <v/>
      </c>
      <c r="AB300">
        <f>Wine_pres_final[[#This Row],[mlp_test_acc]]</f>
        <v>0.63888888888888884</v>
      </c>
      <c r="AC300">
        <f>Wine_pres_final[[#This Row],[mlp_test_acc2]]</f>
        <v>0.69259259259259265</v>
      </c>
    </row>
    <row r="301" spans="1:29" hidden="1" x14ac:dyDescent="0.25">
      <c r="A301" t="s">
        <v>1336</v>
      </c>
      <c r="B301">
        <v>3</v>
      </c>
      <c r="C301">
        <v>4</v>
      </c>
      <c r="D301">
        <v>0</v>
      </c>
      <c r="E301" t="s">
        <v>1405</v>
      </c>
      <c r="F301">
        <v>6249</v>
      </c>
      <c r="G301">
        <v>12150103.916666666</v>
      </c>
      <c r="H301">
        <v>0.81111112236976624</v>
      </c>
      <c r="I301">
        <v>0.67037037037037039</v>
      </c>
      <c r="J301">
        <v>1862401.5833333335</v>
      </c>
      <c r="K301">
        <v>11739</v>
      </c>
      <c r="L301">
        <v>2</v>
      </c>
      <c r="M301">
        <v>72</v>
      </c>
      <c r="N301">
        <v>0.66481481481481475</v>
      </c>
      <c r="O301">
        <v>1434505.6666666667</v>
      </c>
      <c r="P301">
        <v>12048</v>
      </c>
      <c r="Q301">
        <v>2</v>
      </c>
      <c r="R301">
        <v>73</v>
      </c>
      <c r="S301" t="s">
        <v>1521</v>
      </c>
      <c r="Y301">
        <f>Wine_pres_final[[#This Row],[mlp_params]]</f>
        <v>11739</v>
      </c>
      <c r="Z301">
        <f>IF((LEN(Wine_pres_final[[#This Row],[kan_width]])-LEN(SUBSTITUTE(Wine_pres_final[[#This Row],[kan_width]]," ","")))&gt;2,Wine_pres_final[[#This Row],[kan_test_acc]],"")</f>
        <v>0.81111112236976624</v>
      </c>
      <c r="AA301" t="str">
        <f>IF((LEN(Wine_pres_final[[#This Row],[kan_width]])-LEN(SUBSTITUTE(Wine_pres_final[[#This Row],[kan_width]]," ","")))&gt;2,"",Wine_pres_final[[#This Row],[kan_test_acc]])</f>
        <v/>
      </c>
      <c r="AB301">
        <f>Wine_pres_final[[#This Row],[mlp_test_acc]]</f>
        <v>0.67037037037037039</v>
      </c>
      <c r="AC301">
        <f>Wine_pres_final[[#This Row],[mlp_test_acc2]]</f>
        <v>0.66481481481481475</v>
      </c>
    </row>
    <row r="302" spans="1:29" hidden="1" x14ac:dyDescent="0.25">
      <c r="A302" t="s">
        <v>1336</v>
      </c>
      <c r="B302">
        <v>3</v>
      </c>
      <c r="C302">
        <v>5</v>
      </c>
      <c r="D302">
        <v>0</v>
      </c>
      <c r="E302" t="s">
        <v>1369</v>
      </c>
      <c r="F302">
        <v>4750</v>
      </c>
      <c r="G302">
        <v>17874296.25</v>
      </c>
      <c r="H302">
        <v>0.81296297411123908</v>
      </c>
      <c r="I302">
        <v>0.72592592592592597</v>
      </c>
      <c r="J302">
        <v>4844662.583333334</v>
      </c>
      <c r="K302">
        <v>9411</v>
      </c>
      <c r="L302">
        <v>2</v>
      </c>
      <c r="M302">
        <v>64</v>
      </c>
      <c r="N302">
        <v>0.7</v>
      </c>
      <c r="O302">
        <v>4347596.916666667</v>
      </c>
      <c r="P302">
        <v>9688</v>
      </c>
      <c r="Q302">
        <v>2</v>
      </c>
      <c r="R302">
        <v>65</v>
      </c>
      <c r="S302" t="s">
        <v>1553</v>
      </c>
      <c r="Y302">
        <f>Wine_pres_final[[#This Row],[mlp_params]]</f>
        <v>9411</v>
      </c>
      <c r="Z302">
        <f>IF((LEN(Wine_pres_final[[#This Row],[kan_width]])-LEN(SUBSTITUTE(Wine_pres_final[[#This Row],[kan_width]]," ","")))&gt;2,Wine_pres_final[[#This Row],[kan_test_acc]],"")</f>
        <v>0.81296297411123908</v>
      </c>
      <c r="AA302" t="str">
        <f>IF((LEN(Wine_pres_final[[#This Row],[kan_width]])-LEN(SUBSTITUTE(Wine_pres_final[[#This Row],[kan_width]]," ","")))&gt;2,"",Wine_pres_final[[#This Row],[kan_test_acc]])</f>
        <v/>
      </c>
      <c r="AB302">
        <f>Wine_pres_final[[#This Row],[mlp_test_acc]]</f>
        <v>0.72592592592592597</v>
      </c>
      <c r="AC302">
        <f>Wine_pres_final[[#This Row],[mlp_test_acc2]]</f>
        <v>0.7</v>
      </c>
    </row>
    <row r="303" spans="1:29" hidden="1" x14ac:dyDescent="0.25">
      <c r="A303" t="s">
        <v>1336</v>
      </c>
      <c r="B303">
        <v>3</v>
      </c>
      <c r="C303">
        <v>5</v>
      </c>
      <c r="D303">
        <v>0</v>
      </c>
      <c r="E303" t="s">
        <v>1367</v>
      </c>
      <c r="F303">
        <v>6654</v>
      </c>
      <c r="G303">
        <v>17466875.083333336</v>
      </c>
      <c r="H303">
        <v>0.81296297411123908</v>
      </c>
      <c r="I303">
        <v>0.72962962962962963</v>
      </c>
      <c r="J303">
        <v>5126291.25</v>
      </c>
      <c r="K303">
        <v>12999</v>
      </c>
      <c r="L303">
        <v>2</v>
      </c>
      <c r="M303">
        <v>76</v>
      </c>
      <c r="N303">
        <v>0.67222222222222228</v>
      </c>
      <c r="O303">
        <v>3515570.8333333335</v>
      </c>
      <c r="P303">
        <v>13324</v>
      </c>
      <c r="Q303">
        <v>2</v>
      </c>
      <c r="R303">
        <v>77</v>
      </c>
      <c r="S303" t="s">
        <v>1552</v>
      </c>
      <c r="Y303">
        <f>Wine_pres_final[[#This Row],[mlp_params]]</f>
        <v>12999</v>
      </c>
      <c r="Z303">
        <f>IF((LEN(Wine_pres_final[[#This Row],[kan_width]])-LEN(SUBSTITUTE(Wine_pres_final[[#This Row],[kan_width]]," ","")))&gt;2,Wine_pres_final[[#This Row],[kan_test_acc]],"")</f>
        <v>0.81296297411123908</v>
      </c>
      <c r="AA303" t="str">
        <f>IF((LEN(Wine_pres_final[[#This Row],[kan_width]])-LEN(SUBSTITUTE(Wine_pres_final[[#This Row],[kan_width]]," ","")))&gt;2,"",Wine_pres_final[[#This Row],[kan_test_acc]])</f>
        <v/>
      </c>
      <c r="AB303">
        <f>Wine_pres_final[[#This Row],[mlp_test_acc]]</f>
        <v>0.72962962962962963</v>
      </c>
      <c r="AC303">
        <f>Wine_pres_final[[#This Row],[mlp_test_acc2]]</f>
        <v>0.67222222222222228</v>
      </c>
    </row>
    <row r="304" spans="1:29" x14ac:dyDescent="0.25">
      <c r="A304" t="s">
        <v>1336</v>
      </c>
      <c r="B304">
        <v>9</v>
      </c>
      <c r="C304">
        <v>5</v>
      </c>
      <c r="D304">
        <v>0</v>
      </c>
      <c r="E304" t="s">
        <v>1397</v>
      </c>
      <c r="F304">
        <v>12302</v>
      </c>
      <c r="G304">
        <v>11695743.416666668</v>
      </c>
      <c r="H304">
        <v>0.55555557211240136</v>
      </c>
      <c r="I304">
        <v>0.75370370370370376</v>
      </c>
      <c r="J304">
        <v>4618455</v>
      </c>
      <c r="K304">
        <v>19858</v>
      </c>
      <c r="L304">
        <v>2</v>
      </c>
      <c r="M304">
        <v>95</v>
      </c>
      <c r="N304">
        <v>0.71111111111111114</v>
      </c>
      <c r="O304">
        <v>5910084.583333334</v>
      </c>
      <c r="P304">
        <v>20259</v>
      </c>
      <c r="Q304">
        <v>2</v>
      </c>
      <c r="R304">
        <v>96</v>
      </c>
      <c r="S304" t="s">
        <v>1967</v>
      </c>
      <c r="Y304">
        <f>Wine_pres_final[[#This Row],[mlp_params]]</f>
        <v>19858</v>
      </c>
      <c r="Z304">
        <f>IF((LEN(Wine_pres_final[[#This Row],[kan_width]])-LEN(SUBSTITUTE(Wine_pres_final[[#This Row],[kan_width]]," ","")))&gt;2,Wine_pres_final[[#This Row],[kan_test_acc]],"")</f>
        <v>0.55555557211240136</v>
      </c>
      <c r="AA304" t="str">
        <f>IF((LEN(Wine_pres_final[[#This Row],[kan_width]])-LEN(SUBSTITUTE(Wine_pres_final[[#This Row],[kan_width]]," ","")))&gt;2,"",Wine_pres_final[[#This Row],[kan_test_acc]])</f>
        <v/>
      </c>
      <c r="AB304">
        <f>Wine_pres_final[[#This Row],[mlp_test_acc]]</f>
        <v>0.75370370370370376</v>
      </c>
      <c r="AC304">
        <f>Wine_pres_final[[#This Row],[mlp_test_acc2]]</f>
        <v>0.71111111111111114</v>
      </c>
    </row>
    <row r="305" spans="1:29" hidden="1" x14ac:dyDescent="0.25">
      <c r="A305" t="s">
        <v>1336</v>
      </c>
      <c r="B305">
        <v>3</v>
      </c>
      <c r="C305">
        <v>4</v>
      </c>
      <c r="D305">
        <v>0</v>
      </c>
      <c r="E305" t="s">
        <v>1357</v>
      </c>
      <c r="F305">
        <v>4443</v>
      </c>
      <c r="G305">
        <v>13032180.833333334</v>
      </c>
      <c r="H305">
        <v>0.81481482585271203</v>
      </c>
      <c r="I305">
        <v>0.66296296296296298</v>
      </c>
      <c r="J305">
        <v>392983.91666666663</v>
      </c>
      <c r="K305">
        <v>8343</v>
      </c>
      <c r="L305">
        <v>2</v>
      </c>
      <c r="M305">
        <v>60</v>
      </c>
      <c r="N305">
        <v>0.66481481481481475</v>
      </c>
      <c r="O305">
        <v>369846.75</v>
      </c>
      <c r="P305">
        <v>8604</v>
      </c>
      <c r="Q305">
        <v>2</v>
      </c>
      <c r="R305">
        <v>61</v>
      </c>
      <c r="S305" t="s">
        <v>1497</v>
      </c>
      <c r="Y305">
        <f>Wine_pres_final[[#This Row],[mlp_params]]</f>
        <v>8343</v>
      </c>
      <c r="Z305">
        <f>IF((LEN(Wine_pres_final[[#This Row],[kan_width]])-LEN(SUBSTITUTE(Wine_pres_final[[#This Row],[kan_width]]," ","")))&gt;2,Wine_pres_final[[#This Row],[kan_test_acc]],"")</f>
        <v>0.81481482585271203</v>
      </c>
      <c r="AA305" t="str">
        <f>IF((LEN(Wine_pres_final[[#This Row],[kan_width]])-LEN(SUBSTITUTE(Wine_pres_final[[#This Row],[kan_width]]," ","")))&gt;2,"",Wine_pres_final[[#This Row],[kan_test_acc]])</f>
        <v/>
      </c>
      <c r="AB305">
        <f>Wine_pres_final[[#This Row],[mlp_test_acc]]</f>
        <v>0.66296296296296298</v>
      </c>
      <c r="AC305">
        <f>Wine_pres_final[[#This Row],[mlp_test_acc2]]</f>
        <v>0.66481481481481475</v>
      </c>
    </row>
    <row r="306" spans="1:29" hidden="1" x14ac:dyDescent="0.25">
      <c r="A306" t="s">
        <v>1336</v>
      </c>
      <c r="B306">
        <v>9</v>
      </c>
      <c r="C306">
        <v>2</v>
      </c>
      <c r="D306">
        <v>0</v>
      </c>
      <c r="E306" t="s">
        <v>1357</v>
      </c>
      <c r="F306">
        <v>6207</v>
      </c>
      <c r="G306">
        <v>8188614.25</v>
      </c>
      <c r="H306">
        <v>0.81666667759418488</v>
      </c>
      <c r="I306">
        <v>0.72777777777777786</v>
      </c>
      <c r="J306">
        <v>354239.25</v>
      </c>
      <c r="K306">
        <v>8343</v>
      </c>
      <c r="L306">
        <v>2</v>
      </c>
      <c r="M306">
        <v>60</v>
      </c>
      <c r="N306">
        <v>0.71111111111111114</v>
      </c>
      <c r="O306">
        <v>372747.5</v>
      </c>
      <c r="P306">
        <v>8604</v>
      </c>
      <c r="Q306">
        <v>2</v>
      </c>
      <c r="R306">
        <v>61</v>
      </c>
      <c r="S306" t="s">
        <v>1797</v>
      </c>
      <c r="Y306">
        <f>Wine_pres_final[[#This Row],[mlp_params]]</f>
        <v>8343</v>
      </c>
      <c r="Z306">
        <f>IF((LEN(Wine_pres_final[[#This Row],[kan_width]])-LEN(SUBSTITUTE(Wine_pres_final[[#This Row],[kan_width]]," ","")))&gt;2,Wine_pres_final[[#This Row],[kan_test_acc]],"")</f>
        <v>0.81666667759418488</v>
      </c>
      <c r="AA306" t="str">
        <f>IF((LEN(Wine_pres_final[[#This Row],[kan_width]])-LEN(SUBSTITUTE(Wine_pres_final[[#This Row],[kan_width]]," ","")))&gt;2,"",Wine_pres_final[[#This Row],[kan_test_acc]])</f>
        <v/>
      </c>
      <c r="AB306">
        <f>Wine_pres_final[[#This Row],[mlp_test_acc]]</f>
        <v>0.72777777777777786</v>
      </c>
      <c r="AC306">
        <f>Wine_pres_final[[#This Row],[mlp_test_acc2]]</f>
        <v>0.71111111111111114</v>
      </c>
    </row>
    <row r="307" spans="1:29" hidden="1" x14ac:dyDescent="0.25">
      <c r="A307" t="s">
        <v>1336</v>
      </c>
      <c r="B307">
        <v>5</v>
      </c>
      <c r="C307">
        <v>3</v>
      </c>
      <c r="D307">
        <v>0</v>
      </c>
      <c r="E307" t="s">
        <v>1367</v>
      </c>
      <c r="F307">
        <v>6654</v>
      </c>
      <c r="G307">
        <v>11643396.166666666</v>
      </c>
      <c r="H307">
        <v>0.81666667759418488</v>
      </c>
      <c r="I307">
        <v>0.69259259259259265</v>
      </c>
      <c r="J307">
        <v>4177535.75</v>
      </c>
      <c r="K307">
        <v>10836</v>
      </c>
      <c r="L307">
        <v>2</v>
      </c>
      <c r="M307">
        <v>69</v>
      </c>
      <c r="N307">
        <v>0.65740740740740744</v>
      </c>
      <c r="O307">
        <v>2911756.75</v>
      </c>
      <c r="P307">
        <v>11133</v>
      </c>
      <c r="Q307">
        <v>2</v>
      </c>
      <c r="R307">
        <v>70</v>
      </c>
      <c r="S307" t="s">
        <v>1652</v>
      </c>
      <c r="Y307">
        <f>Wine_pres_final[[#This Row],[mlp_params]]</f>
        <v>10836</v>
      </c>
      <c r="Z307">
        <f>IF((LEN(Wine_pres_final[[#This Row],[kan_width]])-LEN(SUBSTITUTE(Wine_pres_final[[#This Row],[kan_width]]," ","")))&gt;2,Wine_pres_final[[#This Row],[kan_test_acc]],"")</f>
        <v>0.81666667759418488</v>
      </c>
      <c r="AA307" t="str">
        <f>IF((LEN(Wine_pres_final[[#This Row],[kan_width]])-LEN(SUBSTITUTE(Wine_pres_final[[#This Row],[kan_width]]," ","")))&gt;2,"",Wine_pres_final[[#This Row],[kan_test_acc]])</f>
        <v/>
      </c>
      <c r="AB307">
        <f>Wine_pres_final[[#This Row],[mlp_test_acc]]</f>
        <v>0.69259259259259265</v>
      </c>
      <c r="AC307">
        <f>Wine_pres_final[[#This Row],[mlp_test_acc2]]</f>
        <v>0.65740740740740744</v>
      </c>
    </row>
    <row r="308" spans="1:29" hidden="1" x14ac:dyDescent="0.25">
      <c r="A308" t="s">
        <v>1336</v>
      </c>
      <c r="B308">
        <v>9</v>
      </c>
      <c r="C308">
        <v>2</v>
      </c>
      <c r="D308">
        <v>0</v>
      </c>
      <c r="E308" t="s">
        <v>1363</v>
      </c>
      <c r="F308">
        <v>7557</v>
      </c>
      <c r="G308">
        <v>8887258.75</v>
      </c>
      <c r="H308">
        <v>0.81666667759418488</v>
      </c>
      <c r="I308">
        <v>0.67222222222222228</v>
      </c>
      <c r="J308">
        <v>2507638.5</v>
      </c>
      <c r="K308">
        <v>9969</v>
      </c>
      <c r="L308">
        <v>2</v>
      </c>
      <c r="M308">
        <v>66</v>
      </c>
      <c r="N308">
        <v>0.71296296296296291</v>
      </c>
      <c r="O308">
        <v>2519305.083333333</v>
      </c>
      <c r="P308">
        <v>10254</v>
      </c>
      <c r="Q308">
        <v>2</v>
      </c>
      <c r="R308">
        <v>67</v>
      </c>
      <c r="S308" t="s">
        <v>1800</v>
      </c>
      <c r="Y308">
        <f>Wine_pres_final[[#This Row],[mlp_params]]</f>
        <v>9969</v>
      </c>
      <c r="Z308">
        <f>IF((LEN(Wine_pres_final[[#This Row],[kan_width]])-LEN(SUBSTITUTE(Wine_pres_final[[#This Row],[kan_width]]," ","")))&gt;2,Wine_pres_final[[#This Row],[kan_test_acc]],"")</f>
        <v>0.81666667759418488</v>
      </c>
      <c r="AA308" t="str">
        <f>IF((LEN(Wine_pres_final[[#This Row],[kan_width]])-LEN(SUBSTITUTE(Wine_pres_final[[#This Row],[kan_width]]," ","")))&gt;2,"",Wine_pres_final[[#This Row],[kan_test_acc]])</f>
        <v/>
      </c>
      <c r="AB308">
        <f>Wine_pres_final[[#This Row],[mlp_test_acc]]</f>
        <v>0.67222222222222228</v>
      </c>
      <c r="AC308">
        <f>Wine_pres_final[[#This Row],[mlp_test_acc2]]</f>
        <v>0.71296296296296291</v>
      </c>
    </row>
    <row r="309" spans="1:29" hidden="1" x14ac:dyDescent="0.25">
      <c r="A309" t="s">
        <v>1336</v>
      </c>
      <c r="B309">
        <v>3</v>
      </c>
      <c r="C309">
        <v>5</v>
      </c>
      <c r="D309">
        <v>0</v>
      </c>
      <c r="E309" t="s">
        <v>1375</v>
      </c>
      <c r="F309">
        <v>5944</v>
      </c>
      <c r="G309">
        <v>19664063.916666664</v>
      </c>
      <c r="H309">
        <v>0.81851852685213089</v>
      </c>
      <c r="I309">
        <v>0.70185185185185184</v>
      </c>
      <c r="J309">
        <v>1680485.25</v>
      </c>
      <c r="K309">
        <v>11739</v>
      </c>
      <c r="L309">
        <v>2</v>
      </c>
      <c r="M309">
        <v>72</v>
      </c>
      <c r="N309">
        <v>0.68333333333333335</v>
      </c>
      <c r="O309">
        <v>1121994.75</v>
      </c>
      <c r="P309">
        <v>12048</v>
      </c>
      <c r="Q309">
        <v>2</v>
      </c>
      <c r="R309">
        <v>73</v>
      </c>
      <c r="S309" t="s">
        <v>1556</v>
      </c>
      <c r="Y309">
        <f>Wine_pres_final[[#This Row],[mlp_params]]</f>
        <v>11739</v>
      </c>
      <c r="Z309">
        <f>IF((LEN(Wine_pres_final[[#This Row],[kan_width]])-LEN(SUBSTITUTE(Wine_pres_final[[#This Row],[kan_width]]," ","")))&gt;2,Wine_pres_final[[#This Row],[kan_test_acc]],"")</f>
        <v>0.81851852685213089</v>
      </c>
      <c r="AA309" t="str">
        <f>IF((LEN(Wine_pres_final[[#This Row],[kan_width]])-LEN(SUBSTITUTE(Wine_pres_final[[#This Row],[kan_width]]," ","")))&gt;2,"",Wine_pres_final[[#This Row],[kan_test_acc]])</f>
        <v/>
      </c>
      <c r="AB309">
        <f>Wine_pres_final[[#This Row],[mlp_test_acc]]</f>
        <v>0.70185185185185184</v>
      </c>
      <c r="AC309">
        <f>Wine_pres_final[[#This Row],[mlp_test_acc2]]</f>
        <v>0.68333333333333335</v>
      </c>
    </row>
    <row r="310" spans="1:29" hidden="1" x14ac:dyDescent="0.25">
      <c r="A310" t="s">
        <v>1336</v>
      </c>
      <c r="B310">
        <v>3</v>
      </c>
      <c r="C310">
        <v>4</v>
      </c>
      <c r="D310">
        <v>0</v>
      </c>
      <c r="E310" t="s">
        <v>1423</v>
      </c>
      <c r="F310">
        <v>7333</v>
      </c>
      <c r="G310">
        <v>15507776.916666666</v>
      </c>
      <c r="H310">
        <v>0.81851852685213089</v>
      </c>
      <c r="I310">
        <v>0.66481481481481475</v>
      </c>
      <c r="J310">
        <v>1640385.75</v>
      </c>
      <c r="K310">
        <v>13653</v>
      </c>
      <c r="L310">
        <v>2</v>
      </c>
      <c r="M310">
        <v>78</v>
      </c>
      <c r="N310">
        <v>0.68148148148148158</v>
      </c>
      <c r="O310">
        <v>827717.33333333337</v>
      </c>
      <c r="P310">
        <v>13986</v>
      </c>
      <c r="Q310">
        <v>2</v>
      </c>
      <c r="R310">
        <v>79</v>
      </c>
      <c r="S310" t="s">
        <v>1530</v>
      </c>
      <c r="Y310">
        <f>Wine_pres_final[[#This Row],[mlp_params]]</f>
        <v>13653</v>
      </c>
      <c r="Z310">
        <f>IF((LEN(Wine_pres_final[[#This Row],[kan_width]])-LEN(SUBSTITUTE(Wine_pres_final[[#This Row],[kan_width]]," ","")))&gt;2,Wine_pres_final[[#This Row],[kan_test_acc]],"")</f>
        <v>0.81851852685213089</v>
      </c>
      <c r="AA310" t="str">
        <f>IF((LEN(Wine_pres_final[[#This Row],[kan_width]])-LEN(SUBSTITUTE(Wine_pres_final[[#This Row],[kan_width]]," ","")))&gt;2,"",Wine_pres_final[[#This Row],[kan_test_acc]])</f>
        <v/>
      </c>
      <c r="AB310">
        <f>Wine_pres_final[[#This Row],[mlp_test_acc]]</f>
        <v>0.66481481481481475</v>
      </c>
      <c r="AC310">
        <f>Wine_pres_final[[#This Row],[mlp_test_acc2]]</f>
        <v>0.68148148148148158</v>
      </c>
    </row>
    <row r="311" spans="1:29" hidden="1" x14ac:dyDescent="0.25">
      <c r="A311" t="s">
        <v>1336</v>
      </c>
      <c r="B311">
        <v>5</v>
      </c>
      <c r="C311">
        <v>4</v>
      </c>
      <c r="D311">
        <v>0</v>
      </c>
      <c r="E311" t="s">
        <v>1407</v>
      </c>
      <c r="F311">
        <v>8021</v>
      </c>
      <c r="G311">
        <v>16947211.083333332</v>
      </c>
      <c r="H311">
        <v>0.81851852685213089</v>
      </c>
      <c r="I311">
        <v>0.66666666666666674</v>
      </c>
      <c r="J311">
        <v>3721443.166666667</v>
      </c>
      <c r="K311">
        <v>13986</v>
      </c>
      <c r="L311">
        <v>2</v>
      </c>
      <c r="M311">
        <v>79</v>
      </c>
      <c r="N311">
        <v>0.67407407407407405</v>
      </c>
      <c r="O311">
        <v>5331459.416666666</v>
      </c>
      <c r="P311">
        <v>14323</v>
      </c>
      <c r="Q311">
        <v>2</v>
      </c>
      <c r="R311">
        <v>80</v>
      </c>
      <c r="S311" t="s">
        <v>1722</v>
      </c>
      <c r="Y311">
        <f>Wine_pres_final[[#This Row],[mlp_params]]</f>
        <v>13986</v>
      </c>
      <c r="Z311">
        <f>IF((LEN(Wine_pres_final[[#This Row],[kan_width]])-LEN(SUBSTITUTE(Wine_pres_final[[#This Row],[kan_width]]," ","")))&gt;2,Wine_pres_final[[#This Row],[kan_test_acc]],"")</f>
        <v>0.81851852685213089</v>
      </c>
      <c r="AA311" t="str">
        <f>IF((LEN(Wine_pres_final[[#This Row],[kan_width]])-LEN(SUBSTITUTE(Wine_pres_final[[#This Row],[kan_width]]," ","")))&gt;2,"",Wine_pres_final[[#This Row],[kan_test_acc]])</f>
        <v/>
      </c>
      <c r="AB311">
        <f>Wine_pres_final[[#This Row],[mlp_test_acc]]</f>
        <v>0.66666666666666674</v>
      </c>
      <c r="AC311">
        <f>Wine_pres_final[[#This Row],[mlp_test_acc2]]</f>
        <v>0.67407407407407405</v>
      </c>
    </row>
    <row r="312" spans="1:29" hidden="1" x14ac:dyDescent="0.25">
      <c r="A312" t="s">
        <v>1336</v>
      </c>
      <c r="B312">
        <v>5</v>
      </c>
      <c r="C312">
        <v>5</v>
      </c>
      <c r="D312">
        <v>0</v>
      </c>
      <c r="E312" t="s">
        <v>1435</v>
      </c>
      <c r="F312">
        <v>2302</v>
      </c>
      <c r="G312">
        <v>10441341.333333334</v>
      </c>
      <c r="H312">
        <v>0.81851852933565783</v>
      </c>
      <c r="I312">
        <v>0.66481481481481475</v>
      </c>
      <c r="J312">
        <v>8367690.916666666</v>
      </c>
      <c r="K312">
        <v>4144</v>
      </c>
      <c r="L312">
        <v>2</v>
      </c>
      <c r="M312">
        <v>41</v>
      </c>
      <c r="N312">
        <v>0.71666666666666667</v>
      </c>
      <c r="O312">
        <v>9528862.833333334</v>
      </c>
      <c r="P312">
        <v>4329</v>
      </c>
      <c r="Q312">
        <v>2</v>
      </c>
      <c r="R312">
        <v>42</v>
      </c>
      <c r="S312" t="s">
        <v>1736</v>
      </c>
      <c r="Y312">
        <f>Wine_pres_final[[#This Row],[mlp_params]]</f>
        <v>4144</v>
      </c>
      <c r="Z312" t="str">
        <f>IF((LEN(Wine_pres_final[[#This Row],[kan_width]])-LEN(SUBSTITUTE(Wine_pres_final[[#This Row],[kan_width]]," ","")))&gt;2,Wine_pres_final[[#This Row],[kan_test_acc]],"")</f>
        <v/>
      </c>
      <c r="AA312">
        <f>IF((LEN(Wine_pres_final[[#This Row],[kan_width]])-LEN(SUBSTITUTE(Wine_pres_final[[#This Row],[kan_width]]," ","")))&gt;2,"",Wine_pres_final[[#This Row],[kan_test_acc]])</f>
        <v>0.81851852933565783</v>
      </c>
      <c r="AB312">
        <f>Wine_pres_final[[#This Row],[mlp_test_acc]]</f>
        <v>0.66481481481481475</v>
      </c>
      <c r="AC312">
        <f>Wine_pres_final[[#This Row],[mlp_test_acc2]]</f>
        <v>0.71666666666666667</v>
      </c>
    </row>
    <row r="313" spans="1:29" hidden="1" x14ac:dyDescent="0.25">
      <c r="A313" t="s">
        <v>1336</v>
      </c>
      <c r="B313">
        <v>3</v>
      </c>
      <c r="C313">
        <v>4</v>
      </c>
      <c r="D313">
        <v>0</v>
      </c>
      <c r="E313" t="s">
        <v>1369</v>
      </c>
      <c r="F313">
        <v>4321</v>
      </c>
      <c r="G313">
        <v>13929172.5</v>
      </c>
      <c r="H313">
        <v>0.81851852933565783</v>
      </c>
      <c r="I313">
        <v>0.68333333333333335</v>
      </c>
      <c r="J313">
        <v>1367809.75</v>
      </c>
      <c r="K313">
        <v>8086</v>
      </c>
      <c r="L313">
        <v>2</v>
      </c>
      <c r="M313">
        <v>59</v>
      </c>
      <c r="N313">
        <v>0.68703703703703711</v>
      </c>
      <c r="O313">
        <v>997481.5</v>
      </c>
      <c r="P313">
        <v>8343</v>
      </c>
      <c r="Q313">
        <v>2</v>
      </c>
      <c r="R313">
        <v>60</v>
      </c>
      <c r="S313" t="s">
        <v>1503</v>
      </c>
      <c r="Y313">
        <f>Wine_pres_final[[#This Row],[mlp_params]]</f>
        <v>8086</v>
      </c>
      <c r="Z313">
        <f>IF((LEN(Wine_pres_final[[#This Row],[kan_width]])-LEN(SUBSTITUTE(Wine_pres_final[[#This Row],[kan_width]]," ","")))&gt;2,Wine_pres_final[[#This Row],[kan_test_acc]],"")</f>
        <v>0.81851852933565783</v>
      </c>
      <c r="AA313" t="str">
        <f>IF((LEN(Wine_pres_final[[#This Row],[kan_width]])-LEN(SUBSTITUTE(Wine_pres_final[[#This Row],[kan_width]]," ","")))&gt;2,"",Wine_pres_final[[#This Row],[kan_test_acc]])</f>
        <v/>
      </c>
      <c r="AB313">
        <f>Wine_pres_final[[#This Row],[mlp_test_acc]]</f>
        <v>0.68333333333333335</v>
      </c>
      <c r="AC313">
        <f>Wine_pres_final[[#This Row],[mlp_test_acc2]]</f>
        <v>0.68703703703703711</v>
      </c>
    </row>
    <row r="314" spans="1:29" x14ac:dyDescent="0.25">
      <c r="A314" t="s">
        <v>1336</v>
      </c>
      <c r="B314">
        <v>9</v>
      </c>
      <c r="C314">
        <v>5</v>
      </c>
      <c r="D314">
        <v>0</v>
      </c>
      <c r="E314" t="s">
        <v>1411</v>
      </c>
      <c r="F314">
        <v>12846</v>
      </c>
      <c r="G314">
        <v>10944400.25</v>
      </c>
      <c r="H314">
        <v>0.49259260545174277</v>
      </c>
      <c r="I314">
        <v>0.73518518518518516</v>
      </c>
      <c r="J314">
        <v>5223155.583333333</v>
      </c>
      <c r="K314">
        <v>21073</v>
      </c>
      <c r="L314">
        <v>2</v>
      </c>
      <c r="M314">
        <v>98</v>
      </c>
      <c r="N314">
        <v>0.72777777777777775</v>
      </c>
      <c r="O314">
        <v>7832287.833333334</v>
      </c>
      <c r="P314">
        <v>21486</v>
      </c>
      <c r="Q314">
        <v>2</v>
      </c>
      <c r="R314">
        <v>99</v>
      </c>
      <c r="S314" t="s">
        <v>1974</v>
      </c>
      <c r="Y314">
        <f>Wine_pres_final[[#This Row],[mlp_params]]</f>
        <v>21073</v>
      </c>
      <c r="Z314">
        <f>IF((LEN(Wine_pres_final[[#This Row],[kan_width]])-LEN(SUBSTITUTE(Wine_pres_final[[#This Row],[kan_width]]," ","")))&gt;2,Wine_pres_final[[#This Row],[kan_test_acc]],"")</f>
        <v>0.49259260545174277</v>
      </c>
      <c r="AA314" t="str">
        <f>IF((LEN(Wine_pres_final[[#This Row],[kan_width]])-LEN(SUBSTITUTE(Wine_pres_final[[#This Row],[kan_width]]," ","")))&gt;2,"",Wine_pres_final[[#This Row],[kan_test_acc]])</f>
        <v/>
      </c>
      <c r="AB314">
        <f>Wine_pres_final[[#This Row],[mlp_test_acc]]</f>
        <v>0.73518518518518516</v>
      </c>
      <c r="AC314">
        <f>Wine_pres_final[[#This Row],[mlp_test_acc2]]</f>
        <v>0.72777777777777775</v>
      </c>
    </row>
    <row r="315" spans="1:29" hidden="1" x14ac:dyDescent="0.25">
      <c r="A315" t="s">
        <v>1336</v>
      </c>
      <c r="B315">
        <v>5</v>
      </c>
      <c r="C315">
        <v>3</v>
      </c>
      <c r="D315">
        <v>0</v>
      </c>
      <c r="E315" t="s">
        <v>1381</v>
      </c>
      <c r="F315">
        <v>7138</v>
      </c>
      <c r="G315">
        <v>12379236.416666668</v>
      </c>
      <c r="H315">
        <v>0.82037037859360384</v>
      </c>
      <c r="I315">
        <v>0.69259259259259265</v>
      </c>
      <c r="J315">
        <v>4426404.083333334</v>
      </c>
      <c r="K315">
        <v>11434</v>
      </c>
      <c r="L315">
        <v>2</v>
      </c>
      <c r="M315">
        <v>71</v>
      </c>
      <c r="N315">
        <v>0.687037037037037</v>
      </c>
      <c r="O315">
        <v>2074825</v>
      </c>
      <c r="P315">
        <v>11739</v>
      </c>
      <c r="Q315">
        <v>2</v>
      </c>
      <c r="R315">
        <v>72</v>
      </c>
      <c r="S315" t="s">
        <v>1659</v>
      </c>
      <c r="Y315">
        <f>Wine_pres_final[[#This Row],[mlp_params]]</f>
        <v>11434</v>
      </c>
      <c r="Z315">
        <f>IF((LEN(Wine_pres_final[[#This Row],[kan_width]])-LEN(SUBSTITUTE(Wine_pres_final[[#This Row],[kan_width]]," ","")))&gt;2,Wine_pres_final[[#This Row],[kan_test_acc]],"")</f>
        <v>0.82037037859360384</v>
      </c>
      <c r="AA315" t="str">
        <f>IF((LEN(Wine_pres_final[[#This Row],[kan_width]])-LEN(SUBSTITUTE(Wine_pres_final[[#This Row],[kan_width]]," ","")))&gt;2,"",Wine_pres_final[[#This Row],[kan_test_acc]])</f>
        <v/>
      </c>
      <c r="AB315">
        <f>Wine_pres_final[[#This Row],[mlp_test_acc]]</f>
        <v>0.69259259259259265</v>
      </c>
      <c r="AC315">
        <f>Wine_pres_final[[#This Row],[mlp_test_acc2]]</f>
        <v>0.687037037037037</v>
      </c>
    </row>
    <row r="316" spans="1:29" hidden="1" x14ac:dyDescent="0.25">
      <c r="A316" t="s">
        <v>1336</v>
      </c>
      <c r="B316">
        <v>9</v>
      </c>
      <c r="C316">
        <v>2</v>
      </c>
      <c r="D316">
        <v>0</v>
      </c>
      <c r="E316" t="s">
        <v>1355</v>
      </c>
      <c r="F316">
        <v>5757</v>
      </c>
      <c r="G316">
        <v>7754990.583333333</v>
      </c>
      <c r="H316">
        <v>0.82037038107713067</v>
      </c>
      <c r="I316">
        <v>0.65925925925925921</v>
      </c>
      <c r="J316">
        <v>376572.66666666663</v>
      </c>
      <c r="K316">
        <v>7584</v>
      </c>
      <c r="L316">
        <v>2</v>
      </c>
      <c r="M316">
        <v>57</v>
      </c>
      <c r="N316">
        <v>0.7407407407407407</v>
      </c>
      <c r="O316">
        <v>361772.16666666663</v>
      </c>
      <c r="P316">
        <v>7833</v>
      </c>
      <c r="Q316">
        <v>2</v>
      </c>
      <c r="R316">
        <v>58</v>
      </c>
      <c r="S316" t="s">
        <v>1796</v>
      </c>
      <c r="Y316">
        <f>Wine_pres_final[[#This Row],[mlp_params]]</f>
        <v>7584</v>
      </c>
      <c r="Z316">
        <f>IF((LEN(Wine_pres_final[[#This Row],[kan_width]])-LEN(SUBSTITUTE(Wine_pres_final[[#This Row],[kan_width]]," ","")))&gt;2,Wine_pres_final[[#This Row],[kan_test_acc]],"")</f>
        <v>0.82037038107713067</v>
      </c>
      <c r="AA316" t="str">
        <f>IF((LEN(Wine_pres_final[[#This Row],[kan_width]])-LEN(SUBSTITUTE(Wine_pres_final[[#This Row],[kan_width]]," ","")))&gt;2,"",Wine_pres_final[[#This Row],[kan_test_acc]])</f>
        <v/>
      </c>
      <c r="AB316">
        <f>Wine_pres_final[[#This Row],[mlp_test_acc]]</f>
        <v>0.65925925925925921</v>
      </c>
      <c r="AC316">
        <f>Wine_pres_final[[#This Row],[mlp_test_acc2]]</f>
        <v>0.7407407407407407</v>
      </c>
    </row>
    <row r="317" spans="1:29" hidden="1" x14ac:dyDescent="0.25">
      <c r="A317" t="s">
        <v>1336</v>
      </c>
      <c r="B317">
        <v>3</v>
      </c>
      <c r="C317">
        <v>5</v>
      </c>
      <c r="D317">
        <v>0</v>
      </c>
      <c r="E317" t="s">
        <v>1373</v>
      </c>
      <c r="F317">
        <v>5546</v>
      </c>
      <c r="G317">
        <v>23467020.833333332</v>
      </c>
      <c r="H317">
        <v>0.82222223033507658</v>
      </c>
      <c r="I317">
        <v>0.69444444444444442</v>
      </c>
      <c r="J317">
        <v>2199321.5</v>
      </c>
      <c r="K317">
        <v>10836</v>
      </c>
      <c r="L317">
        <v>2</v>
      </c>
      <c r="M317">
        <v>69</v>
      </c>
      <c r="N317">
        <v>0.70185185185185184</v>
      </c>
      <c r="O317">
        <v>1154234.3333333335</v>
      </c>
      <c r="P317">
        <v>11133</v>
      </c>
      <c r="Q317">
        <v>2</v>
      </c>
      <c r="R317">
        <v>70</v>
      </c>
      <c r="S317" t="s">
        <v>1555</v>
      </c>
      <c r="Y317">
        <f>Wine_pres_final[[#This Row],[mlp_params]]</f>
        <v>10836</v>
      </c>
      <c r="Z317">
        <f>IF((LEN(Wine_pres_final[[#This Row],[kan_width]])-LEN(SUBSTITUTE(Wine_pres_final[[#This Row],[kan_width]]," ","")))&gt;2,Wine_pres_final[[#This Row],[kan_test_acc]],"")</f>
        <v>0.82222223033507658</v>
      </c>
      <c r="AA317" t="str">
        <f>IF((LEN(Wine_pres_final[[#This Row],[kan_width]])-LEN(SUBSTITUTE(Wine_pres_final[[#This Row],[kan_width]]," ","")))&gt;2,"",Wine_pres_final[[#This Row],[kan_test_acc]])</f>
        <v/>
      </c>
      <c r="AB317">
        <f>Wine_pres_final[[#This Row],[mlp_test_acc]]</f>
        <v>0.69444444444444442</v>
      </c>
      <c r="AC317">
        <f>Wine_pres_final[[#This Row],[mlp_test_acc2]]</f>
        <v>0.70185185185185184</v>
      </c>
    </row>
    <row r="318" spans="1:29" hidden="1" x14ac:dyDescent="0.25">
      <c r="A318" t="s">
        <v>1336</v>
      </c>
      <c r="B318">
        <v>5</v>
      </c>
      <c r="C318">
        <v>3</v>
      </c>
      <c r="D318">
        <v>0</v>
      </c>
      <c r="E318" t="s">
        <v>1369</v>
      </c>
      <c r="F318">
        <v>4750</v>
      </c>
      <c r="G318">
        <v>13714219.833333332</v>
      </c>
      <c r="H318">
        <v>0.82222223281860352</v>
      </c>
      <c r="I318">
        <v>0.68518518518518512</v>
      </c>
      <c r="J318">
        <v>4087123.5</v>
      </c>
      <c r="K318">
        <v>7584</v>
      </c>
      <c r="L318">
        <v>2</v>
      </c>
      <c r="M318">
        <v>57</v>
      </c>
      <c r="N318">
        <v>0.70555555555555549</v>
      </c>
      <c r="O318">
        <v>3070096.583333333</v>
      </c>
      <c r="P318">
        <v>7833</v>
      </c>
      <c r="Q318">
        <v>2</v>
      </c>
      <c r="R318">
        <v>58</v>
      </c>
      <c r="S318" t="s">
        <v>1653</v>
      </c>
      <c r="Y318">
        <f>Wine_pres_final[[#This Row],[mlp_params]]</f>
        <v>7584</v>
      </c>
      <c r="Z318">
        <f>IF((LEN(Wine_pres_final[[#This Row],[kan_width]])-LEN(SUBSTITUTE(Wine_pres_final[[#This Row],[kan_width]]," ","")))&gt;2,Wine_pres_final[[#This Row],[kan_test_acc]],"")</f>
        <v>0.82222223281860352</v>
      </c>
      <c r="AA318" t="str">
        <f>IF((LEN(Wine_pres_final[[#This Row],[kan_width]])-LEN(SUBSTITUTE(Wine_pres_final[[#This Row],[kan_width]]," ","")))&gt;2,"",Wine_pres_final[[#This Row],[kan_test_acc]])</f>
        <v/>
      </c>
      <c r="AB318">
        <f>Wine_pres_final[[#This Row],[mlp_test_acc]]</f>
        <v>0.68518518518518512</v>
      </c>
      <c r="AC318">
        <f>Wine_pres_final[[#This Row],[mlp_test_acc2]]</f>
        <v>0.70555555555555549</v>
      </c>
    </row>
    <row r="319" spans="1:29" hidden="1" x14ac:dyDescent="0.25">
      <c r="A319" t="s">
        <v>1336</v>
      </c>
      <c r="B319">
        <v>3</v>
      </c>
      <c r="C319">
        <v>4</v>
      </c>
      <c r="D319">
        <v>0</v>
      </c>
      <c r="E319" t="s">
        <v>1361</v>
      </c>
      <c r="F319">
        <v>5087</v>
      </c>
      <c r="G319">
        <v>15334652.083333334</v>
      </c>
      <c r="H319">
        <v>0.82222223281860352</v>
      </c>
      <c r="I319">
        <v>0.66666666666666663</v>
      </c>
      <c r="J319">
        <v>479359.25</v>
      </c>
      <c r="K319">
        <v>9411</v>
      </c>
      <c r="L319">
        <v>2</v>
      </c>
      <c r="M319">
        <v>64</v>
      </c>
      <c r="N319">
        <v>0.63148148148148153</v>
      </c>
      <c r="O319">
        <v>2732755.5</v>
      </c>
      <c r="P319">
        <v>9688</v>
      </c>
      <c r="Q319">
        <v>2</v>
      </c>
      <c r="R319">
        <v>65</v>
      </c>
      <c r="S319" t="s">
        <v>1499</v>
      </c>
      <c r="Y319">
        <f>Wine_pres_final[[#This Row],[mlp_params]]</f>
        <v>9411</v>
      </c>
      <c r="Z319">
        <f>IF((LEN(Wine_pres_final[[#This Row],[kan_width]])-LEN(SUBSTITUTE(Wine_pres_final[[#This Row],[kan_width]]," ","")))&gt;2,Wine_pres_final[[#This Row],[kan_test_acc]],"")</f>
        <v>0.82222223281860352</v>
      </c>
      <c r="AA319" t="str">
        <f>IF((LEN(Wine_pres_final[[#This Row],[kan_width]])-LEN(SUBSTITUTE(Wine_pres_final[[#This Row],[kan_width]]," ","")))&gt;2,"",Wine_pres_final[[#This Row],[kan_test_acc]])</f>
        <v/>
      </c>
      <c r="AB319">
        <f>Wine_pres_final[[#This Row],[mlp_test_acc]]</f>
        <v>0.66666666666666663</v>
      </c>
      <c r="AC319">
        <f>Wine_pres_final[[#This Row],[mlp_test_acc2]]</f>
        <v>0.63148148148148153</v>
      </c>
    </row>
    <row r="320" spans="1:29" hidden="1" x14ac:dyDescent="0.25">
      <c r="A320" t="s">
        <v>1336</v>
      </c>
      <c r="B320">
        <v>3</v>
      </c>
      <c r="C320">
        <v>4</v>
      </c>
      <c r="D320">
        <v>0</v>
      </c>
      <c r="E320" t="s">
        <v>1389</v>
      </c>
      <c r="F320">
        <v>5647</v>
      </c>
      <c r="G320">
        <v>12648031.083333334</v>
      </c>
      <c r="H320">
        <v>0.82222223281860352</v>
      </c>
      <c r="I320">
        <v>0.68333333333333335</v>
      </c>
      <c r="J320">
        <v>1438366.8333333333</v>
      </c>
      <c r="K320">
        <v>10543</v>
      </c>
      <c r="L320">
        <v>2</v>
      </c>
      <c r="M320">
        <v>68</v>
      </c>
      <c r="N320">
        <v>0.67777777777777781</v>
      </c>
      <c r="O320">
        <v>935322.91666666663</v>
      </c>
      <c r="P320">
        <v>10836</v>
      </c>
      <c r="Q320">
        <v>2</v>
      </c>
      <c r="R320">
        <v>69</v>
      </c>
      <c r="S320" t="s">
        <v>1513</v>
      </c>
      <c r="Y320">
        <f>Wine_pres_final[[#This Row],[mlp_params]]</f>
        <v>10543</v>
      </c>
      <c r="Z320">
        <f>IF((LEN(Wine_pres_final[[#This Row],[kan_width]])-LEN(SUBSTITUTE(Wine_pres_final[[#This Row],[kan_width]]," ","")))&gt;2,Wine_pres_final[[#This Row],[kan_test_acc]],"")</f>
        <v>0.82222223281860352</v>
      </c>
      <c r="AA320" t="str">
        <f>IF((LEN(Wine_pres_final[[#This Row],[kan_width]])-LEN(SUBSTITUTE(Wine_pres_final[[#This Row],[kan_width]]," ","")))&gt;2,"",Wine_pres_final[[#This Row],[kan_test_acc]])</f>
        <v/>
      </c>
      <c r="AB320">
        <f>Wine_pres_final[[#This Row],[mlp_test_acc]]</f>
        <v>0.68333333333333335</v>
      </c>
      <c r="AC320">
        <f>Wine_pres_final[[#This Row],[mlp_test_acc2]]</f>
        <v>0.67777777777777781</v>
      </c>
    </row>
    <row r="321" spans="1:29" hidden="1" x14ac:dyDescent="0.25">
      <c r="A321" t="s">
        <v>1336</v>
      </c>
      <c r="B321">
        <v>9</v>
      </c>
      <c r="C321">
        <v>2</v>
      </c>
      <c r="D321">
        <v>0</v>
      </c>
      <c r="E321" t="s">
        <v>1395</v>
      </c>
      <c r="F321">
        <v>9577</v>
      </c>
      <c r="G321">
        <v>10290558.166666668</v>
      </c>
      <c r="H321">
        <v>0.82222223281860352</v>
      </c>
      <c r="I321">
        <v>0.7</v>
      </c>
      <c r="J321">
        <v>6238675.833333334</v>
      </c>
      <c r="K321">
        <v>12678</v>
      </c>
      <c r="L321">
        <v>2</v>
      </c>
      <c r="M321">
        <v>75</v>
      </c>
      <c r="N321">
        <v>0.70740740740740737</v>
      </c>
      <c r="O321">
        <v>2700090.833333333</v>
      </c>
      <c r="P321">
        <v>12999</v>
      </c>
      <c r="Q321">
        <v>2</v>
      </c>
      <c r="R321">
        <v>76</v>
      </c>
      <c r="S321" t="s">
        <v>1816</v>
      </c>
      <c r="Y321">
        <f>Wine_pres_final[[#This Row],[mlp_params]]</f>
        <v>12678</v>
      </c>
      <c r="Z321">
        <f>IF((LEN(Wine_pres_final[[#This Row],[kan_width]])-LEN(SUBSTITUTE(Wine_pres_final[[#This Row],[kan_width]]," ","")))&gt;2,Wine_pres_final[[#This Row],[kan_test_acc]],"")</f>
        <v>0.82222223281860352</v>
      </c>
      <c r="AA321" t="str">
        <f>IF((LEN(Wine_pres_final[[#This Row],[kan_width]])-LEN(SUBSTITUTE(Wine_pres_final[[#This Row],[kan_width]]," ","")))&gt;2,"",Wine_pres_final[[#This Row],[kan_test_acc]])</f>
        <v/>
      </c>
      <c r="AB321">
        <f>Wine_pres_final[[#This Row],[mlp_test_acc]]</f>
        <v>0.7</v>
      </c>
      <c r="AC321">
        <f>Wine_pres_final[[#This Row],[mlp_test_acc2]]</f>
        <v>0.70740740740740737</v>
      </c>
    </row>
    <row r="322" spans="1:29" hidden="1" x14ac:dyDescent="0.25">
      <c r="A322" t="s">
        <v>1336</v>
      </c>
      <c r="B322">
        <v>3</v>
      </c>
      <c r="C322">
        <v>4</v>
      </c>
      <c r="D322">
        <v>0</v>
      </c>
      <c r="E322" t="s">
        <v>1419</v>
      </c>
      <c r="F322">
        <v>6369</v>
      </c>
      <c r="G322">
        <v>17353561.166666668</v>
      </c>
      <c r="H322">
        <v>0.82407408456007636</v>
      </c>
      <c r="I322">
        <v>0.67222222222222228</v>
      </c>
      <c r="J322">
        <v>1462016.75</v>
      </c>
      <c r="K322">
        <v>12048</v>
      </c>
      <c r="L322">
        <v>2</v>
      </c>
      <c r="M322">
        <v>73</v>
      </c>
      <c r="N322">
        <v>0.7</v>
      </c>
      <c r="O322">
        <v>712904</v>
      </c>
      <c r="P322">
        <v>12361</v>
      </c>
      <c r="Q322">
        <v>2</v>
      </c>
      <c r="R322">
        <v>74</v>
      </c>
      <c r="S322" t="s">
        <v>1528</v>
      </c>
      <c r="Y322">
        <f>Wine_pres_final[[#This Row],[mlp_params]]</f>
        <v>12048</v>
      </c>
      <c r="Z322">
        <f>IF((LEN(Wine_pres_final[[#This Row],[kan_width]])-LEN(SUBSTITUTE(Wine_pres_final[[#This Row],[kan_width]]," ","")))&gt;2,Wine_pres_final[[#This Row],[kan_test_acc]],"")</f>
        <v>0.82407408456007636</v>
      </c>
      <c r="AA322" t="str">
        <f>IF((LEN(Wine_pres_final[[#This Row],[kan_width]])-LEN(SUBSTITUTE(Wine_pres_final[[#This Row],[kan_width]]," ","")))&gt;2,"",Wine_pres_final[[#This Row],[kan_test_acc]])</f>
        <v/>
      </c>
      <c r="AB322">
        <f>Wine_pres_final[[#This Row],[mlp_test_acc]]</f>
        <v>0.67222222222222228</v>
      </c>
      <c r="AC322">
        <f>Wine_pres_final[[#This Row],[mlp_test_acc2]]</f>
        <v>0.7</v>
      </c>
    </row>
    <row r="323" spans="1:29" hidden="1" x14ac:dyDescent="0.25">
      <c r="A323" t="s">
        <v>1336</v>
      </c>
      <c r="B323">
        <v>5</v>
      </c>
      <c r="C323">
        <v>4</v>
      </c>
      <c r="D323">
        <v>0</v>
      </c>
      <c r="E323" t="s">
        <v>1353</v>
      </c>
      <c r="F323">
        <v>4553</v>
      </c>
      <c r="G323">
        <v>9591038.75</v>
      </c>
      <c r="H323">
        <v>0.82407408456007647</v>
      </c>
      <c r="I323">
        <v>0.67962962962962958</v>
      </c>
      <c r="J323">
        <v>411734.5</v>
      </c>
      <c r="K323">
        <v>7833</v>
      </c>
      <c r="L323">
        <v>2</v>
      </c>
      <c r="M323">
        <v>58</v>
      </c>
      <c r="N323">
        <v>0.66111111111111109</v>
      </c>
      <c r="O323">
        <v>2562170.6666666665</v>
      </c>
      <c r="P323">
        <v>8086</v>
      </c>
      <c r="Q323">
        <v>2</v>
      </c>
      <c r="R323">
        <v>59</v>
      </c>
      <c r="S323" t="s">
        <v>1695</v>
      </c>
      <c r="Y323">
        <f>Wine_pres_final[[#This Row],[mlp_params]]</f>
        <v>7833</v>
      </c>
      <c r="Z323">
        <f>IF((LEN(Wine_pres_final[[#This Row],[kan_width]])-LEN(SUBSTITUTE(Wine_pres_final[[#This Row],[kan_width]]," ","")))&gt;2,Wine_pres_final[[#This Row],[kan_test_acc]],"")</f>
        <v>0.82407408456007647</v>
      </c>
      <c r="AA323" t="str">
        <f>IF((LEN(Wine_pres_final[[#This Row],[kan_width]])-LEN(SUBSTITUTE(Wine_pres_final[[#This Row],[kan_width]]," ","")))&gt;2,"",Wine_pres_final[[#This Row],[kan_test_acc]])</f>
        <v/>
      </c>
      <c r="AB323">
        <f>Wine_pres_final[[#This Row],[mlp_test_acc]]</f>
        <v>0.67962962962962958</v>
      </c>
      <c r="AC323">
        <f>Wine_pres_final[[#This Row],[mlp_test_acc2]]</f>
        <v>0.66111111111111109</v>
      </c>
    </row>
    <row r="324" spans="1:29" hidden="1" x14ac:dyDescent="0.25">
      <c r="A324" t="s">
        <v>1336</v>
      </c>
      <c r="B324">
        <v>5</v>
      </c>
      <c r="C324">
        <v>3</v>
      </c>
      <c r="D324">
        <v>0</v>
      </c>
      <c r="E324" t="s">
        <v>1429</v>
      </c>
      <c r="F324">
        <v>9652</v>
      </c>
      <c r="G324">
        <v>22337392.916666668</v>
      </c>
      <c r="H324">
        <v>0.82592593381802248</v>
      </c>
      <c r="I324">
        <v>0.67222222222222228</v>
      </c>
      <c r="J324">
        <v>5629504.583333334</v>
      </c>
      <c r="K324">
        <v>15711</v>
      </c>
      <c r="L324">
        <v>2</v>
      </c>
      <c r="M324">
        <v>84</v>
      </c>
      <c r="N324">
        <v>0.67037037037037039</v>
      </c>
      <c r="O324">
        <v>2213534.833333333</v>
      </c>
      <c r="P324">
        <v>16068</v>
      </c>
      <c r="Q324">
        <v>2</v>
      </c>
      <c r="R324">
        <v>85</v>
      </c>
      <c r="S324" t="s">
        <v>1683</v>
      </c>
      <c r="Y324">
        <f>Wine_pres_final[[#This Row],[mlp_params]]</f>
        <v>15711</v>
      </c>
      <c r="Z324">
        <f>IF((LEN(Wine_pres_final[[#This Row],[kan_width]])-LEN(SUBSTITUTE(Wine_pres_final[[#This Row],[kan_width]]," ","")))&gt;2,Wine_pres_final[[#This Row],[kan_test_acc]],"")</f>
        <v>0.82592593381802248</v>
      </c>
      <c r="AA324" t="str">
        <f>IF((LEN(Wine_pres_final[[#This Row],[kan_width]])-LEN(SUBSTITUTE(Wine_pres_final[[#This Row],[kan_width]]," ","")))&gt;2,"",Wine_pres_final[[#This Row],[kan_test_acc]])</f>
        <v/>
      </c>
      <c r="AB324">
        <f>Wine_pres_final[[#This Row],[mlp_test_acc]]</f>
        <v>0.67222222222222228</v>
      </c>
      <c r="AC324">
        <f>Wine_pres_final[[#This Row],[mlp_test_acc2]]</f>
        <v>0.67037037037037039</v>
      </c>
    </row>
    <row r="325" spans="1:29" x14ac:dyDescent="0.25">
      <c r="A325" t="s">
        <v>1336</v>
      </c>
      <c r="B325">
        <v>9</v>
      </c>
      <c r="C325">
        <v>5</v>
      </c>
      <c r="D325">
        <v>0</v>
      </c>
      <c r="E325" t="s">
        <v>1399</v>
      </c>
      <c r="F325">
        <v>12984</v>
      </c>
      <c r="G325">
        <v>12985173.416666668</v>
      </c>
      <c r="H325">
        <v>0.55925927311182022</v>
      </c>
      <c r="I325">
        <v>0.70370370370370372</v>
      </c>
      <c r="J325">
        <v>7501625.5</v>
      </c>
      <c r="K325">
        <v>21073</v>
      </c>
      <c r="L325">
        <v>2</v>
      </c>
      <c r="M325">
        <v>98</v>
      </c>
      <c r="N325">
        <v>0.70370370370370372</v>
      </c>
      <c r="O325">
        <v>8856361.9166666679</v>
      </c>
      <c r="P325">
        <v>21486</v>
      </c>
      <c r="Q325">
        <v>2</v>
      </c>
      <c r="R325">
        <v>99</v>
      </c>
      <c r="S325" t="s">
        <v>1968</v>
      </c>
      <c r="Y325">
        <f>Wine_pres_final[[#This Row],[mlp_params]]</f>
        <v>21073</v>
      </c>
      <c r="Z325">
        <f>IF((LEN(Wine_pres_final[[#This Row],[kan_width]])-LEN(SUBSTITUTE(Wine_pres_final[[#This Row],[kan_width]]," ","")))&gt;2,Wine_pres_final[[#This Row],[kan_test_acc]],"")</f>
        <v>0.55925927311182022</v>
      </c>
      <c r="AA325" t="str">
        <f>IF((LEN(Wine_pres_final[[#This Row],[kan_width]])-LEN(SUBSTITUTE(Wine_pres_final[[#This Row],[kan_width]]," ","")))&gt;2,"",Wine_pres_final[[#This Row],[kan_test_acc]])</f>
        <v/>
      </c>
      <c r="AB325">
        <f>Wine_pres_final[[#This Row],[mlp_test_acc]]</f>
        <v>0.70370370370370372</v>
      </c>
      <c r="AC325">
        <f>Wine_pres_final[[#This Row],[mlp_test_acc2]]</f>
        <v>0.70370370370370372</v>
      </c>
    </row>
    <row r="326" spans="1:29" hidden="1" x14ac:dyDescent="0.25">
      <c r="A326" t="s">
        <v>1336</v>
      </c>
      <c r="B326">
        <v>9</v>
      </c>
      <c r="C326">
        <v>2</v>
      </c>
      <c r="D326">
        <v>0</v>
      </c>
      <c r="E326" t="s">
        <v>1391</v>
      </c>
      <c r="F326">
        <v>8453</v>
      </c>
      <c r="G326">
        <v>8491126.583333334</v>
      </c>
      <c r="H326">
        <v>0.82592593630154931</v>
      </c>
      <c r="I326">
        <v>0.65740740740740744</v>
      </c>
      <c r="J326">
        <v>6326871.5</v>
      </c>
      <c r="K326">
        <v>11434</v>
      </c>
      <c r="L326">
        <v>2</v>
      </c>
      <c r="M326">
        <v>71</v>
      </c>
      <c r="N326">
        <v>0.66296296296296298</v>
      </c>
      <c r="O326">
        <v>3613074.833333333</v>
      </c>
      <c r="P326">
        <v>11739</v>
      </c>
      <c r="Q326">
        <v>2</v>
      </c>
      <c r="R326">
        <v>72</v>
      </c>
      <c r="S326" t="s">
        <v>1814</v>
      </c>
      <c r="Y326">
        <f>Wine_pres_final[[#This Row],[mlp_params]]</f>
        <v>11434</v>
      </c>
      <c r="Z326">
        <f>IF((LEN(Wine_pres_final[[#This Row],[kan_width]])-LEN(SUBSTITUTE(Wine_pres_final[[#This Row],[kan_width]]," ","")))&gt;2,Wine_pres_final[[#This Row],[kan_test_acc]],"")</f>
        <v>0.82592593630154931</v>
      </c>
      <c r="AA326" t="str">
        <f>IF((LEN(Wine_pres_final[[#This Row],[kan_width]])-LEN(SUBSTITUTE(Wine_pres_final[[#This Row],[kan_width]]," ","")))&gt;2,"",Wine_pres_final[[#This Row],[kan_test_acc]])</f>
        <v/>
      </c>
      <c r="AB326">
        <f>Wine_pres_final[[#This Row],[mlp_test_acc]]</f>
        <v>0.65740740740740744</v>
      </c>
      <c r="AC326">
        <f>Wine_pres_final[[#This Row],[mlp_test_acc2]]</f>
        <v>0.66296296296296298</v>
      </c>
    </row>
    <row r="327" spans="1:29" hidden="1" x14ac:dyDescent="0.25">
      <c r="A327" t="s">
        <v>1336</v>
      </c>
      <c r="B327">
        <v>5</v>
      </c>
      <c r="C327">
        <v>2</v>
      </c>
      <c r="D327">
        <v>0</v>
      </c>
      <c r="E327" t="s">
        <v>1403</v>
      </c>
      <c r="F327">
        <v>5807</v>
      </c>
      <c r="G327">
        <v>10774219</v>
      </c>
      <c r="H327">
        <v>0.82777778555949522</v>
      </c>
      <c r="I327">
        <v>0.68333333333333335</v>
      </c>
      <c r="J327">
        <v>2786925.25</v>
      </c>
      <c r="K327">
        <v>8604</v>
      </c>
      <c r="L327">
        <v>2</v>
      </c>
      <c r="M327">
        <v>61</v>
      </c>
      <c r="N327">
        <v>0.69814814814814818</v>
      </c>
      <c r="O327">
        <v>1877725.9166666667</v>
      </c>
      <c r="P327">
        <v>8869</v>
      </c>
      <c r="Q327">
        <v>2</v>
      </c>
      <c r="R327">
        <v>62</v>
      </c>
      <c r="S327" t="s">
        <v>1620</v>
      </c>
      <c r="Y327">
        <f>Wine_pres_final[[#This Row],[mlp_params]]</f>
        <v>8604</v>
      </c>
      <c r="Z327">
        <f>IF((LEN(Wine_pres_final[[#This Row],[kan_width]])-LEN(SUBSTITUTE(Wine_pres_final[[#This Row],[kan_width]]," ","")))&gt;2,Wine_pres_final[[#This Row],[kan_test_acc]],"")</f>
        <v>0.82777778555949522</v>
      </c>
      <c r="AA327" t="str">
        <f>IF((LEN(Wine_pres_final[[#This Row],[kan_width]])-LEN(SUBSTITUTE(Wine_pres_final[[#This Row],[kan_width]]," ","")))&gt;2,"",Wine_pres_final[[#This Row],[kan_test_acc]])</f>
        <v/>
      </c>
      <c r="AB327">
        <f>Wine_pres_final[[#This Row],[mlp_test_acc]]</f>
        <v>0.68333333333333335</v>
      </c>
      <c r="AC327">
        <f>Wine_pres_final[[#This Row],[mlp_test_acc2]]</f>
        <v>0.69814814814814818</v>
      </c>
    </row>
    <row r="328" spans="1:29" hidden="1" x14ac:dyDescent="0.25">
      <c r="A328" t="s">
        <v>1336</v>
      </c>
      <c r="B328">
        <v>9</v>
      </c>
      <c r="C328">
        <v>4</v>
      </c>
      <c r="D328">
        <v>0</v>
      </c>
      <c r="E328" t="s">
        <v>1435</v>
      </c>
      <c r="F328">
        <v>2830</v>
      </c>
      <c r="G328">
        <v>7931908.333333334</v>
      </c>
      <c r="H328">
        <v>0.82777778804302216</v>
      </c>
      <c r="I328">
        <v>0.61111111111111116</v>
      </c>
      <c r="J328">
        <v>9168669.333333334</v>
      </c>
      <c r="K328">
        <v>4329</v>
      </c>
      <c r="L328">
        <v>2</v>
      </c>
      <c r="M328">
        <v>42</v>
      </c>
      <c r="N328">
        <v>0.72222222222222221</v>
      </c>
      <c r="O328">
        <v>9212554.916666666</v>
      </c>
      <c r="P328">
        <v>4518</v>
      </c>
      <c r="Q328">
        <v>2</v>
      </c>
      <c r="R328">
        <v>43</v>
      </c>
      <c r="S328" t="s">
        <v>1886</v>
      </c>
      <c r="Y328">
        <f>Wine_pres_final[[#This Row],[mlp_params]]</f>
        <v>4329</v>
      </c>
      <c r="Z328" t="str">
        <f>IF((LEN(Wine_pres_final[[#This Row],[kan_width]])-LEN(SUBSTITUTE(Wine_pres_final[[#This Row],[kan_width]]," ","")))&gt;2,Wine_pres_final[[#This Row],[kan_test_acc]],"")</f>
        <v/>
      </c>
      <c r="AA328">
        <f>IF((LEN(Wine_pres_final[[#This Row],[kan_width]])-LEN(SUBSTITUTE(Wine_pres_final[[#This Row],[kan_width]]," ","")))&gt;2,"",Wine_pres_final[[#This Row],[kan_test_acc]])</f>
        <v>0.82777778804302216</v>
      </c>
      <c r="AB328">
        <f>Wine_pres_final[[#This Row],[mlp_test_acc]]</f>
        <v>0.61111111111111116</v>
      </c>
      <c r="AC328">
        <f>Wine_pres_final[[#This Row],[mlp_test_acc2]]</f>
        <v>0.72222222222222221</v>
      </c>
    </row>
    <row r="329" spans="1:29" hidden="1" x14ac:dyDescent="0.25">
      <c r="A329" t="s">
        <v>1336</v>
      </c>
      <c r="B329">
        <v>9</v>
      </c>
      <c r="C329">
        <v>2</v>
      </c>
      <c r="D329">
        <v>0</v>
      </c>
      <c r="E329" t="s">
        <v>1381</v>
      </c>
      <c r="F329">
        <v>9073</v>
      </c>
      <c r="G329">
        <v>9500613</v>
      </c>
      <c r="H329">
        <v>0.82777778804302216</v>
      </c>
      <c r="I329">
        <v>0.68888888888888888</v>
      </c>
      <c r="J329">
        <v>5903365</v>
      </c>
      <c r="K329">
        <v>12048</v>
      </c>
      <c r="L329">
        <v>2</v>
      </c>
      <c r="M329">
        <v>73</v>
      </c>
      <c r="N329">
        <v>0.70555555555555549</v>
      </c>
      <c r="O329">
        <v>2719254.5</v>
      </c>
      <c r="P329">
        <v>12361</v>
      </c>
      <c r="Q329">
        <v>2</v>
      </c>
      <c r="R329">
        <v>74</v>
      </c>
      <c r="S329" t="s">
        <v>1809</v>
      </c>
      <c r="Y329">
        <f>Wine_pres_final[[#This Row],[mlp_params]]</f>
        <v>12048</v>
      </c>
      <c r="Z329">
        <f>IF((LEN(Wine_pres_final[[#This Row],[kan_width]])-LEN(SUBSTITUTE(Wine_pres_final[[#This Row],[kan_width]]," ","")))&gt;2,Wine_pres_final[[#This Row],[kan_test_acc]],"")</f>
        <v>0.82777778804302216</v>
      </c>
      <c r="AA329" t="str">
        <f>IF((LEN(Wine_pres_final[[#This Row],[kan_width]])-LEN(SUBSTITUTE(Wine_pres_final[[#This Row],[kan_width]]," ","")))&gt;2,"",Wine_pres_final[[#This Row],[kan_test_acc]])</f>
        <v/>
      </c>
      <c r="AB329">
        <f>Wine_pres_final[[#This Row],[mlp_test_acc]]</f>
        <v>0.68888888888888888</v>
      </c>
      <c r="AC329">
        <f>Wine_pres_final[[#This Row],[mlp_test_acc2]]</f>
        <v>0.70555555555555549</v>
      </c>
    </row>
    <row r="330" spans="1:29" hidden="1" x14ac:dyDescent="0.25">
      <c r="A330" t="s">
        <v>1336</v>
      </c>
      <c r="B330">
        <v>3</v>
      </c>
      <c r="C330">
        <v>5</v>
      </c>
      <c r="D330">
        <v>0</v>
      </c>
      <c r="E330" t="s">
        <v>1433</v>
      </c>
      <c r="F330">
        <v>1596</v>
      </c>
      <c r="G330">
        <v>15775802.75</v>
      </c>
      <c r="H330">
        <v>0.82962963730096817</v>
      </c>
      <c r="I330">
        <v>0.68888888888888888</v>
      </c>
      <c r="J330">
        <v>1050442.75</v>
      </c>
      <c r="K330">
        <v>3118</v>
      </c>
      <c r="L330">
        <v>2</v>
      </c>
      <c r="M330">
        <v>35</v>
      </c>
      <c r="N330">
        <v>0.67037037037037028</v>
      </c>
      <c r="O330">
        <v>599946.58333333326</v>
      </c>
      <c r="P330">
        <v>3279</v>
      </c>
      <c r="Q330">
        <v>2</v>
      </c>
      <c r="R330">
        <v>36</v>
      </c>
      <c r="S330" t="s">
        <v>1535</v>
      </c>
      <c r="Y330">
        <f>Wine_pres_final[[#This Row],[mlp_params]]</f>
        <v>3118</v>
      </c>
      <c r="Z330" t="str">
        <f>IF((LEN(Wine_pres_final[[#This Row],[kan_width]])-LEN(SUBSTITUTE(Wine_pres_final[[#This Row],[kan_width]]," ","")))&gt;2,Wine_pres_final[[#This Row],[kan_test_acc]],"")</f>
        <v/>
      </c>
      <c r="AA330">
        <f>IF((LEN(Wine_pres_final[[#This Row],[kan_width]])-LEN(SUBSTITUTE(Wine_pres_final[[#This Row],[kan_width]]," ","")))&gt;2,"",Wine_pres_final[[#This Row],[kan_test_acc]])</f>
        <v>0.82962963730096817</v>
      </c>
      <c r="AB330">
        <f>Wine_pres_final[[#This Row],[mlp_test_acc]]</f>
        <v>0.68888888888888888</v>
      </c>
      <c r="AC330">
        <f>Wine_pres_final[[#This Row],[mlp_test_acc2]]</f>
        <v>0.67037037037037028</v>
      </c>
    </row>
    <row r="331" spans="1:29" hidden="1" x14ac:dyDescent="0.25">
      <c r="A331" t="s">
        <v>1336</v>
      </c>
      <c r="B331">
        <v>9</v>
      </c>
      <c r="C331">
        <v>2</v>
      </c>
      <c r="D331">
        <v>0</v>
      </c>
      <c r="E331" t="s">
        <v>1361</v>
      </c>
      <c r="F331">
        <v>7107</v>
      </c>
      <c r="G331">
        <v>8933176.083333334</v>
      </c>
      <c r="H331">
        <v>0.829629639784495</v>
      </c>
      <c r="I331">
        <v>0.66296296296296298</v>
      </c>
      <c r="J331">
        <v>495957.58333333337</v>
      </c>
      <c r="K331">
        <v>9411</v>
      </c>
      <c r="L331">
        <v>2</v>
      </c>
      <c r="M331">
        <v>64</v>
      </c>
      <c r="N331">
        <v>0.66481481481481475</v>
      </c>
      <c r="O331">
        <v>1541514.8333333333</v>
      </c>
      <c r="P331">
        <v>9688</v>
      </c>
      <c r="Q331">
        <v>2</v>
      </c>
      <c r="R331">
        <v>65</v>
      </c>
      <c r="S331" t="s">
        <v>1799</v>
      </c>
      <c r="Y331">
        <f>Wine_pres_final[[#This Row],[mlp_params]]</f>
        <v>9411</v>
      </c>
      <c r="Z331">
        <f>IF((LEN(Wine_pres_final[[#This Row],[kan_width]])-LEN(SUBSTITUTE(Wine_pres_final[[#This Row],[kan_width]]," ","")))&gt;2,Wine_pres_final[[#This Row],[kan_test_acc]],"")</f>
        <v>0.829629639784495</v>
      </c>
      <c r="AA331" t="str">
        <f>IF((LEN(Wine_pres_final[[#This Row],[kan_width]])-LEN(SUBSTITUTE(Wine_pres_final[[#This Row],[kan_width]]," ","")))&gt;2,"",Wine_pres_final[[#This Row],[kan_test_acc]])</f>
        <v/>
      </c>
      <c r="AB331">
        <f>Wine_pres_final[[#This Row],[mlp_test_acc]]</f>
        <v>0.66296296296296298</v>
      </c>
      <c r="AC331">
        <f>Wine_pres_final[[#This Row],[mlp_test_acc2]]</f>
        <v>0.66481481481481475</v>
      </c>
    </row>
    <row r="332" spans="1:29" x14ac:dyDescent="0.25">
      <c r="A332" t="s">
        <v>1336</v>
      </c>
      <c r="B332">
        <v>9</v>
      </c>
      <c r="C332">
        <v>5</v>
      </c>
      <c r="D332">
        <v>0</v>
      </c>
      <c r="E332" t="s">
        <v>1413</v>
      </c>
      <c r="F332">
        <v>13596</v>
      </c>
      <c r="G332">
        <v>11759788.797619049</v>
      </c>
      <c r="H332">
        <v>0.52354498988106135</v>
      </c>
      <c r="I332">
        <v>0.73544973544973546</v>
      </c>
      <c r="J332">
        <v>8049148.25</v>
      </c>
      <c r="K332">
        <v>22324</v>
      </c>
      <c r="L332">
        <v>2</v>
      </c>
      <c r="M332">
        <v>101</v>
      </c>
      <c r="N332">
        <v>0.732010582010582</v>
      </c>
      <c r="O332">
        <v>7775235.1190476194</v>
      </c>
      <c r="P332">
        <v>22749</v>
      </c>
      <c r="Q332">
        <v>2</v>
      </c>
      <c r="R332">
        <v>102</v>
      </c>
      <c r="S332" t="s">
        <v>1975</v>
      </c>
      <c r="Y332">
        <f>Wine_pres_final[[#This Row],[mlp_params]]</f>
        <v>22324</v>
      </c>
      <c r="Z332">
        <f>IF((LEN(Wine_pres_final[[#This Row],[kan_width]])-LEN(SUBSTITUTE(Wine_pres_final[[#This Row],[kan_width]]," ","")))&gt;2,Wine_pres_final[[#This Row],[kan_test_acc]],"")</f>
        <v>0.52354498988106135</v>
      </c>
      <c r="AA332" t="str">
        <f>IF((LEN(Wine_pres_final[[#This Row],[kan_width]])-LEN(SUBSTITUTE(Wine_pres_final[[#This Row],[kan_width]]," ","")))&gt;2,"",Wine_pres_final[[#This Row],[kan_test_acc]])</f>
        <v/>
      </c>
      <c r="AB332">
        <f>Wine_pres_final[[#This Row],[mlp_test_acc]]</f>
        <v>0.73544973544973546</v>
      </c>
      <c r="AC332">
        <f>Wine_pres_final[[#This Row],[mlp_test_acc2]]</f>
        <v>0.732010582010582</v>
      </c>
    </row>
    <row r="333" spans="1:29" hidden="1" x14ac:dyDescent="0.25">
      <c r="A333" t="s">
        <v>1336</v>
      </c>
      <c r="B333">
        <v>3</v>
      </c>
      <c r="C333">
        <v>4</v>
      </c>
      <c r="D333">
        <v>0</v>
      </c>
      <c r="E333" t="s">
        <v>1391</v>
      </c>
      <c r="F333">
        <v>6049</v>
      </c>
      <c r="G333">
        <v>13344687.416666668</v>
      </c>
      <c r="H333">
        <v>0.82962963978449511</v>
      </c>
      <c r="I333">
        <v>0.68148148148148147</v>
      </c>
      <c r="J333">
        <v>1368513.5833333333</v>
      </c>
      <c r="K333">
        <v>11434</v>
      </c>
      <c r="L333">
        <v>2</v>
      </c>
      <c r="M333">
        <v>71</v>
      </c>
      <c r="N333">
        <v>0.67777777777777781</v>
      </c>
      <c r="O333">
        <v>885742.25</v>
      </c>
      <c r="P333">
        <v>11739</v>
      </c>
      <c r="Q333">
        <v>2</v>
      </c>
      <c r="R333">
        <v>72</v>
      </c>
      <c r="S333" t="s">
        <v>1514</v>
      </c>
      <c r="Y333">
        <f>Wine_pres_final[[#This Row],[mlp_params]]</f>
        <v>11434</v>
      </c>
      <c r="Z333">
        <f>IF((LEN(Wine_pres_final[[#This Row],[kan_width]])-LEN(SUBSTITUTE(Wine_pres_final[[#This Row],[kan_width]]," ","")))&gt;2,Wine_pres_final[[#This Row],[kan_test_acc]],"")</f>
        <v>0.82962963978449511</v>
      </c>
      <c r="AA333" t="str">
        <f>IF((LEN(Wine_pres_final[[#This Row],[kan_width]])-LEN(SUBSTITUTE(Wine_pres_final[[#This Row],[kan_width]]," ","")))&gt;2,"",Wine_pres_final[[#This Row],[kan_test_acc]])</f>
        <v/>
      </c>
      <c r="AB333">
        <f>Wine_pres_final[[#This Row],[mlp_test_acc]]</f>
        <v>0.68148148148148147</v>
      </c>
      <c r="AC333">
        <f>Wine_pres_final[[#This Row],[mlp_test_acc2]]</f>
        <v>0.67777777777777781</v>
      </c>
    </row>
    <row r="334" spans="1:29" hidden="1" x14ac:dyDescent="0.25">
      <c r="A334" t="s">
        <v>1336</v>
      </c>
      <c r="B334">
        <v>5</v>
      </c>
      <c r="C334">
        <v>3</v>
      </c>
      <c r="D334">
        <v>0</v>
      </c>
      <c r="E334" t="s">
        <v>1355</v>
      </c>
      <c r="F334">
        <v>4530</v>
      </c>
      <c r="G334">
        <v>8331351.416666666</v>
      </c>
      <c r="H334">
        <v>0.83148149152596784</v>
      </c>
      <c r="I334">
        <v>0.71111111111111103</v>
      </c>
      <c r="J334">
        <v>400857.91666666663</v>
      </c>
      <c r="K334">
        <v>7339</v>
      </c>
      <c r="L334">
        <v>2</v>
      </c>
      <c r="M334">
        <v>56</v>
      </c>
      <c r="N334">
        <v>0.65555555555555556</v>
      </c>
      <c r="O334">
        <v>386417</v>
      </c>
      <c r="P334">
        <v>7584</v>
      </c>
      <c r="Q334">
        <v>2</v>
      </c>
      <c r="R334">
        <v>57</v>
      </c>
      <c r="S334" t="s">
        <v>1646</v>
      </c>
      <c r="Y334">
        <f>Wine_pres_final[[#This Row],[mlp_params]]</f>
        <v>7339</v>
      </c>
      <c r="Z334">
        <f>IF((LEN(Wine_pres_final[[#This Row],[kan_width]])-LEN(SUBSTITUTE(Wine_pres_final[[#This Row],[kan_width]]," ","")))&gt;2,Wine_pres_final[[#This Row],[kan_test_acc]],"")</f>
        <v>0.83148149152596784</v>
      </c>
      <c r="AA334" t="str">
        <f>IF((LEN(Wine_pres_final[[#This Row],[kan_width]])-LEN(SUBSTITUTE(Wine_pres_final[[#This Row],[kan_width]]," ","")))&gt;2,"",Wine_pres_final[[#This Row],[kan_test_acc]])</f>
        <v/>
      </c>
      <c r="AB334">
        <f>Wine_pres_final[[#This Row],[mlp_test_acc]]</f>
        <v>0.71111111111111103</v>
      </c>
      <c r="AC334">
        <f>Wine_pres_final[[#This Row],[mlp_test_acc2]]</f>
        <v>0.65555555555555556</v>
      </c>
    </row>
    <row r="335" spans="1:29" hidden="1" x14ac:dyDescent="0.25">
      <c r="A335" t="s">
        <v>1336</v>
      </c>
      <c r="B335">
        <v>3</v>
      </c>
      <c r="C335">
        <v>5</v>
      </c>
      <c r="D335">
        <v>0</v>
      </c>
      <c r="E335" t="s">
        <v>1365</v>
      </c>
      <c r="F335">
        <v>6300</v>
      </c>
      <c r="G335">
        <v>17336525.083333336</v>
      </c>
      <c r="H335">
        <v>0.83148149152596784</v>
      </c>
      <c r="I335">
        <v>0.67962962962962958</v>
      </c>
      <c r="J335">
        <v>3791019</v>
      </c>
      <c r="K335">
        <v>12361</v>
      </c>
      <c r="L335">
        <v>2</v>
      </c>
      <c r="M335">
        <v>74</v>
      </c>
      <c r="N335">
        <v>0.67592592592592593</v>
      </c>
      <c r="O335">
        <v>2769715.25</v>
      </c>
      <c r="P335">
        <v>12678</v>
      </c>
      <c r="Q335">
        <v>2</v>
      </c>
      <c r="R335">
        <v>75</v>
      </c>
      <c r="S335" t="s">
        <v>1551</v>
      </c>
      <c r="Y335">
        <f>Wine_pres_final[[#This Row],[mlp_params]]</f>
        <v>12361</v>
      </c>
      <c r="Z335">
        <f>IF((LEN(Wine_pres_final[[#This Row],[kan_width]])-LEN(SUBSTITUTE(Wine_pres_final[[#This Row],[kan_width]]," ","")))&gt;2,Wine_pres_final[[#This Row],[kan_test_acc]],"")</f>
        <v>0.83148149152596784</v>
      </c>
      <c r="AA335" t="str">
        <f>IF((LEN(Wine_pres_final[[#This Row],[kan_width]])-LEN(SUBSTITUTE(Wine_pres_final[[#This Row],[kan_width]]," ","")))&gt;2,"",Wine_pres_final[[#This Row],[kan_test_acc]])</f>
        <v/>
      </c>
      <c r="AB335">
        <f>Wine_pres_final[[#This Row],[mlp_test_acc]]</f>
        <v>0.67962962962962958</v>
      </c>
      <c r="AC335">
        <f>Wine_pres_final[[#This Row],[mlp_test_acc2]]</f>
        <v>0.67592592592592593</v>
      </c>
    </row>
    <row r="336" spans="1:29" hidden="1" x14ac:dyDescent="0.25">
      <c r="A336" t="s">
        <v>1336</v>
      </c>
      <c r="B336">
        <v>9</v>
      </c>
      <c r="C336">
        <v>2</v>
      </c>
      <c r="D336">
        <v>0</v>
      </c>
      <c r="E336" t="s">
        <v>1385</v>
      </c>
      <c r="F336">
        <v>6767</v>
      </c>
      <c r="G336">
        <v>9814133.6666666679</v>
      </c>
      <c r="H336">
        <v>0.83148149152596784</v>
      </c>
      <c r="I336">
        <v>0.65740740740740744</v>
      </c>
      <c r="J336">
        <v>5609043.5</v>
      </c>
      <c r="K336">
        <v>9138</v>
      </c>
      <c r="L336">
        <v>2</v>
      </c>
      <c r="M336">
        <v>63</v>
      </c>
      <c r="N336">
        <v>0.69814814814814818</v>
      </c>
      <c r="O336">
        <v>2732100.8333333335</v>
      </c>
      <c r="P336">
        <v>9411</v>
      </c>
      <c r="Q336">
        <v>2</v>
      </c>
      <c r="R336">
        <v>64</v>
      </c>
      <c r="S336" t="s">
        <v>1811</v>
      </c>
      <c r="Y336">
        <f>Wine_pres_final[[#This Row],[mlp_params]]</f>
        <v>9138</v>
      </c>
      <c r="Z336">
        <f>IF((LEN(Wine_pres_final[[#This Row],[kan_width]])-LEN(SUBSTITUTE(Wine_pres_final[[#This Row],[kan_width]]," ","")))&gt;2,Wine_pres_final[[#This Row],[kan_test_acc]],"")</f>
        <v>0.83148149152596784</v>
      </c>
      <c r="AA336" t="str">
        <f>IF((LEN(Wine_pres_final[[#This Row],[kan_width]])-LEN(SUBSTITUTE(Wine_pres_final[[#This Row],[kan_width]]," ","")))&gt;2,"",Wine_pres_final[[#This Row],[kan_test_acc]])</f>
        <v/>
      </c>
      <c r="AB336">
        <f>Wine_pres_final[[#This Row],[mlp_test_acc]]</f>
        <v>0.65740740740740744</v>
      </c>
      <c r="AC336">
        <f>Wine_pres_final[[#This Row],[mlp_test_acc2]]</f>
        <v>0.69814814814814818</v>
      </c>
    </row>
    <row r="337" spans="1:29" hidden="1" x14ac:dyDescent="0.25">
      <c r="A337" t="s">
        <v>1336</v>
      </c>
      <c r="B337">
        <v>5</v>
      </c>
      <c r="C337">
        <v>3</v>
      </c>
      <c r="D337">
        <v>0</v>
      </c>
      <c r="E337" t="s">
        <v>1419</v>
      </c>
      <c r="F337">
        <v>7002</v>
      </c>
      <c r="G337">
        <v>16806668.416666668</v>
      </c>
      <c r="H337">
        <v>0.83148149152596784</v>
      </c>
      <c r="I337">
        <v>0.6611111111111112</v>
      </c>
      <c r="J337">
        <v>4586172.666666666</v>
      </c>
      <c r="K337">
        <v>11133</v>
      </c>
      <c r="L337">
        <v>2</v>
      </c>
      <c r="M337">
        <v>70</v>
      </c>
      <c r="N337">
        <v>0.71666666666666656</v>
      </c>
      <c r="O337">
        <v>3224957</v>
      </c>
      <c r="P337">
        <v>11434</v>
      </c>
      <c r="Q337">
        <v>2</v>
      </c>
      <c r="R337">
        <v>71</v>
      </c>
      <c r="S337" t="s">
        <v>1678</v>
      </c>
      <c r="Y337">
        <f>Wine_pres_final[[#This Row],[mlp_params]]</f>
        <v>11133</v>
      </c>
      <c r="Z337">
        <f>IF((LEN(Wine_pres_final[[#This Row],[kan_width]])-LEN(SUBSTITUTE(Wine_pres_final[[#This Row],[kan_width]]," ","")))&gt;2,Wine_pres_final[[#This Row],[kan_test_acc]],"")</f>
        <v>0.83148149152596784</v>
      </c>
      <c r="AA337" t="str">
        <f>IF((LEN(Wine_pres_final[[#This Row],[kan_width]])-LEN(SUBSTITUTE(Wine_pres_final[[#This Row],[kan_width]]," ","")))&gt;2,"",Wine_pres_final[[#This Row],[kan_test_acc]])</f>
        <v/>
      </c>
      <c r="AB337">
        <f>Wine_pres_final[[#This Row],[mlp_test_acc]]</f>
        <v>0.6611111111111112</v>
      </c>
      <c r="AC337">
        <f>Wine_pres_final[[#This Row],[mlp_test_acc2]]</f>
        <v>0.71666666666666656</v>
      </c>
    </row>
    <row r="338" spans="1:29" hidden="1" x14ac:dyDescent="0.25">
      <c r="A338" t="s">
        <v>1336</v>
      </c>
      <c r="B338">
        <v>3</v>
      </c>
      <c r="C338">
        <v>4</v>
      </c>
      <c r="D338">
        <v>0</v>
      </c>
      <c r="E338" t="s">
        <v>1411</v>
      </c>
      <c r="F338">
        <v>7575</v>
      </c>
      <c r="G338">
        <v>15564038.5</v>
      </c>
      <c r="H338">
        <v>0.83148149152596795</v>
      </c>
      <c r="I338">
        <v>0.65925925925925921</v>
      </c>
      <c r="J338">
        <v>1696484.8333333333</v>
      </c>
      <c r="K338">
        <v>14323</v>
      </c>
      <c r="L338">
        <v>2</v>
      </c>
      <c r="M338">
        <v>80</v>
      </c>
      <c r="N338">
        <v>0.64074074074074072</v>
      </c>
      <c r="O338">
        <v>786511.08333333337</v>
      </c>
      <c r="P338">
        <v>14664</v>
      </c>
      <c r="Q338">
        <v>2</v>
      </c>
      <c r="R338">
        <v>81</v>
      </c>
      <c r="S338" t="s">
        <v>1524</v>
      </c>
      <c r="Y338">
        <f>Wine_pres_final[[#This Row],[mlp_params]]</f>
        <v>14323</v>
      </c>
      <c r="Z338">
        <f>IF((LEN(Wine_pres_final[[#This Row],[kan_width]])-LEN(SUBSTITUTE(Wine_pres_final[[#This Row],[kan_width]]," ","")))&gt;2,Wine_pres_final[[#This Row],[kan_test_acc]],"")</f>
        <v>0.83148149152596795</v>
      </c>
      <c r="AA338" t="str">
        <f>IF((LEN(Wine_pres_final[[#This Row],[kan_width]])-LEN(SUBSTITUTE(Wine_pres_final[[#This Row],[kan_width]]," ","")))&gt;2,"",Wine_pres_final[[#This Row],[kan_test_acc]])</f>
        <v/>
      </c>
      <c r="AB338">
        <f>Wine_pres_final[[#This Row],[mlp_test_acc]]</f>
        <v>0.65925925925925921</v>
      </c>
      <c r="AC338">
        <f>Wine_pres_final[[#This Row],[mlp_test_acc2]]</f>
        <v>0.64074074074074072</v>
      </c>
    </row>
    <row r="339" spans="1:29" hidden="1" x14ac:dyDescent="0.25">
      <c r="A339" t="s">
        <v>1336</v>
      </c>
      <c r="B339">
        <v>9</v>
      </c>
      <c r="C339">
        <v>2</v>
      </c>
      <c r="D339">
        <v>0</v>
      </c>
      <c r="E339" t="s">
        <v>1423</v>
      </c>
      <c r="F339">
        <v>10249</v>
      </c>
      <c r="G339">
        <v>12447945.416666668</v>
      </c>
      <c r="H339">
        <v>0.83148149152596795</v>
      </c>
      <c r="I339">
        <v>0.68333333333333335</v>
      </c>
      <c r="J339">
        <v>6303500</v>
      </c>
      <c r="K339">
        <v>13653</v>
      </c>
      <c r="L339">
        <v>2</v>
      </c>
      <c r="M339">
        <v>78</v>
      </c>
      <c r="N339">
        <v>0.7055555555555556</v>
      </c>
      <c r="O339">
        <v>2784179.833333333</v>
      </c>
      <c r="P339">
        <v>13986</v>
      </c>
      <c r="Q339">
        <v>2</v>
      </c>
      <c r="R339">
        <v>79</v>
      </c>
      <c r="S339" t="s">
        <v>1830</v>
      </c>
      <c r="Y339">
        <f>Wine_pres_final[[#This Row],[mlp_params]]</f>
        <v>13653</v>
      </c>
      <c r="Z339">
        <f>IF((LEN(Wine_pres_final[[#This Row],[kan_width]])-LEN(SUBSTITUTE(Wine_pres_final[[#This Row],[kan_width]]," ","")))&gt;2,Wine_pres_final[[#This Row],[kan_test_acc]],"")</f>
        <v>0.83148149152596795</v>
      </c>
      <c r="AA339" t="str">
        <f>IF((LEN(Wine_pres_final[[#This Row],[kan_width]])-LEN(SUBSTITUTE(Wine_pres_final[[#This Row],[kan_width]]," ","")))&gt;2,"",Wine_pres_final[[#This Row],[kan_test_acc]])</f>
        <v/>
      </c>
      <c r="AB339">
        <f>Wine_pres_final[[#This Row],[mlp_test_acc]]</f>
        <v>0.68333333333333335</v>
      </c>
      <c r="AC339">
        <f>Wine_pres_final[[#This Row],[mlp_test_acc2]]</f>
        <v>0.7055555555555556</v>
      </c>
    </row>
    <row r="340" spans="1:29" hidden="1" x14ac:dyDescent="0.25">
      <c r="A340" t="s">
        <v>1336</v>
      </c>
      <c r="B340">
        <v>3</v>
      </c>
      <c r="C340">
        <v>3</v>
      </c>
      <c r="D340">
        <v>0</v>
      </c>
      <c r="E340" t="s">
        <v>1427</v>
      </c>
      <c r="F340">
        <v>7472</v>
      </c>
      <c r="G340">
        <v>10682692.5</v>
      </c>
      <c r="H340">
        <v>0.83333334078391386</v>
      </c>
      <c r="I340">
        <v>0.687037037037037</v>
      </c>
      <c r="J340">
        <v>948167.83333333337</v>
      </c>
      <c r="K340">
        <v>12999</v>
      </c>
      <c r="L340">
        <v>2</v>
      </c>
      <c r="M340">
        <v>76</v>
      </c>
      <c r="N340">
        <v>0.67407407407407405</v>
      </c>
      <c r="O340">
        <v>786011.5</v>
      </c>
      <c r="P340">
        <v>13324</v>
      </c>
      <c r="Q340">
        <v>2</v>
      </c>
      <c r="R340">
        <v>77</v>
      </c>
      <c r="S340" t="s">
        <v>1482</v>
      </c>
      <c r="Y340">
        <f>Wine_pres_final[[#This Row],[mlp_params]]</f>
        <v>12999</v>
      </c>
      <c r="Z340">
        <f>IF((LEN(Wine_pres_final[[#This Row],[kan_width]])-LEN(SUBSTITUTE(Wine_pres_final[[#This Row],[kan_width]]," ","")))&gt;2,Wine_pres_final[[#This Row],[kan_test_acc]],"")</f>
        <v>0.83333334078391386</v>
      </c>
      <c r="AA340" t="str">
        <f>IF((LEN(Wine_pres_final[[#This Row],[kan_width]])-LEN(SUBSTITUTE(Wine_pres_final[[#This Row],[kan_width]]," ","")))&gt;2,"",Wine_pres_final[[#This Row],[kan_test_acc]])</f>
        <v/>
      </c>
      <c r="AB340">
        <f>Wine_pres_final[[#This Row],[mlp_test_acc]]</f>
        <v>0.687037037037037</v>
      </c>
      <c r="AC340">
        <f>Wine_pres_final[[#This Row],[mlp_test_acc2]]</f>
        <v>0.67407407407407405</v>
      </c>
    </row>
    <row r="341" spans="1:29" hidden="1" x14ac:dyDescent="0.25">
      <c r="A341" t="s">
        <v>1336</v>
      </c>
      <c r="B341">
        <v>3</v>
      </c>
      <c r="C341">
        <v>4</v>
      </c>
      <c r="D341">
        <v>0</v>
      </c>
      <c r="E341" t="s">
        <v>1355</v>
      </c>
      <c r="F341">
        <v>4121</v>
      </c>
      <c r="G341">
        <v>10349111.416666668</v>
      </c>
      <c r="H341">
        <v>0.8333333432674408</v>
      </c>
      <c r="I341">
        <v>0.6425925925925926</v>
      </c>
      <c r="J341">
        <v>390884.41666666663</v>
      </c>
      <c r="K341">
        <v>7584</v>
      </c>
      <c r="L341">
        <v>2</v>
      </c>
      <c r="M341">
        <v>57</v>
      </c>
      <c r="N341">
        <v>0.66111111111111109</v>
      </c>
      <c r="O341">
        <v>363500.75</v>
      </c>
      <c r="P341">
        <v>7833</v>
      </c>
      <c r="Q341">
        <v>2</v>
      </c>
      <c r="R341">
        <v>58</v>
      </c>
      <c r="S341" t="s">
        <v>1496</v>
      </c>
      <c r="Y341">
        <f>Wine_pres_final[[#This Row],[mlp_params]]</f>
        <v>7584</v>
      </c>
      <c r="Z341">
        <f>IF((LEN(Wine_pres_final[[#This Row],[kan_width]])-LEN(SUBSTITUTE(Wine_pres_final[[#This Row],[kan_width]]," ","")))&gt;2,Wine_pres_final[[#This Row],[kan_test_acc]],"")</f>
        <v>0.8333333432674408</v>
      </c>
      <c r="AA341" t="str">
        <f>IF((LEN(Wine_pres_final[[#This Row],[kan_width]])-LEN(SUBSTITUTE(Wine_pres_final[[#This Row],[kan_width]]," ","")))&gt;2,"",Wine_pres_final[[#This Row],[kan_test_acc]])</f>
        <v/>
      </c>
      <c r="AB341">
        <f>Wine_pres_final[[#This Row],[mlp_test_acc]]</f>
        <v>0.6425925925925926</v>
      </c>
      <c r="AC341">
        <f>Wine_pres_final[[#This Row],[mlp_test_acc2]]</f>
        <v>0.66111111111111109</v>
      </c>
    </row>
    <row r="342" spans="1:29" hidden="1" x14ac:dyDescent="0.25">
      <c r="A342" t="s">
        <v>1336</v>
      </c>
      <c r="B342">
        <v>3</v>
      </c>
      <c r="C342">
        <v>4</v>
      </c>
      <c r="D342">
        <v>0</v>
      </c>
      <c r="E342" t="s">
        <v>1375</v>
      </c>
      <c r="F342">
        <v>5407</v>
      </c>
      <c r="G342">
        <v>14067046.666666668</v>
      </c>
      <c r="H342">
        <v>0.8333333432674408</v>
      </c>
      <c r="I342">
        <v>0.69444444444444442</v>
      </c>
      <c r="J342">
        <v>1258294.1666666665</v>
      </c>
      <c r="K342">
        <v>9969</v>
      </c>
      <c r="L342">
        <v>2</v>
      </c>
      <c r="M342">
        <v>66</v>
      </c>
      <c r="N342">
        <v>0.67962962962962958</v>
      </c>
      <c r="O342">
        <v>597384</v>
      </c>
      <c r="P342">
        <v>10254</v>
      </c>
      <c r="Q342">
        <v>2</v>
      </c>
      <c r="R342">
        <v>67</v>
      </c>
      <c r="S342" t="s">
        <v>1506</v>
      </c>
      <c r="Y342">
        <f>Wine_pres_final[[#This Row],[mlp_params]]</f>
        <v>9969</v>
      </c>
      <c r="Z342">
        <f>IF((LEN(Wine_pres_final[[#This Row],[kan_width]])-LEN(SUBSTITUTE(Wine_pres_final[[#This Row],[kan_width]]," ","")))&gt;2,Wine_pres_final[[#This Row],[kan_test_acc]],"")</f>
        <v>0.8333333432674408</v>
      </c>
      <c r="AA342" t="str">
        <f>IF((LEN(Wine_pres_final[[#This Row],[kan_width]])-LEN(SUBSTITUTE(Wine_pres_final[[#This Row],[kan_width]]," ","")))&gt;2,"",Wine_pres_final[[#This Row],[kan_test_acc]])</f>
        <v/>
      </c>
      <c r="AB342">
        <f>Wine_pres_final[[#This Row],[mlp_test_acc]]</f>
        <v>0.69444444444444442</v>
      </c>
      <c r="AC342">
        <f>Wine_pres_final[[#This Row],[mlp_test_acc2]]</f>
        <v>0.67962962962962958</v>
      </c>
    </row>
    <row r="343" spans="1:29" x14ac:dyDescent="0.25">
      <c r="A343" t="s">
        <v>1336</v>
      </c>
      <c r="B343">
        <v>9</v>
      </c>
      <c r="C343">
        <v>5</v>
      </c>
      <c r="D343">
        <v>0</v>
      </c>
      <c r="E343" t="s">
        <v>1415</v>
      </c>
      <c r="F343">
        <v>14346</v>
      </c>
      <c r="G343">
        <v>10955626.630952381</v>
      </c>
      <c r="H343">
        <v>0.52354499236458829</v>
      </c>
      <c r="I343">
        <v>0.74841269841269842</v>
      </c>
      <c r="J343">
        <v>8400281.5</v>
      </c>
      <c r="K343">
        <v>23178</v>
      </c>
      <c r="L343">
        <v>2</v>
      </c>
      <c r="M343">
        <v>103</v>
      </c>
      <c r="N343">
        <v>0.75238095238095237</v>
      </c>
      <c r="O343">
        <v>8323654.7023809534</v>
      </c>
      <c r="P343">
        <v>23611</v>
      </c>
      <c r="Q343">
        <v>2</v>
      </c>
      <c r="R343">
        <v>104</v>
      </c>
      <c r="S343" t="s">
        <v>1976</v>
      </c>
      <c r="Y343">
        <f>Wine_pres_final[[#This Row],[mlp_params]]</f>
        <v>23178</v>
      </c>
      <c r="Z343">
        <f>IF((LEN(Wine_pres_final[[#This Row],[kan_width]])-LEN(SUBSTITUTE(Wine_pres_final[[#This Row],[kan_width]]," ","")))&gt;2,Wine_pres_final[[#This Row],[kan_test_acc]],"")</f>
        <v>0.52354499236458829</v>
      </c>
      <c r="AA343" t="str">
        <f>IF((LEN(Wine_pres_final[[#This Row],[kan_width]])-LEN(SUBSTITUTE(Wine_pres_final[[#This Row],[kan_width]]," ","")))&gt;2,"",Wine_pres_final[[#This Row],[kan_test_acc]])</f>
        <v/>
      </c>
      <c r="AB343">
        <f>Wine_pres_final[[#This Row],[mlp_test_acc]]</f>
        <v>0.74841269841269842</v>
      </c>
      <c r="AC343">
        <f>Wine_pres_final[[#This Row],[mlp_test_acc2]]</f>
        <v>0.75238095238095237</v>
      </c>
    </row>
    <row r="344" spans="1:29" hidden="1" x14ac:dyDescent="0.25">
      <c r="A344" t="s">
        <v>1336</v>
      </c>
      <c r="B344">
        <v>9</v>
      </c>
      <c r="C344">
        <v>2</v>
      </c>
      <c r="D344">
        <v>0</v>
      </c>
      <c r="E344" t="s">
        <v>1403</v>
      </c>
      <c r="F344">
        <v>8115</v>
      </c>
      <c r="G344">
        <v>9291179.5</v>
      </c>
      <c r="H344">
        <v>0.8333333432674408</v>
      </c>
      <c r="I344">
        <v>0.6425925925925926</v>
      </c>
      <c r="J344">
        <v>5859317.916666666</v>
      </c>
      <c r="K344">
        <v>10836</v>
      </c>
      <c r="L344">
        <v>2</v>
      </c>
      <c r="M344">
        <v>69</v>
      </c>
      <c r="N344">
        <v>0.68333333333333335</v>
      </c>
      <c r="O344">
        <v>2878497.5</v>
      </c>
      <c r="P344">
        <v>11133</v>
      </c>
      <c r="Q344">
        <v>2</v>
      </c>
      <c r="R344">
        <v>70</v>
      </c>
      <c r="S344" t="s">
        <v>1820</v>
      </c>
      <c r="Z344">
        <f>IF((LEN(Wine_pres_final[[#This Row],[kan_width]])-LEN(SUBSTITUTE(Wine_pres_final[[#This Row],[kan_width]]," ","")))&gt;2,Wine_pres_final[[#This Row],[kan_test_acc]],"")</f>
        <v>0.8333333432674408</v>
      </c>
      <c r="AA344" t="str">
        <f>IF((LEN(Wine_pres_final[[#This Row],[kan_width]])-LEN(SUBSTITUTE(Wine_pres_final[[#This Row],[kan_width]]," ","")))&gt;2,"",Wine_pres_final[[#This Row],[kan_test_acc]])</f>
        <v/>
      </c>
      <c r="AB344">
        <f>Wine_pres_final[[#This Row],[mlp_test_acc]]</f>
        <v>0.6425925925925926</v>
      </c>
      <c r="AC344">
        <f>Wine_pres_final[[#This Row],[mlp_test_acc2]]</f>
        <v>0.68333333333333335</v>
      </c>
    </row>
    <row r="345" spans="1:29" hidden="1" x14ac:dyDescent="0.25">
      <c r="A345" t="s">
        <v>1336</v>
      </c>
      <c r="B345">
        <v>5</v>
      </c>
      <c r="C345">
        <v>3</v>
      </c>
      <c r="D345">
        <v>0</v>
      </c>
      <c r="E345" t="s">
        <v>1425</v>
      </c>
      <c r="F345">
        <v>8592</v>
      </c>
      <c r="G345">
        <v>15751048.25</v>
      </c>
      <c r="H345">
        <v>0.83518519500891364</v>
      </c>
      <c r="I345">
        <v>0.73703703703703705</v>
      </c>
      <c r="J345">
        <v>3093575.416666667</v>
      </c>
      <c r="K345">
        <v>13986</v>
      </c>
      <c r="L345">
        <v>2</v>
      </c>
      <c r="M345">
        <v>79</v>
      </c>
      <c r="N345">
        <v>0.71481481481481479</v>
      </c>
      <c r="O345">
        <v>2533028</v>
      </c>
      <c r="P345">
        <v>14323</v>
      </c>
      <c r="Q345">
        <v>2</v>
      </c>
      <c r="R345">
        <v>80</v>
      </c>
      <c r="S345" t="s">
        <v>1681</v>
      </c>
      <c r="Z345">
        <f>IF((LEN(Wine_pres_final[[#This Row],[kan_width]])-LEN(SUBSTITUTE(Wine_pres_final[[#This Row],[kan_width]]," ","")))&gt;2,Wine_pres_final[[#This Row],[kan_test_acc]],"")</f>
        <v>0.83518519500891364</v>
      </c>
      <c r="AA345" t="str">
        <f>IF((LEN(Wine_pres_final[[#This Row],[kan_width]])-LEN(SUBSTITUTE(Wine_pres_final[[#This Row],[kan_width]]," ","")))&gt;2,"",Wine_pres_final[[#This Row],[kan_test_acc]])</f>
        <v/>
      </c>
      <c r="AB345">
        <f>Wine_pres_final[[#This Row],[mlp_test_acc]]</f>
        <v>0.73703703703703705</v>
      </c>
      <c r="AC345">
        <f>Wine_pres_final[[#This Row],[mlp_test_acc2]]</f>
        <v>0.71481481481481479</v>
      </c>
    </row>
    <row r="346" spans="1:29" hidden="1" x14ac:dyDescent="0.25">
      <c r="A346" t="s">
        <v>1336</v>
      </c>
      <c r="B346">
        <v>3</v>
      </c>
      <c r="C346">
        <v>4</v>
      </c>
      <c r="D346">
        <v>0</v>
      </c>
      <c r="E346" t="s">
        <v>1371</v>
      </c>
      <c r="F346">
        <v>4683</v>
      </c>
      <c r="G346">
        <v>13246307.916666668</v>
      </c>
      <c r="H346">
        <v>0.83518519500891375</v>
      </c>
      <c r="I346">
        <v>0.64814814814814814</v>
      </c>
      <c r="J346">
        <v>740078.16666666674</v>
      </c>
      <c r="K346">
        <v>8604</v>
      </c>
      <c r="L346">
        <v>2</v>
      </c>
      <c r="M346">
        <v>61</v>
      </c>
      <c r="N346">
        <v>0.66111111111111109</v>
      </c>
      <c r="O346">
        <v>711032.66666666663</v>
      </c>
      <c r="P346">
        <v>8869</v>
      </c>
      <c r="Q346">
        <v>2</v>
      </c>
      <c r="R346">
        <v>62</v>
      </c>
      <c r="S346" t="s">
        <v>1504</v>
      </c>
      <c r="Z346">
        <f>IF((LEN(Wine_pres_final[[#This Row],[kan_width]])-LEN(SUBSTITUTE(Wine_pres_final[[#This Row],[kan_width]]," ","")))&gt;2,Wine_pres_final[[#This Row],[kan_test_acc]],"")</f>
        <v>0.83518519500891375</v>
      </c>
      <c r="AA346" t="str">
        <f>IF((LEN(Wine_pres_final[[#This Row],[kan_width]])-LEN(SUBSTITUTE(Wine_pres_final[[#This Row],[kan_width]]," ","")))&gt;2,"",Wine_pres_final[[#This Row],[kan_test_acc]])</f>
        <v/>
      </c>
      <c r="AB346">
        <f>Wine_pres_final[[#This Row],[mlp_test_acc]]</f>
        <v>0.64814814814814814</v>
      </c>
      <c r="AC346">
        <f>Wine_pres_final[[#This Row],[mlp_test_acc2]]</f>
        <v>0.66111111111111109</v>
      </c>
    </row>
    <row r="347" spans="1:29" hidden="1" x14ac:dyDescent="0.25">
      <c r="A347" t="s">
        <v>1336</v>
      </c>
      <c r="B347">
        <v>3</v>
      </c>
      <c r="C347">
        <v>4</v>
      </c>
      <c r="D347">
        <v>0</v>
      </c>
      <c r="E347" t="s">
        <v>1401</v>
      </c>
      <c r="F347">
        <v>5365</v>
      </c>
      <c r="G347">
        <v>13863936.666666666</v>
      </c>
      <c r="H347">
        <v>0.83518519500891375</v>
      </c>
      <c r="I347">
        <v>0.67037037037037028</v>
      </c>
      <c r="J347">
        <v>1662987.6666666665</v>
      </c>
      <c r="K347">
        <v>9969</v>
      </c>
      <c r="L347">
        <v>2</v>
      </c>
      <c r="M347">
        <v>66</v>
      </c>
      <c r="N347">
        <v>0.70185185185185184</v>
      </c>
      <c r="O347">
        <v>905367.25</v>
      </c>
      <c r="P347">
        <v>10254</v>
      </c>
      <c r="Q347">
        <v>2</v>
      </c>
      <c r="R347">
        <v>67</v>
      </c>
      <c r="S347" t="s">
        <v>1519</v>
      </c>
      <c r="Z347">
        <f>IF((LEN(Wine_pres_final[[#This Row],[kan_width]])-LEN(SUBSTITUTE(Wine_pres_final[[#This Row],[kan_width]]," ","")))&gt;2,Wine_pres_final[[#This Row],[kan_test_acc]],"")</f>
        <v>0.83518519500891375</v>
      </c>
      <c r="AA347" t="str">
        <f>IF((LEN(Wine_pres_final[[#This Row],[kan_width]])-LEN(SUBSTITUTE(Wine_pres_final[[#This Row],[kan_width]]," ","")))&gt;2,"",Wine_pres_final[[#This Row],[kan_test_acc]])</f>
        <v/>
      </c>
      <c r="AB347">
        <f>Wine_pres_final[[#This Row],[mlp_test_acc]]</f>
        <v>0.67037037037037028</v>
      </c>
      <c r="AC347">
        <f>Wine_pres_final[[#This Row],[mlp_test_acc2]]</f>
        <v>0.70185185185185184</v>
      </c>
    </row>
    <row r="348" spans="1:29" hidden="1" x14ac:dyDescent="0.25">
      <c r="A348" t="s">
        <v>1336</v>
      </c>
      <c r="B348">
        <v>3</v>
      </c>
      <c r="C348">
        <v>3</v>
      </c>
      <c r="D348">
        <v>0</v>
      </c>
      <c r="E348" t="s">
        <v>1369</v>
      </c>
      <c r="F348">
        <v>3892</v>
      </c>
      <c r="G348">
        <v>10822343</v>
      </c>
      <c r="H348">
        <v>0.83703704426685976</v>
      </c>
      <c r="I348">
        <v>0.71111111111111103</v>
      </c>
      <c r="J348">
        <v>566088.58333333337</v>
      </c>
      <c r="K348">
        <v>6861</v>
      </c>
      <c r="L348">
        <v>2</v>
      </c>
      <c r="M348">
        <v>54</v>
      </c>
      <c r="N348">
        <v>0.6777777777777777</v>
      </c>
      <c r="O348">
        <v>668526.08333333326</v>
      </c>
      <c r="P348">
        <v>7098</v>
      </c>
      <c r="Q348">
        <v>2</v>
      </c>
      <c r="R348">
        <v>55</v>
      </c>
      <c r="S348" t="s">
        <v>1453</v>
      </c>
      <c r="Z348">
        <f>IF((LEN(Wine_pres_final[[#This Row],[kan_width]])-LEN(SUBSTITUTE(Wine_pres_final[[#This Row],[kan_width]]," ","")))&gt;2,Wine_pres_final[[#This Row],[kan_test_acc]],"")</f>
        <v>0.83703704426685976</v>
      </c>
      <c r="AA348" t="str">
        <f>IF((LEN(Wine_pres_final[[#This Row],[kan_width]])-LEN(SUBSTITUTE(Wine_pres_final[[#This Row],[kan_width]]," ","")))&gt;2,"",Wine_pres_final[[#This Row],[kan_test_acc]])</f>
        <v/>
      </c>
      <c r="AB348">
        <f>Wine_pres_final[[#This Row],[mlp_test_acc]]</f>
        <v>0.71111111111111103</v>
      </c>
      <c r="AC348">
        <f>Wine_pres_final[[#This Row],[mlp_test_acc2]]</f>
        <v>0.6777777777777777</v>
      </c>
    </row>
    <row r="349" spans="1:29" hidden="1" x14ac:dyDescent="0.25">
      <c r="A349" t="s">
        <v>1336</v>
      </c>
      <c r="B349">
        <v>3</v>
      </c>
      <c r="C349">
        <v>4</v>
      </c>
      <c r="D349">
        <v>0</v>
      </c>
      <c r="E349" t="s">
        <v>1367</v>
      </c>
      <c r="F349">
        <v>6053</v>
      </c>
      <c r="G349">
        <v>12729641.25</v>
      </c>
      <c r="H349">
        <v>0.83703704675038648</v>
      </c>
      <c r="I349">
        <v>0.69444444444444442</v>
      </c>
      <c r="J349">
        <v>1463937</v>
      </c>
      <c r="K349">
        <v>11434</v>
      </c>
      <c r="L349">
        <v>2</v>
      </c>
      <c r="M349">
        <v>71</v>
      </c>
      <c r="N349">
        <v>0.70555555555555549</v>
      </c>
      <c r="O349">
        <v>952595</v>
      </c>
      <c r="P349">
        <v>11739</v>
      </c>
      <c r="Q349">
        <v>2</v>
      </c>
      <c r="R349">
        <v>72</v>
      </c>
      <c r="S349" t="s">
        <v>1502</v>
      </c>
      <c r="Z349">
        <f>IF((LEN(Wine_pres_final[[#This Row],[kan_width]])-LEN(SUBSTITUTE(Wine_pres_final[[#This Row],[kan_width]]," ","")))&gt;2,Wine_pres_final[[#This Row],[kan_test_acc]],"")</f>
        <v>0.83703704675038648</v>
      </c>
      <c r="AA349" t="str">
        <f>IF((LEN(Wine_pres_final[[#This Row],[kan_width]])-LEN(SUBSTITUTE(Wine_pres_final[[#This Row],[kan_width]]," ","")))&gt;2,"",Wine_pres_final[[#This Row],[kan_test_acc]])</f>
        <v/>
      </c>
      <c r="AB349">
        <f>Wine_pres_final[[#This Row],[mlp_test_acc]]</f>
        <v>0.69444444444444442</v>
      </c>
      <c r="AC349">
        <f>Wine_pres_final[[#This Row],[mlp_test_acc2]]</f>
        <v>0.70555555555555549</v>
      </c>
    </row>
    <row r="350" spans="1:29" hidden="1" x14ac:dyDescent="0.25">
      <c r="A350" t="s">
        <v>1336</v>
      </c>
      <c r="B350">
        <v>3</v>
      </c>
      <c r="C350">
        <v>4</v>
      </c>
      <c r="D350">
        <v>0</v>
      </c>
      <c r="E350" t="s">
        <v>1383</v>
      </c>
      <c r="F350">
        <v>6855</v>
      </c>
      <c r="G350">
        <v>14365112.833333332</v>
      </c>
      <c r="H350">
        <v>0.83703704675038648</v>
      </c>
      <c r="I350">
        <v>0.7</v>
      </c>
      <c r="J350">
        <v>1593943.6666666665</v>
      </c>
      <c r="K350">
        <v>12678</v>
      </c>
      <c r="L350">
        <v>2</v>
      </c>
      <c r="M350">
        <v>75</v>
      </c>
      <c r="N350">
        <v>0.65925925925925921</v>
      </c>
      <c r="O350">
        <v>924506.08333333326</v>
      </c>
      <c r="P350">
        <v>12999</v>
      </c>
      <c r="Q350">
        <v>2</v>
      </c>
      <c r="R350">
        <v>76</v>
      </c>
      <c r="S350" t="s">
        <v>1510</v>
      </c>
      <c r="Z350">
        <f>IF((LEN(Wine_pres_final[[#This Row],[kan_width]])-LEN(SUBSTITUTE(Wine_pres_final[[#This Row],[kan_width]]," ","")))&gt;2,Wine_pres_final[[#This Row],[kan_test_acc]],"")</f>
        <v>0.83703704675038648</v>
      </c>
      <c r="AA350" t="str">
        <f>IF((LEN(Wine_pres_final[[#This Row],[kan_width]])-LEN(SUBSTITUTE(Wine_pres_final[[#This Row],[kan_width]]," ","")))&gt;2,"",Wine_pres_final[[#This Row],[kan_test_acc]])</f>
        <v/>
      </c>
      <c r="AB350">
        <f>Wine_pres_final[[#This Row],[mlp_test_acc]]</f>
        <v>0.7</v>
      </c>
      <c r="AC350">
        <f>Wine_pres_final[[#This Row],[mlp_test_acc2]]</f>
        <v>0.65925925925925921</v>
      </c>
    </row>
    <row r="351" spans="1:29" hidden="1" x14ac:dyDescent="0.25">
      <c r="A351" t="s">
        <v>1336</v>
      </c>
      <c r="B351">
        <v>3</v>
      </c>
      <c r="C351">
        <v>5</v>
      </c>
      <c r="D351">
        <v>0</v>
      </c>
      <c r="E351" t="s">
        <v>1395</v>
      </c>
      <c r="F351">
        <v>7534</v>
      </c>
      <c r="G351">
        <v>17581886.083333332</v>
      </c>
      <c r="H351">
        <v>0.83703704675038648</v>
      </c>
      <c r="I351">
        <v>0.69444444444444442</v>
      </c>
      <c r="J351">
        <v>1901721.5</v>
      </c>
      <c r="K351">
        <v>15009</v>
      </c>
      <c r="L351">
        <v>2</v>
      </c>
      <c r="M351">
        <v>82</v>
      </c>
      <c r="N351">
        <v>0.69444444444444442</v>
      </c>
      <c r="O351">
        <v>815622.91666666674</v>
      </c>
      <c r="P351">
        <v>15358</v>
      </c>
      <c r="Q351">
        <v>2</v>
      </c>
      <c r="R351">
        <v>83</v>
      </c>
      <c r="S351" t="s">
        <v>1566</v>
      </c>
      <c r="Z351">
        <f>IF((LEN(Wine_pres_final[[#This Row],[kan_width]])-LEN(SUBSTITUTE(Wine_pres_final[[#This Row],[kan_width]]," ","")))&gt;2,Wine_pres_final[[#This Row],[kan_test_acc]],"")</f>
        <v>0.83703704675038648</v>
      </c>
      <c r="AA351" t="str">
        <f>IF((LEN(Wine_pres_final[[#This Row],[kan_width]])-LEN(SUBSTITUTE(Wine_pres_final[[#This Row],[kan_width]]," ","")))&gt;2,"",Wine_pres_final[[#This Row],[kan_test_acc]])</f>
        <v/>
      </c>
      <c r="AB351">
        <f>Wine_pres_final[[#This Row],[mlp_test_acc]]</f>
        <v>0.69444444444444442</v>
      </c>
      <c r="AC351">
        <f>Wine_pres_final[[#This Row],[mlp_test_acc2]]</f>
        <v>0.69444444444444442</v>
      </c>
    </row>
    <row r="352" spans="1:29" hidden="1" x14ac:dyDescent="0.25">
      <c r="A352" t="s">
        <v>1336</v>
      </c>
      <c r="B352">
        <v>3</v>
      </c>
      <c r="C352">
        <v>4</v>
      </c>
      <c r="D352">
        <v>0</v>
      </c>
      <c r="E352" t="s">
        <v>1409</v>
      </c>
      <c r="F352">
        <v>7133</v>
      </c>
      <c r="G352">
        <v>15850819.916666666</v>
      </c>
      <c r="H352">
        <v>0.83703704675038659</v>
      </c>
      <c r="I352">
        <v>0.65925925925925932</v>
      </c>
      <c r="J352">
        <v>1521667.1666666665</v>
      </c>
      <c r="K352">
        <v>13324</v>
      </c>
      <c r="L352">
        <v>2</v>
      </c>
      <c r="M352">
        <v>77</v>
      </c>
      <c r="N352">
        <v>0.6425925925925926</v>
      </c>
      <c r="O352">
        <v>669814.16666666674</v>
      </c>
      <c r="P352">
        <v>13653</v>
      </c>
      <c r="Q352">
        <v>2</v>
      </c>
      <c r="R352">
        <v>78</v>
      </c>
      <c r="S352" t="s">
        <v>1523</v>
      </c>
      <c r="Z352">
        <f>IF((LEN(Wine_pres_final[[#This Row],[kan_width]])-LEN(SUBSTITUTE(Wine_pres_final[[#This Row],[kan_width]]," ","")))&gt;2,Wine_pres_final[[#This Row],[kan_test_acc]],"")</f>
        <v>0.83703704675038659</v>
      </c>
      <c r="AA352" t="str">
        <f>IF((LEN(Wine_pres_final[[#This Row],[kan_width]])-LEN(SUBSTITUTE(Wine_pres_final[[#This Row],[kan_width]]," ","")))&gt;2,"",Wine_pres_final[[#This Row],[kan_test_acc]])</f>
        <v/>
      </c>
      <c r="AB352">
        <f>Wine_pres_final[[#This Row],[mlp_test_acc]]</f>
        <v>0.65925925925925932</v>
      </c>
      <c r="AC352">
        <f>Wine_pres_final[[#This Row],[mlp_test_acc2]]</f>
        <v>0.6425925925925926</v>
      </c>
    </row>
    <row r="353" spans="1:29" hidden="1" x14ac:dyDescent="0.25">
      <c r="A353" t="s">
        <v>1336</v>
      </c>
      <c r="B353">
        <v>5</v>
      </c>
      <c r="C353">
        <v>3</v>
      </c>
      <c r="D353">
        <v>0</v>
      </c>
      <c r="E353" t="s">
        <v>1427</v>
      </c>
      <c r="F353">
        <v>9122</v>
      </c>
      <c r="G353">
        <v>19967789.583333336</v>
      </c>
      <c r="H353">
        <v>0.8388888960083325</v>
      </c>
      <c r="I353">
        <v>0.71111111111111114</v>
      </c>
      <c r="J353">
        <v>4173653.75</v>
      </c>
      <c r="K353">
        <v>14664</v>
      </c>
      <c r="L353">
        <v>2</v>
      </c>
      <c r="M353">
        <v>81</v>
      </c>
      <c r="N353">
        <v>0.70555555555555549</v>
      </c>
      <c r="O353">
        <v>2758339.5</v>
      </c>
      <c r="P353">
        <v>15009</v>
      </c>
      <c r="Q353">
        <v>2</v>
      </c>
      <c r="R353">
        <v>82</v>
      </c>
      <c r="S353" t="s">
        <v>1682</v>
      </c>
      <c r="Z353">
        <f>IF((LEN(Wine_pres_final[[#This Row],[kan_width]])-LEN(SUBSTITUTE(Wine_pres_final[[#This Row],[kan_width]]," ","")))&gt;2,Wine_pres_final[[#This Row],[kan_test_acc]],"")</f>
        <v>0.8388888960083325</v>
      </c>
      <c r="AA353" t="str">
        <f>IF((LEN(Wine_pres_final[[#This Row],[kan_width]])-LEN(SUBSTITUTE(Wine_pres_final[[#This Row],[kan_width]]," ","")))&gt;2,"",Wine_pres_final[[#This Row],[kan_test_acc]])</f>
        <v/>
      </c>
      <c r="AB353">
        <f>Wine_pres_final[[#This Row],[mlp_test_acc]]</f>
        <v>0.71111111111111114</v>
      </c>
      <c r="AC353">
        <f>Wine_pres_final[[#This Row],[mlp_test_acc2]]</f>
        <v>0.70555555555555549</v>
      </c>
    </row>
    <row r="354" spans="1:29" hidden="1" x14ac:dyDescent="0.25">
      <c r="A354" t="s">
        <v>1336</v>
      </c>
      <c r="B354">
        <v>3</v>
      </c>
      <c r="C354">
        <v>2</v>
      </c>
      <c r="D354">
        <v>0</v>
      </c>
      <c r="E354" t="s">
        <v>1371</v>
      </c>
      <c r="F354">
        <v>3753</v>
      </c>
      <c r="G354">
        <v>8269443.083333334</v>
      </c>
      <c r="H354">
        <v>0.83888889600833261</v>
      </c>
      <c r="I354">
        <v>0.6962962962962963</v>
      </c>
      <c r="J354">
        <v>261043.16666666669</v>
      </c>
      <c r="K354">
        <v>5953</v>
      </c>
      <c r="L354">
        <v>2</v>
      </c>
      <c r="M354">
        <v>50</v>
      </c>
      <c r="N354">
        <v>0.69074074074074066</v>
      </c>
      <c r="O354">
        <v>249201.75</v>
      </c>
      <c r="P354">
        <v>6174</v>
      </c>
      <c r="Q354">
        <v>2</v>
      </c>
      <c r="R354">
        <v>51</v>
      </c>
      <c r="S354" t="s">
        <v>1372</v>
      </c>
      <c r="Z354">
        <f>IF((LEN(Wine_pres_final[[#This Row],[kan_width]])-LEN(SUBSTITUTE(Wine_pres_final[[#This Row],[kan_width]]," ","")))&gt;2,Wine_pres_final[[#This Row],[kan_test_acc]],"")</f>
        <v>0.83888889600833261</v>
      </c>
      <c r="AA354" t="str">
        <f>IF((LEN(Wine_pres_final[[#This Row],[kan_width]])-LEN(SUBSTITUTE(Wine_pres_final[[#This Row],[kan_width]]," ","")))&gt;2,"",Wine_pres_final[[#This Row],[kan_test_acc]])</f>
        <v/>
      </c>
      <c r="AB354">
        <f>Wine_pres_final[[#This Row],[mlp_test_acc]]</f>
        <v>0.6962962962962963</v>
      </c>
      <c r="AC354">
        <f>Wine_pres_final[[#This Row],[mlp_test_acc2]]</f>
        <v>0.69074074074074066</v>
      </c>
    </row>
    <row r="355" spans="1:29" hidden="1" x14ac:dyDescent="0.25">
      <c r="A355" t="s">
        <v>1336</v>
      </c>
      <c r="B355">
        <v>5</v>
      </c>
      <c r="C355">
        <v>5</v>
      </c>
      <c r="D355">
        <v>0</v>
      </c>
      <c r="E355" t="s">
        <v>1349</v>
      </c>
      <c r="F355">
        <v>5228</v>
      </c>
      <c r="G355">
        <v>7265515.25</v>
      </c>
      <c r="H355">
        <v>0.84074075023333239</v>
      </c>
      <c r="I355">
        <v>0.72407407407407409</v>
      </c>
      <c r="J355">
        <v>617583.25</v>
      </c>
      <c r="K355">
        <v>9411</v>
      </c>
      <c r="L355">
        <v>2</v>
      </c>
      <c r="M355">
        <v>64</v>
      </c>
      <c r="N355">
        <v>0.76481481481481484</v>
      </c>
      <c r="O355">
        <v>1486520.6666666667</v>
      </c>
      <c r="P355">
        <v>9688</v>
      </c>
      <c r="Q355">
        <v>2</v>
      </c>
      <c r="R355">
        <v>65</v>
      </c>
      <c r="S355" t="s">
        <v>1743</v>
      </c>
      <c r="Z355" t="str">
        <f>IF((LEN(Wine_pres_final[[#This Row],[kan_width]])-LEN(SUBSTITUTE(Wine_pres_final[[#This Row],[kan_width]]," ","")))&gt;2,Wine_pres_final[[#This Row],[kan_test_acc]],"")</f>
        <v/>
      </c>
      <c r="AA355">
        <f>IF((LEN(Wine_pres_final[[#This Row],[kan_width]])-LEN(SUBSTITUTE(Wine_pres_final[[#This Row],[kan_width]]," ","")))&gt;2,"",Wine_pres_final[[#This Row],[kan_test_acc]])</f>
        <v>0.84074075023333239</v>
      </c>
      <c r="AB355">
        <f>Wine_pres_final[[#This Row],[mlp_test_acc]]</f>
        <v>0.72407407407407409</v>
      </c>
      <c r="AC355">
        <f>Wine_pres_final[[#This Row],[mlp_test_acc2]]</f>
        <v>0.76481481481481484</v>
      </c>
    </row>
    <row r="356" spans="1:29" hidden="1" x14ac:dyDescent="0.25">
      <c r="A356" t="s">
        <v>1336</v>
      </c>
      <c r="B356">
        <v>9</v>
      </c>
      <c r="C356">
        <v>2</v>
      </c>
      <c r="D356">
        <v>0</v>
      </c>
      <c r="E356" t="s">
        <v>1417</v>
      </c>
      <c r="F356">
        <v>8227</v>
      </c>
      <c r="G356">
        <v>15900801.166666668</v>
      </c>
      <c r="H356">
        <v>0.84074075023333239</v>
      </c>
      <c r="I356">
        <v>0.65370370370370368</v>
      </c>
      <c r="J356">
        <v>4079002</v>
      </c>
      <c r="K356">
        <v>11133</v>
      </c>
      <c r="L356">
        <v>2</v>
      </c>
      <c r="M356">
        <v>70</v>
      </c>
      <c r="N356">
        <v>0.71296296296296291</v>
      </c>
      <c r="O356">
        <v>2936588.75</v>
      </c>
      <c r="P356">
        <v>11434</v>
      </c>
      <c r="Q356">
        <v>2</v>
      </c>
      <c r="R356">
        <v>71</v>
      </c>
      <c r="S356" t="s">
        <v>1827</v>
      </c>
      <c r="Z356">
        <f>IF((LEN(Wine_pres_final[[#This Row],[kan_width]])-LEN(SUBSTITUTE(Wine_pres_final[[#This Row],[kan_width]]," ","")))&gt;2,Wine_pres_final[[#This Row],[kan_test_acc]],"")</f>
        <v>0.84074075023333239</v>
      </c>
      <c r="AA356" t="str">
        <f>IF((LEN(Wine_pres_final[[#This Row],[kan_width]])-LEN(SUBSTITUTE(Wine_pres_final[[#This Row],[kan_width]]," ","")))&gt;2,"",Wine_pres_final[[#This Row],[kan_test_acc]])</f>
        <v/>
      </c>
      <c r="AB356">
        <f>Wine_pres_final[[#This Row],[mlp_test_acc]]</f>
        <v>0.65370370370370368</v>
      </c>
      <c r="AC356">
        <f>Wine_pres_final[[#This Row],[mlp_test_acc2]]</f>
        <v>0.71296296296296291</v>
      </c>
    </row>
    <row r="357" spans="1:29" hidden="1" x14ac:dyDescent="0.25">
      <c r="A357" t="s">
        <v>1336</v>
      </c>
      <c r="B357">
        <v>3</v>
      </c>
      <c r="C357">
        <v>2</v>
      </c>
      <c r="D357">
        <v>0</v>
      </c>
      <c r="E357" t="s">
        <v>1373</v>
      </c>
      <c r="F357">
        <v>4043</v>
      </c>
      <c r="G357">
        <v>7291421.333333334</v>
      </c>
      <c r="H357">
        <v>0.8425925994912784</v>
      </c>
      <c r="I357">
        <v>0.71111111111111114</v>
      </c>
      <c r="J357">
        <v>277102.25</v>
      </c>
      <c r="K357">
        <v>6399</v>
      </c>
      <c r="L357">
        <v>2</v>
      </c>
      <c r="M357">
        <v>52</v>
      </c>
      <c r="N357">
        <v>0.75740740740740742</v>
      </c>
      <c r="O357">
        <v>252930.08333333331</v>
      </c>
      <c r="P357">
        <v>6628</v>
      </c>
      <c r="Q357">
        <v>2</v>
      </c>
      <c r="R357">
        <v>53</v>
      </c>
      <c r="S357" t="s">
        <v>1374</v>
      </c>
      <c r="Z357">
        <f>IF((LEN(Wine_pres_final[[#This Row],[kan_width]])-LEN(SUBSTITUTE(Wine_pres_final[[#This Row],[kan_width]]," ","")))&gt;2,Wine_pres_final[[#This Row],[kan_test_acc]],"")</f>
        <v>0.8425925994912784</v>
      </c>
      <c r="AA357" t="str">
        <f>IF((LEN(Wine_pres_final[[#This Row],[kan_width]])-LEN(SUBSTITUTE(Wine_pres_final[[#This Row],[kan_width]]," ","")))&gt;2,"",Wine_pres_final[[#This Row],[kan_test_acc]])</f>
        <v/>
      </c>
      <c r="AB357">
        <f>Wine_pres_final[[#This Row],[mlp_test_acc]]</f>
        <v>0.71111111111111114</v>
      </c>
      <c r="AC357">
        <f>Wine_pres_final[[#This Row],[mlp_test_acc2]]</f>
        <v>0.75740740740740742</v>
      </c>
    </row>
    <row r="358" spans="1:29" hidden="1" x14ac:dyDescent="0.25">
      <c r="A358" t="s">
        <v>1336</v>
      </c>
      <c r="B358">
        <v>5</v>
      </c>
      <c r="C358">
        <v>3</v>
      </c>
      <c r="D358">
        <v>0</v>
      </c>
      <c r="E358" t="s">
        <v>1345</v>
      </c>
      <c r="F358">
        <v>3720</v>
      </c>
      <c r="G358">
        <v>7608883.666666667</v>
      </c>
      <c r="H358">
        <v>0.84259260197480512</v>
      </c>
      <c r="I358">
        <v>0.7055555555555556</v>
      </c>
      <c r="J358">
        <v>342612.66666666663</v>
      </c>
      <c r="K358">
        <v>5953</v>
      </c>
      <c r="L358">
        <v>2</v>
      </c>
      <c r="M358">
        <v>50</v>
      </c>
      <c r="N358">
        <v>0.67777777777777781</v>
      </c>
      <c r="O358">
        <v>325242.16666666663</v>
      </c>
      <c r="P358">
        <v>6174</v>
      </c>
      <c r="Q358">
        <v>2</v>
      </c>
      <c r="R358">
        <v>51</v>
      </c>
      <c r="S358" t="s">
        <v>1641</v>
      </c>
      <c r="Z358" t="str">
        <f>IF((LEN(Wine_pres_final[[#This Row],[kan_width]])-LEN(SUBSTITUTE(Wine_pres_final[[#This Row],[kan_width]]," ","")))&gt;2,Wine_pres_final[[#This Row],[kan_test_acc]],"")</f>
        <v/>
      </c>
      <c r="AA358">
        <f>IF((LEN(Wine_pres_final[[#This Row],[kan_width]])-LEN(SUBSTITUTE(Wine_pres_final[[#This Row],[kan_width]]," ","")))&gt;2,"",Wine_pres_final[[#This Row],[kan_test_acc]])</f>
        <v>0.84259260197480512</v>
      </c>
      <c r="AB358">
        <f>Wine_pres_final[[#This Row],[mlp_test_acc]]</f>
        <v>0.7055555555555556</v>
      </c>
      <c r="AC358">
        <f>Wine_pres_final[[#This Row],[mlp_test_acc2]]</f>
        <v>0.67777777777777781</v>
      </c>
    </row>
    <row r="359" spans="1:29" hidden="1" x14ac:dyDescent="0.25">
      <c r="A359" t="s">
        <v>1336</v>
      </c>
      <c r="B359">
        <v>3</v>
      </c>
      <c r="C359">
        <v>4</v>
      </c>
      <c r="D359">
        <v>0</v>
      </c>
      <c r="E359" t="s">
        <v>1363</v>
      </c>
      <c r="F359">
        <v>5409</v>
      </c>
      <c r="G359">
        <v>15792690.333333334</v>
      </c>
      <c r="H359">
        <v>0.84259260197480512</v>
      </c>
      <c r="I359">
        <v>0.67962962962962958</v>
      </c>
      <c r="J359">
        <v>882803.25</v>
      </c>
      <c r="K359">
        <v>9969</v>
      </c>
      <c r="L359">
        <v>2</v>
      </c>
      <c r="M359">
        <v>66</v>
      </c>
      <c r="N359">
        <v>0.67222222222222228</v>
      </c>
      <c r="O359">
        <v>2655780.0833333335</v>
      </c>
      <c r="P359">
        <v>10254</v>
      </c>
      <c r="Q359">
        <v>2</v>
      </c>
      <c r="R359">
        <v>67</v>
      </c>
      <c r="S359" t="s">
        <v>1500</v>
      </c>
      <c r="Z359">
        <f>IF((LEN(Wine_pres_final[[#This Row],[kan_width]])-LEN(SUBSTITUTE(Wine_pres_final[[#This Row],[kan_width]]," ","")))&gt;2,Wine_pres_final[[#This Row],[kan_test_acc]],"")</f>
        <v>0.84259260197480512</v>
      </c>
      <c r="AA359" t="str">
        <f>IF((LEN(Wine_pres_final[[#This Row],[kan_width]])-LEN(SUBSTITUTE(Wine_pres_final[[#This Row],[kan_width]]," ","")))&gt;2,"",Wine_pres_final[[#This Row],[kan_test_acc]])</f>
        <v/>
      </c>
      <c r="AB359">
        <f>Wine_pres_final[[#This Row],[mlp_test_acc]]</f>
        <v>0.67962962962962958</v>
      </c>
      <c r="AC359">
        <f>Wine_pres_final[[#This Row],[mlp_test_acc2]]</f>
        <v>0.67222222222222228</v>
      </c>
    </row>
    <row r="360" spans="1:29" hidden="1" x14ac:dyDescent="0.25">
      <c r="A360" t="s">
        <v>1336</v>
      </c>
      <c r="B360">
        <v>3</v>
      </c>
      <c r="C360">
        <v>4</v>
      </c>
      <c r="D360">
        <v>0</v>
      </c>
      <c r="E360" t="s">
        <v>1377</v>
      </c>
      <c r="F360">
        <v>5769</v>
      </c>
      <c r="G360">
        <v>13695601.416666668</v>
      </c>
      <c r="H360">
        <v>0.84259260197480512</v>
      </c>
      <c r="I360">
        <v>0.67592592592592593</v>
      </c>
      <c r="J360">
        <v>1813705</v>
      </c>
      <c r="K360">
        <v>10836</v>
      </c>
      <c r="L360">
        <v>2</v>
      </c>
      <c r="M360">
        <v>69</v>
      </c>
      <c r="N360">
        <v>0.68333333333333335</v>
      </c>
      <c r="O360">
        <v>991565.66666666674</v>
      </c>
      <c r="P360">
        <v>11133</v>
      </c>
      <c r="Q360">
        <v>2</v>
      </c>
      <c r="R360">
        <v>70</v>
      </c>
      <c r="S360" t="s">
        <v>1507</v>
      </c>
      <c r="Z360">
        <f>IF((LEN(Wine_pres_final[[#This Row],[kan_width]])-LEN(SUBSTITUTE(Wine_pres_final[[#This Row],[kan_width]]," ","")))&gt;2,Wine_pres_final[[#This Row],[kan_test_acc]],"")</f>
        <v>0.84259260197480512</v>
      </c>
      <c r="AA360" t="str">
        <f>IF((LEN(Wine_pres_final[[#This Row],[kan_width]])-LEN(SUBSTITUTE(Wine_pres_final[[#This Row],[kan_width]]," ","")))&gt;2,"",Wine_pres_final[[#This Row],[kan_test_acc]])</f>
        <v/>
      </c>
      <c r="AB360">
        <f>Wine_pres_final[[#This Row],[mlp_test_acc]]</f>
        <v>0.67592592592592593</v>
      </c>
      <c r="AC360">
        <f>Wine_pres_final[[#This Row],[mlp_test_acc2]]</f>
        <v>0.68333333333333335</v>
      </c>
    </row>
    <row r="361" spans="1:29" hidden="1" x14ac:dyDescent="0.25">
      <c r="A361" t="s">
        <v>1336</v>
      </c>
      <c r="B361">
        <v>9</v>
      </c>
      <c r="C361">
        <v>4</v>
      </c>
      <c r="D361">
        <v>0</v>
      </c>
      <c r="E361" t="s">
        <v>1347</v>
      </c>
      <c r="F361">
        <v>5914</v>
      </c>
      <c r="G361">
        <v>8181135.833333334</v>
      </c>
      <c r="H361">
        <v>0.84259260197480512</v>
      </c>
      <c r="I361">
        <v>0.76666666666666661</v>
      </c>
      <c r="J361">
        <v>793014.83333333337</v>
      </c>
      <c r="K361">
        <v>9138</v>
      </c>
      <c r="L361">
        <v>2</v>
      </c>
      <c r="M361">
        <v>63</v>
      </c>
      <c r="N361">
        <v>0.64444444444444449</v>
      </c>
      <c r="O361">
        <v>478501.58333333337</v>
      </c>
      <c r="P361">
        <v>9411</v>
      </c>
      <c r="Q361">
        <v>2</v>
      </c>
      <c r="R361">
        <v>64</v>
      </c>
      <c r="S361" t="s">
        <v>1892</v>
      </c>
      <c r="Z361" t="str">
        <f>IF((LEN(Wine_pres_final[[#This Row],[kan_width]])-LEN(SUBSTITUTE(Wine_pres_final[[#This Row],[kan_width]]," ","")))&gt;2,Wine_pres_final[[#This Row],[kan_test_acc]],"")</f>
        <v/>
      </c>
      <c r="AA361">
        <f>IF((LEN(Wine_pres_final[[#This Row],[kan_width]])-LEN(SUBSTITUTE(Wine_pres_final[[#This Row],[kan_width]]," ","")))&gt;2,"",Wine_pres_final[[#This Row],[kan_test_acc]])</f>
        <v>0.84259260197480512</v>
      </c>
      <c r="AB361">
        <f>Wine_pres_final[[#This Row],[mlp_test_acc]]</f>
        <v>0.76666666666666661</v>
      </c>
      <c r="AC361">
        <f>Wine_pres_final[[#This Row],[mlp_test_acc2]]</f>
        <v>0.64444444444444449</v>
      </c>
    </row>
    <row r="362" spans="1:29" hidden="1" x14ac:dyDescent="0.25">
      <c r="A362" t="s">
        <v>1336</v>
      </c>
      <c r="B362">
        <v>5</v>
      </c>
      <c r="C362">
        <v>4</v>
      </c>
      <c r="D362">
        <v>0</v>
      </c>
      <c r="E362" t="s">
        <v>1433</v>
      </c>
      <c r="F362">
        <v>1740</v>
      </c>
      <c r="G362">
        <v>14758725.416666668</v>
      </c>
      <c r="H362">
        <v>0.84259260197480523</v>
      </c>
      <c r="I362">
        <v>0.67777777777777781</v>
      </c>
      <c r="J362">
        <v>3579287.5833333335</v>
      </c>
      <c r="K362">
        <v>2961</v>
      </c>
      <c r="L362">
        <v>2</v>
      </c>
      <c r="M362">
        <v>34</v>
      </c>
      <c r="N362">
        <v>0.68888888888888888</v>
      </c>
      <c r="O362">
        <v>2239077.166666667</v>
      </c>
      <c r="P362">
        <v>3118</v>
      </c>
      <c r="Q362">
        <v>2</v>
      </c>
      <c r="R362">
        <v>35</v>
      </c>
      <c r="S362" t="s">
        <v>1685</v>
      </c>
      <c r="Z362" t="str">
        <f>IF((LEN(Wine_pres_final[[#This Row],[kan_width]])-LEN(SUBSTITUTE(Wine_pres_final[[#This Row],[kan_width]]," ","")))&gt;2,Wine_pres_final[[#This Row],[kan_test_acc]],"")</f>
        <v/>
      </c>
      <c r="AA362">
        <f>IF((LEN(Wine_pres_final[[#This Row],[kan_width]])-LEN(SUBSTITUTE(Wine_pres_final[[#This Row],[kan_width]]," ","")))&gt;2,"",Wine_pres_final[[#This Row],[kan_test_acc]])</f>
        <v>0.84259260197480523</v>
      </c>
      <c r="AB362">
        <f>Wine_pres_final[[#This Row],[mlp_test_acc]]</f>
        <v>0.67777777777777781</v>
      </c>
      <c r="AC362">
        <f>Wine_pres_final[[#This Row],[mlp_test_acc2]]</f>
        <v>0.68888888888888888</v>
      </c>
    </row>
    <row r="363" spans="1:29" hidden="1" x14ac:dyDescent="0.25">
      <c r="A363" t="s">
        <v>1336</v>
      </c>
      <c r="B363">
        <v>5</v>
      </c>
      <c r="C363">
        <v>2</v>
      </c>
      <c r="D363">
        <v>0</v>
      </c>
      <c r="E363" t="s">
        <v>1371</v>
      </c>
      <c r="F363">
        <v>4683</v>
      </c>
      <c r="G363">
        <v>11396372.333333332</v>
      </c>
      <c r="H363">
        <v>0.84259260197480523</v>
      </c>
      <c r="I363">
        <v>0.66666666666666663</v>
      </c>
      <c r="J363">
        <v>377570.75</v>
      </c>
      <c r="K363">
        <v>6861</v>
      </c>
      <c r="L363">
        <v>2</v>
      </c>
      <c r="M363">
        <v>54</v>
      </c>
      <c r="N363">
        <v>0.70555555555555549</v>
      </c>
      <c r="O363">
        <v>1876599.0833333333</v>
      </c>
      <c r="P363">
        <v>7098</v>
      </c>
      <c r="Q363">
        <v>2</v>
      </c>
      <c r="R363">
        <v>55</v>
      </c>
      <c r="S363" t="s">
        <v>1604</v>
      </c>
      <c r="Z363">
        <f>IF((LEN(Wine_pres_final[[#This Row],[kan_width]])-LEN(SUBSTITUTE(Wine_pres_final[[#This Row],[kan_width]]," ","")))&gt;2,Wine_pres_final[[#This Row],[kan_test_acc]],"")</f>
        <v>0.84259260197480523</v>
      </c>
      <c r="AA363" t="str">
        <f>IF((LEN(Wine_pres_final[[#This Row],[kan_width]])-LEN(SUBSTITUTE(Wine_pres_final[[#This Row],[kan_width]]," ","")))&gt;2,"",Wine_pres_final[[#This Row],[kan_test_acc]])</f>
        <v/>
      </c>
      <c r="AB363">
        <f>Wine_pres_final[[#This Row],[mlp_test_acc]]</f>
        <v>0.66666666666666663</v>
      </c>
      <c r="AC363">
        <f>Wine_pres_final[[#This Row],[mlp_test_acc2]]</f>
        <v>0.70555555555555549</v>
      </c>
    </row>
    <row r="364" spans="1:29" hidden="1" x14ac:dyDescent="0.25">
      <c r="A364" t="s">
        <v>1336</v>
      </c>
      <c r="B364">
        <v>3</v>
      </c>
      <c r="C364">
        <v>4</v>
      </c>
      <c r="D364">
        <v>0</v>
      </c>
      <c r="E364" t="s">
        <v>1359</v>
      </c>
      <c r="F364">
        <v>4765</v>
      </c>
      <c r="G364">
        <v>12714802.166666668</v>
      </c>
      <c r="H364">
        <v>0.84259260197480523</v>
      </c>
      <c r="I364">
        <v>0.67037037037037028</v>
      </c>
      <c r="J364">
        <v>396183.75</v>
      </c>
      <c r="K364">
        <v>8869</v>
      </c>
      <c r="L364">
        <v>2</v>
      </c>
      <c r="M364">
        <v>62</v>
      </c>
      <c r="N364">
        <v>0.64074074074074072</v>
      </c>
      <c r="O364">
        <v>821512.5</v>
      </c>
      <c r="P364">
        <v>9138</v>
      </c>
      <c r="Q364">
        <v>2</v>
      </c>
      <c r="R364">
        <v>63</v>
      </c>
      <c r="S364" t="s">
        <v>1498</v>
      </c>
      <c r="Z364">
        <f>IF((LEN(Wine_pres_final[[#This Row],[kan_width]])-LEN(SUBSTITUTE(Wine_pres_final[[#This Row],[kan_width]]," ","")))&gt;2,Wine_pres_final[[#This Row],[kan_test_acc]],"")</f>
        <v>0.84259260197480523</v>
      </c>
      <c r="AA364" t="str">
        <f>IF((LEN(Wine_pres_final[[#This Row],[kan_width]])-LEN(SUBSTITUTE(Wine_pres_final[[#This Row],[kan_width]]," ","")))&gt;2,"",Wine_pres_final[[#This Row],[kan_test_acc]])</f>
        <v/>
      </c>
      <c r="AB364">
        <f>Wine_pres_final[[#This Row],[mlp_test_acc]]</f>
        <v>0.67037037037037028</v>
      </c>
      <c r="AC364">
        <f>Wine_pres_final[[#This Row],[mlp_test_acc2]]</f>
        <v>0.64074074074074072</v>
      </c>
    </row>
    <row r="365" spans="1:29" hidden="1" x14ac:dyDescent="0.25">
      <c r="A365" t="s">
        <v>1336</v>
      </c>
      <c r="B365">
        <v>9</v>
      </c>
      <c r="C365">
        <v>2</v>
      </c>
      <c r="D365">
        <v>0</v>
      </c>
      <c r="E365" t="s">
        <v>1389</v>
      </c>
      <c r="F365">
        <v>7891</v>
      </c>
      <c r="G365">
        <v>8584875.416666666</v>
      </c>
      <c r="H365">
        <v>0.84259260197480523</v>
      </c>
      <c r="I365">
        <v>0.65925925925925921</v>
      </c>
      <c r="J365">
        <v>5897259.25</v>
      </c>
      <c r="K365">
        <v>10543</v>
      </c>
      <c r="L365">
        <v>2</v>
      </c>
      <c r="M365">
        <v>68</v>
      </c>
      <c r="N365">
        <v>0.66481481481481475</v>
      </c>
      <c r="O365">
        <v>3413782.083333333</v>
      </c>
      <c r="P365">
        <v>10836</v>
      </c>
      <c r="Q365">
        <v>2</v>
      </c>
      <c r="R365">
        <v>69</v>
      </c>
      <c r="S365" t="s">
        <v>1813</v>
      </c>
      <c r="Z365">
        <f>IF((LEN(Wine_pres_final[[#This Row],[kan_width]])-LEN(SUBSTITUTE(Wine_pres_final[[#This Row],[kan_width]]," ","")))&gt;2,Wine_pres_final[[#This Row],[kan_test_acc]],"")</f>
        <v>0.84259260197480523</v>
      </c>
      <c r="AA365" t="str">
        <f>IF((LEN(Wine_pres_final[[#This Row],[kan_width]])-LEN(SUBSTITUTE(Wine_pres_final[[#This Row],[kan_width]]," ","")))&gt;2,"",Wine_pres_final[[#This Row],[kan_test_acc]])</f>
        <v/>
      </c>
      <c r="AB365">
        <f>Wine_pres_final[[#This Row],[mlp_test_acc]]</f>
        <v>0.65925925925925921</v>
      </c>
      <c r="AC365">
        <f>Wine_pres_final[[#This Row],[mlp_test_acc2]]</f>
        <v>0.66481481481481475</v>
      </c>
    </row>
    <row r="366" spans="1:29" hidden="1" x14ac:dyDescent="0.25">
      <c r="A366" t="s">
        <v>1336</v>
      </c>
      <c r="B366">
        <v>3</v>
      </c>
      <c r="C366">
        <v>5</v>
      </c>
      <c r="D366">
        <v>0</v>
      </c>
      <c r="E366" t="s">
        <v>1399</v>
      </c>
      <c r="F366">
        <v>8418</v>
      </c>
      <c r="G366">
        <v>19034452.166666664</v>
      </c>
      <c r="H366">
        <v>0.84259260197480523</v>
      </c>
      <c r="I366">
        <v>0.65555555555555556</v>
      </c>
      <c r="J366">
        <v>1877791</v>
      </c>
      <c r="K366">
        <v>16429</v>
      </c>
      <c r="L366">
        <v>2</v>
      </c>
      <c r="M366">
        <v>86</v>
      </c>
      <c r="N366">
        <v>0.67592592592592593</v>
      </c>
      <c r="O366">
        <v>1561209.75</v>
      </c>
      <c r="P366">
        <v>16794</v>
      </c>
      <c r="Q366">
        <v>2</v>
      </c>
      <c r="R366">
        <v>87</v>
      </c>
      <c r="S366" t="s">
        <v>1568</v>
      </c>
      <c r="Z366">
        <f>IF((LEN(Wine_pres_final[[#This Row],[kan_width]])-LEN(SUBSTITUTE(Wine_pres_final[[#This Row],[kan_width]]," ","")))&gt;2,Wine_pres_final[[#This Row],[kan_test_acc]],"")</f>
        <v>0.84259260197480523</v>
      </c>
      <c r="AA366" t="str">
        <f>IF((LEN(Wine_pres_final[[#This Row],[kan_width]])-LEN(SUBSTITUTE(Wine_pres_final[[#This Row],[kan_width]]," ","")))&gt;2,"",Wine_pres_final[[#This Row],[kan_test_acc]])</f>
        <v/>
      </c>
      <c r="AB366">
        <f>Wine_pres_final[[#This Row],[mlp_test_acc]]</f>
        <v>0.65555555555555556</v>
      </c>
      <c r="AC366">
        <f>Wine_pres_final[[#This Row],[mlp_test_acc2]]</f>
        <v>0.67592592592592593</v>
      </c>
    </row>
    <row r="367" spans="1:29" hidden="1" x14ac:dyDescent="0.25">
      <c r="A367" t="s">
        <v>1336</v>
      </c>
      <c r="B367">
        <v>5</v>
      </c>
      <c r="C367">
        <v>3</v>
      </c>
      <c r="D367">
        <v>0</v>
      </c>
      <c r="E367" t="s">
        <v>1431</v>
      </c>
      <c r="F367">
        <v>10182</v>
      </c>
      <c r="G367">
        <v>19291510.833333336</v>
      </c>
      <c r="H367">
        <v>0.84259260197480523</v>
      </c>
      <c r="I367">
        <v>0.67222222222222228</v>
      </c>
      <c r="J367">
        <v>4808082</v>
      </c>
      <c r="K367">
        <v>16429</v>
      </c>
      <c r="L367">
        <v>2</v>
      </c>
      <c r="M367">
        <v>86</v>
      </c>
      <c r="N367">
        <v>0.69259259259259265</v>
      </c>
      <c r="O367">
        <v>2421018.666666667</v>
      </c>
      <c r="P367">
        <v>16794</v>
      </c>
      <c r="Q367">
        <v>2</v>
      </c>
      <c r="R367">
        <v>87</v>
      </c>
      <c r="S367" t="s">
        <v>1684</v>
      </c>
      <c r="Z367">
        <f>IF((LEN(Wine_pres_final[[#This Row],[kan_width]])-LEN(SUBSTITUTE(Wine_pres_final[[#This Row],[kan_width]]," ","")))&gt;2,Wine_pres_final[[#This Row],[kan_test_acc]],"")</f>
        <v>0.84259260197480523</v>
      </c>
      <c r="AA367" t="str">
        <f>IF((LEN(Wine_pres_final[[#This Row],[kan_width]])-LEN(SUBSTITUTE(Wine_pres_final[[#This Row],[kan_width]]," ","")))&gt;2,"",Wine_pres_final[[#This Row],[kan_test_acc]])</f>
        <v/>
      </c>
      <c r="AB367">
        <f>Wine_pres_final[[#This Row],[mlp_test_acc]]</f>
        <v>0.67222222222222228</v>
      </c>
      <c r="AC367">
        <f>Wine_pres_final[[#This Row],[mlp_test_acc2]]</f>
        <v>0.69259259259259265</v>
      </c>
    </row>
    <row r="368" spans="1:29" hidden="1" x14ac:dyDescent="0.25">
      <c r="A368" t="s">
        <v>1336</v>
      </c>
      <c r="B368">
        <v>3</v>
      </c>
      <c r="C368">
        <v>5</v>
      </c>
      <c r="D368">
        <v>0</v>
      </c>
      <c r="E368" t="s">
        <v>1435</v>
      </c>
      <c r="F368">
        <v>1950</v>
      </c>
      <c r="G368">
        <v>8715368.916666666</v>
      </c>
      <c r="H368">
        <v>0.84444445123275114</v>
      </c>
      <c r="I368">
        <v>0.70185185185185184</v>
      </c>
      <c r="J368">
        <v>705316.5</v>
      </c>
      <c r="K368">
        <v>3786</v>
      </c>
      <c r="L368">
        <v>2</v>
      </c>
      <c r="M368">
        <v>39</v>
      </c>
      <c r="N368">
        <v>0.67592592592592582</v>
      </c>
      <c r="O368">
        <v>424274.33333333331</v>
      </c>
      <c r="P368">
        <v>3963</v>
      </c>
      <c r="Q368">
        <v>2</v>
      </c>
      <c r="R368">
        <v>40</v>
      </c>
      <c r="S368" t="s">
        <v>1536</v>
      </c>
      <c r="Z368" t="str">
        <f>IF((LEN(Wine_pres_final[[#This Row],[kan_width]])-LEN(SUBSTITUTE(Wine_pres_final[[#This Row],[kan_width]]," ","")))&gt;2,Wine_pres_final[[#This Row],[kan_test_acc]],"")</f>
        <v/>
      </c>
      <c r="AA368">
        <f>IF((LEN(Wine_pres_final[[#This Row],[kan_width]])-LEN(SUBSTITUTE(Wine_pres_final[[#This Row],[kan_width]]," ","")))&gt;2,"",Wine_pres_final[[#This Row],[kan_test_acc]])</f>
        <v>0.84444445123275114</v>
      </c>
      <c r="AB368">
        <f>Wine_pres_final[[#This Row],[mlp_test_acc]]</f>
        <v>0.70185185185185184</v>
      </c>
      <c r="AC368">
        <f>Wine_pres_final[[#This Row],[mlp_test_acc2]]</f>
        <v>0.67592592592592582</v>
      </c>
    </row>
    <row r="369" spans="1:29" hidden="1" x14ac:dyDescent="0.25">
      <c r="A369" t="s">
        <v>1336</v>
      </c>
      <c r="B369">
        <v>5</v>
      </c>
      <c r="C369">
        <v>4</v>
      </c>
      <c r="D369">
        <v>0</v>
      </c>
      <c r="E369" t="s">
        <v>1435</v>
      </c>
      <c r="F369">
        <v>2126</v>
      </c>
      <c r="G369">
        <v>9478051.25</v>
      </c>
      <c r="H369">
        <v>0.84444445371627808</v>
      </c>
      <c r="I369">
        <v>0.71666666666666656</v>
      </c>
      <c r="J369">
        <v>1703804.8333333335</v>
      </c>
      <c r="K369">
        <v>3613</v>
      </c>
      <c r="L369">
        <v>2</v>
      </c>
      <c r="M369">
        <v>38</v>
      </c>
      <c r="N369">
        <v>0.6518518518518519</v>
      </c>
      <c r="O369">
        <v>1073734.1666666667</v>
      </c>
      <c r="P369">
        <v>3786</v>
      </c>
      <c r="Q369">
        <v>2</v>
      </c>
      <c r="R369">
        <v>39</v>
      </c>
      <c r="S369" t="s">
        <v>1686</v>
      </c>
      <c r="Z369" t="str">
        <f>IF((LEN(Wine_pres_final[[#This Row],[kan_width]])-LEN(SUBSTITUTE(Wine_pres_final[[#This Row],[kan_width]]," ","")))&gt;2,Wine_pres_final[[#This Row],[kan_test_acc]],"")</f>
        <v/>
      </c>
      <c r="AA369">
        <f>IF((LEN(Wine_pres_final[[#This Row],[kan_width]])-LEN(SUBSTITUTE(Wine_pres_final[[#This Row],[kan_width]]," ","")))&gt;2,"",Wine_pres_final[[#This Row],[kan_test_acc]])</f>
        <v>0.84444445371627808</v>
      </c>
      <c r="AB369">
        <f>Wine_pres_final[[#This Row],[mlp_test_acc]]</f>
        <v>0.71666666666666656</v>
      </c>
      <c r="AC369">
        <f>Wine_pres_final[[#This Row],[mlp_test_acc2]]</f>
        <v>0.6518518518518519</v>
      </c>
    </row>
    <row r="370" spans="1:29" hidden="1" x14ac:dyDescent="0.25">
      <c r="A370" t="s">
        <v>1336</v>
      </c>
      <c r="B370">
        <v>3</v>
      </c>
      <c r="C370">
        <v>4</v>
      </c>
      <c r="D370">
        <v>0</v>
      </c>
      <c r="E370" t="s">
        <v>1385</v>
      </c>
      <c r="F370">
        <v>4843</v>
      </c>
      <c r="G370">
        <v>13933936.75</v>
      </c>
      <c r="H370">
        <v>0.84444445371627808</v>
      </c>
      <c r="I370">
        <v>0.67407407407407405</v>
      </c>
      <c r="J370">
        <v>1096359.0833333333</v>
      </c>
      <c r="K370">
        <v>9138</v>
      </c>
      <c r="L370">
        <v>2</v>
      </c>
      <c r="M370">
        <v>63</v>
      </c>
      <c r="N370">
        <v>0.66296296296296298</v>
      </c>
      <c r="O370">
        <v>866595.83333333326</v>
      </c>
      <c r="P370">
        <v>9411</v>
      </c>
      <c r="Q370">
        <v>2</v>
      </c>
      <c r="R370">
        <v>64</v>
      </c>
      <c r="S370" t="s">
        <v>1511</v>
      </c>
      <c r="Z370">
        <f>IF((LEN(Wine_pres_final[[#This Row],[kan_width]])-LEN(SUBSTITUTE(Wine_pres_final[[#This Row],[kan_width]]," ","")))&gt;2,Wine_pres_final[[#This Row],[kan_test_acc]],"")</f>
        <v>0.84444445371627808</v>
      </c>
      <c r="AA370" t="str">
        <f>IF((LEN(Wine_pres_final[[#This Row],[kan_width]])-LEN(SUBSTITUTE(Wine_pres_final[[#This Row],[kan_width]]," ","")))&gt;2,"",Wine_pres_final[[#This Row],[kan_test_acc]])</f>
        <v/>
      </c>
      <c r="AB370">
        <f>Wine_pres_final[[#This Row],[mlp_test_acc]]</f>
        <v>0.67407407407407405</v>
      </c>
      <c r="AC370">
        <f>Wine_pres_final[[#This Row],[mlp_test_acc2]]</f>
        <v>0.66296296296296298</v>
      </c>
    </row>
    <row r="371" spans="1:29" hidden="1" x14ac:dyDescent="0.25">
      <c r="A371" t="s">
        <v>1336</v>
      </c>
      <c r="B371">
        <v>5</v>
      </c>
      <c r="C371">
        <v>2</v>
      </c>
      <c r="D371">
        <v>0</v>
      </c>
      <c r="E371" t="s">
        <v>1377</v>
      </c>
      <c r="F371">
        <v>5769</v>
      </c>
      <c r="G371">
        <v>11238016.583333332</v>
      </c>
      <c r="H371">
        <v>0.84444445371627808</v>
      </c>
      <c r="I371">
        <v>0.71296296296296302</v>
      </c>
      <c r="J371">
        <v>364544.5</v>
      </c>
      <c r="K371">
        <v>8604</v>
      </c>
      <c r="L371">
        <v>2</v>
      </c>
      <c r="M371">
        <v>61</v>
      </c>
      <c r="N371">
        <v>0.63703703703703707</v>
      </c>
      <c r="O371">
        <v>380068.91666666663</v>
      </c>
      <c r="P371">
        <v>8869</v>
      </c>
      <c r="Q371">
        <v>2</v>
      </c>
      <c r="R371">
        <v>62</v>
      </c>
      <c r="S371" t="s">
        <v>1607</v>
      </c>
      <c r="Z371">
        <f>IF((LEN(Wine_pres_final[[#This Row],[kan_width]])-LEN(SUBSTITUTE(Wine_pres_final[[#This Row],[kan_width]]," ","")))&gt;2,Wine_pres_final[[#This Row],[kan_test_acc]],"")</f>
        <v>0.84444445371627808</v>
      </c>
      <c r="AA371" t="str">
        <f>IF((LEN(Wine_pres_final[[#This Row],[kan_width]])-LEN(SUBSTITUTE(Wine_pres_final[[#This Row],[kan_width]]," ","")))&gt;2,"",Wine_pres_final[[#This Row],[kan_test_acc]])</f>
        <v/>
      </c>
      <c r="AB371">
        <f>Wine_pres_final[[#This Row],[mlp_test_acc]]</f>
        <v>0.71296296296296302</v>
      </c>
      <c r="AC371">
        <f>Wine_pres_final[[#This Row],[mlp_test_acc2]]</f>
        <v>0.63703703703703707</v>
      </c>
    </row>
    <row r="372" spans="1:29" hidden="1" x14ac:dyDescent="0.25">
      <c r="A372" t="s">
        <v>1336</v>
      </c>
      <c r="B372">
        <v>3</v>
      </c>
      <c r="C372">
        <v>4</v>
      </c>
      <c r="D372">
        <v>0</v>
      </c>
      <c r="E372" t="s">
        <v>1421</v>
      </c>
      <c r="F372">
        <v>6851</v>
      </c>
      <c r="G372">
        <v>15281304</v>
      </c>
      <c r="H372">
        <v>0.84444445371627808</v>
      </c>
      <c r="I372">
        <v>0.67037037037037028</v>
      </c>
      <c r="J372">
        <v>1579941.25</v>
      </c>
      <c r="K372">
        <v>12678</v>
      </c>
      <c r="L372">
        <v>2</v>
      </c>
      <c r="M372">
        <v>75</v>
      </c>
      <c r="N372">
        <v>0.69444444444444442</v>
      </c>
      <c r="O372">
        <v>762987.33333333337</v>
      </c>
      <c r="P372">
        <v>12999</v>
      </c>
      <c r="Q372">
        <v>2</v>
      </c>
      <c r="R372">
        <v>76</v>
      </c>
      <c r="S372" t="s">
        <v>1529</v>
      </c>
      <c r="Z372">
        <f>IF((LEN(Wine_pres_final[[#This Row],[kan_width]])-LEN(SUBSTITUTE(Wine_pres_final[[#This Row],[kan_width]]," ","")))&gt;2,Wine_pres_final[[#This Row],[kan_test_acc]],"")</f>
        <v>0.84444445371627808</v>
      </c>
      <c r="AA372" t="str">
        <f>IF((LEN(Wine_pres_final[[#This Row],[kan_width]])-LEN(SUBSTITUTE(Wine_pres_final[[#This Row],[kan_width]]," ","")))&gt;2,"",Wine_pres_final[[#This Row],[kan_test_acc]])</f>
        <v/>
      </c>
      <c r="AB372">
        <f>Wine_pres_final[[#This Row],[mlp_test_acc]]</f>
        <v>0.67037037037037028</v>
      </c>
      <c r="AC372">
        <f>Wine_pres_final[[#This Row],[mlp_test_acc2]]</f>
        <v>0.69444444444444442</v>
      </c>
    </row>
    <row r="373" spans="1:29" hidden="1" x14ac:dyDescent="0.25">
      <c r="A373" t="s">
        <v>1336</v>
      </c>
      <c r="B373">
        <v>5</v>
      </c>
      <c r="C373">
        <v>2</v>
      </c>
      <c r="D373">
        <v>0</v>
      </c>
      <c r="E373" t="s">
        <v>1413</v>
      </c>
      <c r="F373">
        <v>8017</v>
      </c>
      <c r="G373">
        <v>15067396.5</v>
      </c>
      <c r="H373">
        <v>0.84444445371627808</v>
      </c>
      <c r="I373">
        <v>0.7</v>
      </c>
      <c r="J373">
        <v>3687653.583333333</v>
      </c>
      <c r="K373">
        <v>11739</v>
      </c>
      <c r="L373">
        <v>2</v>
      </c>
      <c r="M373">
        <v>72</v>
      </c>
      <c r="N373">
        <v>0.67777777777777781</v>
      </c>
      <c r="O373">
        <v>3018064.333333333</v>
      </c>
      <c r="P373">
        <v>12048</v>
      </c>
      <c r="Q373">
        <v>2</v>
      </c>
      <c r="R373">
        <v>73</v>
      </c>
      <c r="S373" t="s">
        <v>1625</v>
      </c>
      <c r="Z373">
        <f>IF((LEN(Wine_pres_final[[#This Row],[kan_width]])-LEN(SUBSTITUTE(Wine_pres_final[[#This Row],[kan_width]]," ","")))&gt;2,Wine_pres_final[[#This Row],[kan_test_acc]],"")</f>
        <v>0.84444445371627808</v>
      </c>
      <c r="AA373" t="str">
        <f>IF((LEN(Wine_pres_final[[#This Row],[kan_width]])-LEN(SUBSTITUTE(Wine_pres_final[[#This Row],[kan_width]]," ","")))&gt;2,"",Wine_pres_final[[#This Row],[kan_test_acc]])</f>
        <v/>
      </c>
      <c r="AB373">
        <f>Wine_pres_final[[#This Row],[mlp_test_acc]]</f>
        <v>0.7</v>
      </c>
      <c r="AC373">
        <f>Wine_pres_final[[#This Row],[mlp_test_acc2]]</f>
        <v>0.67777777777777781</v>
      </c>
    </row>
    <row r="374" spans="1:29" hidden="1" x14ac:dyDescent="0.25">
      <c r="A374" t="s">
        <v>1336</v>
      </c>
      <c r="B374">
        <v>5</v>
      </c>
      <c r="C374">
        <v>2</v>
      </c>
      <c r="D374">
        <v>0</v>
      </c>
      <c r="E374" t="s">
        <v>1435</v>
      </c>
      <c r="F374">
        <v>1774</v>
      </c>
      <c r="G374">
        <v>7619175.083333333</v>
      </c>
      <c r="H374">
        <v>0.84629630297422409</v>
      </c>
      <c r="I374">
        <v>0.73888888888888893</v>
      </c>
      <c r="J374">
        <v>3709347.3333333335</v>
      </c>
      <c r="K374">
        <v>2514</v>
      </c>
      <c r="L374">
        <v>2</v>
      </c>
      <c r="M374">
        <v>31</v>
      </c>
      <c r="N374">
        <v>0.65555555555555556</v>
      </c>
      <c r="O374">
        <v>3262132</v>
      </c>
      <c r="P374">
        <v>2659</v>
      </c>
      <c r="Q374">
        <v>2</v>
      </c>
      <c r="R374">
        <v>32</v>
      </c>
      <c r="S374" t="s">
        <v>1586</v>
      </c>
      <c r="Z374" t="str">
        <f>IF((LEN(Wine_pres_final[[#This Row],[kan_width]])-LEN(SUBSTITUTE(Wine_pres_final[[#This Row],[kan_width]]," ","")))&gt;2,Wine_pres_final[[#This Row],[kan_test_acc]],"")</f>
        <v/>
      </c>
      <c r="AA374">
        <f>IF((LEN(Wine_pres_final[[#This Row],[kan_width]])-LEN(SUBSTITUTE(Wine_pres_final[[#This Row],[kan_width]]," ","")))&gt;2,"",Wine_pres_final[[#This Row],[kan_test_acc]])</f>
        <v>0.84629630297422409</v>
      </c>
      <c r="AB374">
        <f>Wine_pres_final[[#This Row],[mlp_test_acc]]</f>
        <v>0.73888888888888893</v>
      </c>
      <c r="AC374">
        <f>Wine_pres_final[[#This Row],[mlp_test_acc2]]</f>
        <v>0.65555555555555556</v>
      </c>
    </row>
    <row r="375" spans="1:29" hidden="1" x14ac:dyDescent="0.25">
      <c r="A375" t="s">
        <v>1336</v>
      </c>
      <c r="B375">
        <v>5</v>
      </c>
      <c r="C375">
        <v>2</v>
      </c>
      <c r="D375">
        <v>0</v>
      </c>
      <c r="E375" t="s">
        <v>1383</v>
      </c>
      <c r="F375">
        <v>6855</v>
      </c>
      <c r="G375">
        <v>10948020.833333334</v>
      </c>
      <c r="H375">
        <v>0.84629630297422409</v>
      </c>
      <c r="I375">
        <v>0.67777777777777781</v>
      </c>
      <c r="J375">
        <v>4570900</v>
      </c>
      <c r="K375">
        <v>10254</v>
      </c>
      <c r="L375">
        <v>2</v>
      </c>
      <c r="M375">
        <v>67</v>
      </c>
      <c r="N375">
        <v>0.71481481481481479</v>
      </c>
      <c r="O375">
        <v>2536211.416666667</v>
      </c>
      <c r="P375">
        <v>10543</v>
      </c>
      <c r="Q375">
        <v>2</v>
      </c>
      <c r="R375">
        <v>68</v>
      </c>
      <c r="S375" t="s">
        <v>1610</v>
      </c>
      <c r="Z375">
        <f>IF((LEN(Wine_pres_final[[#This Row],[kan_width]])-LEN(SUBSTITUTE(Wine_pres_final[[#This Row],[kan_width]]," ","")))&gt;2,Wine_pres_final[[#This Row],[kan_test_acc]],"")</f>
        <v>0.84629630297422409</v>
      </c>
      <c r="AA375" t="str">
        <f>IF((LEN(Wine_pres_final[[#This Row],[kan_width]])-LEN(SUBSTITUTE(Wine_pres_final[[#This Row],[kan_width]]," ","")))&gt;2,"",Wine_pres_final[[#This Row],[kan_test_acc]])</f>
        <v/>
      </c>
      <c r="AB375">
        <f>Wine_pres_final[[#This Row],[mlp_test_acc]]</f>
        <v>0.67777777777777781</v>
      </c>
      <c r="AC375">
        <f>Wine_pres_final[[#This Row],[mlp_test_acc2]]</f>
        <v>0.71481481481481479</v>
      </c>
    </row>
    <row r="376" spans="1:29" hidden="1" x14ac:dyDescent="0.25">
      <c r="A376" t="s">
        <v>1336</v>
      </c>
      <c r="B376">
        <v>9</v>
      </c>
      <c r="C376">
        <v>2</v>
      </c>
      <c r="D376">
        <v>0</v>
      </c>
      <c r="E376" t="s">
        <v>1359</v>
      </c>
      <c r="F376">
        <v>6657</v>
      </c>
      <c r="G376">
        <v>9129022.5</v>
      </c>
      <c r="H376">
        <v>0.84629630545775092</v>
      </c>
      <c r="I376">
        <v>0.71296296296296302</v>
      </c>
      <c r="J376">
        <v>386787.41666666663</v>
      </c>
      <c r="K376">
        <v>8869</v>
      </c>
      <c r="L376">
        <v>2</v>
      </c>
      <c r="M376">
        <v>62</v>
      </c>
      <c r="N376">
        <v>0.6351851851851853</v>
      </c>
      <c r="O376">
        <v>475007.33333333337</v>
      </c>
      <c r="P376">
        <v>9138</v>
      </c>
      <c r="Q376">
        <v>2</v>
      </c>
      <c r="R376">
        <v>63</v>
      </c>
      <c r="S376" t="s">
        <v>1798</v>
      </c>
      <c r="Z376">
        <f>IF((LEN(Wine_pres_final[[#This Row],[kan_width]])-LEN(SUBSTITUTE(Wine_pres_final[[#This Row],[kan_width]]," ","")))&gt;2,Wine_pres_final[[#This Row],[kan_test_acc]],"")</f>
        <v>0.84629630545775092</v>
      </c>
      <c r="AA376" t="str">
        <f>IF((LEN(Wine_pres_final[[#This Row],[kan_width]])-LEN(SUBSTITUTE(Wine_pres_final[[#This Row],[kan_width]]," ","")))&gt;2,"",Wine_pres_final[[#This Row],[kan_test_acc]])</f>
        <v/>
      </c>
      <c r="AB376">
        <f>Wine_pres_final[[#This Row],[mlp_test_acc]]</f>
        <v>0.71296296296296302</v>
      </c>
      <c r="AC376">
        <f>Wine_pres_final[[#This Row],[mlp_test_acc2]]</f>
        <v>0.6351851851851853</v>
      </c>
    </row>
    <row r="377" spans="1:29" hidden="1" x14ac:dyDescent="0.25">
      <c r="A377" t="s">
        <v>1336</v>
      </c>
      <c r="B377">
        <v>9</v>
      </c>
      <c r="C377">
        <v>3</v>
      </c>
      <c r="D377">
        <v>0</v>
      </c>
      <c r="E377" t="s">
        <v>1433</v>
      </c>
      <c r="F377">
        <v>2172</v>
      </c>
      <c r="G377">
        <v>12752636.916666666</v>
      </c>
      <c r="H377">
        <v>0.84629630545775103</v>
      </c>
      <c r="I377">
        <v>0.69629629629629619</v>
      </c>
      <c r="J377">
        <v>3208225.75</v>
      </c>
      <c r="K377">
        <v>3118</v>
      </c>
      <c r="L377">
        <v>2</v>
      </c>
      <c r="M377">
        <v>35</v>
      </c>
      <c r="N377">
        <v>0.67962962962962958</v>
      </c>
      <c r="O377">
        <v>2607753.6666666665</v>
      </c>
      <c r="P377">
        <v>3279</v>
      </c>
      <c r="Q377">
        <v>2</v>
      </c>
      <c r="R377">
        <v>36</v>
      </c>
      <c r="S377" t="s">
        <v>1835</v>
      </c>
      <c r="Z377" t="str">
        <f>IF((LEN(Wine_pres_final[[#This Row],[kan_width]])-LEN(SUBSTITUTE(Wine_pres_final[[#This Row],[kan_width]]," ","")))&gt;2,Wine_pres_final[[#This Row],[kan_test_acc]],"")</f>
        <v/>
      </c>
      <c r="AA377">
        <f>IF((LEN(Wine_pres_final[[#This Row],[kan_width]])-LEN(SUBSTITUTE(Wine_pres_final[[#This Row],[kan_width]]," ","")))&gt;2,"",Wine_pres_final[[#This Row],[kan_test_acc]])</f>
        <v>0.84629630545775103</v>
      </c>
      <c r="AB377">
        <f>Wine_pres_final[[#This Row],[mlp_test_acc]]</f>
        <v>0.69629629629629619</v>
      </c>
      <c r="AC377">
        <f>Wine_pres_final[[#This Row],[mlp_test_acc2]]</f>
        <v>0.67962962962962958</v>
      </c>
    </row>
    <row r="378" spans="1:29" hidden="1" x14ac:dyDescent="0.25">
      <c r="A378" t="s">
        <v>1336</v>
      </c>
      <c r="B378">
        <v>3</v>
      </c>
      <c r="C378">
        <v>4</v>
      </c>
      <c r="D378">
        <v>0</v>
      </c>
      <c r="E378" t="s">
        <v>1373</v>
      </c>
      <c r="F378">
        <v>5045</v>
      </c>
      <c r="G378">
        <v>13979756.5</v>
      </c>
      <c r="H378">
        <v>0.84629630545775103</v>
      </c>
      <c r="I378">
        <v>0.69259259259259265</v>
      </c>
      <c r="J378">
        <v>410118.58333333337</v>
      </c>
      <c r="K378">
        <v>9411</v>
      </c>
      <c r="L378">
        <v>2</v>
      </c>
      <c r="M378">
        <v>64</v>
      </c>
      <c r="N378">
        <v>0.66481481481481475</v>
      </c>
      <c r="O378">
        <v>368590.58333333331</v>
      </c>
      <c r="P378">
        <v>9688</v>
      </c>
      <c r="Q378">
        <v>2</v>
      </c>
      <c r="R378">
        <v>65</v>
      </c>
      <c r="S378" t="s">
        <v>1505</v>
      </c>
      <c r="Z378">
        <f>IF((LEN(Wine_pres_final[[#This Row],[kan_width]])-LEN(SUBSTITUTE(Wine_pres_final[[#This Row],[kan_width]]," ","")))&gt;2,Wine_pres_final[[#This Row],[kan_test_acc]],"")</f>
        <v>0.84629630545775103</v>
      </c>
      <c r="AA378" t="str">
        <f>IF((LEN(Wine_pres_final[[#This Row],[kan_width]])-LEN(SUBSTITUTE(Wine_pres_final[[#This Row],[kan_width]]," ","")))&gt;2,"",Wine_pres_final[[#This Row],[kan_test_acc]])</f>
        <v/>
      </c>
      <c r="AB378">
        <f>Wine_pres_final[[#This Row],[mlp_test_acc]]</f>
        <v>0.69259259259259265</v>
      </c>
      <c r="AC378">
        <f>Wine_pres_final[[#This Row],[mlp_test_acc2]]</f>
        <v>0.66481481481481475</v>
      </c>
    </row>
    <row r="379" spans="1:29" hidden="1" x14ac:dyDescent="0.25">
      <c r="A379" t="s">
        <v>1336</v>
      </c>
      <c r="B379">
        <v>5</v>
      </c>
      <c r="C379">
        <v>2</v>
      </c>
      <c r="D379">
        <v>0</v>
      </c>
      <c r="E379" t="s">
        <v>1399</v>
      </c>
      <c r="F379">
        <v>7657</v>
      </c>
      <c r="G379">
        <v>16235171</v>
      </c>
      <c r="H379">
        <v>0.84629630545775103</v>
      </c>
      <c r="I379">
        <v>0.68148148148148147</v>
      </c>
      <c r="J379">
        <v>3717870</v>
      </c>
      <c r="K379">
        <v>11434</v>
      </c>
      <c r="L379">
        <v>2</v>
      </c>
      <c r="M379">
        <v>71</v>
      </c>
      <c r="N379">
        <v>0.67592592592592593</v>
      </c>
      <c r="O379">
        <v>3954287.6666666665</v>
      </c>
      <c r="P379">
        <v>11739</v>
      </c>
      <c r="Q379">
        <v>2</v>
      </c>
      <c r="R379">
        <v>72</v>
      </c>
      <c r="S379" t="s">
        <v>1618</v>
      </c>
      <c r="Z379">
        <f>IF((LEN(Wine_pres_final[[#This Row],[kan_width]])-LEN(SUBSTITUTE(Wine_pres_final[[#This Row],[kan_width]]," ","")))&gt;2,Wine_pres_final[[#This Row],[kan_test_acc]],"")</f>
        <v>0.84629630545775103</v>
      </c>
      <c r="AA379" t="str">
        <f>IF((LEN(Wine_pres_final[[#This Row],[kan_width]])-LEN(SUBSTITUTE(Wine_pres_final[[#This Row],[kan_width]]," ","")))&gt;2,"",Wine_pres_final[[#This Row],[kan_test_acc]])</f>
        <v/>
      </c>
      <c r="AB379">
        <f>Wine_pres_final[[#This Row],[mlp_test_acc]]</f>
        <v>0.68148148148148147</v>
      </c>
      <c r="AC379">
        <f>Wine_pres_final[[#This Row],[mlp_test_acc2]]</f>
        <v>0.67592592592592593</v>
      </c>
    </row>
    <row r="380" spans="1:29" hidden="1" x14ac:dyDescent="0.25">
      <c r="A380" t="s">
        <v>1336</v>
      </c>
      <c r="B380">
        <v>3</v>
      </c>
      <c r="C380">
        <v>5</v>
      </c>
      <c r="D380">
        <v>0</v>
      </c>
      <c r="E380" t="s">
        <v>1397</v>
      </c>
      <c r="F380">
        <v>7976</v>
      </c>
      <c r="G380">
        <v>16541379.416666668</v>
      </c>
      <c r="H380">
        <v>0.84629630545775103</v>
      </c>
      <c r="I380">
        <v>0.67222222222222228</v>
      </c>
      <c r="J380">
        <v>2057835.75</v>
      </c>
      <c r="K380">
        <v>15711</v>
      </c>
      <c r="L380">
        <v>2</v>
      </c>
      <c r="M380">
        <v>84</v>
      </c>
      <c r="N380">
        <v>0.67037037037037039</v>
      </c>
      <c r="O380">
        <v>1007521.0833333333</v>
      </c>
      <c r="P380">
        <v>16068</v>
      </c>
      <c r="Q380">
        <v>2</v>
      </c>
      <c r="R380">
        <v>85</v>
      </c>
      <c r="S380" t="s">
        <v>1567</v>
      </c>
      <c r="Z380">
        <f>IF((LEN(Wine_pres_final[[#This Row],[kan_width]])-LEN(SUBSTITUTE(Wine_pres_final[[#This Row],[kan_width]]," ","")))&gt;2,Wine_pres_final[[#This Row],[kan_test_acc]],"")</f>
        <v>0.84629630545775103</v>
      </c>
      <c r="AA380" t="str">
        <f>IF((LEN(Wine_pres_final[[#This Row],[kan_width]])-LEN(SUBSTITUTE(Wine_pres_final[[#This Row],[kan_width]]," ","")))&gt;2,"",Wine_pres_final[[#This Row],[kan_test_acc]])</f>
        <v/>
      </c>
      <c r="AB380">
        <f>Wine_pres_final[[#This Row],[mlp_test_acc]]</f>
        <v>0.67222222222222228</v>
      </c>
      <c r="AC380">
        <f>Wine_pres_final[[#This Row],[mlp_test_acc2]]</f>
        <v>0.67037037037037039</v>
      </c>
    </row>
    <row r="381" spans="1:29" hidden="1" x14ac:dyDescent="0.25">
      <c r="A381" t="s">
        <v>1336</v>
      </c>
      <c r="B381">
        <v>3</v>
      </c>
      <c r="C381">
        <v>4</v>
      </c>
      <c r="D381">
        <v>0</v>
      </c>
      <c r="E381" t="s">
        <v>1413</v>
      </c>
      <c r="F381">
        <v>8017</v>
      </c>
      <c r="G381">
        <v>16392239.75</v>
      </c>
      <c r="H381">
        <v>0.84629630545775103</v>
      </c>
      <c r="I381">
        <v>0.66111111111111109</v>
      </c>
      <c r="J381">
        <v>1364591.9166666665</v>
      </c>
      <c r="K381">
        <v>15009</v>
      </c>
      <c r="L381">
        <v>2</v>
      </c>
      <c r="M381">
        <v>82</v>
      </c>
      <c r="N381">
        <v>0.63148148148148153</v>
      </c>
      <c r="O381">
        <v>775454.91666666674</v>
      </c>
      <c r="P381">
        <v>15358</v>
      </c>
      <c r="Q381">
        <v>2</v>
      </c>
      <c r="R381">
        <v>83</v>
      </c>
      <c r="S381" t="s">
        <v>1525</v>
      </c>
      <c r="Z381">
        <f>IF((LEN(Wine_pres_final[[#This Row],[kan_width]])-LEN(SUBSTITUTE(Wine_pres_final[[#This Row],[kan_width]]," ","")))&gt;2,Wine_pres_final[[#This Row],[kan_test_acc]],"")</f>
        <v>0.84629630545775103</v>
      </c>
      <c r="AA381" t="str">
        <f>IF((LEN(Wine_pres_final[[#This Row],[kan_width]])-LEN(SUBSTITUTE(Wine_pres_final[[#This Row],[kan_width]]," ","")))&gt;2,"",Wine_pres_final[[#This Row],[kan_test_acc]])</f>
        <v/>
      </c>
      <c r="AB381">
        <f>Wine_pres_final[[#This Row],[mlp_test_acc]]</f>
        <v>0.66111111111111109</v>
      </c>
      <c r="AC381">
        <f>Wine_pres_final[[#This Row],[mlp_test_acc2]]</f>
        <v>0.63148148148148153</v>
      </c>
    </row>
    <row r="382" spans="1:29" hidden="1" x14ac:dyDescent="0.25">
      <c r="A382" t="s">
        <v>1336</v>
      </c>
      <c r="B382">
        <v>9</v>
      </c>
      <c r="C382">
        <v>2</v>
      </c>
      <c r="D382">
        <v>0</v>
      </c>
      <c r="E382" t="s">
        <v>1415</v>
      </c>
      <c r="F382">
        <v>11823</v>
      </c>
      <c r="G382">
        <v>15424872.083333332</v>
      </c>
      <c r="H382">
        <v>0.84629630545775103</v>
      </c>
      <c r="I382">
        <v>0.64629629629629637</v>
      </c>
      <c r="J382">
        <v>4608518.75</v>
      </c>
      <c r="K382">
        <v>15711</v>
      </c>
      <c r="L382">
        <v>2</v>
      </c>
      <c r="M382">
        <v>84</v>
      </c>
      <c r="N382">
        <v>0.67777777777777781</v>
      </c>
      <c r="O382">
        <v>3565015.333333333</v>
      </c>
      <c r="P382">
        <v>16068</v>
      </c>
      <c r="Q382">
        <v>2</v>
      </c>
      <c r="R382">
        <v>85</v>
      </c>
      <c r="S382" t="s">
        <v>1826</v>
      </c>
      <c r="Z382">
        <f>IF((LEN(Wine_pres_final[[#This Row],[kan_width]])-LEN(SUBSTITUTE(Wine_pres_final[[#This Row],[kan_width]]," ","")))&gt;2,Wine_pres_final[[#This Row],[kan_test_acc]],"")</f>
        <v>0.84629630545775103</v>
      </c>
      <c r="AA382" t="str">
        <f>IF((LEN(Wine_pres_final[[#This Row],[kan_width]])-LEN(SUBSTITUTE(Wine_pres_final[[#This Row],[kan_width]]," ","")))&gt;2,"",Wine_pres_final[[#This Row],[kan_test_acc]])</f>
        <v/>
      </c>
      <c r="AB382">
        <f>Wine_pres_final[[#This Row],[mlp_test_acc]]</f>
        <v>0.64629629629629637</v>
      </c>
      <c r="AC382">
        <f>Wine_pres_final[[#This Row],[mlp_test_acc2]]</f>
        <v>0.67777777777777781</v>
      </c>
    </row>
    <row r="383" spans="1:29" hidden="1" x14ac:dyDescent="0.25">
      <c r="A383" t="s">
        <v>1336</v>
      </c>
      <c r="B383">
        <v>3</v>
      </c>
      <c r="C383">
        <v>3</v>
      </c>
      <c r="D383">
        <v>0</v>
      </c>
      <c r="E383" t="s">
        <v>1429</v>
      </c>
      <c r="F383">
        <v>7906</v>
      </c>
      <c r="G383">
        <v>13217023.666666668</v>
      </c>
      <c r="H383">
        <v>0.84814815471569704</v>
      </c>
      <c r="I383">
        <v>0.71481481481481479</v>
      </c>
      <c r="J383">
        <v>976971.41666666663</v>
      </c>
      <c r="K383">
        <v>13986</v>
      </c>
      <c r="L383">
        <v>2</v>
      </c>
      <c r="M383">
        <v>79</v>
      </c>
      <c r="N383">
        <v>0.67777777777777781</v>
      </c>
      <c r="O383">
        <v>611587.75</v>
      </c>
      <c r="P383">
        <v>14323</v>
      </c>
      <c r="Q383">
        <v>2</v>
      </c>
      <c r="R383">
        <v>80</v>
      </c>
      <c r="S383" t="s">
        <v>1483</v>
      </c>
      <c r="Z383">
        <f>IF((LEN(Wine_pres_final[[#This Row],[kan_width]])-LEN(SUBSTITUTE(Wine_pres_final[[#This Row],[kan_width]]," ","")))&gt;2,Wine_pres_final[[#This Row],[kan_test_acc]],"")</f>
        <v>0.84814815471569704</v>
      </c>
      <c r="AA383" t="str">
        <f>IF((LEN(Wine_pres_final[[#This Row],[kan_width]])-LEN(SUBSTITUTE(Wine_pres_final[[#This Row],[kan_width]]," ","")))&gt;2,"",Wine_pres_final[[#This Row],[kan_test_acc]])</f>
        <v/>
      </c>
      <c r="AB383">
        <f>Wine_pres_final[[#This Row],[mlp_test_acc]]</f>
        <v>0.71481481481481479</v>
      </c>
      <c r="AC383">
        <f>Wine_pres_final[[#This Row],[mlp_test_acc2]]</f>
        <v>0.67777777777777781</v>
      </c>
    </row>
    <row r="384" spans="1:29" hidden="1" x14ac:dyDescent="0.25">
      <c r="A384" t="s">
        <v>1336</v>
      </c>
      <c r="B384">
        <v>5</v>
      </c>
      <c r="C384">
        <v>5</v>
      </c>
      <c r="D384">
        <v>0</v>
      </c>
      <c r="E384" t="s">
        <v>1343</v>
      </c>
      <c r="F384">
        <v>3974</v>
      </c>
      <c r="G384">
        <v>7323347.083333334</v>
      </c>
      <c r="H384">
        <v>0.84814815719922376</v>
      </c>
      <c r="I384">
        <v>0.65925925925925921</v>
      </c>
      <c r="J384">
        <v>368346.58333333337</v>
      </c>
      <c r="K384">
        <v>7098</v>
      </c>
      <c r="L384">
        <v>2</v>
      </c>
      <c r="M384">
        <v>55</v>
      </c>
      <c r="N384">
        <v>0.67407407407407405</v>
      </c>
      <c r="O384">
        <v>361440.33333333337</v>
      </c>
      <c r="P384">
        <v>7339</v>
      </c>
      <c r="Q384">
        <v>2</v>
      </c>
      <c r="R384">
        <v>56</v>
      </c>
      <c r="S384" t="s">
        <v>1740</v>
      </c>
      <c r="Z384" t="str">
        <f>IF((LEN(Wine_pres_final[[#This Row],[kan_width]])-LEN(SUBSTITUTE(Wine_pres_final[[#This Row],[kan_width]]," ","")))&gt;2,Wine_pres_final[[#This Row],[kan_test_acc]],"")</f>
        <v/>
      </c>
      <c r="AA384">
        <f>IF((LEN(Wine_pres_final[[#This Row],[kan_width]])-LEN(SUBSTITUTE(Wine_pres_final[[#This Row],[kan_width]]," ","")))&gt;2,"",Wine_pres_final[[#This Row],[kan_test_acc]])</f>
        <v>0.84814815719922376</v>
      </c>
      <c r="AB384">
        <f>Wine_pres_final[[#This Row],[mlp_test_acc]]</f>
        <v>0.65925925925925921</v>
      </c>
      <c r="AC384">
        <f>Wine_pres_final[[#This Row],[mlp_test_acc2]]</f>
        <v>0.67407407407407405</v>
      </c>
    </row>
    <row r="385" spans="1:29" hidden="1" x14ac:dyDescent="0.25">
      <c r="A385" t="s">
        <v>1336</v>
      </c>
      <c r="B385">
        <v>5</v>
      </c>
      <c r="C385">
        <v>2</v>
      </c>
      <c r="D385">
        <v>0</v>
      </c>
      <c r="E385" t="s">
        <v>1373</v>
      </c>
      <c r="F385">
        <v>5045</v>
      </c>
      <c r="G385">
        <v>10190430</v>
      </c>
      <c r="H385">
        <v>0.85000000894069672</v>
      </c>
      <c r="I385">
        <v>0.63518518518518519</v>
      </c>
      <c r="J385">
        <v>352389.66666666663</v>
      </c>
      <c r="K385">
        <v>7339</v>
      </c>
      <c r="L385">
        <v>2</v>
      </c>
      <c r="M385">
        <v>56</v>
      </c>
      <c r="N385">
        <v>0.67037037037037028</v>
      </c>
      <c r="O385">
        <v>334177.08333333337</v>
      </c>
      <c r="P385">
        <v>7584</v>
      </c>
      <c r="Q385">
        <v>2</v>
      </c>
      <c r="R385">
        <v>57</v>
      </c>
      <c r="S385" t="s">
        <v>1605</v>
      </c>
      <c r="Z385">
        <f>IF((LEN(Wine_pres_final[[#This Row],[kan_width]])-LEN(SUBSTITUTE(Wine_pres_final[[#This Row],[kan_width]]," ","")))&gt;2,Wine_pres_final[[#This Row],[kan_test_acc]],"")</f>
        <v>0.85000000894069672</v>
      </c>
      <c r="AA385" t="str">
        <f>IF((LEN(Wine_pres_final[[#This Row],[kan_width]])-LEN(SUBSTITUTE(Wine_pres_final[[#This Row],[kan_width]]," ","")))&gt;2,"",Wine_pres_final[[#This Row],[kan_test_acc]])</f>
        <v/>
      </c>
      <c r="AB385">
        <f>Wine_pres_final[[#This Row],[mlp_test_acc]]</f>
        <v>0.63518518518518519</v>
      </c>
      <c r="AC385">
        <f>Wine_pres_final[[#This Row],[mlp_test_acc2]]</f>
        <v>0.67037037037037028</v>
      </c>
    </row>
    <row r="386" spans="1:29" hidden="1" x14ac:dyDescent="0.25">
      <c r="A386" t="s">
        <v>1336</v>
      </c>
      <c r="B386">
        <v>5</v>
      </c>
      <c r="C386">
        <v>4</v>
      </c>
      <c r="D386">
        <v>0</v>
      </c>
      <c r="E386" t="s">
        <v>1351</v>
      </c>
      <c r="F386">
        <v>5214</v>
      </c>
      <c r="G386">
        <v>7799237.916666666</v>
      </c>
      <c r="H386">
        <v>0.85000000894069672</v>
      </c>
      <c r="I386">
        <v>0.67592592592592593</v>
      </c>
      <c r="J386">
        <v>406844.83333333337</v>
      </c>
      <c r="K386">
        <v>8869</v>
      </c>
      <c r="L386">
        <v>2</v>
      </c>
      <c r="M386">
        <v>62</v>
      </c>
      <c r="N386">
        <v>0.6425925925925926</v>
      </c>
      <c r="O386">
        <v>984331.41666666674</v>
      </c>
      <c r="P386">
        <v>9138</v>
      </c>
      <c r="Q386">
        <v>2</v>
      </c>
      <c r="R386">
        <v>63</v>
      </c>
      <c r="S386" t="s">
        <v>1694</v>
      </c>
      <c r="Z386" t="str">
        <f>IF((LEN(Wine_pres_final[[#This Row],[kan_width]])-LEN(SUBSTITUTE(Wine_pres_final[[#This Row],[kan_width]]," ","")))&gt;2,Wine_pres_final[[#This Row],[kan_test_acc]],"")</f>
        <v/>
      </c>
      <c r="AA386">
        <f>IF((LEN(Wine_pres_final[[#This Row],[kan_width]])-LEN(SUBSTITUTE(Wine_pres_final[[#This Row],[kan_width]]," ","")))&gt;2,"",Wine_pres_final[[#This Row],[kan_test_acc]])</f>
        <v>0.85000000894069672</v>
      </c>
      <c r="AB386">
        <f>Wine_pres_final[[#This Row],[mlp_test_acc]]</f>
        <v>0.67592592592592593</v>
      </c>
      <c r="AC386">
        <f>Wine_pres_final[[#This Row],[mlp_test_acc2]]</f>
        <v>0.6425925925925926</v>
      </c>
    </row>
    <row r="387" spans="1:29" hidden="1" x14ac:dyDescent="0.25">
      <c r="A387" t="s">
        <v>1336</v>
      </c>
      <c r="B387">
        <v>5</v>
      </c>
      <c r="C387">
        <v>2</v>
      </c>
      <c r="D387">
        <v>0</v>
      </c>
      <c r="E387" t="s">
        <v>1375</v>
      </c>
      <c r="F387">
        <v>5407</v>
      </c>
      <c r="G387">
        <v>10674864.5</v>
      </c>
      <c r="H387">
        <v>0.85000000894069672</v>
      </c>
      <c r="I387">
        <v>0.67407407407407405</v>
      </c>
      <c r="J387">
        <v>343842.33333333337</v>
      </c>
      <c r="K387">
        <v>8086</v>
      </c>
      <c r="L387">
        <v>2</v>
      </c>
      <c r="M387">
        <v>59</v>
      </c>
      <c r="N387">
        <v>0.65370370370370368</v>
      </c>
      <c r="O387">
        <v>337125.75</v>
      </c>
      <c r="P387">
        <v>8343</v>
      </c>
      <c r="Q387">
        <v>2</v>
      </c>
      <c r="R387">
        <v>60</v>
      </c>
      <c r="S387" t="s">
        <v>1606</v>
      </c>
      <c r="Z387">
        <f>IF((LEN(Wine_pres_final[[#This Row],[kan_width]])-LEN(SUBSTITUTE(Wine_pres_final[[#This Row],[kan_width]]," ","")))&gt;2,Wine_pres_final[[#This Row],[kan_test_acc]],"")</f>
        <v>0.85000000894069672</v>
      </c>
      <c r="AA387" t="str">
        <f>IF((LEN(Wine_pres_final[[#This Row],[kan_width]])-LEN(SUBSTITUTE(Wine_pres_final[[#This Row],[kan_width]]," ","")))&gt;2,"",Wine_pres_final[[#This Row],[kan_test_acc]])</f>
        <v/>
      </c>
      <c r="AB387">
        <f>Wine_pres_final[[#This Row],[mlp_test_acc]]</f>
        <v>0.67407407407407405</v>
      </c>
      <c r="AC387">
        <f>Wine_pres_final[[#This Row],[mlp_test_acc2]]</f>
        <v>0.65370370370370368</v>
      </c>
    </row>
    <row r="388" spans="1:29" hidden="1" x14ac:dyDescent="0.25">
      <c r="A388" t="s">
        <v>1336</v>
      </c>
      <c r="B388">
        <v>3</v>
      </c>
      <c r="C388">
        <v>4</v>
      </c>
      <c r="D388">
        <v>0</v>
      </c>
      <c r="E388" t="s">
        <v>1417</v>
      </c>
      <c r="F388">
        <v>5887</v>
      </c>
      <c r="G388">
        <v>17989365.75</v>
      </c>
      <c r="H388">
        <v>0.85000000894069672</v>
      </c>
      <c r="I388">
        <v>0.67222222222222228</v>
      </c>
      <c r="J388">
        <v>1288428.0833333333</v>
      </c>
      <c r="K388">
        <v>11133</v>
      </c>
      <c r="L388">
        <v>2</v>
      </c>
      <c r="M388">
        <v>70</v>
      </c>
      <c r="N388">
        <v>0.73703703703703705</v>
      </c>
      <c r="O388">
        <v>898048.16666666674</v>
      </c>
      <c r="P388">
        <v>11434</v>
      </c>
      <c r="Q388">
        <v>2</v>
      </c>
      <c r="R388">
        <v>71</v>
      </c>
      <c r="S388" t="s">
        <v>1527</v>
      </c>
      <c r="Z388">
        <f>IF((LEN(Wine_pres_final[[#This Row],[kan_width]])-LEN(SUBSTITUTE(Wine_pres_final[[#This Row],[kan_width]]," ","")))&gt;2,Wine_pres_final[[#This Row],[kan_test_acc]],"")</f>
        <v>0.85000000894069672</v>
      </c>
      <c r="AA388" t="str">
        <f>IF((LEN(Wine_pres_final[[#This Row],[kan_width]])-LEN(SUBSTITUTE(Wine_pres_final[[#This Row],[kan_width]]," ","")))&gt;2,"",Wine_pres_final[[#This Row],[kan_test_acc]])</f>
        <v/>
      </c>
      <c r="AB388">
        <f>Wine_pres_final[[#This Row],[mlp_test_acc]]</f>
        <v>0.67222222222222228</v>
      </c>
      <c r="AC388">
        <f>Wine_pres_final[[#This Row],[mlp_test_acc2]]</f>
        <v>0.73703703703703705</v>
      </c>
    </row>
    <row r="389" spans="1:29" hidden="1" x14ac:dyDescent="0.25">
      <c r="A389" t="s">
        <v>1336</v>
      </c>
      <c r="B389">
        <v>3</v>
      </c>
      <c r="C389">
        <v>4</v>
      </c>
      <c r="D389">
        <v>0</v>
      </c>
      <c r="E389" t="s">
        <v>1407</v>
      </c>
      <c r="F389">
        <v>6691</v>
      </c>
      <c r="G389">
        <v>14864715.916666666</v>
      </c>
      <c r="H389">
        <v>0.85000000894069672</v>
      </c>
      <c r="I389">
        <v>0.67407407407407405</v>
      </c>
      <c r="J389">
        <v>1744115.75</v>
      </c>
      <c r="K389">
        <v>12361</v>
      </c>
      <c r="L389">
        <v>2</v>
      </c>
      <c r="M389">
        <v>74</v>
      </c>
      <c r="N389">
        <v>0.65</v>
      </c>
      <c r="O389">
        <v>1157697.0833333335</v>
      </c>
      <c r="P389">
        <v>12678</v>
      </c>
      <c r="Q389">
        <v>2</v>
      </c>
      <c r="R389">
        <v>75</v>
      </c>
      <c r="S389" t="s">
        <v>1522</v>
      </c>
      <c r="Z389">
        <f>IF((LEN(Wine_pres_final[[#This Row],[kan_width]])-LEN(SUBSTITUTE(Wine_pres_final[[#This Row],[kan_width]]," ","")))&gt;2,Wine_pres_final[[#This Row],[kan_test_acc]],"")</f>
        <v>0.85000000894069672</v>
      </c>
      <c r="AA389" t="str">
        <f>IF((LEN(Wine_pres_final[[#This Row],[kan_width]])-LEN(SUBSTITUTE(Wine_pres_final[[#This Row],[kan_width]]," ","")))&gt;2,"",Wine_pres_final[[#This Row],[kan_test_acc]])</f>
        <v/>
      </c>
      <c r="AB389">
        <f>Wine_pres_final[[#This Row],[mlp_test_acc]]</f>
        <v>0.67407407407407405</v>
      </c>
      <c r="AC389">
        <f>Wine_pres_final[[#This Row],[mlp_test_acc2]]</f>
        <v>0.65</v>
      </c>
    </row>
    <row r="390" spans="1:29" hidden="1" x14ac:dyDescent="0.25">
      <c r="A390" t="s">
        <v>1336</v>
      </c>
      <c r="B390">
        <v>9</v>
      </c>
      <c r="C390">
        <v>2</v>
      </c>
      <c r="D390">
        <v>0</v>
      </c>
      <c r="E390" t="s">
        <v>1373</v>
      </c>
      <c r="F390">
        <v>7049</v>
      </c>
      <c r="G390">
        <v>8382237.416666666</v>
      </c>
      <c r="H390">
        <v>0.85000000894069672</v>
      </c>
      <c r="I390">
        <v>0.74814814814814812</v>
      </c>
      <c r="J390">
        <v>805299</v>
      </c>
      <c r="K390">
        <v>9411</v>
      </c>
      <c r="L390">
        <v>2</v>
      </c>
      <c r="M390">
        <v>64</v>
      </c>
      <c r="N390">
        <v>0.71666666666666667</v>
      </c>
      <c r="O390">
        <v>536665.08333333337</v>
      </c>
      <c r="P390">
        <v>9688</v>
      </c>
      <c r="Q390">
        <v>2</v>
      </c>
      <c r="R390">
        <v>65</v>
      </c>
      <c r="S390" t="s">
        <v>1805</v>
      </c>
      <c r="Z390">
        <f>IF((LEN(Wine_pres_final[[#This Row],[kan_width]])-LEN(SUBSTITUTE(Wine_pres_final[[#This Row],[kan_width]]," ","")))&gt;2,Wine_pres_final[[#This Row],[kan_test_acc]],"")</f>
        <v>0.85000000894069672</v>
      </c>
      <c r="AA390" t="str">
        <f>IF((LEN(Wine_pres_final[[#This Row],[kan_width]])-LEN(SUBSTITUTE(Wine_pres_final[[#This Row],[kan_width]]," ","")))&gt;2,"",Wine_pres_final[[#This Row],[kan_test_acc]])</f>
        <v/>
      </c>
      <c r="AB390">
        <f>Wine_pres_final[[#This Row],[mlp_test_acc]]</f>
        <v>0.74814814814814812</v>
      </c>
      <c r="AC390">
        <f>Wine_pres_final[[#This Row],[mlp_test_acc2]]</f>
        <v>0.71666666666666667</v>
      </c>
    </row>
    <row r="391" spans="1:29" hidden="1" x14ac:dyDescent="0.25">
      <c r="A391" t="s">
        <v>1336</v>
      </c>
      <c r="B391">
        <v>3</v>
      </c>
      <c r="C391">
        <v>4</v>
      </c>
      <c r="D391">
        <v>0</v>
      </c>
      <c r="E391" t="s">
        <v>1431</v>
      </c>
      <c r="F391">
        <v>9261</v>
      </c>
      <c r="G391">
        <v>18030119.75</v>
      </c>
      <c r="H391">
        <v>0.85000000894069672</v>
      </c>
      <c r="I391">
        <v>0.65925925925925921</v>
      </c>
      <c r="J391">
        <v>941522.75</v>
      </c>
      <c r="K391">
        <v>17536</v>
      </c>
      <c r="L391">
        <v>2</v>
      </c>
      <c r="M391">
        <v>89</v>
      </c>
      <c r="N391">
        <v>0.68333333333333335</v>
      </c>
      <c r="O391">
        <v>626872.08333333326</v>
      </c>
      <c r="P391">
        <v>17913</v>
      </c>
      <c r="Q391">
        <v>2</v>
      </c>
      <c r="R391">
        <v>90</v>
      </c>
      <c r="S391" t="s">
        <v>1534</v>
      </c>
      <c r="Z391">
        <f>IF((LEN(Wine_pres_final[[#This Row],[kan_width]])-LEN(SUBSTITUTE(Wine_pres_final[[#This Row],[kan_width]]," ","")))&gt;2,Wine_pres_final[[#This Row],[kan_test_acc]],"")</f>
        <v>0.85000000894069672</v>
      </c>
      <c r="AA391" t="str">
        <f>IF((LEN(Wine_pres_final[[#This Row],[kan_width]])-LEN(SUBSTITUTE(Wine_pres_final[[#This Row],[kan_width]]," ","")))&gt;2,"",Wine_pres_final[[#This Row],[kan_test_acc]])</f>
        <v/>
      </c>
      <c r="AB391">
        <f>Wine_pres_final[[#This Row],[mlp_test_acc]]</f>
        <v>0.65925925925925921</v>
      </c>
      <c r="AC391">
        <f>Wine_pres_final[[#This Row],[mlp_test_acc2]]</f>
        <v>0.68333333333333335</v>
      </c>
    </row>
    <row r="392" spans="1:29" hidden="1" x14ac:dyDescent="0.25">
      <c r="A392" t="s">
        <v>1336</v>
      </c>
      <c r="B392">
        <v>9</v>
      </c>
      <c r="C392">
        <v>2</v>
      </c>
      <c r="D392">
        <v>0</v>
      </c>
      <c r="E392" t="s">
        <v>1421</v>
      </c>
      <c r="F392">
        <v>9575</v>
      </c>
      <c r="G392">
        <v>13770251.083333334</v>
      </c>
      <c r="H392">
        <v>0.85000000894069672</v>
      </c>
      <c r="I392">
        <v>0.65925925925925921</v>
      </c>
      <c r="J392">
        <v>4108809.6666666665</v>
      </c>
      <c r="K392">
        <v>12678</v>
      </c>
      <c r="L392">
        <v>2</v>
      </c>
      <c r="M392">
        <v>75</v>
      </c>
      <c r="N392">
        <v>0.68333333333333335</v>
      </c>
      <c r="O392">
        <v>2305304.75</v>
      </c>
      <c r="P392">
        <v>12999</v>
      </c>
      <c r="Q392">
        <v>2</v>
      </c>
      <c r="R392">
        <v>76</v>
      </c>
      <c r="S392" t="s">
        <v>1829</v>
      </c>
      <c r="Z392">
        <f>IF((LEN(Wine_pres_final[[#This Row],[kan_width]])-LEN(SUBSTITUTE(Wine_pres_final[[#This Row],[kan_width]]," ","")))&gt;2,Wine_pres_final[[#This Row],[kan_test_acc]],"")</f>
        <v>0.85000000894069672</v>
      </c>
      <c r="AA392" t="str">
        <f>IF((LEN(Wine_pres_final[[#This Row],[kan_width]])-LEN(SUBSTITUTE(Wine_pres_final[[#This Row],[kan_width]]," ","")))&gt;2,"",Wine_pres_final[[#This Row],[kan_test_acc]])</f>
        <v/>
      </c>
      <c r="AB392">
        <f>Wine_pres_final[[#This Row],[mlp_test_acc]]</f>
        <v>0.65925925925925921</v>
      </c>
      <c r="AC392">
        <f>Wine_pres_final[[#This Row],[mlp_test_acc2]]</f>
        <v>0.68333333333333335</v>
      </c>
    </row>
    <row r="393" spans="1:29" hidden="1" x14ac:dyDescent="0.25">
      <c r="A393" t="s">
        <v>1336</v>
      </c>
      <c r="B393">
        <v>9</v>
      </c>
      <c r="C393">
        <v>4</v>
      </c>
      <c r="D393">
        <v>0</v>
      </c>
      <c r="E393" t="s">
        <v>1349</v>
      </c>
      <c r="F393">
        <v>6428</v>
      </c>
      <c r="G393">
        <v>7750432.833333334</v>
      </c>
      <c r="H393">
        <v>0.85185186068216956</v>
      </c>
      <c r="I393">
        <v>0.67592592592592593</v>
      </c>
      <c r="J393">
        <v>2436712.8333333335</v>
      </c>
      <c r="K393">
        <v>9969</v>
      </c>
      <c r="L393">
        <v>2</v>
      </c>
      <c r="M393">
        <v>66</v>
      </c>
      <c r="N393">
        <v>0.66111111111111109</v>
      </c>
      <c r="O393">
        <v>2022225.5833333333</v>
      </c>
      <c r="P393">
        <v>10254</v>
      </c>
      <c r="Q393">
        <v>2</v>
      </c>
      <c r="R393">
        <v>67</v>
      </c>
      <c r="S393" t="s">
        <v>1893</v>
      </c>
      <c r="Z393" t="str">
        <f>IF((LEN(Wine_pres_final[[#This Row],[kan_width]])-LEN(SUBSTITUTE(Wine_pres_final[[#This Row],[kan_width]]," ","")))&gt;2,Wine_pres_final[[#This Row],[kan_test_acc]],"")</f>
        <v/>
      </c>
      <c r="AA393">
        <f>IF((LEN(Wine_pres_final[[#This Row],[kan_width]])-LEN(SUBSTITUTE(Wine_pres_final[[#This Row],[kan_width]]," ","")))&gt;2,"",Wine_pres_final[[#This Row],[kan_test_acc]])</f>
        <v>0.85185186068216956</v>
      </c>
      <c r="AB393">
        <f>Wine_pres_final[[#This Row],[mlp_test_acc]]</f>
        <v>0.67592592592592593</v>
      </c>
      <c r="AC393">
        <f>Wine_pres_final[[#This Row],[mlp_test_acc2]]</f>
        <v>0.66111111111111109</v>
      </c>
    </row>
    <row r="394" spans="1:29" hidden="1" x14ac:dyDescent="0.25">
      <c r="A394" t="s">
        <v>1336</v>
      </c>
      <c r="B394">
        <v>5</v>
      </c>
      <c r="C394">
        <v>2</v>
      </c>
      <c r="D394">
        <v>0</v>
      </c>
      <c r="E394" t="s">
        <v>1393</v>
      </c>
      <c r="F394">
        <v>6451</v>
      </c>
      <c r="G394">
        <v>12285231.5</v>
      </c>
      <c r="H394">
        <v>0.85185186068216956</v>
      </c>
      <c r="I394">
        <v>0.68703703703703711</v>
      </c>
      <c r="J394">
        <v>617092.16666666663</v>
      </c>
      <c r="K394">
        <v>9411</v>
      </c>
      <c r="L394">
        <v>2</v>
      </c>
      <c r="M394">
        <v>64</v>
      </c>
      <c r="N394">
        <v>0.65370370370370368</v>
      </c>
      <c r="O394">
        <v>2355053</v>
      </c>
      <c r="P394">
        <v>9688</v>
      </c>
      <c r="Q394">
        <v>2</v>
      </c>
      <c r="R394">
        <v>65</v>
      </c>
      <c r="S394" t="s">
        <v>1615</v>
      </c>
      <c r="Z394">
        <f>IF((LEN(Wine_pres_final[[#This Row],[kan_width]])-LEN(SUBSTITUTE(Wine_pres_final[[#This Row],[kan_width]]," ","")))&gt;2,Wine_pres_final[[#This Row],[kan_test_acc]],"")</f>
        <v>0.85185186068216956</v>
      </c>
      <c r="AA394" t="str">
        <f>IF((LEN(Wine_pres_final[[#This Row],[kan_width]])-LEN(SUBSTITUTE(Wine_pres_final[[#This Row],[kan_width]]," ","")))&gt;2,"",Wine_pres_final[[#This Row],[kan_test_acc]])</f>
        <v/>
      </c>
      <c r="AB394">
        <f>Wine_pres_final[[#This Row],[mlp_test_acc]]</f>
        <v>0.68703703703703711</v>
      </c>
      <c r="AC394">
        <f>Wine_pres_final[[#This Row],[mlp_test_acc2]]</f>
        <v>0.65370370370370368</v>
      </c>
    </row>
    <row r="395" spans="1:29" hidden="1" x14ac:dyDescent="0.25">
      <c r="A395" t="s">
        <v>1336</v>
      </c>
      <c r="B395">
        <v>9</v>
      </c>
      <c r="C395">
        <v>3</v>
      </c>
      <c r="D395">
        <v>0</v>
      </c>
      <c r="E395" t="s">
        <v>1435</v>
      </c>
      <c r="F395">
        <v>2654</v>
      </c>
      <c r="G395">
        <v>10009729.166666666</v>
      </c>
      <c r="H395">
        <v>0.85185186068216967</v>
      </c>
      <c r="I395">
        <v>0.67037037037037028</v>
      </c>
      <c r="J395">
        <v>1414083.1666666667</v>
      </c>
      <c r="K395">
        <v>3786</v>
      </c>
      <c r="L395">
        <v>2</v>
      </c>
      <c r="M395">
        <v>39</v>
      </c>
      <c r="N395">
        <v>0.70185185185185184</v>
      </c>
      <c r="O395">
        <v>1553873.8333333333</v>
      </c>
      <c r="P395">
        <v>3963</v>
      </c>
      <c r="Q395">
        <v>2</v>
      </c>
      <c r="R395">
        <v>40</v>
      </c>
      <c r="S395" t="s">
        <v>1836</v>
      </c>
      <c r="Z395" t="str">
        <f>IF((LEN(Wine_pres_final[[#This Row],[kan_width]])-LEN(SUBSTITUTE(Wine_pres_final[[#This Row],[kan_width]]," ","")))&gt;2,Wine_pres_final[[#This Row],[kan_test_acc]],"")</f>
        <v/>
      </c>
      <c r="AA395">
        <f>IF((LEN(Wine_pres_final[[#This Row],[kan_width]])-LEN(SUBSTITUTE(Wine_pres_final[[#This Row],[kan_width]]," ","")))&gt;2,"",Wine_pres_final[[#This Row],[kan_test_acc]])</f>
        <v>0.85185186068216967</v>
      </c>
      <c r="AB395">
        <f>Wine_pres_final[[#This Row],[mlp_test_acc]]</f>
        <v>0.67037037037037028</v>
      </c>
      <c r="AC395">
        <f>Wine_pres_final[[#This Row],[mlp_test_acc2]]</f>
        <v>0.70185185185185184</v>
      </c>
    </row>
    <row r="396" spans="1:29" hidden="1" x14ac:dyDescent="0.25">
      <c r="A396" t="s">
        <v>1336</v>
      </c>
      <c r="B396">
        <v>3</v>
      </c>
      <c r="C396">
        <v>4</v>
      </c>
      <c r="D396">
        <v>0</v>
      </c>
      <c r="E396" t="s">
        <v>1387</v>
      </c>
      <c r="F396">
        <v>5245</v>
      </c>
      <c r="G396">
        <v>12982524.083333334</v>
      </c>
      <c r="H396">
        <v>0.8537037124236424</v>
      </c>
      <c r="I396">
        <v>0.67222222222222228</v>
      </c>
      <c r="J396">
        <v>1256432.5</v>
      </c>
      <c r="K396">
        <v>9688</v>
      </c>
      <c r="L396">
        <v>2</v>
      </c>
      <c r="M396">
        <v>65</v>
      </c>
      <c r="N396">
        <v>0.65925925925925921</v>
      </c>
      <c r="O396">
        <v>997022.66666666663</v>
      </c>
      <c r="P396">
        <v>9969</v>
      </c>
      <c r="Q396">
        <v>2</v>
      </c>
      <c r="R396">
        <v>66</v>
      </c>
      <c r="S396" t="s">
        <v>1512</v>
      </c>
      <c r="Z396">
        <f>IF((LEN(Wine_pres_final[[#This Row],[kan_width]])-LEN(SUBSTITUTE(Wine_pres_final[[#This Row],[kan_width]]," ","")))&gt;2,Wine_pres_final[[#This Row],[kan_test_acc]],"")</f>
        <v>0.8537037124236424</v>
      </c>
      <c r="AA396" t="str">
        <f>IF((LEN(Wine_pres_final[[#This Row],[kan_width]])-LEN(SUBSTITUTE(Wine_pres_final[[#This Row],[kan_width]]," ","")))&gt;2,"",Wine_pres_final[[#This Row],[kan_test_acc]])</f>
        <v/>
      </c>
      <c r="AB396">
        <f>Wine_pres_final[[#This Row],[mlp_test_acc]]</f>
        <v>0.67222222222222228</v>
      </c>
      <c r="AC396">
        <f>Wine_pres_final[[#This Row],[mlp_test_acc2]]</f>
        <v>0.65925925925925921</v>
      </c>
    </row>
    <row r="397" spans="1:29" hidden="1" x14ac:dyDescent="0.25">
      <c r="A397" t="s">
        <v>1336</v>
      </c>
      <c r="B397">
        <v>3</v>
      </c>
      <c r="C397">
        <v>2</v>
      </c>
      <c r="D397">
        <v>0</v>
      </c>
      <c r="E397" t="s">
        <v>1411</v>
      </c>
      <c r="F397">
        <v>6069</v>
      </c>
      <c r="G397">
        <v>8256636.583333334</v>
      </c>
      <c r="H397">
        <v>0.85555556168158842</v>
      </c>
      <c r="I397">
        <v>0.75</v>
      </c>
      <c r="J397">
        <v>500251.83333333331</v>
      </c>
      <c r="K397">
        <v>9688</v>
      </c>
      <c r="L397">
        <v>2</v>
      </c>
      <c r="M397">
        <v>65</v>
      </c>
      <c r="N397">
        <v>0.68518518518518512</v>
      </c>
      <c r="O397">
        <v>512408.58333333337</v>
      </c>
      <c r="P397">
        <v>9969</v>
      </c>
      <c r="Q397">
        <v>2</v>
      </c>
      <c r="R397">
        <v>66</v>
      </c>
      <c r="S397" t="s">
        <v>1412</v>
      </c>
      <c r="Z397">
        <f>IF((LEN(Wine_pres_final[[#This Row],[kan_width]])-LEN(SUBSTITUTE(Wine_pres_final[[#This Row],[kan_width]]," ","")))&gt;2,Wine_pres_final[[#This Row],[kan_test_acc]],"")</f>
        <v>0.85555556168158842</v>
      </c>
      <c r="AA397" t="str">
        <f>IF((LEN(Wine_pres_final[[#This Row],[kan_width]])-LEN(SUBSTITUTE(Wine_pres_final[[#This Row],[kan_width]]," ","")))&gt;2,"",Wine_pres_final[[#This Row],[kan_test_acc]])</f>
        <v/>
      </c>
      <c r="AB397">
        <f>Wine_pres_final[[#This Row],[mlp_test_acc]]</f>
        <v>0.75</v>
      </c>
      <c r="AC397">
        <f>Wine_pres_final[[#This Row],[mlp_test_acc2]]</f>
        <v>0.68518518518518512</v>
      </c>
    </row>
    <row r="398" spans="1:29" hidden="1" x14ac:dyDescent="0.25">
      <c r="A398" t="s">
        <v>1336</v>
      </c>
      <c r="B398">
        <v>3</v>
      </c>
      <c r="C398">
        <v>5</v>
      </c>
      <c r="D398">
        <v>0</v>
      </c>
      <c r="E398" t="s">
        <v>1353</v>
      </c>
      <c r="F398">
        <v>4176</v>
      </c>
      <c r="G398">
        <v>9286141</v>
      </c>
      <c r="H398">
        <v>0.85555556416511536</v>
      </c>
      <c r="I398">
        <v>0.70185185185185184</v>
      </c>
      <c r="J398">
        <v>2396292.25</v>
      </c>
      <c r="K398">
        <v>8086</v>
      </c>
      <c r="L398">
        <v>2</v>
      </c>
      <c r="M398">
        <v>59</v>
      </c>
      <c r="N398">
        <v>0.69444444444444442</v>
      </c>
      <c r="O398">
        <v>1359463.5</v>
      </c>
      <c r="P398">
        <v>8343</v>
      </c>
      <c r="Q398">
        <v>2</v>
      </c>
      <c r="R398">
        <v>60</v>
      </c>
      <c r="S398" t="s">
        <v>1545</v>
      </c>
      <c r="Z398">
        <f>IF((LEN(Wine_pres_final[[#This Row],[kan_width]])-LEN(SUBSTITUTE(Wine_pres_final[[#This Row],[kan_width]]," ","")))&gt;2,Wine_pres_final[[#This Row],[kan_test_acc]],"")</f>
        <v>0.85555556416511536</v>
      </c>
      <c r="AA398" t="str">
        <f>IF((LEN(Wine_pres_final[[#This Row],[kan_width]])-LEN(SUBSTITUTE(Wine_pres_final[[#This Row],[kan_width]]," ","")))&gt;2,"",Wine_pres_final[[#This Row],[kan_test_acc]])</f>
        <v/>
      </c>
      <c r="AB398">
        <f>Wine_pres_final[[#This Row],[mlp_test_acc]]</f>
        <v>0.70185185185185184</v>
      </c>
      <c r="AC398">
        <f>Wine_pres_final[[#This Row],[mlp_test_acc2]]</f>
        <v>0.69444444444444442</v>
      </c>
    </row>
    <row r="399" spans="1:29" hidden="1" x14ac:dyDescent="0.25">
      <c r="A399" t="s">
        <v>1336</v>
      </c>
      <c r="B399">
        <v>9</v>
      </c>
      <c r="C399">
        <v>4</v>
      </c>
      <c r="D399">
        <v>0</v>
      </c>
      <c r="E399" t="s">
        <v>1341</v>
      </c>
      <c r="F399">
        <v>4372</v>
      </c>
      <c r="G399">
        <v>6152298.916666666</v>
      </c>
      <c r="H399">
        <v>0.85555556416511536</v>
      </c>
      <c r="I399">
        <v>0.67407407407407405</v>
      </c>
      <c r="J399">
        <v>373554.83333333331</v>
      </c>
      <c r="K399">
        <v>6628</v>
      </c>
      <c r="L399">
        <v>2</v>
      </c>
      <c r="M399">
        <v>53</v>
      </c>
      <c r="N399">
        <v>0.72592592592592586</v>
      </c>
      <c r="O399">
        <v>345411.91666666663</v>
      </c>
      <c r="P399">
        <v>6861</v>
      </c>
      <c r="Q399">
        <v>2</v>
      </c>
      <c r="R399">
        <v>54</v>
      </c>
      <c r="S399" t="s">
        <v>1889</v>
      </c>
      <c r="Z399" t="str">
        <f>IF((LEN(Wine_pres_final[[#This Row],[kan_width]])-LEN(SUBSTITUTE(Wine_pres_final[[#This Row],[kan_width]]," ","")))&gt;2,Wine_pres_final[[#This Row],[kan_test_acc]],"")</f>
        <v/>
      </c>
      <c r="AA399">
        <f>IF((LEN(Wine_pres_final[[#This Row],[kan_width]])-LEN(SUBSTITUTE(Wine_pres_final[[#This Row],[kan_width]]," ","")))&gt;2,"",Wine_pres_final[[#This Row],[kan_test_acc]])</f>
        <v>0.85555556416511536</v>
      </c>
      <c r="AB399">
        <f>Wine_pres_final[[#This Row],[mlp_test_acc]]</f>
        <v>0.67407407407407405</v>
      </c>
      <c r="AC399">
        <f>Wine_pres_final[[#This Row],[mlp_test_acc2]]</f>
        <v>0.72592592592592586</v>
      </c>
    </row>
    <row r="400" spans="1:29" hidden="1" x14ac:dyDescent="0.25">
      <c r="A400" t="s">
        <v>1336</v>
      </c>
      <c r="B400">
        <v>9</v>
      </c>
      <c r="C400">
        <v>2</v>
      </c>
      <c r="D400">
        <v>0</v>
      </c>
      <c r="E400" t="s">
        <v>1371</v>
      </c>
      <c r="F400">
        <v>6543</v>
      </c>
      <c r="G400">
        <v>10158114.333333334</v>
      </c>
      <c r="H400">
        <v>0.85555556416511536</v>
      </c>
      <c r="I400">
        <v>0.72592592592592586</v>
      </c>
      <c r="J400">
        <v>1361723.9166666667</v>
      </c>
      <c r="K400">
        <v>8604</v>
      </c>
      <c r="L400">
        <v>2</v>
      </c>
      <c r="M400">
        <v>61</v>
      </c>
      <c r="N400">
        <v>0.74444444444444446</v>
      </c>
      <c r="O400">
        <v>1104550.8333333333</v>
      </c>
      <c r="P400">
        <v>8869</v>
      </c>
      <c r="Q400">
        <v>2</v>
      </c>
      <c r="R400">
        <v>62</v>
      </c>
      <c r="S400" t="s">
        <v>1804</v>
      </c>
      <c r="Z400">
        <f>IF((LEN(Wine_pres_final[[#This Row],[kan_width]])-LEN(SUBSTITUTE(Wine_pres_final[[#This Row],[kan_width]]," ","")))&gt;2,Wine_pres_final[[#This Row],[kan_test_acc]],"")</f>
        <v>0.85555556416511536</v>
      </c>
      <c r="AA400" t="str">
        <f>IF((LEN(Wine_pres_final[[#This Row],[kan_width]])-LEN(SUBSTITUTE(Wine_pres_final[[#This Row],[kan_width]]," ","")))&gt;2,"",Wine_pres_final[[#This Row],[kan_test_acc]])</f>
        <v/>
      </c>
      <c r="AB400">
        <f>Wine_pres_final[[#This Row],[mlp_test_acc]]</f>
        <v>0.72592592592592586</v>
      </c>
      <c r="AC400">
        <f>Wine_pres_final[[#This Row],[mlp_test_acc2]]</f>
        <v>0.74444444444444446</v>
      </c>
    </row>
    <row r="401" spans="1:29" hidden="1" x14ac:dyDescent="0.25">
      <c r="A401" t="s">
        <v>1336</v>
      </c>
      <c r="B401">
        <v>3</v>
      </c>
      <c r="C401">
        <v>4</v>
      </c>
      <c r="D401">
        <v>0</v>
      </c>
      <c r="E401" t="s">
        <v>1395</v>
      </c>
      <c r="F401">
        <v>6853</v>
      </c>
      <c r="G401">
        <v>15356078.416666668</v>
      </c>
      <c r="H401">
        <v>0.85555556416511536</v>
      </c>
      <c r="I401">
        <v>0.70555555555555549</v>
      </c>
      <c r="J401">
        <v>1589108.6666666665</v>
      </c>
      <c r="K401">
        <v>12678</v>
      </c>
      <c r="L401">
        <v>2</v>
      </c>
      <c r="M401">
        <v>75</v>
      </c>
      <c r="N401">
        <v>0.65370370370370368</v>
      </c>
      <c r="O401">
        <v>794885.83333333337</v>
      </c>
      <c r="P401">
        <v>12999</v>
      </c>
      <c r="Q401">
        <v>2</v>
      </c>
      <c r="R401">
        <v>76</v>
      </c>
      <c r="S401" t="s">
        <v>1516</v>
      </c>
      <c r="Z401">
        <f>IF((LEN(Wine_pres_final[[#This Row],[kan_width]])-LEN(SUBSTITUTE(Wine_pres_final[[#This Row],[kan_width]]," ","")))&gt;2,Wine_pres_final[[#This Row],[kan_test_acc]],"")</f>
        <v>0.85555556416511536</v>
      </c>
      <c r="AA401" t="str">
        <f>IF((LEN(Wine_pres_final[[#This Row],[kan_width]])-LEN(SUBSTITUTE(Wine_pres_final[[#This Row],[kan_width]]," ","")))&gt;2,"",Wine_pres_final[[#This Row],[kan_test_acc]])</f>
        <v/>
      </c>
      <c r="AB401">
        <f>Wine_pres_final[[#This Row],[mlp_test_acc]]</f>
        <v>0.70555555555555549</v>
      </c>
      <c r="AC401">
        <f>Wine_pres_final[[#This Row],[mlp_test_acc2]]</f>
        <v>0.65370370370370368</v>
      </c>
    </row>
    <row r="402" spans="1:29" hidden="1" x14ac:dyDescent="0.25">
      <c r="A402" t="s">
        <v>1336</v>
      </c>
      <c r="B402">
        <v>9</v>
      </c>
      <c r="C402">
        <v>2</v>
      </c>
      <c r="D402">
        <v>0</v>
      </c>
      <c r="E402" t="s">
        <v>1425</v>
      </c>
      <c r="F402">
        <v>10923</v>
      </c>
      <c r="G402">
        <v>12924156</v>
      </c>
      <c r="H402">
        <v>0.85555556416511536</v>
      </c>
      <c r="I402">
        <v>0.67037037037037039</v>
      </c>
      <c r="J402">
        <v>6070228.583333334</v>
      </c>
      <c r="K402">
        <v>14664</v>
      </c>
      <c r="L402">
        <v>2</v>
      </c>
      <c r="M402">
        <v>81</v>
      </c>
      <c r="N402">
        <v>0.71666666666666667</v>
      </c>
      <c r="O402">
        <v>2570715.333333333</v>
      </c>
      <c r="P402">
        <v>15009</v>
      </c>
      <c r="Q402">
        <v>2</v>
      </c>
      <c r="R402">
        <v>82</v>
      </c>
      <c r="S402" t="s">
        <v>1831</v>
      </c>
      <c r="Z402">
        <f>IF((LEN(Wine_pres_final[[#This Row],[kan_width]])-LEN(SUBSTITUTE(Wine_pres_final[[#This Row],[kan_width]]," ","")))&gt;2,Wine_pres_final[[#This Row],[kan_test_acc]],"")</f>
        <v>0.85555556416511536</v>
      </c>
      <c r="AA402" t="str">
        <f>IF((LEN(Wine_pres_final[[#This Row],[kan_width]])-LEN(SUBSTITUTE(Wine_pres_final[[#This Row],[kan_width]]," ","")))&gt;2,"",Wine_pres_final[[#This Row],[kan_test_acc]])</f>
        <v/>
      </c>
      <c r="AB402">
        <f>Wine_pres_final[[#This Row],[mlp_test_acc]]</f>
        <v>0.67037037037037039</v>
      </c>
      <c r="AC402">
        <f>Wine_pres_final[[#This Row],[mlp_test_acc2]]</f>
        <v>0.71666666666666667</v>
      </c>
    </row>
    <row r="403" spans="1:29" hidden="1" x14ac:dyDescent="0.25">
      <c r="A403" t="s">
        <v>1336</v>
      </c>
      <c r="B403">
        <v>3</v>
      </c>
      <c r="C403">
        <v>3</v>
      </c>
      <c r="D403">
        <v>0</v>
      </c>
      <c r="E403" t="s">
        <v>1367</v>
      </c>
      <c r="F403">
        <v>5452</v>
      </c>
      <c r="G403">
        <v>10355491.583333332</v>
      </c>
      <c r="H403">
        <v>0.85740741342306137</v>
      </c>
      <c r="I403">
        <v>0.74444444444444446</v>
      </c>
      <c r="J403">
        <v>515410.66666666663</v>
      </c>
      <c r="K403">
        <v>9411</v>
      </c>
      <c r="L403">
        <v>2</v>
      </c>
      <c r="M403">
        <v>64</v>
      </c>
      <c r="N403">
        <v>0.67222222222222217</v>
      </c>
      <c r="O403">
        <v>643279.5</v>
      </c>
      <c r="P403">
        <v>9688</v>
      </c>
      <c r="Q403">
        <v>2</v>
      </c>
      <c r="R403">
        <v>65</v>
      </c>
      <c r="S403" t="s">
        <v>1452</v>
      </c>
      <c r="Z403">
        <f>IF((LEN(Wine_pres_final[[#This Row],[kan_width]])-LEN(SUBSTITUTE(Wine_pres_final[[#This Row],[kan_width]]," ","")))&gt;2,Wine_pres_final[[#This Row],[kan_test_acc]],"")</f>
        <v>0.85740741342306137</v>
      </c>
      <c r="AA403" t="str">
        <f>IF((LEN(Wine_pres_final[[#This Row],[kan_width]])-LEN(SUBSTITUTE(Wine_pres_final[[#This Row],[kan_width]]," ","")))&gt;2,"",Wine_pres_final[[#This Row],[kan_test_acc]])</f>
        <v/>
      </c>
      <c r="AB403">
        <f>Wine_pres_final[[#This Row],[mlp_test_acc]]</f>
        <v>0.74444444444444446</v>
      </c>
      <c r="AC403">
        <f>Wine_pres_final[[#This Row],[mlp_test_acc2]]</f>
        <v>0.67222222222222217</v>
      </c>
    </row>
    <row r="404" spans="1:29" hidden="1" x14ac:dyDescent="0.25">
      <c r="A404" t="s">
        <v>1336</v>
      </c>
      <c r="B404">
        <v>3</v>
      </c>
      <c r="C404">
        <v>2</v>
      </c>
      <c r="D404">
        <v>0</v>
      </c>
      <c r="E404" t="s">
        <v>1357</v>
      </c>
      <c r="F404">
        <v>3561</v>
      </c>
      <c r="G404">
        <v>7585878.083333334</v>
      </c>
      <c r="H404">
        <v>0.85740741590658831</v>
      </c>
      <c r="I404">
        <v>0.6962962962962963</v>
      </c>
      <c r="J404">
        <v>256035</v>
      </c>
      <c r="K404">
        <v>5736</v>
      </c>
      <c r="L404">
        <v>2</v>
      </c>
      <c r="M404">
        <v>49</v>
      </c>
      <c r="N404">
        <v>0.68703703703703711</v>
      </c>
      <c r="O404">
        <v>224706.16666666666</v>
      </c>
      <c r="P404">
        <v>5953</v>
      </c>
      <c r="Q404">
        <v>2</v>
      </c>
      <c r="R404">
        <v>50</v>
      </c>
      <c r="S404" t="s">
        <v>1358</v>
      </c>
      <c r="Z404">
        <f>IF((LEN(Wine_pres_final[[#This Row],[kan_width]])-LEN(SUBSTITUTE(Wine_pres_final[[#This Row],[kan_width]]," ","")))&gt;2,Wine_pres_final[[#This Row],[kan_test_acc]],"")</f>
        <v>0.85740741590658831</v>
      </c>
      <c r="AA404" t="str">
        <f>IF((LEN(Wine_pres_final[[#This Row],[kan_width]])-LEN(SUBSTITUTE(Wine_pres_final[[#This Row],[kan_width]]," ","")))&gt;2,"",Wine_pres_final[[#This Row],[kan_test_acc]])</f>
        <v/>
      </c>
      <c r="AB404">
        <f>Wine_pres_final[[#This Row],[mlp_test_acc]]</f>
        <v>0.6962962962962963</v>
      </c>
      <c r="AC404">
        <f>Wine_pres_final[[#This Row],[mlp_test_acc2]]</f>
        <v>0.68703703703703711</v>
      </c>
    </row>
    <row r="405" spans="1:29" hidden="1" x14ac:dyDescent="0.25">
      <c r="A405" t="s">
        <v>1336</v>
      </c>
      <c r="B405">
        <v>5</v>
      </c>
      <c r="C405">
        <v>4</v>
      </c>
      <c r="D405">
        <v>0</v>
      </c>
      <c r="E405" t="s">
        <v>1345</v>
      </c>
      <c r="F405">
        <v>4056</v>
      </c>
      <c r="G405">
        <v>7727979.833333334</v>
      </c>
      <c r="H405">
        <v>0.85740741590658831</v>
      </c>
      <c r="I405">
        <v>0.63888888888888895</v>
      </c>
      <c r="J405">
        <v>343771.33333333337</v>
      </c>
      <c r="K405">
        <v>6861</v>
      </c>
      <c r="L405">
        <v>2</v>
      </c>
      <c r="M405">
        <v>54</v>
      </c>
      <c r="N405">
        <v>0.70185185185185184</v>
      </c>
      <c r="O405">
        <v>359520</v>
      </c>
      <c r="P405">
        <v>7098</v>
      </c>
      <c r="Q405">
        <v>2</v>
      </c>
      <c r="R405">
        <v>55</v>
      </c>
      <c r="S405" t="s">
        <v>1691</v>
      </c>
      <c r="Z405" t="str">
        <f>IF((LEN(Wine_pres_final[[#This Row],[kan_width]])-LEN(SUBSTITUTE(Wine_pres_final[[#This Row],[kan_width]]," ","")))&gt;2,Wine_pres_final[[#This Row],[kan_test_acc]],"")</f>
        <v/>
      </c>
      <c r="AA405">
        <f>IF((LEN(Wine_pres_final[[#This Row],[kan_width]])-LEN(SUBSTITUTE(Wine_pres_final[[#This Row],[kan_width]]," ","")))&gt;2,"",Wine_pres_final[[#This Row],[kan_test_acc]])</f>
        <v>0.85740741590658831</v>
      </c>
      <c r="AB405">
        <f>Wine_pres_final[[#This Row],[mlp_test_acc]]</f>
        <v>0.63888888888888895</v>
      </c>
      <c r="AC405">
        <f>Wine_pres_final[[#This Row],[mlp_test_acc2]]</f>
        <v>0.70185185185185184</v>
      </c>
    </row>
    <row r="406" spans="1:29" hidden="1" x14ac:dyDescent="0.25">
      <c r="A406" t="s">
        <v>1336</v>
      </c>
      <c r="B406">
        <v>5</v>
      </c>
      <c r="C406">
        <v>2</v>
      </c>
      <c r="D406">
        <v>0</v>
      </c>
      <c r="E406" t="s">
        <v>1401</v>
      </c>
      <c r="F406">
        <v>5365</v>
      </c>
      <c r="G406">
        <v>13968843.75</v>
      </c>
      <c r="H406">
        <v>0.85740741590658831</v>
      </c>
      <c r="I406">
        <v>0.70555555555555549</v>
      </c>
      <c r="J406">
        <v>4595114.5</v>
      </c>
      <c r="K406">
        <v>7833</v>
      </c>
      <c r="L406">
        <v>2</v>
      </c>
      <c r="M406">
        <v>58</v>
      </c>
      <c r="N406">
        <v>0.69259259259259265</v>
      </c>
      <c r="O406">
        <v>4246244.416666666</v>
      </c>
      <c r="P406">
        <v>8086</v>
      </c>
      <c r="Q406">
        <v>2</v>
      </c>
      <c r="R406">
        <v>59</v>
      </c>
      <c r="S406" t="s">
        <v>1619</v>
      </c>
      <c r="Z406">
        <f>IF((LEN(Wine_pres_final[[#This Row],[kan_width]])-LEN(SUBSTITUTE(Wine_pres_final[[#This Row],[kan_width]]," ","")))&gt;2,Wine_pres_final[[#This Row],[kan_test_acc]],"")</f>
        <v>0.85740741590658831</v>
      </c>
      <c r="AA406" t="str">
        <f>IF((LEN(Wine_pres_final[[#This Row],[kan_width]])-LEN(SUBSTITUTE(Wine_pres_final[[#This Row],[kan_width]]," ","")))&gt;2,"",Wine_pres_final[[#This Row],[kan_test_acc]])</f>
        <v/>
      </c>
      <c r="AB406">
        <f>Wine_pres_final[[#This Row],[mlp_test_acc]]</f>
        <v>0.70555555555555549</v>
      </c>
      <c r="AC406">
        <f>Wine_pres_final[[#This Row],[mlp_test_acc2]]</f>
        <v>0.69259259259259265</v>
      </c>
    </row>
    <row r="407" spans="1:29" hidden="1" x14ac:dyDescent="0.25">
      <c r="A407" t="s">
        <v>1336</v>
      </c>
      <c r="B407">
        <v>9</v>
      </c>
      <c r="C407">
        <v>2</v>
      </c>
      <c r="D407">
        <v>0</v>
      </c>
      <c r="E407" t="s">
        <v>1369</v>
      </c>
      <c r="F407">
        <v>6037</v>
      </c>
      <c r="G407">
        <v>10724360.75</v>
      </c>
      <c r="H407">
        <v>0.85925926764806104</v>
      </c>
      <c r="I407">
        <v>0.70370370370370372</v>
      </c>
      <c r="J407">
        <v>4198863.5</v>
      </c>
      <c r="K407">
        <v>8086</v>
      </c>
      <c r="L407">
        <v>2</v>
      </c>
      <c r="M407">
        <v>59</v>
      </c>
      <c r="N407">
        <v>0.73518518518518516</v>
      </c>
      <c r="O407">
        <v>2053601.25</v>
      </c>
      <c r="P407">
        <v>8343</v>
      </c>
      <c r="Q407">
        <v>2</v>
      </c>
      <c r="R407">
        <v>60</v>
      </c>
      <c r="S407" t="s">
        <v>1803</v>
      </c>
      <c r="Z407">
        <f>IF((LEN(Wine_pres_final[[#This Row],[kan_width]])-LEN(SUBSTITUTE(Wine_pres_final[[#This Row],[kan_width]]," ","")))&gt;2,Wine_pres_final[[#This Row],[kan_test_acc]],"")</f>
        <v>0.85925926764806104</v>
      </c>
      <c r="AA407" t="str">
        <f>IF((LEN(Wine_pres_final[[#This Row],[kan_width]])-LEN(SUBSTITUTE(Wine_pres_final[[#This Row],[kan_width]]," ","")))&gt;2,"",Wine_pres_final[[#This Row],[kan_test_acc]])</f>
        <v/>
      </c>
      <c r="AB407">
        <f>Wine_pres_final[[#This Row],[mlp_test_acc]]</f>
        <v>0.70370370370370372</v>
      </c>
      <c r="AC407">
        <f>Wine_pres_final[[#This Row],[mlp_test_acc2]]</f>
        <v>0.73518518518518516</v>
      </c>
    </row>
    <row r="408" spans="1:29" hidden="1" x14ac:dyDescent="0.25">
      <c r="A408" t="s">
        <v>1336</v>
      </c>
      <c r="B408">
        <v>9</v>
      </c>
      <c r="C408">
        <v>2</v>
      </c>
      <c r="D408">
        <v>0</v>
      </c>
      <c r="E408" t="s">
        <v>1375</v>
      </c>
      <c r="F408">
        <v>7555</v>
      </c>
      <c r="G408">
        <v>9068117.25</v>
      </c>
      <c r="H408">
        <v>0.85925926764806104</v>
      </c>
      <c r="I408">
        <v>0.72777777777777775</v>
      </c>
      <c r="J408">
        <v>2428653.666666667</v>
      </c>
      <c r="K408">
        <v>9969</v>
      </c>
      <c r="L408">
        <v>2</v>
      </c>
      <c r="M408">
        <v>66</v>
      </c>
      <c r="N408">
        <v>0.68518518518518512</v>
      </c>
      <c r="O408">
        <v>1332422.1666666665</v>
      </c>
      <c r="P408">
        <v>10254</v>
      </c>
      <c r="Q408">
        <v>2</v>
      </c>
      <c r="R408">
        <v>67</v>
      </c>
      <c r="S408" t="s">
        <v>1806</v>
      </c>
      <c r="Z408">
        <f>IF((LEN(Wine_pres_final[[#This Row],[kan_width]])-LEN(SUBSTITUTE(Wine_pres_final[[#This Row],[kan_width]]," ","")))&gt;2,Wine_pres_final[[#This Row],[kan_test_acc]],"")</f>
        <v>0.85925926764806104</v>
      </c>
      <c r="AA408" t="str">
        <f>IF((LEN(Wine_pres_final[[#This Row],[kan_width]])-LEN(SUBSTITUTE(Wine_pres_final[[#This Row],[kan_width]]," ","")))&gt;2,"",Wine_pres_final[[#This Row],[kan_test_acc]])</f>
        <v/>
      </c>
      <c r="AB408">
        <f>Wine_pres_final[[#This Row],[mlp_test_acc]]</f>
        <v>0.72777777777777775</v>
      </c>
      <c r="AC408">
        <f>Wine_pres_final[[#This Row],[mlp_test_acc2]]</f>
        <v>0.68518518518518512</v>
      </c>
    </row>
    <row r="409" spans="1:29" hidden="1" x14ac:dyDescent="0.25">
      <c r="A409" t="s">
        <v>1336</v>
      </c>
      <c r="B409">
        <v>9</v>
      </c>
      <c r="C409">
        <v>2</v>
      </c>
      <c r="D409">
        <v>0</v>
      </c>
      <c r="E409" t="s">
        <v>1341</v>
      </c>
      <c r="F409">
        <v>3828</v>
      </c>
      <c r="G409">
        <v>4793892.25</v>
      </c>
      <c r="H409">
        <v>0.85925926764806115</v>
      </c>
      <c r="I409">
        <v>0.66851851851851851</v>
      </c>
      <c r="J409">
        <v>309336</v>
      </c>
      <c r="K409">
        <v>5109</v>
      </c>
      <c r="L409">
        <v>2</v>
      </c>
      <c r="M409">
        <v>46</v>
      </c>
      <c r="N409">
        <v>0.67222222222222228</v>
      </c>
      <c r="O409">
        <v>307946.83333333337</v>
      </c>
      <c r="P409">
        <v>5314</v>
      </c>
      <c r="Q409">
        <v>2</v>
      </c>
      <c r="R409">
        <v>47</v>
      </c>
      <c r="S409" t="s">
        <v>1789</v>
      </c>
      <c r="Z409" t="str">
        <f>IF((LEN(Wine_pres_final[[#This Row],[kan_width]])-LEN(SUBSTITUTE(Wine_pres_final[[#This Row],[kan_width]]," ","")))&gt;2,Wine_pres_final[[#This Row],[kan_test_acc]],"")</f>
        <v/>
      </c>
      <c r="AA409">
        <f>IF((LEN(Wine_pres_final[[#This Row],[kan_width]])-LEN(SUBSTITUTE(Wine_pres_final[[#This Row],[kan_width]]," ","")))&gt;2,"",Wine_pres_final[[#This Row],[kan_test_acc]])</f>
        <v>0.85925926764806115</v>
      </c>
      <c r="AB409">
        <f>Wine_pres_final[[#This Row],[mlp_test_acc]]</f>
        <v>0.66851851851851851</v>
      </c>
      <c r="AC409">
        <f>Wine_pres_final[[#This Row],[mlp_test_acc2]]</f>
        <v>0.67222222222222228</v>
      </c>
    </row>
    <row r="410" spans="1:29" hidden="1" x14ac:dyDescent="0.25">
      <c r="A410" t="s">
        <v>1336</v>
      </c>
      <c r="B410">
        <v>5</v>
      </c>
      <c r="C410">
        <v>2</v>
      </c>
      <c r="D410">
        <v>0</v>
      </c>
      <c r="E410" t="s">
        <v>1411</v>
      </c>
      <c r="F410">
        <v>7575</v>
      </c>
      <c r="G410">
        <v>15302017.333333332</v>
      </c>
      <c r="H410">
        <v>0.85925926764806115</v>
      </c>
      <c r="I410">
        <v>0.70185185185185195</v>
      </c>
      <c r="J410">
        <v>3281445.5</v>
      </c>
      <c r="K410">
        <v>11133</v>
      </c>
      <c r="L410">
        <v>2</v>
      </c>
      <c r="M410">
        <v>70</v>
      </c>
      <c r="N410">
        <v>0.67592592592592593</v>
      </c>
      <c r="O410">
        <v>3102561.5</v>
      </c>
      <c r="P410">
        <v>11434</v>
      </c>
      <c r="Q410">
        <v>2</v>
      </c>
      <c r="R410">
        <v>71</v>
      </c>
      <c r="S410" t="s">
        <v>1624</v>
      </c>
      <c r="Z410">
        <f>IF((LEN(Wine_pres_final[[#This Row],[kan_width]])-LEN(SUBSTITUTE(Wine_pres_final[[#This Row],[kan_width]]," ","")))&gt;2,Wine_pres_final[[#This Row],[kan_test_acc]],"")</f>
        <v>0.85925926764806115</v>
      </c>
      <c r="AA410" t="str">
        <f>IF((LEN(Wine_pres_final[[#This Row],[kan_width]])-LEN(SUBSTITUTE(Wine_pres_final[[#This Row],[kan_width]]," ","")))&gt;2,"",Wine_pres_final[[#This Row],[kan_test_acc]])</f>
        <v/>
      </c>
      <c r="AB410">
        <f>Wine_pres_final[[#This Row],[mlp_test_acc]]</f>
        <v>0.70185185185185195</v>
      </c>
      <c r="AC410">
        <f>Wine_pres_final[[#This Row],[mlp_test_acc2]]</f>
        <v>0.67592592592592593</v>
      </c>
    </row>
    <row r="411" spans="1:29" hidden="1" x14ac:dyDescent="0.25">
      <c r="A411" t="s">
        <v>1336</v>
      </c>
      <c r="B411">
        <v>5</v>
      </c>
      <c r="C411">
        <v>2</v>
      </c>
      <c r="D411">
        <v>0</v>
      </c>
      <c r="E411" t="s">
        <v>1379</v>
      </c>
      <c r="F411">
        <v>6131</v>
      </c>
      <c r="G411">
        <v>11535220.75</v>
      </c>
      <c r="H411">
        <v>0.861111119389534</v>
      </c>
      <c r="I411">
        <v>0.71851851851851856</v>
      </c>
      <c r="J411">
        <v>932852.41666666663</v>
      </c>
      <c r="K411">
        <v>9138</v>
      </c>
      <c r="L411">
        <v>2</v>
      </c>
      <c r="M411">
        <v>63</v>
      </c>
      <c r="N411">
        <v>0.65370370370370368</v>
      </c>
      <c r="O411">
        <v>555457.08333333337</v>
      </c>
      <c r="P411">
        <v>9411</v>
      </c>
      <c r="Q411">
        <v>2</v>
      </c>
      <c r="R411">
        <v>64</v>
      </c>
      <c r="S411" t="s">
        <v>1608</v>
      </c>
      <c r="Z411">
        <f>IF((LEN(Wine_pres_final[[#This Row],[kan_width]])-LEN(SUBSTITUTE(Wine_pres_final[[#This Row],[kan_width]]," ","")))&gt;2,Wine_pres_final[[#This Row],[kan_test_acc]],"")</f>
        <v>0.861111119389534</v>
      </c>
      <c r="AA411" t="str">
        <f>IF((LEN(Wine_pres_final[[#This Row],[kan_width]])-LEN(SUBSTITUTE(Wine_pres_final[[#This Row],[kan_width]]," ","")))&gt;2,"",Wine_pres_final[[#This Row],[kan_test_acc]])</f>
        <v/>
      </c>
      <c r="AB411">
        <f>Wine_pres_final[[#This Row],[mlp_test_acc]]</f>
        <v>0.71851851851851856</v>
      </c>
      <c r="AC411">
        <f>Wine_pres_final[[#This Row],[mlp_test_acc2]]</f>
        <v>0.65370370370370368</v>
      </c>
    </row>
    <row r="412" spans="1:29" hidden="1" x14ac:dyDescent="0.25">
      <c r="A412" t="s">
        <v>1336</v>
      </c>
      <c r="B412">
        <v>5</v>
      </c>
      <c r="C412">
        <v>2</v>
      </c>
      <c r="D412">
        <v>0</v>
      </c>
      <c r="E412" t="s">
        <v>1395</v>
      </c>
      <c r="F412">
        <v>6853</v>
      </c>
      <c r="G412">
        <v>10907928.333333332</v>
      </c>
      <c r="H412">
        <v>0.861111119389534</v>
      </c>
      <c r="I412">
        <v>0.6611111111111112</v>
      </c>
      <c r="J412">
        <v>2679578.25</v>
      </c>
      <c r="K412">
        <v>10254</v>
      </c>
      <c r="L412">
        <v>2</v>
      </c>
      <c r="M412">
        <v>67</v>
      </c>
      <c r="N412">
        <v>0.64999999999999991</v>
      </c>
      <c r="O412">
        <v>3765241.416666667</v>
      </c>
      <c r="P412">
        <v>10543</v>
      </c>
      <c r="Q412">
        <v>2</v>
      </c>
      <c r="R412">
        <v>68</v>
      </c>
      <c r="S412" t="s">
        <v>1616</v>
      </c>
      <c r="Z412">
        <f>IF((LEN(Wine_pres_final[[#This Row],[kan_width]])-LEN(SUBSTITUTE(Wine_pres_final[[#This Row],[kan_width]]," ","")))&gt;2,Wine_pres_final[[#This Row],[kan_test_acc]],"")</f>
        <v>0.861111119389534</v>
      </c>
      <c r="AA412" t="str">
        <f>IF((LEN(Wine_pres_final[[#This Row],[kan_width]])-LEN(SUBSTITUTE(Wine_pres_final[[#This Row],[kan_width]]," ","")))&gt;2,"",Wine_pres_final[[#This Row],[kan_test_acc]])</f>
        <v/>
      </c>
      <c r="AB412">
        <f>Wine_pres_final[[#This Row],[mlp_test_acc]]</f>
        <v>0.6611111111111112</v>
      </c>
      <c r="AC412">
        <f>Wine_pres_final[[#This Row],[mlp_test_acc2]]</f>
        <v>0.64999999999999991</v>
      </c>
    </row>
    <row r="413" spans="1:29" hidden="1" x14ac:dyDescent="0.25">
      <c r="A413" t="s">
        <v>1336</v>
      </c>
      <c r="B413">
        <v>9</v>
      </c>
      <c r="C413">
        <v>4</v>
      </c>
      <c r="D413">
        <v>0</v>
      </c>
      <c r="E413" t="s">
        <v>1351</v>
      </c>
      <c r="F413">
        <v>6942</v>
      </c>
      <c r="G413">
        <v>6760256.75</v>
      </c>
      <c r="H413">
        <v>0.861111119389534</v>
      </c>
      <c r="I413">
        <v>0.63148148148148153</v>
      </c>
      <c r="J413">
        <v>4657232.5</v>
      </c>
      <c r="K413">
        <v>10543</v>
      </c>
      <c r="L413">
        <v>2</v>
      </c>
      <c r="M413">
        <v>68</v>
      </c>
      <c r="N413">
        <v>0.68333333333333335</v>
      </c>
      <c r="O413">
        <v>3064790.25</v>
      </c>
      <c r="P413">
        <v>10836</v>
      </c>
      <c r="Q413">
        <v>2</v>
      </c>
      <c r="R413">
        <v>69</v>
      </c>
      <c r="S413" t="s">
        <v>1894</v>
      </c>
      <c r="Z413" t="str">
        <f>IF((LEN(Wine_pres_final[[#This Row],[kan_width]])-LEN(SUBSTITUTE(Wine_pres_final[[#This Row],[kan_width]]," ","")))&gt;2,Wine_pres_final[[#This Row],[kan_test_acc]],"")</f>
        <v/>
      </c>
      <c r="AA413">
        <f>IF((LEN(Wine_pres_final[[#This Row],[kan_width]])-LEN(SUBSTITUTE(Wine_pres_final[[#This Row],[kan_width]]," ","")))&gt;2,"",Wine_pres_final[[#This Row],[kan_test_acc]])</f>
        <v>0.861111119389534</v>
      </c>
      <c r="AB413">
        <f>Wine_pres_final[[#This Row],[mlp_test_acc]]</f>
        <v>0.63148148148148153</v>
      </c>
      <c r="AC413">
        <f>Wine_pres_final[[#This Row],[mlp_test_acc2]]</f>
        <v>0.68333333333333335</v>
      </c>
    </row>
    <row r="414" spans="1:29" hidden="1" x14ac:dyDescent="0.25">
      <c r="A414" t="s">
        <v>1336</v>
      </c>
      <c r="B414">
        <v>9</v>
      </c>
      <c r="C414">
        <v>2</v>
      </c>
      <c r="D414">
        <v>0</v>
      </c>
      <c r="E414" t="s">
        <v>1377</v>
      </c>
      <c r="F414">
        <v>8061</v>
      </c>
      <c r="G414">
        <v>10111302.666666668</v>
      </c>
      <c r="H414">
        <v>0.861111119389534</v>
      </c>
      <c r="I414">
        <v>0.69074074074074066</v>
      </c>
      <c r="J414">
        <v>4702368.833333333</v>
      </c>
      <c r="K414">
        <v>10836</v>
      </c>
      <c r="L414">
        <v>2</v>
      </c>
      <c r="M414">
        <v>69</v>
      </c>
      <c r="N414">
        <v>0.69259259259259265</v>
      </c>
      <c r="O414">
        <v>1806490.75</v>
      </c>
      <c r="P414">
        <v>11133</v>
      </c>
      <c r="Q414">
        <v>2</v>
      </c>
      <c r="R414">
        <v>70</v>
      </c>
      <c r="S414" t="s">
        <v>1807</v>
      </c>
      <c r="Z414">
        <f>IF((LEN(Wine_pres_final[[#This Row],[kan_width]])-LEN(SUBSTITUTE(Wine_pres_final[[#This Row],[kan_width]]," ","")))&gt;2,Wine_pres_final[[#This Row],[kan_test_acc]],"")</f>
        <v>0.861111119389534</v>
      </c>
      <c r="AA414" t="str">
        <f>IF((LEN(Wine_pres_final[[#This Row],[kan_width]])-LEN(SUBSTITUTE(Wine_pres_final[[#This Row],[kan_width]]," ","")))&gt;2,"",Wine_pres_final[[#This Row],[kan_test_acc]])</f>
        <v/>
      </c>
      <c r="AB414">
        <f>Wine_pres_final[[#This Row],[mlp_test_acc]]</f>
        <v>0.69074074074074066</v>
      </c>
      <c r="AC414">
        <f>Wine_pres_final[[#This Row],[mlp_test_acc2]]</f>
        <v>0.69259259259259265</v>
      </c>
    </row>
    <row r="415" spans="1:29" hidden="1" x14ac:dyDescent="0.25">
      <c r="A415" t="s">
        <v>1336</v>
      </c>
      <c r="B415">
        <v>3</v>
      </c>
      <c r="C415">
        <v>4</v>
      </c>
      <c r="D415">
        <v>0</v>
      </c>
      <c r="E415" t="s">
        <v>1381</v>
      </c>
      <c r="F415">
        <v>6493</v>
      </c>
      <c r="G415">
        <v>13594434.083333332</v>
      </c>
      <c r="H415">
        <v>0.86296297113100684</v>
      </c>
      <c r="I415">
        <v>0.72777777777777786</v>
      </c>
      <c r="J415">
        <v>1975933.5833333333</v>
      </c>
      <c r="K415">
        <v>12048</v>
      </c>
      <c r="L415">
        <v>2</v>
      </c>
      <c r="M415">
        <v>73</v>
      </c>
      <c r="N415">
        <v>0.67037037037037028</v>
      </c>
      <c r="O415">
        <v>1074604.3333333335</v>
      </c>
      <c r="P415">
        <v>12361</v>
      </c>
      <c r="Q415">
        <v>2</v>
      </c>
      <c r="R415">
        <v>74</v>
      </c>
      <c r="S415" t="s">
        <v>1509</v>
      </c>
      <c r="Z415">
        <f>IF((LEN(Wine_pres_final[[#This Row],[kan_width]])-LEN(SUBSTITUTE(Wine_pres_final[[#This Row],[kan_width]]," ","")))&gt;2,Wine_pres_final[[#This Row],[kan_test_acc]],"")</f>
        <v>0.86296297113100684</v>
      </c>
      <c r="AA415" t="str">
        <f>IF((LEN(Wine_pres_final[[#This Row],[kan_width]])-LEN(SUBSTITUTE(Wine_pres_final[[#This Row],[kan_width]]," ","")))&gt;2,"",Wine_pres_final[[#This Row],[kan_test_acc]])</f>
        <v/>
      </c>
      <c r="AB415">
        <f>Wine_pres_final[[#This Row],[mlp_test_acc]]</f>
        <v>0.72777777777777786</v>
      </c>
      <c r="AC415">
        <f>Wine_pres_final[[#This Row],[mlp_test_acc2]]</f>
        <v>0.67037037037037028</v>
      </c>
    </row>
    <row r="416" spans="1:29" hidden="1" x14ac:dyDescent="0.25">
      <c r="A416" t="s">
        <v>1336</v>
      </c>
      <c r="B416">
        <v>5</v>
      </c>
      <c r="C416">
        <v>4</v>
      </c>
      <c r="D416">
        <v>0</v>
      </c>
      <c r="E416" t="s">
        <v>1339</v>
      </c>
      <c r="F416">
        <v>2898</v>
      </c>
      <c r="G416">
        <v>4901996.666666666</v>
      </c>
      <c r="H416">
        <v>0.86296297113100695</v>
      </c>
      <c r="I416">
        <v>0.63888888888888895</v>
      </c>
      <c r="J416">
        <v>285294.66666666663</v>
      </c>
      <c r="K416">
        <v>4908</v>
      </c>
      <c r="L416">
        <v>2</v>
      </c>
      <c r="M416">
        <v>45</v>
      </c>
      <c r="N416">
        <v>0.70740740740740737</v>
      </c>
      <c r="O416">
        <v>298623.25</v>
      </c>
      <c r="P416">
        <v>5109</v>
      </c>
      <c r="Q416">
        <v>2</v>
      </c>
      <c r="R416">
        <v>46</v>
      </c>
      <c r="S416" t="s">
        <v>1688</v>
      </c>
      <c r="Z416" t="str">
        <f>IF((LEN(Wine_pres_final[[#This Row],[kan_width]])-LEN(SUBSTITUTE(Wine_pres_final[[#This Row],[kan_width]]," ","")))&gt;2,Wine_pres_final[[#This Row],[kan_test_acc]],"")</f>
        <v/>
      </c>
      <c r="AA416">
        <f>IF((LEN(Wine_pres_final[[#This Row],[kan_width]])-LEN(SUBSTITUTE(Wine_pres_final[[#This Row],[kan_width]]," ","")))&gt;2,"",Wine_pres_final[[#This Row],[kan_test_acc]])</f>
        <v>0.86296297113100695</v>
      </c>
      <c r="AB416">
        <f>Wine_pres_final[[#This Row],[mlp_test_acc]]</f>
        <v>0.63888888888888895</v>
      </c>
      <c r="AC416">
        <f>Wine_pres_final[[#This Row],[mlp_test_acc2]]</f>
        <v>0.70740740740740737</v>
      </c>
    </row>
    <row r="417" spans="1:29" hidden="1" x14ac:dyDescent="0.25">
      <c r="A417" t="s">
        <v>1336</v>
      </c>
      <c r="B417">
        <v>3</v>
      </c>
      <c r="C417">
        <v>4</v>
      </c>
      <c r="D417">
        <v>0</v>
      </c>
      <c r="E417" t="s">
        <v>1393</v>
      </c>
      <c r="F417">
        <v>6451</v>
      </c>
      <c r="G417">
        <v>14996458</v>
      </c>
      <c r="H417">
        <v>0.86296297113100695</v>
      </c>
      <c r="I417">
        <v>0.69444444444444442</v>
      </c>
      <c r="J417">
        <v>1542122.6666666665</v>
      </c>
      <c r="K417">
        <v>12048</v>
      </c>
      <c r="L417">
        <v>2</v>
      </c>
      <c r="M417">
        <v>73</v>
      </c>
      <c r="N417">
        <v>0.65555555555555556</v>
      </c>
      <c r="O417">
        <v>914336.16666666674</v>
      </c>
      <c r="P417">
        <v>12361</v>
      </c>
      <c r="Q417">
        <v>2</v>
      </c>
      <c r="R417">
        <v>74</v>
      </c>
      <c r="S417" t="s">
        <v>1515</v>
      </c>
      <c r="Z417">
        <f>IF((LEN(Wine_pres_final[[#This Row],[kan_width]])-LEN(SUBSTITUTE(Wine_pres_final[[#This Row],[kan_width]]," ","")))&gt;2,Wine_pres_final[[#This Row],[kan_test_acc]],"")</f>
        <v>0.86296297113100695</v>
      </c>
      <c r="AA417" t="str">
        <f>IF((LEN(Wine_pres_final[[#This Row],[kan_width]])-LEN(SUBSTITUTE(Wine_pres_final[[#This Row],[kan_width]]," ","")))&gt;2,"",Wine_pres_final[[#This Row],[kan_test_acc]])</f>
        <v/>
      </c>
      <c r="AB417">
        <f>Wine_pres_final[[#This Row],[mlp_test_acc]]</f>
        <v>0.69444444444444442</v>
      </c>
      <c r="AC417">
        <f>Wine_pres_final[[#This Row],[mlp_test_acc2]]</f>
        <v>0.65555555555555556</v>
      </c>
    </row>
    <row r="418" spans="1:29" hidden="1" x14ac:dyDescent="0.25">
      <c r="A418" t="s">
        <v>1336</v>
      </c>
      <c r="B418">
        <v>5</v>
      </c>
      <c r="C418">
        <v>2</v>
      </c>
      <c r="D418">
        <v>0</v>
      </c>
      <c r="E418" t="s">
        <v>1397</v>
      </c>
      <c r="F418">
        <v>7255</v>
      </c>
      <c r="G418">
        <v>12693993.833333332</v>
      </c>
      <c r="H418">
        <v>0.86296297113100695</v>
      </c>
      <c r="I418">
        <v>0.66296296296296298</v>
      </c>
      <c r="J418">
        <v>3981354.5</v>
      </c>
      <c r="K418">
        <v>10836</v>
      </c>
      <c r="L418">
        <v>2</v>
      </c>
      <c r="M418">
        <v>69</v>
      </c>
      <c r="N418">
        <v>0.64999999999999991</v>
      </c>
      <c r="O418">
        <v>3093052.166666667</v>
      </c>
      <c r="P418">
        <v>11133</v>
      </c>
      <c r="Q418">
        <v>2</v>
      </c>
      <c r="R418">
        <v>70</v>
      </c>
      <c r="S418" t="s">
        <v>1617</v>
      </c>
      <c r="Z418">
        <f>IF((LEN(Wine_pres_final[[#This Row],[kan_width]])-LEN(SUBSTITUTE(Wine_pres_final[[#This Row],[kan_width]]," ","")))&gt;2,Wine_pres_final[[#This Row],[kan_test_acc]],"")</f>
        <v>0.86296297113100695</v>
      </c>
      <c r="AA418" t="str">
        <f>IF((LEN(Wine_pres_final[[#This Row],[kan_width]])-LEN(SUBSTITUTE(Wine_pres_final[[#This Row],[kan_width]]," ","")))&gt;2,"",Wine_pres_final[[#This Row],[kan_test_acc]])</f>
        <v/>
      </c>
      <c r="AB418">
        <f>Wine_pres_final[[#This Row],[mlp_test_acc]]</f>
        <v>0.66296296296296298</v>
      </c>
      <c r="AC418">
        <f>Wine_pres_final[[#This Row],[mlp_test_acc2]]</f>
        <v>0.64999999999999991</v>
      </c>
    </row>
    <row r="419" spans="1:29" hidden="1" x14ac:dyDescent="0.25">
      <c r="A419" t="s">
        <v>1336</v>
      </c>
      <c r="B419">
        <v>3</v>
      </c>
      <c r="C419">
        <v>4</v>
      </c>
      <c r="D419">
        <v>0</v>
      </c>
      <c r="E419" t="s">
        <v>1415</v>
      </c>
      <c r="F419">
        <v>8459</v>
      </c>
      <c r="G419">
        <v>17064364.833333336</v>
      </c>
      <c r="H419">
        <v>0.86296297113100695</v>
      </c>
      <c r="I419">
        <v>0.65925925925925921</v>
      </c>
      <c r="J419">
        <v>993288.08333333326</v>
      </c>
      <c r="K419">
        <v>15711</v>
      </c>
      <c r="L419">
        <v>2</v>
      </c>
      <c r="M419">
        <v>84</v>
      </c>
      <c r="N419">
        <v>0.68333333333333335</v>
      </c>
      <c r="O419">
        <v>885178.08333333337</v>
      </c>
      <c r="P419">
        <v>16068</v>
      </c>
      <c r="Q419">
        <v>2</v>
      </c>
      <c r="R419">
        <v>85</v>
      </c>
      <c r="S419" t="s">
        <v>1526</v>
      </c>
      <c r="Z419">
        <f>IF((LEN(Wine_pres_final[[#This Row],[kan_width]])-LEN(SUBSTITUTE(Wine_pres_final[[#This Row],[kan_width]]," ","")))&gt;2,Wine_pres_final[[#This Row],[kan_test_acc]],"")</f>
        <v>0.86296297113100695</v>
      </c>
      <c r="AA419" t="str">
        <f>IF((LEN(Wine_pres_final[[#This Row],[kan_width]])-LEN(SUBSTITUTE(Wine_pres_final[[#This Row],[kan_width]]," ","")))&gt;2,"",Wine_pres_final[[#This Row],[kan_test_acc]])</f>
        <v/>
      </c>
      <c r="AB419">
        <f>Wine_pres_final[[#This Row],[mlp_test_acc]]</f>
        <v>0.65925925925925921</v>
      </c>
      <c r="AC419">
        <f>Wine_pres_final[[#This Row],[mlp_test_acc2]]</f>
        <v>0.68333333333333335</v>
      </c>
    </row>
    <row r="420" spans="1:29" hidden="1" x14ac:dyDescent="0.25">
      <c r="A420" t="s">
        <v>1336</v>
      </c>
      <c r="B420">
        <v>9</v>
      </c>
      <c r="C420">
        <v>2</v>
      </c>
      <c r="D420">
        <v>0</v>
      </c>
      <c r="E420" t="s">
        <v>1347</v>
      </c>
      <c r="F420">
        <v>5178</v>
      </c>
      <c r="G420">
        <v>9069308</v>
      </c>
      <c r="H420">
        <v>0.86481482287247968</v>
      </c>
      <c r="I420">
        <v>0.64814814814814814</v>
      </c>
      <c r="J420">
        <v>346541.25</v>
      </c>
      <c r="K420">
        <v>6861</v>
      </c>
      <c r="L420">
        <v>2</v>
      </c>
      <c r="M420">
        <v>54</v>
      </c>
      <c r="N420">
        <v>0.67777777777777781</v>
      </c>
      <c r="O420">
        <v>336992.58333333337</v>
      </c>
      <c r="P420">
        <v>7098</v>
      </c>
      <c r="Q420">
        <v>2</v>
      </c>
      <c r="R420">
        <v>55</v>
      </c>
      <c r="S420" t="s">
        <v>1792</v>
      </c>
      <c r="Z420" t="str">
        <f>IF((LEN(Wine_pres_final[[#This Row],[kan_width]])-LEN(SUBSTITUTE(Wine_pres_final[[#This Row],[kan_width]]," ","")))&gt;2,Wine_pres_final[[#This Row],[kan_test_acc]],"")</f>
        <v/>
      </c>
      <c r="AA420">
        <f>IF((LEN(Wine_pres_final[[#This Row],[kan_width]])-LEN(SUBSTITUTE(Wine_pres_final[[#This Row],[kan_width]]," ","")))&gt;2,"",Wine_pres_final[[#This Row],[kan_test_acc]])</f>
        <v>0.86481482287247968</v>
      </c>
      <c r="AB420">
        <f>Wine_pres_final[[#This Row],[mlp_test_acc]]</f>
        <v>0.64814814814814814</v>
      </c>
      <c r="AC420">
        <f>Wine_pres_final[[#This Row],[mlp_test_acc2]]</f>
        <v>0.67777777777777781</v>
      </c>
    </row>
    <row r="421" spans="1:29" hidden="1" x14ac:dyDescent="0.25">
      <c r="A421" t="s">
        <v>1336</v>
      </c>
      <c r="B421">
        <v>3</v>
      </c>
      <c r="C421">
        <v>2</v>
      </c>
      <c r="D421">
        <v>0</v>
      </c>
      <c r="E421" t="s">
        <v>1383</v>
      </c>
      <c r="F421">
        <v>5493</v>
      </c>
      <c r="G421">
        <v>9757006.5</v>
      </c>
      <c r="H421">
        <v>0.86481482287247968</v>
      </c>
      <c r="I421">
        <v>0.66296296296296298</v>
      </c>
      <c r="J421">
        <v>323993.83333333337</v>
      </c>
      <c r="K421">
        <v>8869</v>
      </c>
      <c r="L421">
        <v>2</v>
      </c>
      <c r="M421">
        <v>62</v>
      </c>
      <c r="N421">
        <v>0.6518518518518519</v>
      </c>
      <c r="O421">
        <v>313021.83333333331</v>
      </c>
      <c r="P421">
        <v>9138</v>
      </c>
      <c r="Q421">
        <v>2</v>
      </c>
      <c r="R421">
        <v>63</v>
      </c>
      <c r="S421" t="s">
        <v>1384</v>
      </c>
      <c r="Z421">
        <f>IF((LEN(Wine_pres_final[[#This Row],[kan_width]])-LEN(SUBSTITUTE(Wine_pres_final[[#This Row],[kan_width]]," ","")))&gt;2,Wine_pres_final[[#This Row],[kan_test_acc]],"")</f>
        <v>0.86481482287247968</v>
      </c>
      <c r="AA421" t="str">
        <f>IF((LEN(Wine_pres_final[[#This Row],[kan_width]])-LEN(SUBSTITUTE(Wine_pres_final[[#This Row],[kan_width]]," ","")))&gt;2,"",Wine_pres_final[[#This Row],[kan_test_acc]])</f>
        <v/>
      </c>
      <c r="AB421">
        <f>Wine_pres_final[[#This Row],[mlp_test_acc]]</f>
        <v>0.66296296296296298</v>
      </c>
      <c r="AC421">
        <f>Wine_pres_final[[#This Row],[mlp_test_acc2]]</f>
        <v>0.6518518518518519</v>
      </c>
    </row>
    <row r="422" spans="1:29" hidden="1" x14ac:dyDescent="0.25">
      <c r="A422" t="s">
        <v>1336</v>
      </c>
      <c r="B422">
        <v>3</v>
      </c>
      <c r="C422">
        <v>4</v>
      </c>
      <c r="D422">
        <v>0</v>
      </c>
      <c r="E422" t="s">
        <v>1365</v>
      </c>
      <c r="F422">
        <v>5731</v>
      </c>
      <c r="G422">
        <v>12636736.916666668</v>
      </c>
      <c r="H422">
        <v>0.86481482287247968</v>
      </c>
      <c r="I422">
        <v>0.68703703703703711</v>
      </c>
      <c r="J422">
        <v>1257721.1666666667</v>
      </c>
      <c r="K422">
        <v>10836</v>
      </c>
      <c r="L422">
        <v>2</v>
      </c>
      <c r="M422">
        <v>69</v>
      </c>
      <c r="N422">
        <v>0.70740740740740737</v>
      </c>
      <c r="O422">
        <v>1048861.6666666665</v>
      </c>
      <c r="P422">
        <v>11133</v>
      </c>
      <c r="Q422">
        <v>2</v>
      </c>
      <c r="R422">
        <v>70</v>
      </c>
      <c r="S422" t="s">
        <v>1501</v>
      </c>
      <c r="Z422">
        <f>IF((LEN(Wine_pres_final[[#This Row],[kan_width]])-LEN(SUBSTITUTE(Wine_pres_final[[#This Row],[kan_width]]," ","")))&gt;2,Wine_pres_final[[#This Row],[kan_test_acc]],"")</f>
        <v>0.86481482287247968</v>
      </c>
      <c r="AA422" t="str">
        <f>IF((LEN(Wine_pres_final[[#This Row],[kan_width]])-LEN(SUBSTITUTE(Wine_pres_final[[#This Row],[kan_width]]," ","")))&gt;2,"",Wine_pres_final[[#This Row],[kan_test_acc]])</f>
        <v/>
      </c>
      <c r="AB422">
        <f>Wine_pres_final[[#This Row],[mlp_test_acc]]</f>
        <v>0.68703703703703711</v>
      </c>
      <c r="AC422">
        <f>Wine_pres_final[[#This Row],[mlp_test_acc2]]</f>
        <v>0.70740740740740737</v>
      </c>
    </row>
    <row r="423" spans="1:29" hidden="1" x14ac:dyDescent="0.25">
      <c r="A423" t="s">
        <v>1336</v>
      </c>
      <c r="B423">
        <v>5</v>
      </c>
      <c r="C423">
        <v>2</v>
      </c>
      <c r="D423">
        <v>0</v>
      </c>
      <c r="E423" t="s">
        <v>1415</v>
      </c>
      <c r="F423">
        <v>8459</v>
      </c>
      <c r="G423">
        <v>16473909.25</v>
      </c>
      <c r="H423">
        <v>0.86481482287247968</v>
      </c>
      <c r="I423">
        <v>0.68148148148148147</v>
      </c>
      <c r="J423">
        <v>4276791.75</v>
      </c>
      <c r="K423">
        <v>12361</v>
      </c>
      <c r="L423">
        <v>2</v>
      </c>
      <c r="M423">
        <v>74</v>
      </c>
      <c r="N423">
        <v>0.70740740740740737</v>
      </c>
      <c r="O423">
        <v>2399460.333333333</v>
      </c>
      <c r="P423">
        <v>12678</v>
      </c>
      <c r="Q423">
        <v>2</v>
      </c>
      <c r="R423">
        <v>75</v>
      </c>
      <c r="S423" t="s">
        <v>1626</v>
      </c>
      <c r="Z423">
        <f>IF((LEN(Wine_pres_final[[#This Row],[kan_width]])-LEN(SUBSTITUTE(Wine_pres_final[[#This Row],[kan_width]]," ","")))&gt;2,Wine_pres_final[[#This Row],[kan_test_acc]],"")</f>
        <v>0.86481482287247968</v>
      </c>
      <c r="AA423" t="str">
        <f>IF((LEN(Wine_pres_final[[#This Row],[kan_width]])-LEN(SUBSTITUTE(Wine_pres_final[[#This Row],[kan_width]]," ","")))&gt;2,"",Wine_pres_final[[#This Row],[kan_test_acc]])</f>
        <v/>
      </c>
      <c r="AB423">
        <f>Wine_pres_final[[#This Row],[mlp_test_acc]]</f>
        <v>0.68148148148148147</v>
      </c>
      <c r="AC423">
        <f>Wine_pres_final[[#This Row],[mlp_test_acc2]]</f>
        <v>0.70740740740740737</v>
      </c>
    </row>
    <row r="424" spans="1:29" hidden="1" x14ac:dyDescent="0.25">
      <c r="A424" t="s">
        <v>1336</v>
      </c>
      <c r="B424">
        <v>3</v>
      </c>
      <c r="C424">
        <v>4</v>
      </c>
      <c r="D424">
        <v>0</v>
      </c>
      <c r="E424" t="s">
        <v>1339</v>
      </c>
      <c r="F424">
        <v>2418</v>
      </c>
      <c r="G424">
        <v>6129611.083333334</v>
      </c>
      <c r="H424">
        <v>0.86481482287247979</v>
      </c>
      <c r="I424">
        <v>0.72962962962962963</v>
      </c>
      <c r="J424">
        <v>284207.25</v>
      </c>
      <c r="K424">
        <v>4518</v>
      </c>
      <c r="L424">
        <v>2</v>
      </c>
      <c r="M424">
        <v>43</v>
      </c>
      <c r="N424">
        <v>0.68703703703703711</v>
      </c>
      <c r="O424">
        <v>294138.41666666669</v>
      </c>
      <c r="P424">
        <v>4711</v>
      </c>
      <c r="Q424">
        <v>2</v>
      </c>
      <c r="R424">
        <v>44</v>
      </c>
      <c r="S424" t="s">
        <v>1488</v>
      </c>
      <c r="Z424" t="str">
        <f>IF((LEN(Wine_pres_final[[#This Row],[kan_width]])-LEN(SUBSTITUTE(Wine_pres_final[[#This Row],[kan_width]]," ","")))&gt;2,Wine_pres_final[[#This Row],[kan_test_acc]],"")</f>
        <v/>
      </c>
      <c r="AA424">
        <f>IF((LEN(Wine_pres_final[[#This Row],[kan_width]])-LEN(SUBSTITUTE(Wine_pres_final[[#This Row],[kan_width]]," ","")))&gt;2,"",Wine_pres_final[[#This Row],[kan_test_acc]])</f>
        <v>0.86481482287247979</v>
      </c>
      <c r="AB424">
        <f>Wine_pres_final[[#This Row],[mlp_test_acc]]</f>
        <v>0.72962962962962963</v>
      </c>
      <c r="AC424">
        <f>Wine_pres_final[[#This Row],[mlp_test_acc2]]</f>
        <v>0.68703703703703711</v>
      </c>
    </row>
    <row r="425" spans="1:29" hidden="1" x14ac:dyDescent="0.25">
      <c r="A425" t="s">
        <v>1336</v>
      </c>
      <c r="B425">
        <v>9</v>
      </c>
      <c r="C425">
        <v>2</v>
      </c>
      <c r="D425">
        <v>0</v>
      </c>
      <c r="E425" t="s">
        <v>1343</v>
      </c>
      <c r="F425">
        <v>4278</v>
      </c>
      <c r="G425">
        <v>3786822.75</v>
      </c>
      <c r="H425">
        <v>0.86481482287247979</v>
      </c>
      <c r="I425">
        <v>0.66851851851851851</v>
      </c>
      <c r="J425">
        <v>324836.83333333337</v>
      </c>
      <c r="K425">
        <v>5736</v>
      </c>
      <c r="L425">
        <v>2</v>
      </c>
      <c r="M425">
        <v>49</v>
      </c>
      <c r="N425">
        <v>0.69074074074074077</v>
      </c>
      <c r="O425">
        <v>321137.25</v>
      </c>
      <c r="P425">
        <v>5953</v>
      </c>
      <c r="Q425">
        <v>2</v>
      </c>
      <c r="R425">
        <v>50</v>
      </c>
      <c r="S425" t="s">
        <v>1790</v>
      </c>
      <c r="Z425" t="str">
        <f>IF((LEN(Wine_pres_final[[#This Row],[kan_width]])-LEN(SUBSTITUTE(Wine_pres_final[[#This Row],[kan_width]]," ","")))&gt;2,Wine_pres_final[[#This Row],[kan_test_acc]],"")</f>
        <v/>
      </c>
      <c r="AA425">
        <f>IF((LEN(Wine_pres_final[[#This Row],[kan_width]])-LEN(SUBSTITUTE(Wine_pres_final[[#This Row],[kan_width]]," ","")))&gt;2,"",Wine_pres_final[[#This Row],[kan_test_acc]])</f>
        <v>0.86481482287247979</v>
      </c>
      <c r="AB425">
        <f>Wine_pres_final[[#This Row],[mlp_test_acc]]</f>
        <v>0.66851851851851851</v>
      </c>
      <c r="AC425">
        <f>Wine_pres_final[[#This Row],[mlp_test_acc2]]</f>
        <v>0.69074074074074077</v>
      </c>
    </row>
    <row r="426" spans="1:29" hidden="1" x14ac:dyDescent="0.25">
      <c r="A426" t="s">
        <v>1336</v>
      </c>
      <c r="B426">
        <v>9</v>
      </c>
      <c r="C426">
        <v>2</v>
      </c>
      <c r="D426">
        <v>0</v>
      </c>
      <c r="E426" t="s">
        <v>1379</v>
      </c>
      <c r="F426">
        <v>8567</v>
      </c>
      <c r="G426">
        <v>9814802.75</v>
      </c>
      <c r="H426">
        <v>0.86481482287247979</v>
      </c>
      <c r="I426">
        <v>0.66111111111111109</v>
      </c>
      <c r="J426">
        <v>6034733.75</v>
      </c>
      <c r="K426">
        <v>11434</v>
      </c>
      <c r="L426">
        <v>2</v>
      </c>
      <c r="M426">
        <v>71</v>
      </c>
      <c r="N426">
        <v>0.68888888888888888</v>
      </c>
      <c r="O426">
        <v>2111700.75</v>
      </c>
      <c r="P426">
        <v>11739</v>
      </c>
      <c r="Q426">
        <v>2</v>
      </c>
      <c r="R426">
        <v>72</v>
      </c>
      <c r="S426" t="s">
        <v>1808</v>
      </c>
      <c r="Z426">
        <f>IF((LEN(Wine_pres_final[[#This Row],[kan_width]])-LEN(SUBSTITUTE(Wine_pres_final[[#This Row],[kan_width]]," ","")))&gt;2,Wine_pres_final[[#This Row],[kan_test_acc]],"")</f>
        <v>0.86481482287247979</v>
      </c>
      <c r="AA426" t="str">
        <f>IF((LEN(Wine_pres_final[[#This Row],[kan_width]])-LEN(SUBSTITUTE(Wine_pres_final[[#This Row],[kan_width]]," ","")))&gt;2,"",Wine_pres_final[[#This Row],[kan_test_acc]])</f>
        <v/>
      </c>
      <c r="AB426">
        <f>Wine_pres_final[[#This Row],[mlp_test_acc]]</f>
        <v>0.66111111111111109</v>
      </c>
      <c r="AC426">
        <f>Wine_pres_final[[#This Row],[mlp_test_acc2]]</f>
        <v>0.68888888888888888</v>
      </c>
    </row>
    <row r="427" spans="1:29" hidden="1" x14ac:dyDescent="0.25">
      <c r="A427" t="s">
        <v>1336</v>
      </c>
      <c r="B427">
        <v>9</v>
      </c>
      <c r="C427">
        <v>2</v>
      </c>
      <c r="D427">
        <v>0</v>
      </c>
      <c r="E427" t="s">
        <v>1393</v>
      </c>
      <c r="F427">
        <v>9015</v>
      </c>
      <c r="G427">
        <v>9251920.4166666679</v>
      </c>
      <c r="H427">
        <v>0.86481482287247979</v>
      </c>
      <c r="I427">
        <v>0.67962962962962958</v>
      </c>
      <c r="J427">
        <v>7453074</v>
      </c>
      <c r="K427">
        <v>12048</v>
      </c>
      <c r="L427">
        <v>2</v>
      </c>
      <c r="M427">
        <v>73</v>
      </c>
      <c r="N427">
        <v>0.69444444444444442</v>
      </c>
      <c r="O427">
        <v>2885916.5</v>
      </c>
      <c r="P427">
        <v>12361</v>
      </c>
      <c r="Q427">
        <v>2</v>
      </c>
      <c r="R427">
        <v>74</v>
      </c>
      <c r="S427" t="s">
        <v>1815</v>
      </c>
      <c r="Z427">
        <f>IF((LEN(Wine_pres_final[[#This Row],[kan_width]])-LEN(SUBSTITUTE(Wine_pres_final[[#This Row],[kan_width]]," ","")))&gt;2,Wine_pres_final[[#This Row],[kan_test_acc]],"")</f>
        <v>0.86481482287247979</v>
      </c>
      <c r="AA427" t="str">
        <f>IF((LEN(Wine_pres_final[[#This Row],[kan_width]])-LEN(SUBSTITUTE(Wine_pres_final[[#This Row],[kan_width]]," ","")))&gt;2,"",Wine_pres_final[[#This Row],[kan_test_acc]])</f>
        <v/>
      </c>
      <c r="AB427">
        <f>Wine_pres_final[[#This Row],[mlp_test_acc]]</f>
        <v>0.67962962962962958</v>
      </c>
      <c r="AC427">
        <f>Wine_pres_final[[#This Row],[mlp_test_acc2]]</f>
        <v>0.69444444444444442</v>
      </c>
    </row>
    <row r="428" spans="1:29" hidden="1" x14ac:dyDescent="0.25">
      <c r="A428" t="s">
        <v>1336</v>
      </c>
      <c r="B428">
        <v>3</v>
      </c>
      <c r="C428">
        <v>2</v>
      </c>
      <c r="D428">
        <v>0</v>
      </c>
      <c r="E428" t="s">
        <v>1381</v>
      </c>
      <c r="F428">
        <v>5203</v>
      </c>
      <c r="G428">
        <v>11821375.5</v>
      </c>
      <c r="H428">
        <v>0.86666667461395264</v>
      </c>
      <c r="I428">
        <v>0.68333333333333335</v>
      </c>
      <c r="J428">
        <v>277231.5</v>
      </c>
      <c r="K428">
        <v>8343</v>
      </c>
      <c r="L428">
        <v>2</v>
      </c>
      <c r="M428">
        <v>60</v>
      </c>
      <c r="N428">
        <v>0.68703703703703711</v>
      </c>
      <c r="O428">
        <v>264784.91666666663</v>
      </c>
      <c r="P428">
        <v>8604</v>
      </c>
      <c r="Q428">
        <v>2</v>
      </c>
      <c r="R428">
        <v>61</v>
      </c>
      <c r="S428" t="s">
        <v>1382</v>
      </c>
      <c r="Z428">
        <f>IF((LEN(Wine_pres_final[[#This Row],[kan_width]])-LEN(SUBSTITUTE(Wine_pres_final[[#This Row],[kan_width]]," ","")))&gt;2,Wine_pres_final[[#This Row],[kan_test_acc]],"")</f>
        <v>0.86666667461395264</v>
      </c>
      <c r="AA428" t="str">
        <f>IF((LEN(Wine_pres_final[[#This Row],[kan_width]])-LEN(SUBSTITUTE(Wine_pres_final[[#This Row],[kan_width]]," ","")))&gt;2,"",Wine_pres_final[[#This Row],[kan_test_acc]])</f>
        <v/>
      </c>
      <c r="AB428">
        <f>Wine_pres_final[[#This Row],[mlp_test_acc]]</f>
        <v>0.68333333333333335</v>
      </c>
      <c r="AC428">
        <f>Wine_pres_final[[#This Row],[mlp_test_acc2]]</f>
        <v>0.68703703703703711</v>
      </c>
    </row>
    <row r="429" spans="1:29" hidden="1" x14ac:dyDescent="0.25">
      <c r="A429" t="s">
        <v>1336</v>
      </c>
      <c r="B429">
        <v>3</v>
      </c>
      <c r="C429">
        <v>4</v>
      </c>
      <c r="D429">
        <v>0</v>
      </c>
      <c r="E429" t="s">
        <v>1345</v>
      </c>
      <c r="F429">
        <v>3384</v>
      </c>
      <c r="G429">
        <v>6885884.083333333</v>
      </c>
      <c r="H429">
        <v>0.86851852635542548</v>
      </c>
      <c r="I429">
        <v>0.66296296296296298</v>
      </c>
      <c r="J429">
        <v>332895.41666666663</v>
      </c>
      <c r="K429">
        <v>6399</v>
      </c>
      <c r="L429">
        <v>2</v>
      </c>
      <c r="M429">
        <v>52</v>
      </c>
      <c r="N429">
        <v>0.71296296296296302</v>
      </c>
      <c r="O429">
        <v>322676.66666666669</v>
      </c>
      <c r="P429">
        <v>6628</v>
      </c>
      <c r="Q429">
        <v>2</v>
      </c>
      <c r="R429">
        <v>53</v>
      </c>
      <c r="S429" t="s">
        <v>1491</v>
      </c>
      <c r="Z429" t="str">
        <f>IF((LEN(Wine_pres_final[[#This Row],[kan_width]])-LEN(SUBSTITUTE(Wine_pres_final[[#This Row],[kan_width]]," ","")))&gt;2,Wine_pres_final[[#This Row],[kan_test_acc]],"")</f>
        <v/>
      </c>
      <c r="AA429">
        <f>IF((LEN(Wine_pres_final[[#This Row],[kan_width]])-LEN(SUBSTITUTE(Wine_pres_final[[#This Row],[kan_width]]," ","")))&gt;2,"",Wine_pres_final[[#This Row],[kan_test_acc]])</f>
        <v>0.86851852635542548</v>
      </c>
      <c r="AB429">
        <f>Wine_pres_final[[#This Row],[mlp_test_acc]]</f>
        <v>0.66296296296296298</v>
      </c>
      <c r="AC429">
        <f>Wine_pres_final[[#This Row],[mlp_test_acc2]]</f>
        <v>0.71296296296296302</v>
      </c>
    </row>
    <row r="430" spans="1:29" hidden="1" x14ac:dyDescent="0.25">
      <c r="A430" t="s">
        <v>1336</v>
      </c>
      <c r="B430">
        <v>3</v>
      </c>
      <c r="C430">
        <v>4</v>
      </c>
      <c r="D430">
        <v>0</v>
      </c>
      <c r="E430" t="s">
        <v>1347</v>
      </c>
      <c r="F430">
        <v>3706</v>
      </c>
      <c r="G430">
        <v>6310813</v>
      </c>
      <c r="H430">
        <v>0.86851852635542548</v>
      </c>
      <c r="I430">
        <v>0.63518518518518507</v>
      </c>
      <c r="J430">
        <v>315164.91666666663</v>
      </c>
      <c r="K430">
        <v>6861</v>
      </c>
      <c r="L430">
        <v>2</v>
      </c>
      <c r="M430">
        <v>54</v>
      </c>
      <c r="N430">
        <v>0.70555555555555549</v>
      </c>
      <c r="O430">
        <v>328602.58333333337</v>
      </c>
      <c r="P430">
        <v>7098</v>
      </c>
      <c r="Q430">
        <v>2</v>
      </c>
      <c r="R430">
        <v>55</v>
      </c>
      <c r="S430" t="s">
        <v>1492</v>
      </c>
      <c r="Z430" t="str">
        <f>IF((LEN(Wine_pres_final[[#This Row],[kan_width]])-LEN(SUBSTITUTE(Wine_pres_final[[#This Row],[kan_width]]," ","")))&gt;2,Wine_pres_final[[#This Row],[kan_test_acc]],"")</f>
        <v/>
      </c>
      <c r="AA430">
        <f>IF((LEN(Wine_pres_final[[#This Row],[kan_width]])-LEN(SUBSTITUTE(Wine_pres_final[[#This Row],[kan_width]]," ","")))&gt;2,"",Wine_pres_final[[#This Row],[kan_test_acc]])</f>
        <v>0.86851852635542548</v>
      </c>
      <c r="AB430">
        <f>Wine_pres_final[[#This Row],[mlp_test_acc]]</f>
        <v>0.63518518518518507</v>
      </c>
      <c r="AC430">
        <f>Wine_pres_final[[#This Row],[mlp_test_acc2]]</f>
        <v>0.70555555555555549</v>
      </c>
    </row>
    <row r="431" spans="1:29" hidden="1" x14ac:dyDescent="0.25">
      <c r="A431" t="s">
        <v>1336</v>
      </c>
      <c r="B431">
        <v>5</v>
      </c>
      <c r="C431">
        <v>2</v>
      </c>
      <c r="D431">
        <v>0</v>
      </c>
      <c r="E431" t="s">
        <v>1391</v>
      </c>
      <c r="F431">
        <v>6049</v>
      </c>
      <c r="G431">
        <v>12063166</v>
      </c>
      <c r="H431">
        <v>0.86851852635542548</v>
      </c>
      <c r="I431">
        <v>0.70370370370370372</v>
      </c>
      <c r="J431">
        <v>412827.83333333337</v>
      </c>
      <c r="K431">
        <v>8869</v>
      </c>
      <c r="L431">
        <v>2</v>
      </c>
      <c r="M431">
        <v>62</v>
      </c>
      <c r="N431">
        <v>0.6611111111111112</v>
      </c>
      <c r="O431">
        <v>487717.58333333337</v>
      </c>
      <c r="P431">
        <v>9138</v>
      </c>
      <c r="Q431">
        <v>2</v>
      </c>
      <c r="R431">
        <v>63</v>
      </c>
      <c r="S431" t="s">
        <v>1614</v>
      </c>
      <c r="Z431">
        <f>IF((LEN(Wine_pres_final[[#This Row],[kan_width]])-LEN(SUBSTITUTE(Wine_pres_final[[#This Row],[kan_width]]," ","")))&gt;2,Wine_pres_final[[#This Row],[kan_test_acc]],"")</f>
        <v>0.86851852635542548</v>
      </c>
      <c r="AA431" t="str">
        <f>IF((LEN(Wine_pres_final[[#This Row],[kan_width]])-LEN(SUBSTITUTE(Wine_pres_final[[#This Row],[kan_width]]," ","")))&gt;2,"",Wine_pres_final[[#This Row],[kan_test_acc]])</f>
        <v/>
      </c>
      <c r="AB431">
        <f>Wine_pres_final[[#This Row],[mlp_test_acc]]</f>
        <v>0.70370370370370372</v>
      </c>
      <c r="AC431">
        <f>Wine_pres_final[[#This Row],[mlp_test_acc2]]</f>
        <v>0.6611111111111112</v>
      </c>
    </row>
    <row r="432" spans="1:29" hidden="1" x14ac:dyDescent="0.25">
      <c r="A432" t="s">
        <v>1336</v>
      </c>
      <c r="B432">
        <v>5</v>
      </c>
      <c r="C432">
        <v>4</v>
      </c>
      <c r="D432">
        <v>0</v>
      </c>
      <c r="E432" t="s">
        <v>1341</v>
      </c>
      <c r="F432">
        <v>3284</v>
      </c>
      <c r="G432">
        <v>4933923</v>
      </c>
      <c r="H432">
        <v>0.86851852635542559</v>
      </c>
      <c r="I432">
        <v>0.63703703703703707</v>
      </c>
      <c r="J432">
        <v>309035.5</v>
      </c>
      <c r="K432">
        <v>5523</v>
      </c>
      <c r="L432">
        <v>2</v>
      </c>
      <c r="M432">
        <v>48</v>
      </c>
      <c r="N432">
        <v>0.71111111111111103</v>
      </c>
      <c r="O432">
        <v>297488.33333333337</v>
      </c>
      <c r="P432">
        <v>5736</v>
      </c>
      <c r="Q432">
        <v>2</v>
      </c>
      <c r="R432">
        <v>49</v>
      </c>
      <c r="S432" t="s">
        <v>1689</v>
      </c>
      <c r="Z432" t="str">
        <f>IF((LEN(Wine_pres_final[[#This Row],[kan_width]])-LEN(SUBSTITUTE(Wine_pres_final[[#This Row],[kan_width]]," ","")))&gt;2,Wine_pres_final[[#This Row],[kan_test_acc]],"")</f>
        <v/>
      </c>
      <c r="AA432">
        <f>IF((LEN(Wine_pres_final[[#This Row],[kan_width]])-LEN(SUBSTITUTE(Wine_pres_final[[#This Row],[kan_width]]," ","")))&gt;2,"",Wine_pres_final[[#This Row],[kan_test_acc]])</f>
        <v>0.86851852635542559</v>
      </c>
      <c r="AB432">
        <f>Wine_pres_final[[#This Row],[mlp_test_acc]]</f>
        <v>0.63703703703703707</v>
      </c>
      <c r="AC432">
        <f>Wine_pres_final[[#This Row],[mlp_test_acc2]]</f>
        <v>0.71111111111111103</v>
      </c>
    </row>
    <row r="433" spans="1:29" hidden="1" x14ac:dyDescent="0.25">
      <c r="A433" t="s">
        <v>1336</v>
      </c>
      <c r="B433">
        <v>5</v>
      </c>
      <c r="C433">
        <v>2</v>
      </c>
      <c r="D433">
        <v>0</v>
      </c>
      <c r="E433" t="s">
        <v>1369</v>
      </c>
      <c r="F433">
        <v>4321</v>
      </c>
      <c r="G433">
        <v>11736907.75</v>
      </c>
      <c r="H433">
        <v>0.86851852635542559</v>
      </c>
      <c r="I433">
        <v>0.72592592592592586</v>
      </c>
      <c r="J433">
        <v>405432.66666666669</v>
      </c>
      <c r="K433">
        <v>6399</v>
      </c>
      <c r="L433">
        <v>2</v>
      </c>
      <c r="M433">
        <v>52</v>
      </c>
      <c r="N433">
        <v>0.70185185185185195</v>
      </c>
      <c r="O433">
        <v>1979114.8333333333</v>
      </c>
      <c r="P433">
        <v>6628</v>
      </c>
      <c r="Q433">
        <v>2</v>
      </c>
      <c r="R433">
        <v>53</v>
      </c>
      <c r="S433" t="s">
        <v>1603</v>
      </c>
      <c r="Z433">
        <f>IF((LEN(Wine_pres_final[[#This Row],[kan_width]])-LEN(SUBSTITUTE(Wine_pres_final[[#This Row],[kan_width]]," ","")))&gt;2,Wine_pres_final[[#This Row],[kan_test_acc]],"")</f>
        <v>0.86851852635542559</v>
      </c>
      <c r="AA433" t="str">
        <f>IF((LEN(Wine_pres_final[[#This Row],[kan_width]])-LEN(SUBSTITUTE(Wine_pres_final[[#This Row],[kan_width]]," ","")))&gt;2,"",Wine_pres_final[[#This Row],[kan_test_acc]])</f>
        <v/>
      </c>
      <c r="AB433">
        <f>Wine_pres_final[[#This Row],[mlp_test_acc]]</f>
        <v>0.72592592592592586</v>
      </c>
      <c r="AC433">
        <f>Wine_pres_final[[#This Row],[mlp_test_acc2]]</f>
        <v>0.70185185185185195</v>
      </c>
    </row>
    <row r="434" spans="1:29" hidden="1" x14ac:dyDescent="0.25">
      <c r="A434" t="s">
        <v>1336</v>
      </c>
      <c r="B434">
        <v>5</v>
      </c>
      <c r="C434">
        <v>2</v>
      </c>
      <c r="D434">
        <v>0</v>
      </c>
      <c r="E434" t="s">
        <v>1363</v>
      </c>
      <c r="F434">
        <v>5409</v>
      </c>
      <c r="G434">
        <v>14124332.333333334</v>
      </c>
      <c r="H434">
        <v>0.86851852635542559</v>
      </c>
      <c r="I434">
        <v>0.67407407407407405</v>
      </c>
      <c r="J434">
        <v>390054.91666666663</v>
      </c>
      <c r="K434">
        <v>8086</v>
      </c>
      <c r="L434">
        <v>2</v>
      </c>
      <c r="M434">
        <v>59</v>
      </c>
      <c r="N434">
        <v>0.67037037037037039</v>
      </c>
      <c r="O434">
        <v>362473.41666666669</v>
      </c>
      <c r="P434">
        <v>8343</v>
      </c>
      <c r="Q434">
        <v>2</v>
      </c>
      <c r="R434">
        <v>60</v>
      </c>
      <c r="S434" t="s">
        <v>1600</v>
      </c>
      <c r="Z434">
        <f>IF((LEN(Wine_pres_final[[#This Row],[kan_width]])-LEN(SUBSTITUTE(Wine_pres_final[[#This Row],[kan_width]]," ","")))&gt;2,Wine_pres_final[[#This Row],[kan_test_acc]],"")</f>
        <v>0.86851852635542559</v>
      </c>
      <c r="AA434" t="str">
        <f>IF((LEN(Wine_pres_final[[#This Row],[kan_width]])-LEN(SUBSTITUTE(Wine_pres_final[[#This Row],[kan_width]]," ","")))&gt;2,"",Wine_pres_final[[#This Row],[kan_test_acc]])</f>
        <v/>
      </c>
      <c r="AB434">
        <f>Wine_pres_final[[#This Row],[mlp_test_acc]]</f>
        <v>0.67407407407407405</v>
      </c>
      <c r="AC434">
        <f>Wine_pres_final[[#This Row],[mlp_test_acc2]]</f>
        <v>0.67037037037037039</v>
      </c>
    </row>
    <row r="435" spans="1:29" hidden="1" x14ac:dyDescent="0.25">
      <c r="A435" t="s">
        <v>1336</v>
      </c>
      <c r="B435">
        <v>5</v>
      </c>
      <c r="C435">
        <v>2</v>
      </c>
      <c r="D435">
        <v>0</v>
      </c>
      <c r="E435" t="s">
        <v>1365</v>
      </c>
      <c r="F435">
        <v>5731</v>
      </c>
      <c r="G435">
        <v>14272786.416666668</v>
      </c>
      <c r="H435">
        <v>0.86851852635542559</v>
      </c>
      <c r="I435">
        <v>0.68518518518518512</v>
      </c>
      <c r="J435">
        <v>388845.16666666663</v>
      </c>
      <c r="K435">
        <v>8343</v>
      </c>
      <c r="L435">
        <v>2</v>
      </c>
      <c r="M435">
        <v>60</v>
      </c>
      <c r="N435">
        <v>0.6425925925925926</v>
      </c>
      <c r="O435">
        <v>351058.91666666669</v>
      </c>
      <c r="P435">
        <v>8604</v>
      </c>
      <c r="Q435">
        <v>2</v>
      </c>
      <c r="R435">
        <v>61</v>
      </c>
      <c r="S435" t="s">
        <v>1601</v>
      </c>
      <c r="Z435">
        <f>IF((LEN(Wine_pres_final[[#This Row],[kan_width]])-LEN(SUBSTITUTE(Wine_pres_final[[#This Row],[kan_width]]," ","")))&gt;2,Wine_pres_final[[#This Row],[kan_test_acc]],"")</f>
        <v>0.86851852635542559</v>
      </c>
      <c r="AA435" t="str">
        <f>IF((LEN(Wine_pres_final[[#This Row],[kan_width]])-LEN(SUBSTITUTE(Wine_pres_final[[#This Row],[kan_width]]," ","")))&gt;2,"",Wine_pres_final[[#This Row],[kan_test_acc]])</f>
        <v/>
      </c>
      <c r="AB435">
        <f>Wine_pres_final[[#This Row],[mlp_test_acc]]</f>
        <v>0.68518518518518512</v>
      </c>
      <c r="AC435">
        <f>Wine_pres_final[[#This Row],[mlp_test_acc2]]</f>
        <v>0.6425925925925926</v>
      </c>
    </row>
    <row r="436" spans="1:29" hidden="1" x14ac:dyDescent="0.25">
      <c r="A436" t="s">
        <v>1336</v>
      </c>
      <c r="B436">
        <v>3</v>
      </c>
      <c r="C436">
        <v>4</v>
      </c>
      <c r="D436">
        <v>0</v>
      </c>
      <c r="E436" t="s">
        <v>1379</v>
      </c>
      <c r="F436">
        <v>6131</v>
      </c>
      <c r="G436">
        <v>14056863.083333332</v>
      </c>
      <c r="H436">
        <v>0.87037037809689832</v>
      </c>
      <c r="I436">
        <v>0.72777777777777786</v>
      </c>
      <c r="J436">
        <v>1774076</v>
      </c>
      <c r="K436">
        <v>11434</v>
      </c>
      <c r="L436">
        <v>2</v>
      </c>
      <c r="M436">
        <v>71</v>
      </c>
      <c r="N436">
        <v>0.69074074074074066</v>
      </c>
      <c r="O436">
        <v>1149973.6666666667</v>
      </c>
      <c r="P436">
        <v>11739</v>
      </c>
      <c r="Q436">
        <v>2</v>
      </c>
      <c r="R436">
        <v>72</v>
      </c>
      <c r="S436" t="s">
        <v>1508</v>
      </c>
      <c r="Z436">
        <f>IF((LEN(Wine_pres_final[[#This Row],[kan_width]])-LEN(SUBSTITUTE(Wine_pres_final[[#This Row],[kan_width]]," ","")))&gt;2,Wine_pres_final[[#This Row],[kan_test_acc]],"")</f>
        <v>0.87037037809689832</v>
      </c>
      <c r="AA436" t="str">
        <f>IF((LEN(Wine_pres_final[[#This Row],[kan_width]])-LEN(SUBSTITUTE(Wine_pres_final[[#This Row],[kan_width]]," ","")))&gt;2,"",Wine_pres_final[[#This Row],[kan_test_acc]])</f>
        <v/>
      </c>
      <c r="AB436">
        <f>Wine_pres_final[[#This Row],[mlp_test_acc]]</f>
        <v>0.72777777777777786</v>
      </c>
      <c r="AC436">
        <f>Wine_pres_final[[#This Row],[mlp_test_acc2]]</f>
        <v>0.69074074074074066</v>
      </c>
    </row>
    <row r="437" spans="1:29" hidden="1" x14ac:dyDescent="0.25">
      <c r="A437" t="s">
        <v>1336</v>
      </c>
      <c r="B437">
        <v>5</v>
      </c>
      <c r="C437">
        <v>3</v>
      </c>
      <c r="D437">
        <v>0</v>
      </c>
      <c r="E437" t="s">
        <v>1417</v>
      </c>
      <c r="F437">
        <v>6472</v>
      </c>
      <c r="G437">
        <v>18462719.083333336</v>
      </c>
      <c r="H437">
        <v>0.87037037809689832</v>
      </c>
      <c r="I437">
        <v>0.6518518518518519</v>
      </c>
      <c r="J437">
        <v>4435317.083333334</v>
      </c>
      <c r="K437">
        <v>10543</v>
      </c>
      <c r="L437">
        <v>2</v>
      </c>
      <c r="M437">
        <v>68</v>
      </c>
      <c r="N437">
        <v>0.71481481481481479</v>
      </c>
      <c r="O437">
        <v>3037501.25</v>
      </c>
      <c r="P437">
        <v>10836</v>
      </c>
      <c r="Q437">
        <v>2</v>
      </c>
      <c r="R437">
        <v>69</v>
      </c>
      <c r="S437" t="s">
        <v>1677</v>
      </c>
      <c r="Z437">
        <f>IF((LEN(Wine_pres_final[[#This Row],[kan_width]])-LEN(SUBSTITUTE(Wine_pres_final[[#This Row],[kan_width]]," ","")))&gt;2,Wine_pres_final[[#This Row],[kan_test_acc]],"")</f>
        <v>0.87037037809689832</v>
      </c>
      <c r="AA437" t="str">
        <f>IF((LEN(Wine_pres_final[[#This Row],[kan_width]])-LEN(SUBSTITUTE(Wine_pres_final[[#This Row],[kan_width]]," ","")))&gt;2,"",Wine_pres_final[[#This Row],[kan_test_acc]])</f>
        <v/>
      </c>
      <c r="AB437">
        <f>Wine_pres_final[[#This Row],[mlp_test_acc]]</f>
        <v>0.6518518518518519</v>
      </c>
      <c r="AC437">
        <f>Wine_pres_final[[#This Row],[mlp_test_acc2]]</f>
        <v>0.71481481481481479</v>
      </c>
    </row>
    <row r="438" spans="1:29" hidden="1" x14ac:dyDescent="0.25">
      <c r="A438" t="s">
        <v>1336</v>
      </c>
      <c r="B438">
        <v>9</v>
      </c>
      <c r="C438">
        <v>2</v>
      </c>
      <c r="D438">
        <v>0</v>
      </c>
      <c r="E438" t="s">
        <v>1419</v>
      </c>
      <c r="F438">
        <v>8901</v>
      </c>
      <c r="G438">
        <v>14120946.083333334</v>
      </c>
      <c r="H438">
        <v>0.87037037809689832</v>
      </c>
      <c r="I438">
        <v>0.64629629629629637</v>
      </c>
      <c r="J438">
        <v>3730203.75</v>
      </c>
      <c r="K438">
        <v>12048</v>
      </c>
      <c r="L438">
        <v>2</v>
      </c>
      <c r="M438">
        <v>73</v>
      </c>
      <c r="N438">
        <v>0.67962962962962958</v>
      </c>
      <c r="O438">
        <v>2243314.75</v>
      </c>
      <c r="P438">
        <v>12361</v>
      </c>
      <c r="Q438">
        <v>2</v>
      </c>
      <c r="R438">
        <v>74</v>
      </c>
      <c r="S438" t="s">
        <v>1828</v>
      </c>
      <c r="Z438">
        <f>IF((LEN(Wine_pres_final[[#This Row],[kan_width]])-LEN(SUBSTITUTE(Wine_pres_final[[#This Row],[kan_width]]," ","")))&gt;2,Wine_pres_final[[#This Row],[kan_test_acc]],"")</f>
        <v>0.87037037809689832</v>
      </c>
      <c r="AA438" t="str">
        <f>IF((LEN(Wine_pres_final[[#This Row],[kan_width]])-LEN(SUBSTITUTE(Wine_pres_final[[#This Row],[kan_width]]," ","")))&gt;2,"",Wine_pres_final[[#This Row],[kan_test_acc]])</f>
        <v/>
      </c>
      <c r="AB438">
        <f>Wine_pres_final[[#This Row],[mlp_test_acc]]</f>
        <v>0.64629629629629637</v>
      </c>
      <c r="AC438">
        <f>Wine_pres_final[[#This Row],[mlp_test_acc2]]</f>
        <v>0.67962962962962958</v>
      </c>
    </row>
    <row r="439" spans="1:29" hidden="1" x14ac:dyDescent="0.25">
      <c r="A439" t="s">
        <v>1336</v>
      </c>
      <c r="B439">
        <v>9</v>
      </c>
      <c r="C439">
        <v>2</v>
      </c>
      <c r="D439">
        <v>0</v>
      </c>
      <c r="E439" t="s">
        <v>1431</v>
      </c>
      <c r="F439">
        <v>12945</v>
      </c>
      <c r="G439">
        <v>11608743.916666666</v>
      </c>
      <c r="H439">
        <v>0.87037037809689832</v>
      </c>
      <c r="I439">
        <v>0.68333333333333335</v>
      </c>
      <c r="J439">
        <v>4407647.333333334</v>
      </c>
      <c r="K439">
        <v>17536</v>
      </c>
      <c r="L439">
        <v>2</v>
      </c>
      <c r="M439">
        <v>89</v>
      </c>
      <c r="N439">
        <v>0.68333333333333335</v>
      </c>
      <c r="O439">
        <v>3053139</v>
      </c>
      <c r="P439">
        <v>17913</v>
      </c>
      <c r="Q439">
        <v>2</v>
      </c>
      <c r="R439">
        <v>90</v>
      </c>
      <c r="S439" t="s">
        <v>1834</v>
      </c>
      <c r="Z439">
        <f>IF((LEN(Wine_pres_final[[#This Row],[kan_width]])-LEN(SUBSTITUTE(Wine_pres_final[[#This Row],[kan_width]]," ","")))&gt;2,Wine_pres_final[[#This Row],[kan_test_acc]],"")</f>
        <v>0.87037037809689832</v>
      </c>
      <c r="AA439" t="str">
        <f>IF((LEN(Wine_pres_final[[#This Row],[kan_width]])-LEN(SUBSTITUTE(Wine_pres_final[[#This Row],[kan_width]]," ","")))&gt;2,"",Wine_pres_final[[#This Row],[kan_test_acc]])</f>
        <v/>
      </c>
      <c r="AB439">
        <f>Wine_pres_final[[#This Row],[mlp_test_acc]]</f>
        <v>0.68333333333333335</v>
      </c>
      <c r="AC439">
        <f>Wine_pres_final[[#This Row],[mlp_test_acc2]]</f>
        <v>0.68333333333333335</v>
      </c>
    </row>
    <row r="440" spans="1:29" hidden="1" x14ac:dyDescent="0.25">
      <c r="A440" t="s">
        <v>1336</v>
      </c>
      <c r="B440">
        <v>9</v>
      </c>
      <c r="C440">
        <v>3</v>
      </c>
      <c r="D440">
        <v>0</v>
      </c>
      <c r="E440" t="s">
        <v>1353</v>
      </c>
      <c r="F440">
        <v>5684</v>
      </c>
      <c r="G440">
        <v>7886333</v>
      </c>
      <c r="H440">
        <v>0.87222222735484445</v>
      </c>
      <c r="I440">
        <v>0.67222222222222228</v>
      </c>
      <c r="J440">
        <v>3520807.3333333335</v>
      </c>
      <c r="K440">
        <v>8086</v>
      </c>
      <c r="L440">
        <v>2</v>
      </c>
      <c r="M440">
        <v>59</v>
      </c>
      <c r="N440">
        <v>0.65555555555555556</v>
      </c>
      <c r="O440">
        <v>1953406.9166666667</v>
      </c>
      <c r="P440">
        <v>8343</v>
      </c>
      <c r="Q440">
        <v>2</v>
      </c>
      <c r="R440">
        <v>60</v>
      </c>
      <c r="S440" t="s">
        <v>1845</v>
      </c>
      <c r="Z440">
        <f>IF((LEN(Wine_pres_final[[#This Row],[kan_width]])-LEN(SUBSTITUTE(Wine_pres_final[[#This Row],[kan_width]]," ","")))&gt;2,Wine_pres_final[[#This Row],[kan_test_acc]],"")</f>
        <v>0.87222222735484445</v>
      </c>
      <c r="AA440" t="str">
        <f>IF((LEN(Wine_pres_final[[#This Row],[kan_width]])-LEN(SUBSTITUTE(Wine_pres_final[[#This Row],[kan_width]]," ","")))&gt;2,"",Wine_pres_final[[#This Row],[kan_test_acc]])</f>
        <v/>
      </c>
      <c r="AB440">
        <f>Wine_pres_final[[#This Row],[mlp_test_acc]]</f>
        <v>0.67222222222222228</v>
      </c>
      <c r="AC440">
        <f>Wine_pres_final[[#This Row],[mlp_test_acc2]]</f>
        <v>0.65555555555555556</v>
      </c>
    </row>
    <row r="441" spans="1:29" hidden="1" x14ac:dyDescent="0.25">
      <c r="A441" t="s">
        <v>1336</v>
      </c>
      <c r="B441">
        <v>5</v>
      </c>
      <c r="C441">
        <v>2</v>
      </c>
      <c r="D441">
        <v>0</v>
      </c>
      <c r="E441" t="s">
        <v>1381</v>
      </c>
      <c r="F441">
        <v>6493</v>
      </c>
      <c r="G441">
        <v>11342363.166666668</v>
      </c>
      <c r="H441">
        <v>0.87222222983837128</v>
      </c>
      <c r="I441">
        <v>0.687037037037037</v>
      </c>
      <c r="J441">
        <v>3746929.5</v>
      </c>
      <c r="K441">
        <v>9688</v>
      </c>
      <c r="L441">
        <v>2</v>
      </c>
      <c r="M441">
        <v>65</v>
      </c>
      <c r="N441">
        <v>0.67037037037037039</v>
      </c>
      <c r="O441">
        <v>1612224.0833333335</v>
      </c>
      <c r="P441">
        <v>9969</v>
      </c>
      <c r="Q441">
        <v>2</v>
      </c>
      <c r="R441">
        <v>66</v>
      </c>
      <c r="S441" t="s">
        <v>1609</v>
      </c>
      <c r="Z441">
        <f>IF((LEN(Wine_pres_final[[#This Row],[kan_width]])-LEN(SUBSTITUTE(Wine_pres_final[[#This Row],[kan_width]]," ","")))&gt;2,Wine_pres_final[[#This Row],[kan_test_acc]],"")</f>
        <v>0.87222222983837128</v>
      </c>
      <c r="AA441" t="str">
        <f>IF((LEN(Wine_pres_final[[#This Row],[kan_width]])-LEN(SUBSTITUTE(Wine_pres_final[[#This Row],[kan_width]]," ","")))&gt;2,"",Wine_pres_final[[#This Row],[kan_test_acc]])</f>
        <v/>
      </c>
      <c r="AB441">
        <f>Wine_pres_final[[#This Row],[mlp_test_acc]]</f>
        <v>0.687037037037037</v>
      </c>
      <c r="AC441">
        <f>Wine_pres_final[[#This Row],[mlp_test_acc2]]</f>
        <v>0.67037037037037039</v>
      </c>
    </row>
    <row r="442" spans="1:29" hidden="1" x14ac:dyDescent="0.25">
      <c r="A442" t="s">
        <v>1336</v>
      </c>
      <c r="B442">
        <v>5</v>
      </c>
      <c r="C442">
        <v>2</v>
      </c>
      <c r="D442">
        <v>0</v>
      </c>
      <c r="E442" t="s">
        <v>1409</v>
      </c>
      <c r="F442">
        <v>7133</v>
      </c>
      <c r="G442">
        <v>14340728.25</v>
      </c>
      <c r="H442">
        <v>0.87222222983837128</v>
      </c>
      <c r="I442">
        <v>0.73333333333333339</v>
      </c>
      <c r="J442">
        <v>4166769.166666667</v>
      </c>
      <c r="K442">
        <v>10543</v>
      </c>
      <c r="L442">
        <v>2</v>
      </c>
      <c r="M442">
        <v>68</v>
      </c>
      <c r="N442">
        <v>0.67592592592592582</v>
      </c>
      <c r="O442">
        <v>2434804.6666666665</v>
      </c>
      <c r="P442">
        <v>10836</v>
      </c>
      <c r="Q442">
        <v>2</v>
      </c>
      <c r="R442">
        <v>69</v>
      </c>
      <c r="S442" t="s">
        <v>1623</v>
      </c>
      <c r="Z442">
        <f>IF((LEN(Wine_pres_final[[#This Row],[kan_width]])-LEN(SUBSTITUTE(Wine_pres_final[[#This Row],[kan_width]]," ","")))&gt;2,Wine_pres_final[[#This Row],[kan_test_acc]],"")</f>
        <v>0.87222222983837128</v>
      </c>
      <c r="AA442" t="str">
        <f>IF((LEN(Wine_pres_final[[#This Row],[kan_width]])-LEN(SUBSTITUTE(Wine_pres_final[[#This Row],[kan_width]]," ","")))&gt;2,"",Wine_pres_final[[#This Row],[kan_test_acc]])</f>
        <v/>
      </c>
      <c r="AB442">
        <f>Wine_pres_final[[#This Row],[mlp_test_acc]]</f>
        <v>0.73333333333333339</v>
      </c>
      <c r="AC442">
        <f>Wine_pres_final[[#This Row],[mlp_test_acc2]]</f>
        <v>0.67592592592592582</v>
      </c>
    </row>
    <row r="443" spans="1:29" hidden="1" x14ac:dyDescent="0.25">
      <c r="A443" t="s">
        <v>1336</v>
      </c>
      <c r="B443">
        <v>5</v>
      </c>
      <c r="C443">
        <v>2</v>
      </c>
      <c r="D443">
        <v>0</v>
      </c>
      <c r="E443" t="s">
        <v>1423</v>
      </c>
      <c r="F443">
        <v>7333</v>
      </c>
      <c r="G443">
        <v>15204015</v>
      </c>
      <c r="H443">
        <v>0.87222222983837128</v>
      </c>
      <c r="I443">
        <v>0.71666666666666667</v>
      </c>
      <c r="J443">
        <v>3714513</v>
      </c>
      <c r="K443">
        <v>10836</v>
      </c>
      <c r="L443">
        <v>2</v>
      </c>
      <c r="M443">
        <v>69</v>
      </c>
      <c r="N443">
        <v>0.7055555555555556</v>
      </c>
      <c r="O443">
        <v>4627112.333333334</v>
      </c>
      <c r="P443">
        <v>11133</v>
      </c>
      <c r="Q443">
        <v>2</v>
      </c>
      <c r="R443">
        <v>70</v>
      </c>
      <c r="S443" t="s">
        <v>1630</v>
      </c>
      <c r="Z443">
        <f>IF((LEN(Wine_pres_final[[#This Row],[kan_width]])-LEN(SUBSTITUTE(Wine_pres_final[[#This Row],[kan_width]]," ","")))&gt;2,Wine_pres_final[[#This Row],[kan_test_acc]],"")</f>
        <v>0.87222222983837128</v>
      </c>
      <c r="AA443" t="str">
        <f>IF((LEN(Wine_pres_final[[#This Row],[kan_width]])-LEN(SUBSTITUTE(Wine_pres_final[[#This Row],[kan_width]]," ","")))&gt;2,"",Wine_pres_final[[#This Row],[kan_test_acc]])</f>
        <v/>
      </c>
      <c r="AB443">
        <f>Wine_pres_final[[#This Row],[mlp_test_acc]]</f>
        <v>0.71666666666666667</v>
      </c>
      <c r="AC443">
        <f>Wine_pres_final[[#This Row],[mlp_test_acc2]]</f>
        <v>0.7055555555555556</v>
      </c>
    </row>
    <row r="444" spans="1:29" hidden="1" x14ac:dyDescent="0.25">
      <c r="A444" t="s">
        <v>1336</v>
      </c>
      <c r="B444">
        <v>3</v>
      </c>
      <c r="C444">
        <v>4</v>
      </c>
      <c r="D444">
        <v>0</v>
      </c>
      <c r="E444" t="s">
        <v>1399</v>
      </c>
      <c r="F444">
        <v>7657</v>
      </c>
      <c r="G444">
        <v>14882930.833333332</v>
      </c>
      <c r="H444">
        <v>0.87222222983837128</v>
      </c>
      <c r="I444">
        <v>0.71851851851851856</v>
      </c>
      <c r="J444">
        <v>1360811.3333333335</v>
      </c>
      <c r="K444">
        <v>14323</v>
      </c>
      <c r="L444">
        <v>2</v>
      </c>
      <c r="M444">
        <v>80</v>
      </c>
      <c r="N444">
        <v>0.7</v>
      </c>
      <c r="O444">
        <v>887683.41666666674</v>
      </c>
      <c r="P444">
        <v>14664</v>
      </c>
      <c r="Q444">
        <v>2</v>
      </c>
      <c r="R444">
        <v>81</v>
      </c>
      <c r="S444" t="s">
        <v>1518</v>
      </c>
      <c r="Z444">
        <f>IF((LEN(Wine_pres_final[[#This Row],[kan_width]])-LEN(SUBSTITUTE(Wine_pres_final[[#This Row],[kan_width]]," ","")))&gt;2,Wine_pres_final[[#This Row],[kan_test_acc]],"")</f>
        <v>0.87222222983837128</v>
      </c>
      <c r="AA444" t="str">
        <f>IF((LEN(Wine_pres_final[[#This Row],[kan_width]])-LEN(SUBSTITUTE(Wine_pres_final[[#This Row],[kan_width]]," ","")))&gt;2,"",Wine_pres_final[[#This Row],[kan_test_acc]])</f>
        <v/>
      </c>
      <c r="AB444">
        <f>Wine_pres_final[[#This Row],[mlp_test_acc]]</f>
        <v>0.71851851851851856</v>
      </c>
      <c r="AC444">
        <f>Wine_pres_final[[#This Row],[mlp_test_acc2]]</f>
        <v>0.7</v>
      </c>
    </row>
    <row r="445" spans="1:29" hidden="1" x14ac:dyDescent="0.25">
      <c r="A445" t="s">
        <v>1336</v>
      </c>
      <c r="B445">
        <v>9</v>
      </c>
      <c r="C445">
        <v>2</v>
      </c>
      <c r="D445">
        <v>0</v>
      </c>
      <c r="E445" t="s">
        <v>1427</v>
      </c>
      <c r="F445">
        <v>11597</v>
      </c>
      <c r="G445">
        <v>13514468.75</v>
      </c>
      <c r="H445">
        <v>0.87222222983837128</v>
      </c>
      <c r="I445">
        <v>0.67592592592592593</v>
      </c>
      <c r="J445">
        <v>4795773.25</v>
      </c>
      <c r="K445">
        <v>15711</v>
      </c>
      <c r="L445">
        <v>2</v>
      </c>
      <c r="M445">
        <v>84</v>
      </c>
      <c r="N445">
        <v>0.72592592592592586</v>
      </c>
      <c r="O445">
        <v>3344031.5</v>
      </c>
      <c r="P445">
        <v>16068</v>
      </c>
      <c r="Q445">
        <v>2</v>
      </c>
      <c r="R445">
        <v>85</v>
      </c>
      <c r="S445" t="s">
        <v>1832</v>
      </c>
      <c r="Z445">
        <f>IF((LEN(Wine_pres_final[[#This Row],[kan_width]])-LEN(SUBSTITUTE(Wine_pres_final[[#This Row],[kan_width]]," ","")))&gt;2,Wine_pres_final[[#This Row],[kan_test_acc]],"")</f>
        <v>0.87222222983837128</v>
      </c>
      <c r="AA445" t="str">
        <f>IF((LEN(Wine_pres_final[[#This Row],[kan_width]])-LEN(SUBSTITUTE(Wine_pres_final[[#This Row],[kan_width]]," ","")))&gt;2,"",Wine_pres_final[[#This Row],[kan_test_acc]])</f>
        <v/>
      </c>
      <c r="AB445">
        <f>Wine_pres_final[[#This Row],[mlp_test_acc]]</f>
        <v>0.67592592592592593</v>
      </c>
      <c r="AC445">
        <f>Wine_pres_final[[#This Row],[mlp_test_acc2]]</f>
        <v>0.72592592592592586</v>
      </c>
    </row>
    <row r="446" spans="1:29" hidden="1" x14ac:dyDescent="0.25">
      <c r="A446" t="s">
        <v>1336</v>
      </c>
      <c r="B446">
        <v>5</v>
      </c>
      <c r="C446">
        <v>5</v>
      </c>
      <c r="D446">
        <v>0</v>
      </c>
      <c r="E446" t="s">
        <v>1353</v>
      </c>
      <c r="F446">
        <v>4930</v>
      </c>
      <c r="G446">
        <v>7058013.166666667</v>
      </c>
      <c r="H446">
        <v>0.87407407909631729</v>
      </c>
      <c r="I446">
        <v>0.65555555555555556</v>
      </c>
      <c r="J446">
        <v>4455231.25</v>
      </c>
      <c r="K446">
        <v>8869</v>
      </c>
      <c r="L446">
        <v>2</v>
      </c>
      <c r="M446">
        <v>62</v>
      </c>
      <c r="N446">
        <v>0.72962962962962963</v>
      </c>
      <c r="O446">
        <v>4184058.166666667</v>
      </c>
      <c r="P446">
        <v>9138</v>
      </c>
      <c r="Q446">
        <v>2</v>
      </c>
      <c r="R446">
        <v>63</v>
      </c>
      <c r="S446" t="s">
        <v>1745</v>
      </c>
      <c r="Z446">
        <f>IF((LEN(Wine_pres_final[[#This Row],[kan_width]])-LEN(SUBSTITUTE(Wine_pres_final[[#This Row],[kan_width]]," ","")))&gt;2,Wine_pres_final[[#This Row],[kan_test_acc]],"")</f>
        <v>0.87407407909631729</v>
      </c>
      <c r="AA446" t="str">
        <f>IF((LEN(Wine_pres_final[[#This Row],[kan_width]])-LEN(SUBSTITUTE(Wine_pres_final[[#This Row],[kan_width]]," ","")))&gt;2,"",Wine_pres_final[[#This Row],[kan_test_acc]])</f>
        <v/>
      </c>
      <c r="AB446">
        <f>Wine_pres_final[[#This Row],[mlp_test_acc]]</f>
        <v>0.65555555555555556</v>
      </c>
      <c r="AC446">
        <f>Wine_pres_final[[#This Row],[mlp_test_acc2]]</f>
        <v>0.72962962962962963</v>
      </c>
    </row>
    <row r="447" spans="1:29" hidden="1" x14ac:dyDescent="0.25">
      <c r="A447" t="s">
        <v>1336</v>
      </c>
      <c r="B447">
        <v>3</v>
      </c>
      <c r="C447">
        <v>2</v>
      </c>
      <c r="D447">
        <v>0</v>
      </c>
      <c r="E447" t="s">
        <v>1413</v>
      </c>
      <c r="F447">
        <v>6423</v>
      </c>
      <c r="G447">
        <v>8868392.5</v>
      </c>
      <c r="H447">
        <v>0.87407407909631729</v>
      </c>
      <c r="I447">
        <v>0.71296296296296302</v>
      </c>
      <c r="J447">
        <v>788833.33333333326</v>
      </c>
      <c r="K447">
        <v>10254</v>
      </c>
      <c r="L447">
        <v>2</v>
      </c>
      <c r="M447">
        <v>67</v>
      </c>
      <c r="N447">
        <v>0.69444444444444442</v>
      </c>
      <c r="O447">
        <v>962835</v>
      </c>
      <c r="P447">
        <v>10543</v>
      </c>
      <c r="Q447">
        <v>2</v>
      </c>
      <c r="R447">
        <v>68</v>
      </c>
      <c r="S447" t="s">
        <v>1414</v>
      </c>
      <c r="Z447">
        <f>IF((LEN(Wine_pres_final[[#This Row],[kan_width]])-LEN(SUBSTITUTE(Wine_pres_final[[#This Row],[kan_width]]," ","")))&gt;2,Wine_pres_final[[#This Row],[kan_test_acc]],"")</f>
        <v>0.87407407909631729</v>
      </c>
      <c r="AA447" t="str">
        <f>IF((LEN(Wine_pres_final[[#This Row],[kan_width]])-LEN(SUBSTITUTE(Wine_pres_final[[#This Row],[kan_width]]," ","")))&gt;2,"",Wine_pres_final[[#This Row],[kan_test_acc]])</f>
        <v/>
      </c>
      <c r="AB447">
        <f>Wine_pres_final[[#This Row],[mlp_test_acc]]</f>
        <v>0.71296296296296302</v>
      </c>
      <c r="AC447">
        <f>Wine_pres_final[[#This Row],[mlp_test_acc2]]</f>
        <v>0.69444444444444442</v>
      </c>
    </row>
    <row r="448" spans="1:29" hidden="1" x14ac:dyDescent="0.25">
      <c r="A448" t="s">
        <v>1336</v>
      </c>
      <c r="B448">
        <v>3</v>
      </c>
      <c r="C448">
        <v>2</v>
      </c>
      <c r="D448">
        <v>0</v>
      </c>
      <c r="E448" t="s">
        <v>1359</v>
      </c>
      <c r="F448">
        <v>3819</v>
      </c>
      <c r="G448">
        <v>7527116.25</v>
      </c>
      <c r="H448">
        <v>0.87407408157984423</v>
      </c>
      <c r="I448">
        <v>0.70185185185185184</v>
      </c>
      <c r="J448">
        <v>274779.33333333337</v>
      </c>
      <c r="K448">
        <v>6174</v>
      </c>
      <c r="L448">
        <v>2</v>
      </c>
      <c r="M448">
        <v>51</v>
      </c>
      <c r="N448">
        <v>0.73703703703703705</v>
      </c>
      <c r="O448">
        <v>235445.58333333331</v>
      </c>
      <c r="P448">
        <v>6399</v>
      </c>
      <c r="Q448">
        <v>2</v>
      </c>
      <c r="R448">
        <v>52</v>
      </c>
      <c r="S448" t="s">
        <v>1360</v>
      </c>
      <c r="Z448">
        <f>IF((LEN(Wine_pres_final[[#This Row],[kan_width]])-LEN(SUBSTITUTE(Wine_pres_final[[#This Row],[kan_width]]," ","")))&gt;2,Wine_pres_final[[#This Row],[kan_test_acc]],"")</f>
        <v>0.87407408157984423</v>
      </c>
      <c r="AA448" t="str">
        <f>IF((LEN(Wine_pres_final[[#This Row],[kan_width]])-LEN(SUBSTITUTE(Wine_pres_final[[#This Row],[kan_width]]," ","")))&gt;2,"",Wine_pres_final[[#This Row],[kan_test_acc]])</f>
        <v/>
      </c>
      <c r="AB448">
        <f>Wine_pres_final[[#This Row],[mlp_test_acc]]</f>
        <v>0.70185185185185184</v>
      </c>
      <c r="AC448">
        <f>Wine_pres_final[[#This Row],[mlp_test_acc2]]</f>
        <v>0.73703703703703705</v>
      </c>
    </row>
    <row r="449" spans="1:29" hidden="1" x14ac:dyDescent="0.25">
      <c r="A449" t="s">
        <v>1336</v>
      </c>
      <c r="B449">
        <v>3</v>
      </c>
      <c r="C449">
        <v>3</v>
      </c>
      <c r="D449">
        <v>0</v>
      </c>
      <c r="E449" t="s">
        <v>1359</v>
      </c>
      <c r="F449">
        <v>4292</v>
      </c>
      <c r="G449">
        <v>9127051.166666666</v>
      </c>
      <c r="H449">
        <v>0.87592593332131696</v>
      </c>
      <c r="I449">
        <v>0.65555555555555556</v>
      </c>
      <c r="J449">
        <v>313819.58333333331</v>
      </c>
      <c r="K449">
        <v>7584</v>
      </c>
      <c r="L449">
        <v>2</v>
      </c>
      <c r="M449">
        <v>57</v>
      </c>
      <c r="N449">
        <v>0.66296296296296298</v>
      </c>
      <c r="O449">
        <v>271663.66666666663</v>
      </c>
      <c r="P449">
        <v>7833</v>
      </c>
      <c r="Q449">
        <v>2</v>
      </c>
      <c r="R449">
        <v>58</v>
      </c>
      <c r="S449" t="s">
        <v>1448</v>
      </c>
      <c r="Z449">
        <f>IF((LEN(Wine_pres_final[[#This Row],[kan_width]])-LEN(SUBSTITUTE(Wine_pres_final[[#This Row],[kan_width]]," ","")))&gt;2,Wine_pres_final[[#This Row],[kan_test_acc]],"")</f>
        <v>0.87592593332131696</v>
      </c>
      <c r="AA449" t="str">
        <f>IF((LEN(Wine_pres_final[[#This Row],[kan_width]])-LEN(SUBSTITUTE(Wine_pres_final[[#This Row],[kan_width]]," ","")))&gt;2,"",Wine_pres_final[[#This Row],[kan_test_acc]])</f>
        <v/>
      </c>
      <c r="AB449">
        <f>Wine_pres_final[[#This Row],[mlp_test_acc]]</f>
        <v>0.65555555555555556</v>
      </c>
      <c r="AC449">
        <f>Wine_pres_final[[#This Row],[mlp_test_acc2]]</f>
        <v>0.66296296296296298</v>
      </c>
    </row>
    <row r="450" spans="1:29" hidden="1" x14ac:dyDescent="0.25">
      <c r="A450" t="s">
        <v>1336</v>
      </c>
      <c r="B450">
        <v>3</v>
      </c>
      <c r="C450">
        <v>3</v>
      </c>
      <c r="D450">
        <v>0</v>
      </c>
      <c r="E450" t="s">
        <v>1361</v>
      </c>
      <c r="F450">
        <v>4582</v>
      </c>
      <c r="G450">
        <v>9324125.8333333321</v>
      </c>
      <c r="H450">
        <v>0.87592593332131696</v>
      </c>
      <c r="I450">
        <v>0.68333333333333335</v>
      </c>
      <c r="J450">
        <v>315793.58333333331</v>
      </c>
      <c r="K450">
        <v>8086</v>
      </c>
      <c r="L450">
        <v>2</v>
      </c>
      <c r="M450">
        <v>59</v>
      </c>
      <c r="N450">
        <v>0.67407407407407405</v>
      </c>
      <c r="O450">
        <v>260266.33333333334</v>
      </c>
      <c r="P450">
        <v>8343</v>
      </c>
      <c r="Q450">
        <v>2</v>
      </c>
      <c r="R450">
        <v>60</v>
      </c>
      <c r="S450" t="s">
        <v>1449</v>
      </c>
      <c r="Z450">
        <f>IF((LEN(Wine_pres_final[[#This Row],[kan_width]])-LEN(SUBSTITUTE(Wine_pres_final[[#This Row],[kan_width]]," ","")))&gt;2,Wine_pres_final[[#This Row],[kan_test_acc]],"")</f>
        <v>0.87592593332131696</v>
      </c>
      <c r="AA450" t="str">
        <f>IF((LEN(Wine_pres_final[[#This Row],[kan_width]])-LEN(SUBSTITUTE(Wine_pres_final[[#This Row],[kan_width]]," ","")))&gt;2,"",Wine_pres_final[[#This Row],[kan_test_acc]])</f>
        <v/>
      </c>
      <c r="AB450">
        <f>Wine_pres_final[[#This Row],[mlp_test_acc]]</f>
        <v>0.68333333333333335</v>
      </c>
      <c r="AC450">
        <f>Wine_pres_final[[#This Row],[mlp_test_acc2]]</f>
        <v>0.67407407407407405</v>
      </c>
    </row>
    <row r="451" spans="1:29" hidden="1" x14ac:dyDescent="0.25">
      <c r="A451" t="s">
        <v>1336</v>
      </c>
      <c r="B451">
        <v>5</v>
      </c>
      <c r="C451">
        <v>2</v>
      </c>
      <c r="D451">
        <v>0</v>
      </c>
      <c r="E451" t="s">
        <v>1421</v>
      </c>
      <c r="F451">
        <v>6851</v>
      </c>
      <c r="G451">
        <v>13694654.583333334</v>
      </c>
      <c r="H451">
        <v>0.87592593332131696</v>
      </c>
      <c r="I451">
        <v>0.78888888888888886</v>
      </c>
      <c r="J451">
        <v>3008163.75</v>
      </c>
      <c r="K451">
        <v>10254</v>
      </c>
      <c r="L451">
        <v>2</v>
      </c>
      <c r="M451">
        <v>67</v>
      </c>
      <c r="N451">
        <v>0.65</v>
      </c>
      <c r="O451">
        <v>2913450.9166666665</v>
      </c>
      <c r="P451">
        <v>10543</v>
      </c>
      <c r="Q451">
        <v>2</v>
      </c>
      <c r="R451">
        <v>68</v>
      </c>
      <c r="S451" t="s">
        <v>1629</v>
      </c>
      <c r="Z451">
        <f>IF((LEN(Wine_pres_final[[#This Row],[kan_width]])-LEN(SUBSTITUTE(Wine_pres_final[[#This Row],[kan_width]]," ","")))&gt;2,Wine_pres_final[[#This Row],[kan_test_acc]],"")</f>
        <v>0.87592593332131696</v>
      </c>
      <c r="AA451" t="str">
        <f>IF((LEN(Wine_pres_final[[#This Row],[kan_width]])-LEN(SUBSTITUTE(Wine_pres_final[[#This Row],[kan_width]]," ","")))&gt;2,"",Wine_pres_final[[#This Row],[kan_test_acc]])</f>
        <v/>
      </c>
      <c r="AB451">
        <f>Wine_pres_final[[#This Row],[mlp_test_acc]]</f>
        <v>0.78888888888888886</v>
      </c>
      <c r="AC451">
        <f>Wine_pres_final[[#This Row],[mlp_test_acc2]]</f>
        <v>0.65</v>
      </c>
    </row>
    <row r="452" spans="1:29" hidden="1" x14ac:dyDescent="0.25">
      <c r="A452" t="s">
        <v>1336</v>
      </c>
      <c r="B452">
        <v>5</v>
      </c>
      <c r="C452">
        <v>4</v>
      </c>
      <c r="D452">
        <v>0</v>
      </c>
      <c r="E452" t="s">
        <v>1347</v>
      </c>
      <c r="F452">
        <v>4442</v>
      </c>
      <c r="G452">
        <v>6813156.75</v>
      </c>
      <c r="H452">
        <v>0.87592593332131707</v>
      </c>
      <c r="I452">
        <v>0.62777777777777777</v>
      </c>
      <c r="J452">
        <v>365908.16666666663</v>
      </c>
      <c r="K452">
        <v>7584</v>
      </c>
      <c r="L452">
        <v>2</v>
      </c>
      <c r="M452">
        <v>57</v>
      </c>
      <c r="N452">
        <v>0.63888888888888884</v>
      </c>
      <c r="O452">
        <v>386015.75</v>
      </c>
      <c r="P452">
        <v>7833</v>
      </c>
      <c r="Q452">
        <v>2</v>
      </c>
      <c r="R452">
        <v>58</v>
      </c>
      <c r="S452" t="s">
        <v>1692</v>
      </c>
      <c r="Z452" t="str">
        <f>IF((LEN(Wine_pres_final[[#This Row],[kan_width]])-LEN(SUBSTITUTE(Wine_pres_final[[#This Row],[kan_width]]," ","")))&gt;2,Wine_pres_final[[#This Row],[kan_test_acc]],"")</f>
        <v/>
      </c>
      <c r="AA452">
        <f>IF((LEN(Wine_pres_final[[#This Row],[kan_width]])-LEN(SUBSTITUTE(Wine_pres_final[[#This Row],[kan_width]]," ","")))&gt;2,"",Wine_pres_final[[#This Row],[kan_test_acc]])</f>
        <v>0.87592593332131707</v>
      </c>
      <c r="AB452">
        <f>Wine_pres_final[[#This Row],[mlp_test_acc]]</f>
        <v>0.62777777777777777</v>
      </c>
      <c r="AC452">
        <f>Wine_pres_final[[#This Row],[mlp_test_acc2]]</f>
        <v>0.63888888888888884</v>
      </c>
    </row>
    <row r="453" spans="1:29" hidden="1" x14ac:dyDescent="0.25">
      <c r="A453" t="s">
        <v>1336</v>
      </c>
      <c r="B453">
        <v>5</v>
      </c>
      <c r="C453">
        <v>4</v>
      </c>
      <c r="D453">
        <v>0</v>
      </c>
      <c r="E453" t="s">
        <v>1337</v>
      </c>
      <c r="F453">
        <v>2512</v>
      </c>
      <c r="G453">
        <v>4808972</v>
      </c>
      <c r="H453">
        <v>0.87777778506278992</v>
      </c>
      <c r="I453">
        <v>0.7</v>
      </c>
      <c r="J453">
        <v>271489.41666666663</v>
      </c>
      <c r="K453">
        <v>4329</v>
      </c>
      <c r="L453">
        <v>2</v>
      </c>
      <c r="M453">
        <v>42</v>
      </c>
      <c r="N453">
        <v>0.66851851851851851</v>
      </c>
      <c r="O453">
        <v>291336.66666666663</v>
      </c>
      <c r="P453">
        <v>4518</v>
      </c>
      <c r="Q453">
        <v>2</v>
      </c>
      <c r="R453">
        <v>43</v>
      </c>
      <c r="S453" t="s">
        <v>1687</v>
      </c>
      <c r="Z453" t="str">
        <f>IF((LEN(Wine_pres_final[[#This Row],[kan_width]])-LEN(SUBSTITUTE(Wine_pres_final[[#This Row],[kan_width]]," ","")))&gt;2,Wine_pres_final[[#This Row],[kan_test_acc]],"")</f>
        <v/>
      </c>
      <c r="AA453">
        <f>IF((LEN(Wine_pres_final[[#This Row],[kan_width]])-LEN(SUBSTITUTE(Wine_pres_final[[#This Row],[kan_width]]," ","")))&gt;2,"",Wine_pres_final[[#This Row],[kan_test_acc]])</f>
        <v>0.87777778506278992</v>
      </c>
      <c r="AB453">
        <f>Wine_pres_final[[#This Row],[mlp_test_acc]]</f>
        <v>0.7</v>
      </c>
      <c r="AC453">
        <f>Wine_pres_final[[#This Row],[mlp_test_acc2]]</f>
        <v>0.66851851851851851</v>
      </c>
    </row>
    <row r="454" spans="1:29" hidden="1" x14ac:dyDescent="0.25">
      <c r="A454" t="s">
        <v>1336</v>
      </c>
      <c r="B454">
        <v>3</v>
      </c>
      <c r="C454">
        <v>3</v>
      </c>
      <c r="D454">
        <v>0</v>
      </c>
      <c r="E454" t="s">
        <v>1371</v>
      </c>
      <c r="F454">
        <v>4218</v>
      </c>
      <c r="G454">
        <v>10183275.583333334</v>
      </c>
      <c r="H454">
        <v>0.87777778506278992</v>
      </c>
      <c r="I454">
        <v>0.63888888888888884</v>
      </c>
      <c r="J454">
        <v>392952</v>
      </c>
      <c r="K454">
        <v>7339</v>
      </c>
      <c r="L454">
        <v>2</v>
      </c>
      <c r="M454">
        <v>56</v>
      </c>
      <c r="N454">
        <v>0.65740740740740744</v>
      </c>
      <c r="O454">
        <v>315533.83333333331</v>
      </c>
      <c r="P454">
        <v>7584</v>
      </c>
      <c r="Q454">
        <v>2</v>
      </c>
      <c r="R454">
        <v>57</v>
      </c>
      <c r="S454" t="s">
        <v>1454</v>
      </c>
      <c r="Z454">
        <f>IF((LEN(Wine_pres_final[[#This Row],[kan_width]])-LEN(SUBSTITUTE(Wine_pres_final[[#This Row],[kan_width]]," ","")))&gt;2,Wine_pres_final[[#This Row],[kan_test_acc]],"")</f>
        <v>0.87777778506278992</v>
      </c>
      <c r="AA454" t="str">
        <f>IF((LEN(Wine_pres_final[[#This Row],[kan_width]])-LEN(SUBSTITUTE(Wine_pres_final[[#This Row],[kan_width]]," ","")))&gt;2,"",Wine_pres_final[[#This Row],[kan_test_acc]])</f>
        <v/>
      </c>
      <c r="AB454">
        <f>Wine_pres_final[[#This Row],[mlp_test_acc]]</f>
        <v>0.63888888888888884</v>
      </c>
      <c r="AC454">
        <f>Wine_pres_final[[#This Row],[mlp_test_acc2]]</f>
        <v>0.65740740740740744</v>
      </c>
    </row>
    <row r="455" spans="1:29" hidden="1" x14ac:dyDescent="0.25">
      <c r="A455" t="s">
        <v>1336</v>
      </c>
      <c r="B455">
        <v>3</v>
      </c>
      <c r="C455">
        <v>3</v>
      </c>
      <c r="D455">
        <v>0</v>
      </c>
      <c r="E455" t="s">
        <v>1363</v>
      </c>
      <c r="F455">
        <v>4872</v>
      </c>
      <c r="G455">
        <v>9450107.8333333321</v>
      </c>
      <c r="H455">
        <v>0.87777778506278992</v>
      </c>
      <c r="I455">
        <v>0.68148148148148147</v>
      </c>
      <c r="J455">
        <v>356612.58333333331</v>
      </c>
      <c r="K455">
        <v>8604</v>
      </c>
      <c r="L455">
        <v>2</v>
      </c>
      <c r="M455">
        <v>61</v>
      </c>
      <c r="N455">
        <v>0.66666666666666663</v>
      </c>
      <c r="O455">
        <v>286150</v>
      </c>
      <c r="P455">
        <v>8869</v>
      </c>
      <c r="Q455">
        <v>2</v>
      </c>
      <c r="R455">
        <v>62</v>
      </c>
      <c r="S455" t="s">
        <v>1450</v>
      </c>
      <c r="Z455">
        <f>IF((LEN(Wine_pres_final[[#This Row],[kan_width]])-LEN(SUBSTITUTE(Wine_pres_final[[#This Row],[kan_width]]," ","")))&gt;2,Wine_pres_final[[#This Row],[kan_test_acc]],"")</f>
        <v>0.87777778506278992</v>
      </c>
      <c r="AA455" t="str">
        <f>IF((LEN(Wine_pres_final[[#This Row],[kan_width]])-LEN(SUBSTITUTE(Wine_pres_final[[#This Row],[kan_width]]," ","")))&gt;2,"",Wine_pres_final[[#This Row],[kan_test_acc]])</f>
        <v/>
      </c>
      <c r="AB455">
        <f>Wine_pres_final[[#This Row],[mlp_test_acc]]</f>
        <v>0.68148148148148147</v>
      </c>
      <c r="AC455">
        <f>Wine_pres_final[[#This Row],[mlp_test_acc2]]</f>
        <v>0.66666666666666663</v>
      </c>
    </row>
    <row r="456" spans="1:29" hidden="1" x14ac:dyDescent="0.25">
      <c r="A456" t="s">
        <v>1336</v>
      </c>
      <c r="B456">
        <v>9</v>
      </c>
      <c r="C456">
        <v>2</v>
      </c>
      <c r="D456">
        <v>0</v>
      </c>
      <c r="E456" t="s">
        <v>1429</v>
      </c>
      <c r="F456">
        <v>12271</v>
      </c>
      <c r="G456">
        <v>11750865.083333332</v>
      </c>
      <c r="H456">
        <v>0.87777778506278992</v>
      </c>
      <c r="I456">
        <v>0.68888888888888888</v>
      </c>
      <c r="J456">
        <v>4927340.833333334</v>
      </c>
      <c r="K456">
        <v>16429</v>
      </c>
      <c r="L456">
        <v>2</v>
      </c>
      <c r="M456">
        <v>86</v>
      </c>
      <c r="N456">
        <v>0.72037037037037033</v>
      </c>
      <c r="O456">
        <v>3985844.166666667</v>
      </c>
      <c r="P456">
        <v>16794</v>
      </c>
      <c r="Q456">
        <v>2</v>
      </c>
      <c r="R456">
        <v>87</v>
      </c>
      <c r="S456" t="s">
        <v>1833</v>
      </c>
      <c r="Z456">
        <f>IF((LEN(Wine_pres_final[[#This Row],[kan_width]])-LEN(SUBSTITUTE(Wine_pres_final[[#This Row],[kan_width]]," ","")))&gt;2,Wine_pres_final[[#This Row],[kan_test_acc]],"")</f>
        <v>0.87777778506278992</v>
      </c>
      <c r="AA456" t="str">
        <f>IF((LEN(Wine_pres_final[[#This Row],[kan_width]])-LEN(SUBSTITUTE(Wine_pres_final[[#This Row],[kan_width]]," ","")))&gt;2,"",Wine_pres_final[[#This Row],[kan_test_acc]])</f>
        <v/>
      </c>
      <c r="AB456">
        <f>Wine_pres_final[[#This Row],[mlp_test_acc]]</f>
        <v>0.68888888888888888</v>
      </c>
      <c r="AC456">
        <f>Wine_pres_final[[#This Row],[mlp_test_acc2]]</f>
        <v>0.72037037037037033</v>
      </c>
    </row>
    <row r="457" spans="1:29" hidden="1" x14ac:dyDescent="0.25">
      <c r="A457" t="s">
        <v>1336</v>
      </c>
      <c r="B457">
        <v>3</v>
      </c>
      <c r="C457">
        <v>3</v>
      </c>
      <c r="D457">
        <v>0</v>
      </c>
      <c r="E457" t="s">
        <v>1357</v>
      </c>
      <c r="F457">
        <v>4002</v>
      </c>
      <c r="G457">
        <v>9051307</v>
      </c>
      <c r="H457">
        <v>0.87962963680426276</v>
      </c>
      <c r="I457">
        <v>0.68518518518518512</v>
      </c>
      <c r="J457">
        <v>323684.83333333331</v>
      </c>
      <c r="K457">
        <v>6861</v>
      </c>
      <c r="L457">
        <v>2</v>
      </c>
      <c r="M457">
        <v>54</v>
      </c>
      <c r="N457">
        <v>0.68148148148148147</v>
      </c>
      <c r="O457">
        <v>274383.66666666663</v>
      </c>
      <c r="P457">
        <v>7098</v>
      </c>
      <c r="Q457">
        <v>2</v>
      </c>
      <c r="R457">
        <v>55</v>
      </c>
      <c r="S457" t="s">
        <v>1447</v>
      </c>
      <c r="Z457">
        <f>IF((LEN(Wine_pres_final[[#This Row],[kan_width]])-LEN(SUBSTITUTE(Wine_pres_final[[#This Row],[kan_width]]," ","")))&gt;2,Wine_pres_final[[#This Row],[kan_test_acc]],"")</f>
        <v>0.87962963680426276</v>
      </c>
      <c r="AA457" t="str">
        <f>IF((LEN(Wine_pres_final[[#This Row],[kan_width]])-LEN(SUBSTITUTE(Wine_pres_final[[#This Row],[kan_width]]," ","")))&gt;2,"",Wine_pres_final[[#This Row],[kan_test_acc]])</f>
        <v/>
      </c>
      <c r="AB457">
        <f>Wine_pres_final[[#This Row],[mlp_test_acc]]</f>
        <v>0.68518518518518512</v>
      </c>
      <c r="AC457">
        <f>Wine_pres_final[[#This Row],[mlp_test_acc2]]</f>
        <v>0.68148148148148147</v>
      </c>
    </row>
    <row r="458" spans="1:29" hidden="1" x14ac:dyDescent="0.25">
      <c r="A458" t="s">
        <v>1336</v>
      </c>
      <c r="B458">
        <v>3</v>
      </c>
      <c r="C458">
        <v>4</v>
      </c>
      <c r="D458">
        <v>0</v>
      </c>
      <c r="E458" t="s">
        <v>1397</v>
      </c>
      <c r="F458">
        <v>7255</v>
      </c>
      <c r="G458">
        <v>15996137.416666668</v>
      </c>
      <c r="H458">
        <v>0.87962963680426276</v>
      </c>
      <c r="I458">
        <v>0.71851851851851856</v>
      </c>
      <c r="J458">
        <v>1405490.5</v>
      </c>
      <c r="K458">
        <v>13653</v>
      </c>
      <c r="L458">
        <v>2</v>
      </c>
      <c r="M458">
        <v>78</v>
      </c>
      <c r="N458">
        <v>0.65555555555555556</v>
      </c>
      <c r="O458">
        <v>775263.33333333337</v>
      </c>
      <c r="P458">
        <v>13986</v>
      </c>
      <c r="Q458">
        <v>2</v>
      </c>
      <c r="R458">
        <v>79</v>
      </c>
      <c r="S458" t="s">
        <v>1517</v>
      </c>
      <c r="Z458">
        <f>IF((LEN(Wine_pres_final[[#This Row],[kan_width]])-LEN(SUBSTITUTE(Wine_pres_final[[#This Row],[kan_width]]," ","")))&gt;2,Wine_pres_final[[#This Row],[kan_test_acc]],"")</f>
        <v>0.87962963680426276</v>
      </c>
      <c r="AA458" t="str">
        <f>IF((LEN(Wine_pres_final[[#This Row],[kan_width]])-LEN(SUBSTITUTE(Wine_pres_final[[#This Row],[kan_width]]," ","")))&gt;2,"",Wine_pres_final[[#This Row],[kan_test_acc]])</f>
        <v/>
      </c>
      <c r="AB458">
        <f>Wine_pres_final[[#This Row],[mlp_test_acc]]</f>
        <v>0.71851851851851856</v>
      </c>
      <c r="AC458">
        <f>Wine_pres_final[[#This Row],[mlp_test_acc2]]</f>
        <v>0.65555555555555556</v>
      </c>
    </row>
    <row r="459" spans="1:29" hidden="1" x14ac:dyDescent="0.25">
      <c r="A459" t="s">
        <v>1336</v>
      </c>
      <c r="B459">
        <v>3</v>
      </c>
      <c r="C459">
        <v>5</v>
      </c>
      <c r="D459">
        <v>0</v>
      </c>
      <c r="E459" t="s">
        <v>1343</v>
      </c>
      <c r="F459">
        <v>3366</v>
      </c>
      <c r="G459">
        <v>7430342.333333333</v>
      </c>
      <c r="H459">
        <v>0.87962963680426287</v>
      </c>
      <c r="I459">
        <v>0.70740740740740737</v>
      </c>
      <c r="J459">
        <v>337715.33333333331</v>
      </c>
      <c r="K459">
        <v>6628</v>
      </c>
      <c r="L459">
        <v>2</v>
      </c>
      <c r="M459">
        <v>53</v>
      </c>
      <c r="N459">
        <v>0.6962962962962963</v>
      </c>
      <c r="O459">
        <v>338128.66666666669</v>
      </c>
      <c r="P459">
        <v>6861</v>
      </c>
      <c r="Q459">
        <v>2</v>
      </c>
      <c r="R459">
        <v>54</v>
      </c>
      <c r="S459" t="s">
        <v>1540</v>
      </c>
      <c r="Z459" t="str">
        <f>IF((LEN(Wine_pres_final[[#This Row],[kan_width]])-LEN(SUBSTITUTE(Wine_pres_final[[#This Row],[kan_width]]," ","")))&gt;2,Wine_pres_final[[#This Row],[kan_test_acc]],"")</f>
        <v/>
      </c>
      <c r="AA459">
        <f>IF((LEN(Wine_pres_final[[#This Row],[kan_width]])-LEN(SUBSTITUTE(Wine_pres_final[[#This Row],[kan_width]]," ","")))&gt;2,"",Wine_pres_final[[#This Row],[kan_test_acc]])</f>
        <v>0.87962963680426287</v>
      </c>
      <c r="AB459">
        <f>Wine_pres_final[[#This Row],[mlp_test_acc]]</f>
        <v>0.70740740740740737</v>
      </c>
      <c r="AC459">
        <f>Wine_pres_final[[#This Row],[mlp_test_acc2]]</f>
        <v>0.6962962962962963</v>
      </c>
    </row>
    <row r="460" spans="1:29" hidden="1" x14ac:dyDescent="0.25">
      <c r="A460" t="s">
        <v>1336</v>
      </c>
      <c r="B460">
        <v>3</v>
      </c>
      <c r="C460">
        <v>3</v>
      </c>
      <c r="D460">
        <v>0</v>
      </c>
      <c r="E460" t="s">
        <v>1339</v>
      </c>
      <c r="F460">
        <v>2178</v>
      </c>
      <c r="G460">
        <v>5657296</v>
      </c>
      <c r="H460">
        <v>0.8814814885457356</v>
      </c>
      <c r="I460">
        <v>0.75555555555555554</v>
      </c>
      <c r="J460">
        <v>273862</v>
      </c>
      <c r="K460">
        <v>3786</v>
      </c>
      <c r="L460">
        <v>2</v>
      </c>
      <c r="M460">
        <v>39</v>
      </c>
      <c r="N460">
        <v>0.73333333333333339</v>
      </c>
      <c r="O460">
        <v>245952.41666666669</v>
      </c>
      <c r="P460">
        <v>3963</v>
      </c>
      <c r="Q460">
        <v>2</v>
      </c>
      <c r="R460">
        <v>40</v>
      </c>
      <c r="S460" t="s">
        <v>1438</v>
      </c>
      <c r="Z460" t="str">
        <f>IF((LEN(Wine_pres_final[[#This Row],[kan_width]])-LEN(SUBSTITUTE(Wine_pres_final[[#This Row],[kan_width]]," ","")))&gt;2,Wine_pres_final[[#This Row],[kan_test_acc]],"")</f>
        <v/>
      </c>
      <c r="AA460">
        <f>IF((LEN(Wine_pres_final[[#This Row],[kan_width]])-LEN(SUBSTITUTE(Wine_pres_final[[#This Row],[kan_width]]," ","")))&gt;2,"",Wine_pres_final[[#This Row],[kan_test_acc]])</f>
        <v>0.8814814885457356</v>
      </c>
      <c r="AB460">
        <f>Wine_pres_final[[#This Row],[mlp_test_acc]]</f>
        <v>0.75555555555555554</v>
      </c>
      <c r="AC460">
        <f>Wine_pres_final[[#This Row],[mlp_test_acc2]]</f>
        <v>0.73333333333333339</v>
      </c>
    </row>
    <row r="461" spans="1:29" hidden="1" x14ac:dyDescent="0.25">
      <c r="A461" t="s">
        <v>1336</v>
      </c>
      <c r="B461">
        <v>3</v>
      </c>
      <c r="C461">
        <v>3</v>
      </c>
      <c r="D461">
        <v>0</v>
      </c>
      <c r="E461" t="s">
        <v>1373</v>
      </c>
      <c r="F461">
        <v>4544</v>
      </c>
      <c r="G461">
        <v>10941821.666666668</v>
      </c>
      <c r="H461">
        <v>0.8814814885457356</v>
      </c>
      <c r="I461">
        <v>0.63518518518518519</v>
      </c>
      <c r="J461">
        <v>321269.58333333331</v>
      </c>
      <c r="K461">
        <v>7833</v>
      </c>
      <c r="L461">
        <v>2</v>
      </c>
      <c r="M461">
        <v>58</v>
      </c>
      <c r="N461">
        <v>0.68333333333333335</v>
      </c>
      <c r="O461">
        <v>259718</v>
      </c>
      <c r="P461">
        <v>8086</v>
      </c>
      <c r="Q461">
        <v>2</v>
      </c>
      <c r="R461">
        <v>59</v>
      </c>
      <c r="S461" t="s">
        <v>1455</v>
      </c>
      <c r="Z461">
        <f>IF((LEN(Wine_pres_final[[#This Row],[kan_width]])-LEN(SUBSTITUTE(Wine_pres_final[[#This Row],[kan_width]]," ","")))&gt;2,Wine_pres_final[[#This Row],[kan_test_acc]],"")</f>
        <v>0.8814814885457356</v>
      </c>
      <c r="AA461" t="str">
        <f>IF((LEN(Wine_pres_final[[#This Row],[kan_width]])-LEN(SUBSTITUTE(Wine_pres_final[[#This Row],[kan_width]]," ","")))&gt;2,"",Wine_pres_final[[#This Row],[kan_test_acc]])</f>
        <v/>
      </c>
      <c r="AB461">
        <f>Wine_pres_final[[#This Row],[mlp_test_acc]]</f>
        <v>0.63518518518518519</v>
      </c>
      <c r="AC461">
        <f>Wine_pres_final[[#This Row],[mlp_test_acc2]]</f>
        <v>0.68333333333333335</v>
      </c>
    </row>
    <row r="462" spans="1:29" hidden="1" x14ac:dyDescent="0.25">
      <c r="A462" t="s">
        <v>1336</v>
      </c>
      <c r="B462">
        <v>3</v>
      </c>
      <c r="C462">
        <v>2</v>
      </c>
      <c r="D462">
        <v>0</v>
      </c>
      <c r="E462" t="s">
        <v>1397</v>
      </c>
      <c r="F462">
        <v>5813</v>
      </c>
      <c r="G462">
        <v>7439199.5</v>
      </c>
      <c r="H462">
        <v>0.8814814885457356</v>
      </c>
      <c r="I462">
        <v>0.62222222222222223</v>
      </c>
      <c r="J462">
        <v>337114.08333333337</v>
      </c>
      <c r="K462">
        <v>9411</v>
      </c>
      <c r="L462">
        <v>2</v>
      </c>
      <c r="M462">
        <v>64</v>
      </c>
      <c r="N462">
        <v>0.62962962962962965</v>
      </c>
      <c r="O462">
        <v>392068.41666666663</v>
      </c>
      <c r="P462">
        <v>9688</v>
      </c>
      <c r="Q462">
        <v>2</v>
      </c>
      <c r="R462">
        <v>65</v>
      </c>
      <c r="S462" t="s">
        <v>1398</v>
      </c>
      <c r="Z462">
        <f>IF((LEN(Wine_pres_final[[#This Row],[kan_width]])-LEN(SUBSTITUTE(Wine_pres_final[[#This Row],[kan_width]]," ","")))&gt;2,Wine_pres_final[[#This Row],[kan_test_acc]],"")</f>
        <v>0.8814814885457356</v>
      </c>
      <c r="AA462" t="str">
        <f>IF((LEN(Wine_pres_final[[#This Row],[kan_width]])-LEN(SUBSTITUTE(Wine_pres_final[[#This Row],[kan_width]]," ","")))&gt;2,"",Wine_pres_final[[#This Row],[kan_test_acc]])</f>
        <v/>
      </c>
      <c r="AB462">
        <f>Wine_pres_final[[#This Row],[mlp_test_acc]]</f>
        <v>0.62222222222222223</v>
      </c>
      <c r="AC462">
        <f>Wine_pres_final[[#This Row],[mlp_test_acc2]]</f>
        <v>0.62962962962962965</v>
      </c>
    </row>
    <row r="463" spans="1:29" hidden="1" x14ac:dyDescent="0.25">
      <c r="A463" t="s">
        <v>1336</v>
      </c>
      <c r="B463">
        <v>3</v>
      </c>
      <c r="C463">
        <v>4</v>
      </c>
      <c r="D463">
        <v>0</v>
      </c>
      <c r="E463" t="s">
        <v>1337</v>
      </c>
      <c r="F463">
        <v>2096</v>
      </c>
      <c r="G463">
        <v>4295729.5</v>
      </c>
      <c r="H463">
        <v>0.88333334028720856</v>
      </c>
      <c r="I463">
        <v>0.75185185185185188</v>
      </c>
      <c r="J463">
        <v>274528.58333333337</v>
      </c>
      <c r="K463">
        <v>3963</v>
      </c>
      <c r="L463">
        <v>2</v>
      </c>
      <c r="M463">
        <v>40</v>
      </c>
      <c r="N463">
        <v>0.70185185185185184</v>
      </c>
      <c r="O463">
        <v>281703</v>
      </c>
      <c r="P463">
        <v>4144</v>
      </c>
      <c r="Q463">
        <v>2</v>
      </c>
      <c r="R463">
        <v>41</v>
      </c>
      <c r="S463" t="s">
        <v>1487</v>
      </c>
      <c r="Z463" t="str">
        <f>IF((LEN(Wine_pres_final[[#This Row],[kan_width]])-LEN(SUBSTITUTE(Wine_pres_final[[#This Row],[kan_width]]," ","")))&gt;2,Wine_pres_final[[#This Row],[kan_test_acc]],"")</f>
        <v/>
      </c>
      <c r="AA463">
        <f>IF((LEN(Wine_pres_final[[#This Row],[kan_width]])-LEN(SUBSTITUTE(Wine_pres_final[[#This Row],[kan_width]]," ","")))&gt;2,"",Wine_pres_final[[#This Row],[kan_test_acc]])</f>
        <v>0.88333334028720856</v>
      </c>
      <c r="AB463">
        <f>Wine_pres_final[[#This Row],[mlp_test_acc]]</f>
        <v>0.75185185185185188</v>
      </c>
      <c r="AC463">
        <f>Wine_pres_final[[#This Row],[mlp_test_acc2]]</f>
        <v>0.70185185185185184</v>
      </c>
    </row>
    <row r="464" spans="1:29" hidden="1" x14ac:dyDescent="0.25">
      <c r="A464" t="s">
        <v>1336</v>
      </c>
      <c r="B464">
        <v>3</v>
      </c>
      <c r="C464">
        <v>5</v>
      </c>
      <c r="D464">
        <v>0</v>
      </c>
      <c r="E464" t="s">
        <v>1339</v>
      </c>
      <c r="F464">
        <v>2658</v>
      </c>
      <c r="G464">
        <v>7304392.166666666</v>
      </c>
      <c r="H464">
        <v>0.88333334028720856</v>
      </c>
      <c r="I464">
        <v>0.68518518518518512</v>
      </c>
      <c r="J464">
        <v>280848.5</v>
      </c>
      <c r="K464">
        <v>5109</v>
      </c>
      <c r="L464">
        <v>2</v>
      </c>
      <c r="M464">
        <v>46</v>
      </c>
      <c r="N464">
        <v>0.70925925925925926</v>
      </c>
      <c r="O464">
        <v>269614.5</v>
      </c>
      <c r="P464">
        <v>5314</v>
      </c>
      <c r="Q464">
        <v>2</v>
      </c>
      <c r="R464">
        <v>47</v>
      </c>
      <c r="S464" t="s">
        <v>1538</v>
      </c>
      <c r="Z464" t="str">
        <f>IF((LEN(Wine_pres_final[[#This Row],[kan_width]])-LEN(SUBSTITUTE(Wine_pres_final[[#This Row],[kan_width]]," ","")))&gt;2,Wine_pres_final[[#This Row],[kan_test_acc]],"")</f>
        <v/>
      </c>
      <c r="AA464">
        <f>IF((LEN(Wine_pres_final[[#This Row],[kan_width]])-LEN(SUBSTITUTE(Wine_pres_final[[#This Row],[kan_width]]," ","")))&gt;2,"",Wine_pres_final[[#This Row],[kan_test_acc]])</f>
        <v>0.88333334028720856</v>
      </c>
      <c r="AB464">
        <f>Wine_pres_final[[#This Row],[mlp_test_acc]]</f>
        <v>0.68518518518518512</v>
      </c>
      <c r="AC464">
        <f>Wine_pres_final[[#This Row],[mlp_test_acc2]]</f>
        <v>0.70925925925925926</v>
      </c>
    </row>
    <row r="465" spans="1:29" hidden="1" x14ac:dyDescent="0.25">
      <c r="A465" t="s">
        <v>1336</v>
      </c>
      <c r="B465">
        <v>5</v>
      </c>
      <c r="C465">
        <v>3</v>
      </c>
      <c r="D465">
        <v>0</v>
      </c>
      <c r="E465" t="s">
        <v>1343</v>
      </c>
      <c r="F465">
        <v>3366</v>
      </c>
      <c r="G465">
        <v>6492607.083333334</v>
      </c>
      <c r="H465">
        <v>0.88333334028720856</v>
      </c>
      <c r="I465">
        <v>0.65</v>
      </c>
      <c r="J465">
        <v>320369.66666666663</v>
      </c>
      <c r="K465">
        <v>5314</v>
      </c>
      <c r="L465">
        <v>2</v>
      </c>
      <c r="M465">
        <v>47</v>
      </c>
      <c r="N465">
        <v>0.687037037037037</v>
      </c>
      <c r="O465">
        <v>297996.41666666663</v>
      </c>
      <c r="P465">
        <v>5523</v>
      </c>
      <c r="Q465">
        <v>2</v>
      </c>
      <c r="R465">
        <v>48</v>
      </c>
      <c r="S465" t="s">
        <v>1640</v>
      </c>
      <c r="Z465" t="str">
        <f>IF((LEN(Wine_pres_final[[#This Row],[kan_width]])-LEN(SUBSTITUTE(Wine_pres_final[[#This Row],[kan_width]]," ","")))&gt;2,Wine_pres_final[[#This Row],[kan_test_acc]],"")</f>
        <v/>
      </c>
      <c r="AA465">
        <f>IF((LEN(Wine_pres_final[[#This Row],[kan_width]])-LEN(SUBSTITUTE(Wine_pres_final[[#This Row],[kan_width]]," ","")))&gt;2,"",Wine_pres_final[[#This Row],[kan_test_acc]])</f>
        <v>0.88333334028720856</v>
      </c>
      <c r="AB465">
        <f>Wine_pres_final[[#This Row],[mlp_test_acc]]</f>
        <v>0.65</v>
      </c>
      <c r="AC465">
        <f>Wine_pres_final[[#This Row],[mlp_test_acc2]]</f>
        <v>0.687037037037037</v>
      </c>
    </row>
    <row r="466" spans="1:29" hidden="1" x14ac:dyDescent="0.25">
      <c r="A466" t="s">
        <v>1336</v>
      </c>
      <c r="B466">
        <v>9</v>
      </c>
      <c r="C466">
        <v>3</v>
      </c>
      <c r="D466">
        <v>0</v>
      </c>
      <c r="E466" t="s">
        <v>1347</v>
      </c>
      <c r="F466">
        <v>5546</v>
      </c>
      <c r="G466">
        <v>6810557.083333334</v>
      </c>
      <c r="H466">
        <v>0.88333334028720856</v>
      </c>
      <c r="I466">
        <v>0.74259259259259269</v>
      </c>
      <c r="J466">
        <v>374049.83333333331</v>
      </c>
      <c r="K466">
        <v>8086</v>
      </c>
      <c r="L466">
        <v>2</v>
      </c>
      <c r="M466">
        <v>59</v>
      </c>
      <c r="N466">
        <v>0.67962962962962958</v>
      </c>
      <c r="O466">
        <v>387762.83333333331</v>
      </c>
      <c r="P466">
        <v>8343</v>
      </c>
      <c r="Q466">
        <v>2</v>
      </c>
      <c r="R466">
        <v>60</v>
      </c>
      <c r="S466" t="s">
        <v>1842</v>
      </c>
      <c r="Z466" t="str">
        <f>IF((LEN(Wine_pres_final[[#This Row],[kan_width]])-LEN(SUBSTITUTE(Wine_pres_final[[#This Row],[kan_width]]," ","")))&gt;2,Wine_pres_final[[#This Row],[kan_test_acc]],"")</f>
        <v/>
      </c>
      <c r="AA466">
        <f>IF((LEN(Wine_pres_final[[#This Row],[kan_width]])-LEN(SUBSTITUTE(Wine_pres_final[[#This Row],[kan_width]]," ","")))&gt;2,"",Wine_pres_final[[#This Row],[kan_test_acc]])</f>
        <v>0.88333334028720856</v>
      </c>
      <c r="AB466">
        <f>Wine_pres_final[[#This Row],[mlp_test_acc]]</f>
        <v>0.74259259259259269</v>
      </c>
      <c r="AC466">
        <f>Wine_pres_final[[#This Row],[mlp_test_acc2]]</f>
        <v>0.67962962962962958</v>
      </c>
    </row>
    <row r="467" spans="1:29" hidden="1" x14ac:dyDescent="0.25">
      <c r="A467" t="s">
        <v>1336</v>
      </c>
      <c r="B467">
        <v>9</v>
      </c>
      <c r="C467">
        <v>2</v>
      </c>
      <c r="D467">
        <v>0</v>
      </c>
      <c r="E467" t="s">
        <v>1387</v>
      </c>
      <c r="F467">
        <v>7329</v>
      </c>
      <c r="G467">
        <v>9329341.4166666679</v>
      </c>
      <c r="H467">
        <v>0.88333334028720856</v>
      </c>
      <c r="I467">
        <v>0.6518518518518519</v>
      </c>
      <c r="J467">
        <v>5958084.916666666</v>
      </c>
      <c r="K467">
        <v>9688</v>
      </c>
      <c r="L467">
        <v>2</v>
      </c>
      <c r="M467">
        <v>65</v>
      </c>
      <c r="N467">
        <v>0.68518518518518512</v>
      </c>
      <c r="O467">
        <v>2436487.3333333335</v>
      </c>
      <c r="P467">
        <v>9969</v>
      </c>
      <c r="Q467">
        <v>2</v>
      </c>
      <c r="R467">
        <v>66</v>
      </c>
      <c r="S467" t="s">
        <v>1812</v>
      </c>
      <c r="Z467">
        <f>IF((LEN(Wine_pres_final[[#This Row],[kan_width]])-LEN(SUBSTITUTE(Wine_pres_final[[#This Row],[kan_width]]," ","")))&gt;2,Wine_pres_final[[#This Row],[kan_test_acc]],"")</f>
        <v>0.88333334028720856</v>
      </c>
      <c r="AA467" t="str">
        <f>IF((LEN(Wine_pres_final[[#This Row],[kan_width]])-LEN(SUBSTITUTE(Wine_pres_final[[#This Row],[kan_width]]," ","")))&gt;2,"",Wine_pres_final[[#This Row],[kan_test_acc]])</f>
        <v/>
      </c>
      <c r="AB467">
        <f>Wine_pres_final[[#This Row],[mlp_test_acc]]</f>
        <v>0.6518518518518519</v>
      </c>
      <c r="AC467">
        <f>Wine_pres_final[[#This Row],[mlp_test_acc2]]</f>
        <v>0.68518518518518512</v>
      </c>
    </row>
    <row r="468" spans="1:29" hidden="1" x14ac:dyDescent="0.25">
      <c r="A468" t="s">
        <v>1336</v>
      </c>
      <c r="B468">
        <v>5</v>
      </c>
      <c r="C468">
        <v>2</v>
      </c>
      <c r="D468">
        <v>0</v>
      </c>
      <c r="E468" t="s">
        <v>1429</v>
      </c>
      <c r="F468">
        <v>8779</v>
      </c>
      <c r="G468">
        <v>17307627.5</v>
      </c>
      <c r="H468">
        <v>0.88333334028720856</v>
      </c>
      <c r="I468">
        <v>0.69629629629629619</v>
      </c>
      <c r="J468">
        <v>4962610.25</v>
      </c>
      <c r="K468">
        <v>12999</v>
      </c>
      <c r="L468">
        <v>2</v>
      </c>
      <c r="M468">
        <v>76</v>
      </c>
      <c r="N468">
        <v>0.65925925925925921</v>
      </c>
      <c r="O468">
        <v>3633344.5833333335</v>
      </c>
      <c r="P468">
        <v>13324</v>
      </c>
      <c r="Q468">
        <v>2</v>
      </c>
      <c r="R468">
        <v>77</v>
      </c>
      <c r="S468" t="s">
        <v>1633</v>
      </c>
      <c r="Z468">
        <f>IF((LEN(Wine_pres_final[[#This Row],[kan_width]])-LEN(SUBSTITUTE(Wine_pres_final[[#This Row],[kan_width]]," ","")))&gt;2,Wine_pres_final[[#This Row],[kan_test_acc]],"")</f>
        <v>0.88333334028720856</v>
      </c>
      <c r="AA468" t="str">
        <f>IF((LEN(Wine_pres_final[[#This Row],[kan_width]])-LEN(SUBSTITUTE(Wine_pres_final[[#This Row],[kan_width]]," ","")))&gt;2,"",Wine_pres_final[[#This Row],[kan_test_acc]])</f>
        <v/>
      </c>
      <c r="AB468">
        <f>Wine_pres_final[[#This Row],[mlp_test_acc]]</f>
        <v>0.69629629629629619</v>
      </c>
      <c r="AC468">
        <f>Wine_pres_final[[#This Row],[mlp_test_acc2]]</f>
        <v>0.65925925925925921</v>
      </c>
    </row>
    <row r="469" spans="1:29" hidden="1" x14ac:dyDescent="0.25">
      <c r="A469" t="s">
        <v>1336</v>
      </c>
      <c r="B469">
        <v>3</v>
      </c>
      <c r="C469">
        <v>3</v>
      </c>
      <c r="D469">
        <v>0</v>
      </c>
      <c r="E469" t="s">
        <v>1341</v>
      </c>
      <c r="F469">
        <v>2468</v>
      </c>
      <c r="G469">
        <v>6567491.166666666</v>
      </c>
      <c r="H469">
        <v>0.8851851920286814</v>
      </c>
      <c r="I469">
        <v>0.72777777777777775</v>
      </c>
      <c r="J469">
        <v>295740.83333333337</v>
      </c>
      <c r="K469">
        <v>4329</v>
      </c>
      <c r="L469">
        <v>2</v>
      </c>
      <c r="M469">
        <v>42</v>
      </c>
      <c r="N469">
        <v>0.68148148148148158</v>
      </c>
      <c r="O469">
        <v>234747.41666666669</v>
      </c>
      <c r="P469">
        <v>4518</v>
      </c>
      <c r="Q469">
        <v>2</v>
      </c>
      <c r="R469">
        <v>43</v>
      </c>
      <c r="S469" t="s">
        <v>1439</v>
      </c>
      <c r="Z469" t="str">
        <f>IF((LEN(Wine_pres_final[[#This Row],[kan_width]])-LEN(SUBSTITUTE(Wine_pres_final[[#This Row],[kan_width]]," ","")))&gt;2,Wine_pres_final[[#This Row],[kan_test_acc]],"")</f>
        <v/>
      </c>
      <c r="AA469">
        <f>IF((LEN(Wine_pres_final[[#This Row],[kan_width]])-LEN(SUBSTITUTE(Wine_pres_final[[#This Row],[kan_width]]," ","")))&gt;2,"",Wine_pres_final[[#This Row],[kan_test_acc]])</f>
        <v>0.8851851920286814</v>
      </c>
      <c r="AB469">
        <f>Wine_pres_final[[#This Row],[mlp_test_acc]]</f>
        <v>0.72777777777777775</v>
      </c>
      <c r="AC469">
        <f>Wine_pres_final[[#This Row],[mlp_test_acc2]]</f>
        <v>0.68148148148148158</v>
      </c>
    </row>
    <row r="470" spans="1:29" hidden="1" x14ac:dyDescent="0.25">
      <c r="A470" t="s">
        <v>1336</v>
      </c>
      <c r="B470">
        <v>3</v>
      </c>
      <c r="C470">
        <v>5</v>
      </c>
      <c r="D470">
        <v>0</v>
      </c>
      <c r="E470" t="s">
        <v>1341</v>
      </c>
      <c r="F470">
        <v>3012</v>
      </c>
      <c r="G470">
        <v>7631645.666666666</v>
      </c>
      <c r="H470">
        <v>0.88518519202868151</v>
      </c>
      <c r="I470">
        <v>0.69444444444444442</v>
      </c>
      <c r="J470">
        <v>300621.75</v>
      </c>
      <c r="K470">
        <v>5953</v>
      </c>
      <c r="L470">
        <v>2</v>
      </c>
      <c r="M470">
        <v>50</v>
      </c>
      <c r="N470">
        <v>0.6962962962962963</v>
      </c>
      <c r="O470">
        <v>308973.83333333337</v>
      </c>
      <c r="P470">
        <v>6174</v>
      </c>
      <c r="Q470">
        <v>2</v>
      </c>
      <c r="R470">
        <v>51</v>
      </c>
      <c r="S470" t="s">
        <v>1539</v>
      </c>
      <c r="Z470" t="str">
        <f>IF((LEN(Wine_pres_final[[#This Row],[kan_width]])-LEN(SUBSTITUTE(Wine_pres_final[[#This Row],[kan_width]]," ","")))&gt;2,Wine_pres_final[[#This Row],[kan_test_acc]],"")</f>
        <v/>
      </c>
      <c r="AA470">
        <f>IF((LEN(Wine_pres_final[[#This Row],[kan_width]])-LEN(SUBSTITUTE(Wine_pres_final[[#This Row],[kan_width]]," ","")))&gt;2,"",Wine_pres_final[[#This Row],[kan_test_acc]])</f>
        <v>0.88518519202868151</v>
      </c>
      <c r="AB470">
        <f>Wine_pres_final[[#This Row],[mlp_test_acc]]</f>
        <v>0.69444444444444442</v>
      </c>
      <c r="AC470">
        <f>Wine_pres_final[[#This Row],[mlp_test_acc2]]</f>
        <v>0.6962962962962963</v>
      </c>
    </row>
    <row r="471" spans="1:29" hidden="1" x14ac:dyDescent="0.25">
      <c r="A471" t="s">
        <v>1336</v>
      </c>
      <c r="B471">
        <v>5</v>
      </c>
      <c r="C471">
        <v>4</v>
      </c>
      <c r="D471">
        <v>0</v>
      </c>
      <c r="E471" t="s">
        <v>1343</v>
      </c>
      <c r="F471">
        <v>3670</v>
      </c>
      <c r="G471">
        <v>5921724.833333334</v>
      </c>
      <c r="H471">
        <v>0.88518519202868151</v>
      </c>
      <c r="I471">
        <v>0.65</v>
      </c>
      <c r="J471">
        <v>329146.41666666669</v>
      </c>
      <c r="K471">
        <v>6399</v>
      </c>
      <c r="L471">
        <v>2</v>
      </c>
      <c r="M471">
        <v>52</v>
      </c>
      <c r="N471">
        <v>0.72407407407407409</v>
      </c>
      <c r="O471">
        <v>325958.08333333337</v>
      </c>
      <c r="P471">
        <v>6628</v>
      </c>
      <c r="Q471">
        <v>2</v>
      </c>
      <c r="R471">
        <v>53</v>
      </c>
      <c r="S471" t="s">
        <v>1690</v>
      </c>
      <c r="Z471" t="str">
        <f>IF((LEN(Wine_pres_final[[#This Row],[kan_width]])-LEN(SUBSTITUTE(Wine_pres_final[[#This Row],[kan_width]]," ","")))&gt;2,Wine_pres_final[[#This Row],[kan_test_acc]],"")</f>
        <v/>
      </c>
      <c r="AA471">
        <f>IF((LEN(Wine_pres_final[[#This Row],[kan_width]])-LEN(SUBSTITUTE(Wine_pres_final[[#This Row],[kan_width]]," ","")))&gt;2,"",Wine_pres_final[[#This Row],[kan_test_acc]])</f>
        <v>0.88518519202868151</v>
      </c>
      <c r="AB471">
        <f>Wine_pres_final[[#This Row],[mlp_test_acc]]</f>
        <v>0.65</v>
      </c>
      <c r="AC471">
        <f>Wine_pres_final[[#This Row],[mlp_test_acc2]]</f>
        <v>0.72407407407407409</v>
      </c>
    </row>
    <row r="472" spans="1:29" hidden="1" x14ac:dyDescent="0.25">
      <c r="A472" t="s">
        <v>1336</v>
      </c>
      <c r="B472">
        <v>9</v>
      </c>
      <c r="C472">
        <v>2</v>
      </c>
      <c r="D472">
        <v>0</v>
      </c>
      <c r="E472" t="s">
        <v>1345</v>
      </c>
      <c r="F472">
        <v>4728</v>
      </c>
      <c r="G472">
        <v>5281408.75</v>
      </c>
      <c r="H472">
        <v>0.88518519202868151</v>
      </c>
      <c r="I472">
        <v>0.67037037037037039</v>
      </c>
      <c r="J472">
        <v>338777.33333333337</v>
      </c>
      <c r="K472">
        <v>6399</v>
      </c>
      <c r="L472">
        <v>2</v>
      </c>
      <c r="M472">
        <v>52</v>
      </c>
      <c r="N472">
        <v>0.70370370370370372</v>
      </c>
      <c r="O472">
        <v>322745.25</v>
      </c>
      <c r="P472">
        <v>6628</v>
      </c>
      <c r="Q472">
        <v>2</v>
      </c>
      <c r="R472">
        <v>53</v>
      </c>
      <c r="S472" t="s">
        <v>1791</v>
      </c>
      <c r="Z472" t="str">
        <f>IF((LEN(Wine_pres_final[[#This Row],[kan_width]])-LEN(SUBSTITUTE(Wine_pres_final[[#This Row],[kan_width]]," ","")))&gt;2,Wine_pres_final[[#This Row],[kan_test_acc]],"")</f>
        <v/>
      </c>
      <c r="AA472">
        <f>IF((LEN(Wine_pres_final[[#This Row],[kan_width]])-LEN(SUBSTITUTE(Wine_pres_final[[#This Row],[kan_width]]," ","")))&gt;2,"",Wine_pres_final[[#This Row],[kan_test_acc]])</f>
        <v>0.88518519202868151</v>
      </c>
      <c r="AB472">
        <f>Wine_pres_final[[#This Row],[mlp_test_acc]]</f>
        <v>0.67037037037037039</v>
      </c>
      <c r="AC472">
        <f>Wine_pres_final[[#This Row],[mlp_test_acc2]]</f>
        <v>0.70370370370370372</v>
      </c>
    </row>
    <row r="473" spans="1:29" hidden="1" x14ac:dyDescent="0.25">
      <c r="A473" t="s">
        <v>1336</v>
      </c>
      <c r="B473">
        <v>5</v>
      </c>
      <c r="C473">
        <v>2</v>
      </c>
      <c r="D473">
        <v>0</v>
      </c>
      <c r="E473" t="s">
        <v>1367</v>
      </c>
      <c r="F473">
        <v>6053</v>
      </c>
      <c r="G473">
        <v>13001061.25</v>
      </c>
      <c r="H473">
        <v>0.88518519202868151</v>
      </c>
      <c r="I473">
        <v>0.70740740740740748</v>
      </c>
      <c r="J473">
        <v>395416.75</v>
      </c>
      <c r="K473">
        <v>8869</v>
      </c>
      <c r="L473">
        <v>2</v>
      </c>
      <c r="M473">
        <v>62</v>
      </c>
      <c r="N473">
        <v>0.64444444444444449</v>
      </c>
      <c r="O473">
        <v>450236.91666666663</v>
      </c>
      <c r="P473">
        <v>9138</v>
      </c>
      <c r="Q473">
        <v>2</v>
      </c>
      <c r="R473">
        <v>63</v>
      </c>
      <c r="S473" t="s">
        <v>1602</v>
      </c>
      <c r="Z473">
        <f>IF((LEN(Wine_pres_final[[#This Row],[kan_width]])-LEN(SUBSTITUTE(Wine_pres_final[[#This Row],[kan_width]]," ","")))&gt;2,Wine_pres_final[[#This Row],[kan_test_acc]],"")</f>
        <v>0.88518519202868151</v>
      </c>
      <c r="AA473" t="str">
        <f>IF((LEN(Wine_pres_final[[#This Row],[kan_width]])-LEN(SUBSTITUTE(Wine_pres_final[[#This Row],[kan_width]]," ","")))&gt;2,"",Wine_pres_final[[#This Row],[kan_test_acc]])</f>
        <v/>
      </c>
      <c r="AB473">
        <f>Wine_pres_final[[#This Row],[mlp_test_acc]]</f>
        <v>0.70740740740740748</v>
      </c>
      <c r="AC473">
        <f>Wine_pres_final[[#This Row],[mlp_test_acc2]]</f>
        <v>0.64444444444444449</v>
      </c>
    </row>
    <row r="474" spans="1:29" hidden="1" x14ac:dyDescent="0.25">
      <c r="A474" t="s">
        <v>1336</v>
      </c>
      <c r="B474">
        <v>5</v>
      </c>
      <c r="C474">
        <v>2</v>
      </c>
      <c r="D474">
        <v>0</v>
      </c>
      <c r="E474" t="s">
        <v>1431</v>
      </c>
      <c r="F474">
        <v>9261</v>
      </c>
      <c r="G474">
        <v>19428425.416666668</v>
      </c>
      <c r="H474">
        <v>0.88518519202868151</v>
      </c>
      <c r="I474">
        <v>0.68148148148148147</v>
      </c>
      <c r="J474">
        <v>3794274.75</v>
      </c>
      <c r="K474">
        <v>13653</v>
      </c>
      <c r="L474">
        <v>2</v>
      </c>
      <c r="M474">
        <v>78</v>
      </c>
      <c r="N474">
        <v>0.69259259259259265</v>
      </c>
      <c r="O474">
        <v>3364847.8333333335</v>
      </c>
      <c r="P474">
        <v>13986</v>
      </c>
      <c r="Q474">
        <v>2</v>
      </c>
      <c r="R474">
        <v>79</v>
      </c>
      <c r="S474" t="s">
        <v>1634</v>
      </c>
      <c r="Z474">
        <f>IF((LEN(Wine_pres_final[[#This Row],[kan_width]])-LEN(SUBSTITUTE(Wine_pres_final[[#This Row],[kan_width]]," ","")))&gt;2,Wine_pres_final[[#This Row],[kan_test_acc]],"")</f>
        <v>0.88518519202868151</v>
      </c>
      <c r="AA474" t="str">
        <f>IF((LEN(Wine_pres_final[[#This Row],[kan_width]])-LEN(SUBSTITUTE(Wine_pres_final[[#This Row],[kan_width]]," ","")))&gt;2,"",Wine_pres_final[[#This Row],[kan_test_acc]])</f>
        <v/>
      </c>
      <c r="AB474">
        <f>Wine_pres_final[[#This Row],[mlp_test_acc]]</f>
        <v>0.68148148148148147</v>
      </c>
      <c r="AC474">
        <f>Wine_pres_final[[#This Row],[mlp_test_acc2]]</f>
        <v>0.69259259259259265</v>
      </c>
    </row>
    <row r="475" spans="1:29" hidden="1" x14ac:dyDescent="0.25">
      <c r="A475" t="s">
        <v>1336</v>
      </c>
      <c r="B475">
        <v>3</v>
      </c>
      <c r="C475">
        <v>3</v>
      </c>
      <c r="D475">
        <v>0</v>
      </c>
      <c r="E475" t="s">
        <v>1347</v>
      </c>
      <c r="F475">
        <v>3338</v>
      </c>
      <c r="G475">
        <v>4978969.5</v>
      </c>
      <c r="H475">
        <v>0.88703704377015424</v>
      </c>
      <c r="I475">
        <v>0.77407407407407403</v>
      </c>
      <c r="J475">
        <v>288457.16666666663</v>
      </c>
      <c r="K475">
        <v>5736</v>
      </c>
      <c r="L475">
        <v>2</v>
      </c>
      <c r="M475">
        <v>49</v>
      </c>
      <c r="N475">
        <v>0.66111111111111109</v>
      </c>
      <c r="O475">
        <v>259172.33333333331</v>
      </c>
      <c r="P475">
        <v>5953</v>
      </c>
      <c r="Q475">
        <v>2</v>
      </c>
      <c r="R475">
        <v>50</v>
      </c>
      <c r="S475" t="s">
        <v>1442</v>
      </c>
      <c r="Z475" t="str">
        <f>IF((LEN(Wine_pres_final[[#This Row],[kan_width]])-LEN(SUBSTITUTE(Wine_pres_final[[#This Row],[kan_width]]," ","")))&gt;2,Wine_pres_final[[#This Row],[kan_test_acc]],"")</f>
        <v/>
      </c>
      <c r="AA475">
        <f>IF((LEN(Wine_pres_final[[#This Row],[kan_width]])-LEN(SUBSTITUTE(Wine_pres_final[[#This Row],[kan_width]]," ","")))&gt;2,"",Wine_pres_final[[#This Row],[kan_test_acc]])</f>
        <v>0.88703704377015424</v>
      </c>
      <c r="AB475">
        <f>Wine_pres_final[[#This Row],[mlp_test_acc]]</f>
        <v>0.77407407407407403</v>
      </c>
      <c r="AC475">
        <f>Wine_pres_final[[#This Row],[mlp_test_acc2]]</f>
        <v>0.66111111111111109</v>
      </c>
    </row>
    <row r="476" spans="1:29" hidden="1" x14ac:dyDescent="0.25">
      <c r="A476" t="s">
        <v>1336</v>
      </c>
      <c r="B476">
        <v>3</v>
      </c>
      <c r="C476">
        <v>3</v>
      </c>
      <c r="D476">
        <v>0</v>
      </c>
      <c r="E476" t="s">
        <v>1355</v>
      </c>
      <c r="F476">
        <v>3712</v>
      </c>
      <c r="G476">
        <v>6555409.5</v>
      </c>
      <c r="H476">
        <v>0.88703704377015424</v>
      </c>
      <c r="I476">
        <v>0.68148148148148147</v>
      </c>
      <c r="J476">
        <v>323290.91666666663</v>
      </c>
      <c r="K476">
        <v>6399</v>
      </c>
      <c r="L476">
        <v>2</v>
      </c>
      <c r="M476">
        <v>52</v>
      </c>
      <c r="N476">
        <v>0.67777777777777781</v>
      </c>
      <c r="O476">
        <v>281400.5</v>
      </c>
      <c r="P476">
        <v>6628</v>
      </c>
      <c r="Q476">
        <v>2</v>
      </c>
      <c r="R476">
        <v>53</v>
      </c>
      <c r="S476" t="s">
        <v>1446</v>
      </c>
      <c r="Z476">
        <f>IF((LEN(Wine_pres_final[[#This Row],[kan_width]])-LEN(SUBSTITUTE(Wine_pres_final[[#This Row],[kan_width]]," ","")))&gt;2,Wine_pres_final[[#This Row],[kan_test_acc]],"")</f>
        <v>0.88703704377015424</v>
      </c>
      <c r="AA476" t="str">
        <f>IF((LEN(Wine_pres_final[[#This Row],[kan_width]])-LEN(SUBSTITUTE(Wine_pres_final[[#This Row],[kan_width]]," ","")))&gt;2,"",Wine_pres_final[[#This Row],[kan_test_acc]])</f>
        <v/>
      </c>
      <c r="AB476">
        <f>Wine_pres_final[[#This Row],[mlp_test_acc]]</f>
        <v>0.68148148148148147</v>
      </c>
      <c r="AC476">
        <f>Wine_pres_final[[#This Row],[mlp_test_acc2]]</f>
        <v>0.67777777777777781</v>
      </c>
    </row>
    <row r="477" spans="1:29" hidden="1" x14ac:dyDescent="0.25">
      <c r="A477" t="s">
        <v>1336</v>
      </c>
      <c r="B477">
        <v>3</v>
      </c>
      <c r="C477">
        <v>5</v>
      </c>
      <c r="D477">
        <v>0</v>
      </c>
      <c r="E477" t="s">
        <v>1351</v>
      </c>
      <c r="F477">
        <v>4782</v>
      </c>
      <c r="G477">
        <v>8547580.8333333321</v>
      </c>
      <c r="H477">
        <v>0.88703704377015424</v>
      </c>
      <c r="I477">
        <v>0.67962962962962958</v>
      </c>
      <c r="J477">
        <v>484462.33333333337</v>
      </c>
      <c r="K477">
        <v>9411</v>
      </c>
      <c r="L477">
        <v>2</v>
      </c>
      <c r="M477">
        <v>64</v>
      </c>
      <c r="N477">
        <v>0.72592592592592586</v>
      </c>
      <c r="O477">
        <v>598805.08333333337</v>
      </c>
      <c r="P477">
        <v>9688</v>
      </c>
      <c r="Q477">
        <v>2</v>
      </c>
      <c r="R477">
        <v>65</v>
      </c>
      <c r="S477" t="s">
        <v>1544</v>
      </c>
      <c r="Z477" t="str">
        <f>IF((LEN(Wine_pres_final[[#This Row],[kan_width]])-LEN(SUBSTITUTE(Wine_pres_final[[#This Row],[kan_width]]," ","")))&gt;2,Wine_pres_final[[#This Row],[kan_test_acc]],"")</f>
        <v/>
      </c>
      <c r="AA477">
        <f>IF((LEN(Wine_pres_final[[#This Row],[kan_width]])-LEN(SUBSTITUTE(Wine_pres_final[[#This Row],[kan_width]]," ","")))&gt;2,"",Wine_pres_final[[#This Row],[kan_test_acc]])</f>
        <v>0.88703704377015424</v>
      </c>
      <c r="AB477">
        <f>Wine_pres_final[[#This Row],[mlp_test_acc]]</f>
        <v>0.67962962962962958</v>
      </c>
      <c r="AC477">
        <f>Wine_pres_final[[#This Row],[mlp_test_acc2]]</f>
        <v>0.72592592592592586</v>
      </c>
    </row>
    <row r="478" spans="1:29" hidden="1" x14ac:dyDescent="0.25">
      <c r="A478" t="s">
        <v>1336</v>
      </c>
      <c r="B478">
        <v>5</v>
      </c>
      <c r="C478">
        <v>2</v>
      </c>
      <c r="D478">
        <v>0</v>
      </c>
      <c r="E478" t="s">
        <v>1389</v>
      </c>
      <c r="F478">
        <v>5647</v>
      </c>
      <c r="G478">
        <v>9725322.25</v>
      </c>
      <c r="H478">
        <v>0.88703704377015424</v>
      </c>
      <c r="I478">
        <v>0.68518518518518523</v>
      </c>
      <c r="J478">
        <v>399488.75</v>
      </c>
      <c r="K478">
        <v>8343</v>
      </c>
      <c r="L478">
        <v>2</v>
      </c>
      <c r="M478">
        <v>60</v>
      </c>
      <c r="N478">
        <v>0.68518518518518512</v>
      </c>
      <c r="O478">
        <v>383535.83333333337</v>
      </c>
      <c r="P478">
        <v>8604</v>
      </c>
      <c r="Q478">
        <v>2</v>
      </c>
      <c r="R478">
        <v>61</v>
      </c>
      <c r="S478" t="s">
        <v>1613</v>
      </c>
      <c r="Z478">
        <f>IF((LEN(Wine_pres_final[[#This Row],[kan_width]])-LEN(SUBSTITUTE(Wine_pres_final[[#This Row],[kan_width]]," ","")))&gt;2,Wine_pres_final[[#This Row],[kan_test_acc]],"")</f>
        <v>0.88703704377015424</v>
      </c>
      <c r="AA478" t="str">
        <f>IF((LEN(Wine_pres_final[[#This Row],[kan_width]])-LEN(SUBSTITUTE(Wine_pres_final[[#This Row],[kan_width]]," ","")))&gt;2,"",Wine_pres_final[[#This Row],[kan_test_acc]])</f>
        <v/>
      </c>
      <c r="AB478">
        <f>Wine_pres_final[[#This Row],[mlp_test_acc]]</f>
        <v>0.68518518518518523</v>
      </c>
      <c r="AC478">
        <f>Wine_pres_final[[#This Row],[mlp_test_acc2]]</f>
        <v>0.68518518518518512</v>
      </c>
    </row>
    <row r="479" spans="1:29" hidden="1" x14ac:dyDescent="0.25">
      <c r="A479" t="s">
        <v>1336</v>
      </c>
      <c r="B479">
        <v>5</v>
      </c>
      <c r="C479">
        <v>2</v>
      </c>
      <c r="D479">
        <v>0</v>
      </c>
      <c r="E479" t="s">
        <v>1419</v>
      </c>
      <c r="F479">
        <v>6369</v>
      </c>
      <c r="G479">
        <v>12237271.583333334</v>
      </c>
      <c r="H479">
        <v>0.88703704377015424</v>
      </c>
      <c r="I479">
        <v>0.77222222222222214</v>
      </c>
      <c r="J479">
        <v>2735105.333333333</v>
      </c>
      <c r="K479">
        <v>9411</v>
      </c>
      <c r="L479">
        <v>2</v>
      </c>
      <c r="M479">
        <v>64</v>
      </c>
      <c r="N479">
        <v>0.6518518518518519</v>
      </c>
      <c r="O479">
        <v>1496264.8333333333</v>
      </c>
      <c r="P479">
        <v>9688</v>
      </c>
      <c r="Q479">
        <v>2</v>
      </c>
      <c r="R479">
        <v>65</v>
      </c>
      <c r="S479" t="s">
        <v>1628</v>
      </c>
      <c r="Z479">
        <f>IF((LEN(Wine_pres_final[[#This Row],[kan_width]])-LEN(SUBSTITUTE(Wine_pres_final[[#This Row],[kan_width]]," ","")))&gt;2,Wine_pres_final[[#This Row],[kan_test_acc]],"")</f>
        <v>0.88703704377015424</v>
      </c>
      <c r="AA479" t="str">
        <f>IF((LEN(Wine_pres_final[[#This Row],[kan_width]])-LEN(SUBSTITUTE(Wine_pres_final[[#This Row],[kan_width]]," ","")))&gt;2,"",Wine_pres_final[[#This Row],[kan_test_acc]])</f>
        <v/>
      </c>
      <c r="AB479">
        <f>Wine_pres_final[[#This Row],[mlp_test_acc]]</f>
        <v>0.77222222222222214</v>
      </c>
      <c r="AC479">
        <f>Wine_pres_final[[#This Row],[mlp_test_acc2]]</f>
        <v>0.6518518518518519</v>
      </c>
    </row>
    <row r="480" spans="1:29" hidden="1" x14ac:dyDescent="0.25">
      <c r="A480" t="s">
        <v>1336</v>
      </c>
      <c r="B480">
        <v>5</v>
      </c>
      <c r="C480">
        <v>2</v>
      </c>
      <c r="D480">
        <v>0</v>
      </c>
      <c r="E480" t="s">
        <v>1425</v>
      </c>
      <c r="F480">
        <v>7815</v>
      </c>
      <c r="G480">
        <v>13685970.25</v>
      </c>
      <c r="H480">
        <v>0.88703704377015424</v>
      </c>
      <c r="I480">
        <v>0.68518518518518512</v>
      </c>
      <c r="J480">
        <v>4314860.583333334</v>
      </c>
      <c r="K480">
        <v>11434</v>
      </c>
      <c r="L480">
        <v>2</v>
      </c>
      <c r="M480">
        <v>71</v>
      </c>
      <c r="N480">
        <v>0.71481481481481479</v>
      </c>
      <c r="O480">
        <v>3861230.5</v>
      </c>
      <c r="P480">
        <v>11739</v>
      </c>
      <c r="Q480">
        <v>2</v>
      </c>
      <c r="R480">
        <v>72</v>
      </c>
      <c r="S480" t="s">
        <v>1631</v>
      </c>
      <c r="Z480">
        <f>IF((LEN(Wine_pres_final[[#This Row],[kan_width]])-LEN(SUBSTITUTE(Wine_pres_final[[#This Row],[kan_width]]," ","")))&gt;2,Wine_pres_final[[#This Row],[kan_test_acc]],"")</f>
        <v>0.88703704377015424</v>
      </c>
      <c r="AA480" t="str">
        <f>IF((LEN(Wine_pres_final[[#This Row],[kan_width]])-LEN(SUBSTITUTE(Wine_pres_final[[#This Row],[kan_width]]," ","")))&gt;2,"",Wine_pres_final[[#This Row],[kan_test_acc]])</f>
        <v/>
      </c>
      <c r="AB480">
        <f>Wine_pres_final[[#This Row],[mlp_test_acc]]</f>
        <v>0.68518518518518512</v>
      </c>
      <c r="AC480">
        <f>Wine_pres_final[[#This Row],[mlp_test_acc2]]</f>
        <v>0.71481481481481479</v>
      </c>
    </row>
    <row r="481" spans="1:29" hidden="1" x14ac:dyDescent="0.25">
      <c r="A481" t="s">
        <v>1336</v>
      </c>
      <c r="B481">
        <v>5</v>
      </c>
      <c r="C481">
        <v>3</v>
      </c>
      <c r="D481">
        <v>0</v>
      </c>
      <c r="E481" t="s">
        <v>1347</v>
      </c>
      <c r="F481">
        <v>4074</v>
      </c>
      <c r="G481">
        <v>5178735.75</v>
      </c>
      <c r="H481">
        <v>0.8888888955116272</v>
      </c>
      <c r="I481">
        <v>0.72037037037037033</v>
      </c>
      <c r="J481">
        <v>358335.66666666663</v>
      </c>
      <c r="K481">
        <v>6628</v>
      </c>
      <c r="L481">
        <v>2</v>
      </c>
      <c r="M481">
        <v>53</v>
      </c>
      <c r="N481">
        <v>0.72222222222222232</v>
      </c>
      <c r="O481">
        <v>329520.5</v>
      </c>
      <c r="P481">
        <v>6861</v>
      </c>
      <c r="Q481">
        <v>2</v>
      </c>
      <c r="R481">
        <v>54</v>
      </c>
      <c r="S481" t="s">
        <v>1642</v>
      </c>
      <c r="Z481" t="str">
        <f>IF((LEN(Wine_pres_final[[#This Row],[kan_width]])-LEN(SUBSTITUTE(Wine_pres_final[[#This Row],[kan_width]]," ","")))&gt;2,Wine_pres_final[[#This Row],[kan_test_acc]],"")</f>
        <v/>
      </c>
      <c r="AA481">
        <f>IF((LEN(Wine_pres_final[[#This Row],[kan_width]])-LEN(SUBSTITUTE(Wine_pres_final[[#This Row],[kan_width]]," ","")))&gt;2,"",Wine_pres_final[[#This Row],[kan_test_acc]])</f>
        <v>0.8888888955116272</v>
      </c>
      <c r="AB481">
        <f>Wine_pres_final[[#This Row],[mlp_test_acc]]</f>
        <v>0.72037037037037033</v>
      </c>
      <c r="AC481">
        <f>Wine_pres_final[[#This Row],[mlp_test_acc2]]</f>
        <v>0.72222222222222232</v>
      </c>
    </row>
    <row r="482" spans="1:29" hidden="1" x14ac:dyDescent="0.25">
      <c r="A482" t="s">
        <v>1336</v>
      </c>
      <c r="B482">
        <v>9</v>
      </c>
      <c r="C482">
        <v>4</v>
      </c>
      <c r="D482">
        <v>0</v>
      </c>
      <c r="E482" t="s">
        <v>1343</v>
      </c>
      <c r="F482">
        <v>4886</v>
      </c>
      <c r="G482">
        <v>6017655.5</v>
      </c>
      <c r="H482">
        <v>0.89074074725310004</v>
      </c>
      <c r="I482">
        <v>0.67222222222222228</v>
      </c>
      <c r="J482">
        <v>367932.91666666663</v>
      </c>
      <c r="K482">
        <v>7584</v>
      </c>
      <c r="L482">
        <v>2</v>
      </c>
      <c r="M482">
        <v>57</v>
      </c>
      <c r="N482">
        <v>0.73518518518518516</v>
      </c>
      <c r="O482">
        <v>337666.08333333337</v>
      </c>
      <c r="P482">
        <v>7833</v>
      </c>
      <c r="Q482">
        <v>2</v>
      </c>
      <c r="R482">
        <v>58</v>
      </c>
      <c r="S482" t="s">
        <v>1890</v>
      </c>
      <c r="Z482" t="str">
        <f>IF((LEN(Wine_pres_final[[#This Row],[kan_width]])-LEN(SUBSTITUTE(Wine_pres_final[[#This Row],[kan_width]]," ","")))&gt;2,Wine_pres_final[[#This Row],[kan_test_acc]],"")</f>
        <v/>
      </c>
      <c r="AA482">
        <f>IF((LEN(Wine_pres_final[[#This Row],[kan_width]])-LEN(SUBSTITUTE(Wine_pres_final[[#This Row],[kan_width]]," ","")))&gt;2,"",Wine_pres_final[[#This Row],[kan_test_acc]])</f>
        <v>0.89074074725310004</v>
      </c>
      <c r="AB482">
        <f>Wine_pres_final[[#This Row],[mlp_test_acc]]</f>
        <v>0.67222222222222228</v>
      </c>
      <c r="AC482">
        <f>Wine_pres_final[[#This Row],[mlp_test_acc2]]</f>
        <v>0.73518518518518516</v>
      </c>
    </row>
    <row r="483" spans="1:29" hidden="1" x14ac:dyDescent="0.25">
      <c r="A483" t="s">
        <v>1336</v>
      </c>
      <c r="B483">
        <v>5</v>
      </c>
      <c r="C483">
        <v>2</v>
      </c>
      <c r="D483">
        <v>0</v>
      </c>
      <c r="E483" t="s">
        <v>1427</v>
      </c>
      <c r="F483">
        <v>8297</v>
      </c>
      <c r="G483">
        <v>13367676.583333334</v>
      </c>
      <c r="H483">
        <v>0.89074074725310004</v>
      </c>
      <c r="I483">
        <v>0.69074074074074066</v>
      </c>
      <c r="J483">
        <v>5258675.083333334</v>
      </c>
      <c r="K483">
        <v>12361</v>
      </c>
      <c r="L483">
        <v>2</v>
      </c>
      <c r="M483">
        <v>74</v>
      </c>
      <c r="N483">
        <v>0.68518518518518512</v>
      </c>
      <c r="O483">
        <v>3504222.8333333335</v>
      </c>
      <c r="P483">
        <v>12678</v>
      </c>
      <c r="Q483">
        <v>2</v>
      </c>
      <c r="R483">
        <v>75</v>
      </c>
      <c r="S483" t="s">
        <v>1632</v>
      </c>
      <c r="Z483">
        <f>IF((LEN(Wine_pres_final[[#This Row],[kan_width]])-LEN(SUBSTITUTE(Wine_pres_final[[#This Row],[kan_width]]," ","")))&gt;2,Wine_pres_final[[#This Row],[kan_test_acc]],"")</f>
        <v>0.89074074725310004</v>
      </c>
      <c r="AA483" t="str">
        <f>IF((LEN(Wine_pres_final[[#This Row],[kan_width]])-LEN(SUBSTITUTE(Wine_pres_final[[#This Row],[kan_width]]," ","")))&gt;2,"",Wine_pres_final[[#This Row],[kan_test_acc]])</f>
        <v/>
      </c>
      <c r="AB483">
        <f>Wine_pres_final[[#This Row],[mlp_test_acc]]</f>
        <v>0.69074074074074066</v>
      </c>
      <c r="AC483">
        <f>Wine_pres_final[[#This Row],[mlp_test_acc2]]</f>
        <v>0.68518518518518512</v>
      </c>
    </row>
    <row r="484" spans="1:29" hidden="1" x14ac:dyDescent="0.25">
      <c r="A484" t="s">
        <v>1336</v>
      </c>
      <c r="B484">
        <v>5</v>
      </c>
      <c r="C484">
        <v>3</v>
      </c>
      <c r="D484">
        <v>0</v>
      </c>
      <c r="E484" t="s">
        <v>1433</v>
      </c>
      <c r="F484">
        <v>1596</v>
      </c>
      <c r="G484">
        <v>16339197.25</v>
      </c>
      <c r="H484">
        <v>0.89074074725310015</v>
      </c>
      <c r="I484">
        <v>0.67777777777777781</v>
      </c>
      <c r="J484">
        <v>3154791.5</v>
      </c>
      <c r="K484">
        <v>2514</v>
      </c>
      <c r="L484">
        <v>2</v>
      </c>
      <c r="M484">
        <v>31</v>
      </c>
      <c r="N484">
        <v>0.70925925925925926</v>
      </c>
      <c r="O484">
        <v>2824507.5833333335</v>
      </c>
      <c r="P484">
        <v>2659</v>
      </c>
      <c r="Q484">
        <v>2</v>
      </c>
      <c r="R484">
        <v>32</v>
      </c>
      <c r="S484" t="s">
        <v>1635</v>
      </c>
      <c r="Z484" t="str">
        <f>IF((LEN(Wine_pres_final[[#This Row],[kan_width]])-LEN(SUBSTITUTE(Wine_pres_final[[#This Row],[kan_width]]," ","")))&gt;2,Wine_pres_final[[#This Row],[kan_test_acc]],"")</f>
        <v/>
      </c>
      <c r="AA484">
        <f>IF((LEN(Wine_pres_final[[#This Row],[kan_width]])-LEN(SUBSTITUTE(Wine_pres_final[[#This Row],[kan_width]]," ","")))&gt;2,"",Wine_pres_final[[#This Row],[kan_test_acc]])</f>
        <v>0.89074074725310015</v>
      </c>
      <c r="AB484">
        <f>Wine_pres_final[[#This Row],[mlp_test_acc]]</f>
        <v>0.67777777777777781</v>
      </c>
      <c r="AC484">
        <f>Wine_pres_final[[#This Row],[mlp_test_acc2]]</f>
        <v>0.70925925925925926</v>
      </c>
    </row>
    <row r="485" spans="1:29" hidden="1" x14ac:dyDescent="0.25">
      <c r="A485" t="s">
        <v>1336</v>
      </c>
      <c r="B485">
        <v>3</v>
      </c>
      <c r="C485">
        <v>3</v>
      </c>
      <c r="D485">
        <v>0</v>
      </c>
      <c r="E485" t="s">
        <v>1345</v>
      </c>
      <c r="F485">
        <v>3048</v>
      </c>
      <c r="G485">
        <v>4937997.333333333</v>
      </c>
      <c r="H485">
        <v>0.89074074725310015</v>
      </c>
      <c r="I485">
        <v>0.73888888888888893</v>
      </c>
      <c r="J485">
        <v>289425.66666666663</v>
      </c>
      <c r="K485">
        <v>5314</v>
      </c>
      <c r="L485">
        <v>2</v>
      </c>
      <c r="M485">
        <v>47</v>
      </c>
      <c r="N485">
        <v>0.70740740740740737</v>
      </c>
      <c r="O485">
        <v>264746.16666666663</v>
      </c>
      <c r="P485">
        <v>5523</v>
      </c>
      <c r="Q485">
        <v>2</v>
      </c>
      <c r="R485">
        <v>48</v>
      </c>
      <c r="S485" t="s">
        <v>1441</v>
      </c>
      <c r="Z485" t="str">
        <f>IF((LEN(Wine_pres_final[[#This Row],[kan_width]])-LEN(SUBSTITUTE(Wine_pres_final[[#This Row],[kan_width]]," ","")))&gt;2,Wine_pres_final[[#This Row],[kan_test_acc]],"")</f>
        <v/>
      </c>
      <c r="AA485">
        <f>IF((LEN(Wine_pres_final[[#This Row],[kan_width]])-LEN(SUBSTITUTE(Wine_pres_final[[#This Row],[kan_width]]," ","")))&gt;2,"",Wine_pres_final[[#This Row],[kan_test_acc]])</f>
        <v>0.89074074725310015</v>
      </c>
      <c r="AB485">
        <f>Wine_pres_final[[#This Row],[mlp_test_acc]]</f>
        <v>0.73888888888888893</v>
      </c>
      <c r="AC485">
        <f>Wine_pres_final[[#This Row],[mlp_test_acc2]]</f>
        <v>0.70740740740740737</v>
      </c>
    </row>
    <row r="486" spans="1:29" hidden="1" x14ac:dyDescent="0.25">
      <c r="A486" t="s">
        <v>1336</v>
      </c>
      <c r="B486">
        <v>3</v>
      </c>
      <c r="C486">
        <v>2</v>
      </c>
      <c r="D486">
        <v>0</v>
      </c>
      <c r="E486" t="s">
        <v>1395</v>
      </c>
      <c r="F486">
        <v>5491</v>
      </c>
      <c r="G486">
        <v>7188930.166666666</v>
      </c>
      <c r="H486">
        <v>0.89074074725310015</v>
      </c>
      <c r="I486">
        <v>0.63703703703703707</v>
      </c>
      <c r="J486">
        <v>309683</v>
      </c>
      <c r="K486">
        <v>8869</v>
      </c>
      <c r="L486">
        <v>2</v>
      </c>
      <c r="M486">
        <v>62</v>
      </c>
      <c r="N486">
        <v>0.6518518518518519</v>
      </c>
      <c r="O486">
        <v>306944.33333333331</v>
      </c>
      <c r="P486">
        <v>9138</v>
      </c>
      <c r="Q486">
        <v>2</v>
      </c>
      <c r="R486">
        <v>63</v>
      </c>
      <c r="S486" t="s">
        <v>1396</v>
      </c>
      <c r="Z486">
        <f>IF((LEN(Wine_pres_final[[#This Row],[kan_width]])-LEN(SUBSTITUTE(Wine_pres_final[[#This Row],[kan_width]]," ","")))&gt;2,Wine_pres_final[[#This Row],[kan_test_acc]],"")</f>
        <v>0.89074074725310015</v>
      </c>
      <c r="AA486" t="str">
        <f>IF((LEN(Wine_pres_final[[#This Row],[kan_width]])-LEN(SUBSTITUTE(Wine_pres_final[[#This Row],[kan_width]]," ","")))&gt;2,"",Wine_pres_final[[#This Row],[kan_test_acc]])</f>
        <v/>
      </c>
      <c r="AB486">
        <f>Wine_pres_final[[#This Row],[mlp_test_acc]]</f>
        <v>0.63703703703703707</v>
      </c>
      <c r="AC486">
        <f>Wine_pres_final[[#This Row],[mlp_test_acc2]]</f>
        <v>0.6518518518518519</v>
      </c>
    </row>
    <row r="487" spans="1:29" hidden="1" x14ac:dyDescent="0.25">
      <c r="A487" t="s">
        <v>1336</v>
      </c>
      <c r="B487">
        <v>3</v>
      </c>
      <c r="C487">
        <v>5</v>
      </c>
      <c r="D487">
        <v>0</v>
      </c>
      <c r="E487" t="s">
        <v>1337</v>
      </c>
      <c r="F487">
        <v>2304</v>
      </c>
      <c r="G487">
        <v>5617629.083333333</v>
      </c>
      <c r="H487">
        <v>0.89259259899457288</v>
      </c>
      <c r="I487">
        <v>0.67962962962962958</v>
      </c>
      <c r="J487">
        <v>279680.75</v>
      </c>
      <c r="K487">
        <v>4518</v>
      </c>
      <c r="L487">
        <v>2</v>
      </c>
      <c r="M487">
        <v>43</v>
      </c>
      <c r="N487">
        <v>0.68148148148148147</v>
      </c>
      <c r="O487">
        <v>264822.5</v>
      </c>
      <c r="P487">
        <v>4711</v>
      </c>
      <c r="Q487">
        <v>2</v>
      </c>
      <c r="R487">
        <v>44</v>
      </c>
      <c r="S487" t="s">
        <v>1537</v>
      </c>
      <c r="Z487" t="str">
        <f>IF((LEN(Wine_pres_final[[#This Row],[kan_width]])-LEN(SUBSTITUTE(Wine_pres_final[[#This Row],[kan_width]]," ","")))&gt;2,Wine_pres_final[[#This Row],[kan_test_acc]],"")</f>
        <v/>
      </c>
      <c r="AA487">
        <f>IF((LEN(Wine_pres_final[[#This Row],[kan_width]])-LEN(SUBSTITUTE(Wine_pres_final[[#This Row],[kan_width]]," ","")))&gt;2,"",Wine_pres_final[[#This Row],[kan_test_acc]])</f>
        <v>0.89259259899457288</v>
      </c>
      <c r="AB487">
        <f>Wine_pres_final[[#This Row],[mlp_test_acc]]</f>
        <v>0.67962962962962958</v>
      </c>
      <c r="AC487">
        <f>Wine_pres_final[[#This Row],[mlp_test_acc2]]</f>
        <v>0.68148148148148147</v>
      </c>
    </row>
    <row r="488" spans="1:29" hidden="1" x14ac:dyDescent="0.25">
      <c r="A488" t="s">
        <v>1336</v>
      </c>
      <c r="B488">
        <v>5</v>
      </c>
      <c r="C488">
        <v>5</v>
      </c>
      <c r="D488">
        <v>0</v>
      </c>
      <c r="E488" t="s">
        <v>1337</v>
      </c>
      <c r="F488">
        <v>2720</v>
      </c>
      <c r="G488">
        <v>5643729.75</v>
      </c>
      <c r="H488">
        <v>0.89259259899457288</v>
      </c>
      <c r="I488">
        <v>0.71296296296296302</v>
      </c>
      <c r="J488">
        <v>274772.33333333337</v>
      </c>
      <c r="K488">
        <v>4908</v>
      </c>
      <c r="L488">
        <v>2</v>
      </c>
      <c r="M488">
        <v>45</v>
      </c>
      <c r="N488">
        <v>0.7</v>
      </c>
      <c r="O488">
        <v>285648.16666666663</v>
      </c>
      <c r="P488">
        <v>5109</v>
      </c>
      <c r="Q488">
        <v>2</v>
      </c>
      <c r="R488">
        <v>46</v>
      </c>
      <c r="S488" t="s">
        <v>1737</v>
      </c>
      <c r="Z488" t="str">
        <f>IF((LEN(Wine_pres_final[[#This Row],[kan_width]])-LEN(SUBSTITUTE(Wine_pres_final[[#This Row],[kan_width]]," ","")))&gt;2,Wine_pres_final[[#This Row],[kan_test_acc]],"")</f>
        <v/>
      </c>
      <c r="AA488">
        <f>IF((LEN(Wine_pres_final[[#This Row],[kan_width]])-LEN(SUBSTITUTE(Wine_pres_final[[#This Row],[kan_width]]," ","")))&gt;2,"",Wine_pres_final[[#This Row],[kan_test_acc]])</f>
        <v>0.89259259899457288</v>
      </c>
      <c r="AB488">
        <f>Wine_pres_final[[#This Row],[mlp_test_acc]]</f>
        <v>0.71296296296296302</v>
      </c>
      <c r="AC488">
        <f>Wine_pres_final[[#This Row],[mlp_test_acc2]]</f>
        <v>0.7</v>
      </c>
    </row>
    <row r="489" spans="1:29" hidden="1" x14ac:dyDescent="0.25">
      <c r="A489" t="s">
        <v>1336</v>
      </c>
      <c r="B489">
        <v>5</v>
      </c>
      <c r="C489">
        <v>5</v>
      </c>
      <c r="D489">
        <v>0</v>
      </c>
      <c r="E489" t="s">
        <v>1341</v>
      </c>
      <c r="F489">
        <v>3556</v>
      </c>
      <c r="G489">
        <v>7224795</v>
      </c>
      <c r="H489">
        <v>0.89259259899457288</v>
      </c>
      <c r="I489">
        <v>0.67407407407407405</v>
      </c>
      <c r="J489">
        <v>363010.08333333337</v>
      </c>
      <c r="K489">
        <v>6399</v>
      </c>
      <c r="L489">
        <v>2</v>
      </c>
      <c r="M489">
        <v>52</v>
      </c>
      <c r="N489">
        <v>0.66296296296296298</v>
      </c>
      <c r="O489">
        <v>321049.41666666669</v>
      </c>
      <c r="P489">
        <v>6628</v>
      </c>
      <c r="Q489">
        <v>2</v>
      </c>
      <c r="R489">
        <v>53</v>
      </c>
      <c r="S489" t="s">
        <v>1739</v>
      </c>
      <c r="Z489" t="str">
        <f>IF((LEN(Wine_pres_final[[#This Row],[kan_width]])-LEN(SUBSTITUTE(Wine_pres_final[[#This Row],[kan_width]]," ","")))&gt;2,Wine_pres_final[[#This Row],[kan_test_acc]],"")</f>
        <v/>
      </c>
      <c r="AA489">
        <f>IF((LEN(Wine_pres_final[[#This Row],[kan_width]])-LEN(SUBSTITUTE(Wine_pres_final[[#This Row],[kan_width]]," ","")))&gt;2,"",Wine_pres_final[[#This Row],[kan_test_acc]])</f>
        <v>0.89259259899457288</v>
      </c>
      <c r="AB489">
        <f>Wine_pres_final[[#This Row],[mlp_test_acc]]</f>
        <v>0.67407407407407405</v>
      </c>
      <c r="AC489">
        <f>Wine_pres_final[[#This Row],[mlp_test_acc2]]</f>
        <v>0.66296296296296298</v>
      </c>
    </row>
    <row r="490" spans="1:29" hidden="1" x14ac:dyDescent="0.25">
      <c r="A490" t="s">
        <v>1336</v>
      </c>
      <c r="B490">
        <v>3</v>
      </c>
      <c r="C490">
        <v>3</v>
      </c>
      <c r="D490">
        <v>0</v>
      </c>
      <c r="E490" t="s">
        <v>1425</v>
      </c>
      <c r="F490">
        <v>7038</v>
      </c>
      <c r="G490">
        <v>11873313.166666666</v>
      </c>
      <c r="H490">
        <v>0.89259259899457288</v>
      </c>
      <c r="I490">
        <v>0.70925925925925926</v>
      </c>
      <c r="J490">
        <v>1044715.0833333334</v>
      </c>
      <c r="K490">
        <v>12361</v>
      </c>
      <c r="L490">
        <v>2</v>
      </c>
      <c r="M490">
        <v>74</v>
      </c>
      <c r="N490">
        <v>0.7</v>
      </c>
      <c r="O490">
        <v>922275.25</v>
      </c>
      <c r="P490">
        <v>12678</v>
      </c>
      <c r="Q490">
        <v>2</v>
      </c>
      <c r="R490">
        <v>75</v>
      </c>
      <c r="S490" t="s">
        <v>1481</v>
      </c>
      <c r="Z490">
        <f>IF((LEN(Wine_pres_final[[#This Row],[kan_width]])-LEN(SUBSTITUTE(Wine_pres_final[[#This Row],[kan_width]]," ","")))&gt;2,Wine_pres_final[[#This Row],[kan_test_acc]],"")</f>
        <v>0.89259259899457288</v>
      </c>
      <c r="AA490" t="str">
        <f>IF((LEN(Wine_pres_final[[#This Row],[kan_width]])-LEN(SUBSTITUTE(Wine_pres_final[[#This Row],[kan_width]]," ","")))&gt;2,"",Wine_pres_final[[#This Row],[kan_test_acc]])</f>
        <v/>
      </c>
      <c r="AB490">
        <f>Wine_pres_final[[#This Row],[mlp_test_acc]]</f>
        <v>0.70925925925925926</v>
      </c>
      <c r="AC490">
        <f>Wine_pres_final[[#This Row],[mlp_test_acc2]]</f>
        <v>0.7</v>
      </c>
    </row>
    <row r="491" spans="1:29" hidden="1" x14ac:dyDescent="0.25">
      <c r="A491" t="s">
        <v>1336</v>
      </c>
      <c r="B491">
        <v>3</v>
      </c>
      <c r="C491">
        <v>3</v>
      </c>
      <c r="D491">
        <v>0</v>
      </c>
      <c r="E491" t="s">
        <v>1421</v>
      </c>
      <c r="F491">
        <v>6170</v>
      </c>
      <c r="G491">
        <v>10595142.666666666</v>
      </c>
      <c r="H491">
        <v>0.89259259899457299</v>
      </c>
      <c r="I491">
        <v>0.68333333333333335</v>
      </c>
      <c r="J491">
        <v>1388707.8333333333</v>
      </c>
      <c r="K491">
        <v>10836</v>
      </c>
      <c r="L491">
        <v>2</v>
      </c>
      <c r="M491">
        <v>69</v>
      </c>
      <c r="N491">
        <v>0.68148148148148147</v>
      </c>
      <c r="O491">
        <v>1088678.5833333333</v>
      </c>
      <c r="P491">
        <v>11133</v>
      </c>
      <c r="Q491">
        <v>2</v>
      </c>
      <c r="R491">
        <v>70</v>
      </c>
      <c r="S491" t="s">
        <v>1479</v>
      </c>
      <c r="Z491">
        <f>IF((LEN(Wine_pres_final[[#This Row],[kan_width]])-LEN(SUBSTITUTE(Wine_pres_final[[#This Row],[kan_width]]," ","")))&gt;2,Wine_pres_final[[#This Row],[kan_test_acc]],"")</f>
        <v>0.89259259899457299</v>
      </c>
      <c r="AA491" t="str">
        <f>IF((LEN(Wine_pres_final[[#This Row],[kan_width]])-LEN(SUBSTITUTE(Wine_pres_final[[#This Row],[kan_width]]," ","")))&gt;2,"",Wine_pres_final[[#This Row],[kan_test_acc]])</f>
        <v/>
      </c>
      <c r="AB491">
        <f>Wine_pres_final[[#This Row],[mlp_test_acc]]</f>
        <v>0.68333333333333335</v>
      </c>
      <c r="AC491">
        <f>Wine_pres_final[[#This Row],[mlp_test_acc2]]</f>
        <v>0.68148148148148147</v>
      </c>
    </row>
    <row r="492" spans="1:29" hidden="1" x14ac:dyDescent="0.25">
      <c r="A492" t="s">
        <v>1336</v>
      </c>
      <c r="B492">
        <v>9</v>
      </c>
      <c r="C492">
        <v>3</v>
      </c>
      <c r="D492">
        <v>0</v>
      </c>
      <c r="E492" t="s">
        <v>1345</v>
      </c>
      <c r="F492">
        <v>5064</v>
      </c>
      <c r="G492">
        <v>5234237.916666667</v>
      </c>
      <c r="H492">
        <v>0.89444445073604584</v>
      </c>
      <c r="I492">
        <v>0.72037037037037044</v>
      </c>
      <c r="J492">
        <v>385513.25</v>
      </c>
      <c r="K492">
        <v>7339</v>
      </c>
      <c r="L492">
        <v>2</v>
      </c>
      <c r="M492">
        <v>56</v>
      </c>
      <c r="N492">
        <v>0.71296296296296302</v>
      </c>
      <c r="O492">
        <v>351113.75</v>
      </c>
      <c r="P492">
        <v>7584</v>
      </c>
      <c r="Q492">
        <v>2</v>
      </c>
      <c r="R492">
        <v>57</v>
      </c>
      <c r="S492" t="s">
        <v>1841</v>
      </c>
      <c r="Z492" t="str">
        <f>IF((LEN(Wine_pres_final[[#This Row],[kan_width]])-LEN(SUBSTITUTE(Wine_pres_final[[#This Row],[kan_width]]," ","")))&gt;2,Wine_pres_final[[#This Row],[kan_test_acc]],"")</f>
        <v/>
      </c>
      <c r="AA492">
        <f>IF((LEN(Wine_pres_final[[#This Row],[kan_width]])-LEN(SUBSTITUTE(Wine_pres_final[[#This Row],[kan_width]]," ","")))&gt;2,"",Wine_pres_final[[#This Row],[kan_test_acc]])</f>
        <v>0.89444445073604584</v>
      </c>
      <c r="AB492">
        <f>Wine_pres_final[[#This Row],[mlp_test_acc]]</f>
        <v>0.72037037037037044</v>
      </c>
      <c r="AC492">
        <f>Wine_pres_final[[#This Row],[mlp_test_acc2]]</f>
        <v>0.71296296296296302</v>
      </c>
    </row>
    <row r="493" spans="1:29" hidden="1" x14ac:dyDescent="0.25">
      <c r="A493" t="s">
        <v>1336</v>
      </c>
      <c r="B493">
        <v>5</v>
      </c>
      <c r="C493">
        <v>2</v>
      </c>
      <c r="D493">
        <v>0</v>
      </c>
      <c r="E493" t="s">
        <v>1417</v>
      </c>
      <c r="F493">
        <v>5887</v>
      </c>
      <c r="G493">
        <v>15207152.916666668</v>
      </c>
      <c r="H493">
        <v>0.89444445073604584</v>
      </c>
      <c r="I493">
        <v>0.67962962962962958</v>
      </c>
      <c r="J493">
        <v>3494010.4166666665</v>
      </c>
      <c r="K493">
        <v>8604</v>
      </c>
      <c r="L493">
        <v>2</v>
      </c>
      <c r="M493">
        <v>61</v>
      </c>
      <c r="N493">
        <v>0.71851851851851856</v>
      </c>
      <c r="O493">
        <v>1986099.1666666665</v>
      </c>
      <c r="P493">
        <v>8869</v>
      </c>
      <c r="Q493">
        <v>2</v>
      </c>
      <c r="R493">
        <v>62</v>
      </c>
      <c r="S493" t="s">
        <v>1627</v>
      </c>
      <c r="Z493">
        <f>IF((LEN(Wine_pres_final[[#This Row],[kan_width]])-LEN(SUBSTITUTE(Wine_pres_final[[#This Row],[kan_width]]," ","")))&gt;2,Wine_pres_final[[#This Row],[kan_test_acc]],"")</f>
        <v>0.89444445073604584</v>
      </c>
      <c r="AA493" t="str">
        <f>IF((LEN(Wine_pres_final[[#This Row],[kan_width]])-LEN(SUBSTITUTE(Wine_pres_final[[#This Row],[kan_width]]," ","")))&gt;2,"",Wine_pres_final[[#This Row],[kan_test_acc]])</f>
        <v/>
      </c>
      <c r="AB493">
        <f>Wine_pres_final[[#This Row],[mlp_test_acc]]</f>
        <v>0.67962962962962958</v>
      </c>
      <c r="AC493">
        <f>Wine_pres_final[[#This Row],[mlp_test_acc2]]</f>
        <v>0.71851851851851856</v>
      </c>
    </row>
    <row r="494" spans="1:29" hidden="1" x14ac:dyDescent="0.25">
      <c r="A494" t="s">
        <v>1336</v>
      </c>
      <c r="B494">
        <v>9</v>
      </c>
      <c r="C494">
        <v>3</v>
      </c>
      <c r="D494">
        <v>0</v>
      </c>
      <c r="E494" t="s">
        <v>1337</v>
      </c>
      <c r="F494">
        <v>3136</v>
      </c>
      <c r="G494">
        <v>4532452.75</v>
      </c>
      <c r="H494">
        <v>0.89629630247751879</v>
      </c>
      <c r="I494">
        <v>0.66481481481481475</v>
      </c>
      <c r="J494">
        <v>269525.5</v>
      </c>
      <c r="K494">
        <v>4518</v>
      </c>
      <c r="L494">
        <v>2</v>
      </c>
      <c r="M494">
        <v>43</v>
      </c>
      <c r="N494">
        <v>0.67037037037037028</v>
      </c>
      <c r="O494">
        <v>287136.08333333337</v>
      </c>
      <c r="P494">
        <v>4711</v>
      </c>
      <c r="Q494">
        <v>2</v>
      </c>
      <c r="R494">
        <v>44</v>
      </c>
      <c r="S494" t="s">
        <v>1837</v>
      </c>
      <c r="Z494" t="str">
        <f>IF((LEN(Wine_pres_final[[#This Row],[kan_width]])-LEN(SUBSTITUTE(Wine_pres_final[[#This Row],[kan_width]]," ","")))&gt;2,Wine_pres_final[[#This Row],[kan_test_acc]],"")</f>
        <v/>
      </c>
      <c r="AA494">
        <f>IF((LEN(Wine_pres_final[[#This Row],[kan_width]])-LEN(SUBSTITUTE(Wine_pres_final[[#This Row],[kan_width]]," ","")))&gt;2,"",Wine_pres_final[[#This Row],[kan_test_acc]])</f>
        <v>0.89629630247751879</v>
      </c>
      <c r="AB494">
        <f>Wine_pres_final[[#This Row],[mlp_test_acc]]</f>
        <v>0.66481481481481475</v>
      </c>
      <c r="AC494">
        <f>Wine_pres_final[[#This Row],[mlp_test_acc2]]</f>
        <v>0.67037037037037028</v>
      </c>
    </row>
    <row r="495" spans="1:29" hidden="1" x14ac:dyDescent="0.25">
      <c r="A495" t="s">
        <v>1336</v>
      </c>
      <c r="B495">
        <v>5</v>
      </c>
      <c r="C495">
        <v>4</v>
      </c>
      <c r="D495">
        <v>0</v>
      </c>
      <c r="E495" t="s">
        <v>1349</v>
      </c>
      <c r="F495">
        <v>4828</v>
      </c>
      <c r="G495">
        <v>5652973.583333334</v>
      </c>
      <c r="H495">
        <v>0.89629630247751879</v>
      </c>
      <c r="I495">
        <v>0.65</v>
      </c>
      <c r="J495">
        <v>388763.16666666663</v>
      </c>
      <c r="K495">
        <v>8343</v>
      </c>
      <c r="L495">
        <v>2</v>
      </c>
      <c r="M495">
        <v>60</v>
      </c>
      <c r="N495">
        <v>0.62962962962962965</v>
      </c>
      <c r="O495">
        <v>403265.08333333337</v>
      </c>
      <c r="P495">
        <v>8604</v>
      </c>
      <c r="Q495">
        <v>2</v>
      </c>
      <c r="R495">
        <v>61</v>
      </c>
      <c r="S495" t="s">
        <v>1693</v>
      </c>
      <c r="Z495" t="str">
        <f>IF((LEN(Wine_pres_final[[#This Row],[kan_width]])-LEN(SUBSTITUTE(Wine_pres_final[[#This Row],[kan_width]]," ","")))&gt;2,Wine_pres_final[[#This Row],[kan_test_acc]],"")</f>
        <v/>
      </c>
      <c r="AA495">
        <f>IF((LEN(Wine_pres_final[[#This Row],[kan_width]])-LEN(SUBSTITUTE(Wine_pres_final[[#This Row],[kan_width]]," ","")))&gt;2,"",Wine_pres_final[[#This Row],[kan_test_acc]])</f>
        <v>0.89629630247751879</v>
      </c>
      <c r="AB495">
        <f>Wine_pres_final[[#This Row],[mlp_test_acc]]</f>
        <v>0.65</v>
      </c>
      <c r="AC495">
        <f>Wine_pres_final[[#This Row],[mlp_test_acc2]]</f>
        <v>0.62962962962962965</v>
      </c>
    </row>
    <row r="496" spans="1:29" hidden="1" x14ac:dyDescent="0.25">
      <c r="A496" t="s">
        <v>1336</v>
      </c>
      <c r="B496">
        <v>9</v>
      </c>
      <c r="C496">
        <v>2</v>
      </c>
      <c r="D496">
        <v>0</v>
      </c>
      <c r="E496" t="s">
        <v>1353</v>
      </c>
      <c r="F496">
        <v>5307</v>
      </c>
      <c r="G496">
        <v>6017745.333333333</v>
      </c>
      <c r="H496">
        <v>0.89629630247751879</v>
      </c>
      <c r="I496">
        <v>0.65555555555555556</v>
      </c>
      <c r="J496">
        <v>387364.33333333331</v>
      </c>
      <c r="K496">
        <v>7098</v>
      </c>
      <c r="L496">
        <v>2</v>
      </c>
      <c r="M496">
        <v>55</v>
      </c>
      <c r="N496">
        <v>0.65925925925925921</v>
      </c>
      <c r="O496">
        <v>357348.5</v>
      </c>
      <c r="P496">
        <v>7339</v>
      </c>
      <c r="Q496">
        <v>2</v>
      </c>
      <c r="R496">
        <v>56</v>
      </c>
      <c r="S496" t="s">
        <v>1795</v>
      </c>
      <c r="Z496">
        <f>IF((LEN(Wine_pres_final[[#This Row],[kan_width]])-LEN(SUBSTITUTE(Wine_pres_final[[#This Row],[kan_width]]," ","")))&gt;2,Wine_pres_final[[#This Row],[kan_test_acc]],"")</f>
        <v>0.89629630247751879</v>
      </c>
      <c r="AA496" t="str">
        <f>IF((LEN(Wine_pres_final[[#This Row],[kan_width]])-LEN(SUBSTITUTE(Wine_pres_final[[#This Row],[kan_width]]," ","")))&gt;2,"",Wine_pres_final[[#This Row],[kan_test_acc]])</f>
        <v/>
      </c>
      <c r="AB496">
        <f>Wine_pres_final[[#This Row],[mlp_test_acc]]</f>
        <v>0.65555555555555556</v>
      </c>
      <c r="AC496">
        <f>Wine_pres_final[[#This Row],[mlp_test_acc2]]</f>
        <v>0.65925925925925921</v>
      </c>
    </row>
    <row r="497" spans="1:29" hidden="1" x14ac:dyDescent="0.25">
      <c r="A497" t="s">
        <v>1336</v>
      </c>
      <c r="B497">
        <v>5</v>
      </c>
      <c r="C497">
        <v>5</v>
      </c>
      <c r="D497">
        <v>0</v>
      </c>
      <c r="E497" t="s">
        <v>1351</v>
      </c>
      <c r="F497">
        <v>5646</v>
      </c>
      <c r="G497">
        <v>6919577.25</v>
      </c>
      <c r="H497">
        <v>0.89629630247751879</v>
      </c>
      <c r="I497">
        <v>0.71481481481481479</v>
      </c>
      <c r="J497">
        <v>2835942.0833333335</v>
      </c>
      <c r="K497">
        <v>10254</v>
      </c>
      <c r="L497">
        <v>2</v>
      </c>
      <c r="M497">
        <v>67</v>
      </c>
      <c r="N497">
        <v>0.71296296296296302</v>
      </c>
      <c r="O497">
        <v>4021602.5</v>
      </c>
      <c r="P497">
        <v>10543</v>
      </c>
      <c r="Q497">
        <v>2</v>
      </c>
      <c r="R497">
        <v>68</v>
      </c>
      <c r="S497" t="s">
        <v>1744</v>
      </c>
      <c r="Z497" t="str">
        <f>IF((LEN(Wine_pres_final[[#This Row],[kan_width]])-LEN(SUBSTITUTE(Wine_pres_final[[#This Row],[kan_width]]," ","")))&gt;2,Wine_pres_final[[#This Row],[kan_test_acc]],"")</f>
        <v/>
      </c>
      <c r="AA497">
        <f>IF((LEN(Wine_pres_final[[#This Row],[kan_width]])-LEN(SUBSTITUTE(Wine_pres_final[[#This Row],[kan_width]]," ","")))&gt;2,"",Wine_pres_final[[#This Row],[kan_test_acc]])</f>
        <v>0.89629630247751879</v>
      </c>
      <c r="AB497">
        <f>Wine_pres_final[[#This Row],[mlp_test_acc]]</f>
        <v>0.71481481481481479</v>
      </c>
      <c r="AC497">
        <f>Wine_pres_final[[#This Row],[mlp_test_acc2]]</f>
        <v>0.71296296296296302</v>
      </c>
    </row>
    <row r="498" spans="1:29" hidden="1" x14ac:dyDescent="0.25">
      <c r="A498" t="s">
        <v>1336</v>
      </c>
      <c r="B498">
        <v>3</v>
      </c>
      <c r="C498">
        <v>3</v>
      </c>
      <c r="D498">
        <v>0</v>
      </c>
      <c r="E498" t="s">
        <v>1395</v>
      </c>
      <c r="F498">
        <v>6172</v>
      </c>
      <c r="G498">
        <v>10644852.583333334</v>
      </c>
      <c r="H498">
        <v>0.89629630247751879</v>
      </c>
      <c r="I498">
        <v>0.68518518518518512</v>
      </c>
      <c r="J498">
        <v>1041924.9166666666</v>
      </c>
      <c r="K498">
        <v>10836</v>
      </c>
      <c r="L498">
        <v>2</v>
      </c>
      <c r="M498">
        <v>69</v>
      </c>
      <c r="N498">
        <v>0.65555555555555556</v>
      </c>
      <c r="O498">
        <v>883646.16666666663</v>
      </c>
      <c r="P498">
        <v>11133</v>
      </c>
      <c r="Q498">
        <v>2</v>
      </c>
      <c r="R498">
        <v>70</v>
      </c>
      <c r="S498" t="s">
        <v>1466</v>
      </c>
      <c r="Z498">
        <f>IF((LEN(Wine_pres_final[[#This Row],[kan_width]])-LEN(SUBSTITUTE(Wine_pres_final[[#This Row],[kan_width]]," ","")))&gt;2,Wine_pres_final[[#This Row],[kan_test_acc]],"")</f>
        <v>0.89629630247751879</v>
      </c>
      <c r="AA498" t="str">
        <f>IF((LEN(Wine_pres_final[[#This Row],[kan_width]])-LEN(SUBSTITUTE(Wine_pres_final[[#This Row],[kan_width]]," ","")))&gt;2,"",Wine_pres_final[[#This Row],[kan_test_acc]])</f>
        <v/>
      </c>
      <c r="AB498">
        <f>Wine_pres_final[[#This Row],[mlp_test_acc]]</f>
        <v>0.68518518518518512</v>
      </c>
      <c r="AC498">
        <f>Wine_pres_final[[#This Row],[mlp_test_acc2]]</f>
        <v>0.65555555555555556</v>
      </c>
    </row>
    <row r="499" spans="1:29" hidden="1" x14ac:dyDescent="0.25">
      <c r="A499" t="s">
        <v>1336</v>
      </c>
      <c r="B499">
        <v>3</v>
      </c>
      <c r="C499">
        <v>3</v>
      </c>
      <c r="D499">
        <v>0</v>
      </c>
      <c r="E499" t="s">
        <v>1397</v>
      </c>
      <c r="F499">
        <v>6534</v>
      </c>
      <c r="G499">
        <v>11299179.083333334</v>
      </c>
      <c r="H499">
        <v>0.89629630247751879</v>
      </c>
      <c r="I499">
        <v>0.7</v>
      </c>
      <c r="J499">
        <v>1395573</v>
      </c>
      <c r="K499">
        <v>11434</v>
      </c>
      <c r="L499">
        <v>2</v>
      </c>
      <c r="M499">
        <v>71</v>
      </c>
      <c r="N499">
        <v>0.69814814814814818</v>
      </c>
      <c r="O499">
        <v>1236115.5833333333</v>
      </c>
      <c r="P499">
        <v>11739</v>
      </c>
      <c r="Q499">
        <v>2</v>
      </c>
      <c r="R499">
        <v>72</v>
      </c>
      <c r="S499" t="s">
        <v>1467</v>
      </c>
      <c r="Z499">
        <f>IF((LEN(Wine_pres_final[[#This Row],[kan_width]])-LEN(SUBSTITUTE(Wine_pres_final[[#This Row],[kan_width]]," ","")))&gt;2,Wine_pres_final[[#This Row],[kan_test_acc]],"")</f>
        <v>0.89629630247751879</v>
      </c>
      <c r="AA499" t="str">
        <f>IF((LEN(Wine_pres_final[[#This Row],[kan_width]])-LEN(SUBSTITUTE(Wine_pres_final[[#This Row],[kan_width]]," ","")))&gt;2,"",Wine_pres_final[[#This Row],[kan_test_acc]])</f>
        <v/>
      </c>
      <c r="AB499">
        <f>Wine_pres_final[[#This Row],[mlp_test_acc]]</f>
        <v>0.7</v>
      </c>
      <c r="AC499">
        <f>Wine_pres_final[[#This Row],[mlp_test_acc2]]</f>
        <v>0.69814814814814818</v>
      </c>
    </row>
    <row r="500" spans="1:29" hidden="1" x14ac:dyDescent="0.25">
      <c r="A500" t="s">
        <v>1336</v>
      </c>
      <c r="B500">
        <v>9</v>
      </c>
      <c r="C500">
        <v>4</v>
      </c>
      <c r="D500">
        <v>0</v>
      </c>
      <c r="E500" t="s">
        <v>1345</v>
      </c>
      <c r="F500">
        <v>5400</v>
      </c>
      <c r="G500">
        <v>6130099.166666667</v>
      </c>
      <c r="H500">
        <v>0.89814815421899152</v>
      </c>
      <c r="I500">
        <v>0.7314814814814814</v>
      </c>
      <c r="J500">
        <v>375051</v>
      </c>
      <c r="K500">
        <v>8343</v>
      </c>
      <c r="L500">
        <v>2</v>
      </c>
      <c r="M500">
        <v>60</v>
      </c>
      <c r="N500">
        <v>0.67777777777777781</v>
      </c>
      <c r="O500">
        <v>362221.91666666669</v>
      </c>
      <c r="P500">
        <v>8604</v>
      </c>
      <c r="Q500">
        <v>2</v>
      </c>
      <c r="R500">
        <v>61</v>
      </c>
      <c r="S500" t="s">
        <v>1891</v>
      </c>
      <c r="Z500" t="str">
        <f>IF((LEN(Wine_pres_final[[#This Row],[kan_width]])-LEN(SUBSTITUTE(Wine_pres_final[[#This Row],[kan_width]]," ","")))&gt;2,Wine_pres_final[[#This Row],[kan_test_acc]],"")</f>
        <v/>
      </c>
      <c r="AA500">
        <f>IF((LEN(Wine_pres_final[[#This Row],[kan_width]])-LEN(SUBSTITUTE(Wine_pres_final[[#This Row],[kan_width]]," ","")))&gt;2,"",Wine_pres_final[[#This Row],[kan_test_acc]])</f>
        <v>0.89814815421899152</v>
      </c>
      <c r="AB500">
        <f>Wine_pres_final[[#This Row],[mlp_test_acc]]</f>
        <v>0.7314814814814814</v>
      </c>
      <c r="AC500">
        <f>Wine_pres_final[[#This Row],[mlp_test_acc2]]</f>
        <v>0.67777777777777781</v>
      </c>
    </row>
    <row r="501" spans="1:29" hidden="1" x14ac:dyDescent="0.25">
      <c r="A501" t="s">
        <v>1336</v>
      </c>
      <c r="B501">
        <v>3</v>
      </c>
      <c r="C501">
        <v>3</v>
      </c>
      <c r="D501">
        <v>0</v>
      </c>
      <c r="E501" t="s">
        <v>1381</v>
      </c>
      <c r="F501">
        <v>5848</v>
      </c>
      <c r="G501">
        <v>13422721.666666668</v>
      </c>
      <c r="H501">
        <v>0.89814815421899152</v>
      </c>
      <c r="I501">
        <v>0.70555555555555549</v>
      </c>
      <c r="J501">
        <v>817354.16666666663</v>
      </c>
      <c r="K501">
        <v>10254</v>
      </c>
      <c r="L501">
        <v>2</v>
      </c>
      <c r="M501">
        <v>67</v>
      </c>
      <c r="N501">
        <v>0.67777777777777781</v>
      </c>
      <c r="O501">
        <v>858445.41666666674</v>
      </c>
      <c r="P501">
        <v>10543</v>
      </c>
      <c r="Q501">
        <v>2</v>
      </c>
      <c r="R501">
        <v>68</v>
      </c>
      <c r="S501" t="s">
        <v>1459</v>
      </c>
      <c r="Z501">
        <f>IF((LEN(Wine_pres_final[[#This Row],[kan_width]])-LEN(SUBSTITUTE(Wine_pres_final[[#This Row],[kan_width]]," ","")))&gt;2,Wine_pres_final[[#This Row],[kan_test_acc]],"")</f>
        <v>0.89814815421899152</v>
      </c>
      <c r="AA501" t="str">
        <f>IF((LEN(Wine_pres_final[[#This Row],[kan_width]])-LEN(SUBSTITUTE(Wine_pres_final[[#This Row],[kan_width]]," ","")))&gt;2,"",Wine_pres_final[[#This Row],[kan_test_acc]])</f>
        <v/>
      </c>
      <c r="AB501">
        <f>Wine_pres_final[[#This Row],[mlp_test_acc]]</f>
        <v>0.70555555555555549</v>
      </c>
      <c r="AC501">
        <f>Wine_pres_final[[#This Row],[mlp_test_acc2]]</f>
        <v>0.67777777777777781</v>
      </c>
    </row>
    <row r="502" spans="1:29" hidden="1" x14ac:dyDescent="0.25">
      <c r="A502" t="s">
        <v>1336</v>
      </c>
      <c r="B502">
        <v>3</v>
      </c>
      <c r="C502">
        <v>5</v>
      </c>
      <c r="D502">
        <v>0</v>
      </c>
      <c r="E502" t="s">
        <v>1345</v>
      </c>
      <c r="F502">
        <v>3720</v>
      </c>
      <c r="G502">
        <v>7224197.25</v>
      </c>
      <c r="H502">
        <v>0.89814815421899163</v>
      </c>
      <c r="I502">
        <v>0.69814814814814818</v>
      </c>
      <c r="J502">
        <v>345146.66666666663</v>
      </c>
      <c r="K502">
        <v>7339</v>
      </c>
      <c r="L502">
        <v>2</v>
      </c>
      <c r="M502">
        <v>56</v>
      </c>
      <c r="N502">
        <v>0.74444444444444446</v>
      </c>
      <c r="O502">
        <v>329918.16666666669</v>
      </c>
      <c r="P502">
        <v>7584</v>
      </c>
      <c r="Q502">
        <v>2</v>
      </c>
      <c r="R502">
        <v>57</v>
      </c>
      <c r="S502" t="s">
        <v>1541</v>
      </c>
      <c r="Z502" t="str">
        <f>IF((LEN(Wine_pres_final[[#This Row],[kan_width]])-LEN(SUBSTITUTE(Wine_pres_final[[#This Row],[kan_width]]," ","")))&gt;2,Wine_pres_final[[#This Row],[kan_test_acc]],"")</f>
        <v/>
      </c>
      <c r="AA502">
        <f>IF((LEN(Wine_pres_final[[#This Row],[kan_width]])-LEN(SUBSTITUTE(Wine_pres_final[[#This Row],[kan_width]]," ","")))&gt;2,"",Wine_pres_final[[#This Row],[kan_test_acc]])</f>
        <v>0.89814815421899163</v>
      </c>
      <c r="AB502">
        <f>Wine_pres_final[[#This Row],[mlp_test_acc]]</f>
        <v>0.69814814814814818</v>
      </c>
      <c r="AC502">
        <f>Wine_pres_final[[#This Row],[mlp_test_acc2]]</f>
        <v>0.74444444444444446</v>
      </c>
    </row>
    <row r="503" spans="1:29" hidden="1" x14ac:dyDescent="0.25">
      <c r="A503" t="s">
        <v>1336</v>
      </c>
      <c r="B503">
        <v>3</v>
      </c>
      <c r="C503">
        <v>3</v>
      </c>
      <c r="D503">
        <v>0</v>
      </c>
      <c r="E503" t="s">
        <v>1419</v>
      </c>
      <c r="F503">
        <v>5736</v>
      </c>
      <c r="G503">
        <v>11748332.916666666</v>
      </c>
      <c r="H503">
        <v>0.89814815421899163</v>
      </c>
      <c r="I503">
        <v>0.67222222222222228</v>
      </c>
      <c r="J503">
        <v>1049105.6666666665</v>
      </c>
      <c r="K503">
        <v>9969</v>
      </c>
      <c r="L503">
        <v>2</v>
      </c>
      <c r="M503">
        <v>66</v>
      </c>
      <c r="N503">
        <v>0.67222222222222228</v>
      </c>
      <c r="O503">
        <v>774349.58333333337</v>
      </c>
      <c r="P503">
        <v>10254</v>
      </c>
      <c r="Q503">
        <v>2</v>
      </c>
      <c r="R503">
        <v>67</v>
      </c>
      <c r="S503" t="s">
        <v>1478</v>
      </c>
      <c r="Z503">
        <f>IF((LEN(Wine_pres_final[[#This Row],[kan_width]])-LEN(SUBSTITUTE(Wine_pres_final[[#This Row],[kan_width]]," ","")))&gt;2,Wine_pres_final[[#This Row],[kan_test_acc]],"")</f>
        <v>0.89814815421899163</v>
      </c>
      <c r="AA503" t="str">
        <f>IF((LEN(Wine_pres_final[[#This Row],[kan_width]])-LEN(SUBSTITUTE(Wine_pres_final[[#This Row],[kan_width]]," ","")))&gt;2,"",Wine_pres_final[[#This Row],[kan_test_acc]])</f>
        <v/>
      </c>
      <c r="AB503">
        <f>Wine_pres_final[[#This Row],[mlp_test_acc]]</f>
        <v>0.67222222222222228</v>
      </c>
      <c r="AC503">
        <f>Wine_pres_final[[#This Row],[mlp_test_acc2]]</f>
        <v>0.67222222222222228</v>
      </c>
    </row>
    <row r="504" spans="1:29" hidden="1" x14ac:dyDescent="0.25">
      <c r="A504" t="s">
        <v>1336</v>
      </c>
      <c r="B504">
        <v>3</v>
      </c>
      <c r="C504">
        <v>3</v>
      </c>
      <c r="D504">
        <v>0</v>
      </c>
      <c r="E504" t="s">
        <v>1407</v>
      </c>
      <c r="F504">
        <v>6026</v>
      </c>
      <c r="G504">
        <v>12413754.166666668</v>
      </c>
      <c r="H504">
        <v>0.89814815421899163</v>
      </c>
      <c r="I504">
        <v>0.66111111111111109</v>
      </c>
      <c r="J504">
        <v>1071117.0833333333</v>
      </c>
      <c r="K504">
        <v>10543</v>
      </c>
      <c r="L504">
        <v>2</v>
      </c>
      <c r="M504">
        <v>68</v>
      </c>
      <c r="N504">
        <v>0.6962962962962963</v>
      </c>
      <c r="O504">
        <v>576862.41666666674</v>
      </c>
      <c r="P504">
        <v>10836</v>
      </c>
      <c r="Q504">
        <v>2</v>
      </c>
      <c r="R504">
        <v>69</v>
      </c>
      <c r="S504" t="s">
        <v>1472</v>
      </c>
      <c r="Z504">
        <f>IF((LEN(Wine_pres_final[[#This Row],[kan_width]])-LEN(SUBSTITUTE(Wine_pres_final[[#This Row],[kan_width]]," ","")))&gt;2,Wine_pres_final[[#This Row],[kan_test_acc]],"")</f>
        <v>0.89814815421899163</v>
      </c>
      <c r="AA504" t="str">
        <f>IF((LEN(Wine_pres_final[[#This Row],[kan_width]])-LEN(SUBSTITUTE(Wine_pres_final[[#This Row],[kan_width]]," ","")))&gt;2,"",Wine_pres_final[[#This Row],[kan_test_acc]])</f>
        <v/>
      </c>
      <c r="AB504">
        <f>Wine_pres_final[[#This Row],[mlp_test_acc]]</f>
        <v>0.66111111111111109</v>
      </c>
      <c r="AC504">
        <f>Wine_pres_final[[#This Row],[mlp_test_acc2]]</f>
        <v>0.6962962962962963</v>
      </c>
    </row>
    <row r="505" spans="1:29" hidden="1" x14ac:dyDescent="0.25">
      <c r="A505" t="s">
        <v>1336</v>
      </c>
      <c r="B505">
        <v>3</v>
      </c>
      <c r="C505">
        <v>4</v>
      </c>
      <c r="D505">
        <v>0</v>
      </c>
      <c r="E505" t="s">
        <v>1353</v>
      </c>
      <c r="F505">
        <v>3799</v>
      </c>
      <c r="G505">
        <v>6954867.833333334</v>
      </c>
      <c r="H505">
        <v>0.90000000596046448</v>
      </c>
      <c r="I505">
        <v>0.70370370370370372</v>
      </c>
      <c r="J505">
        <v>378049.25</v>
      </c>
      <c r="K505">
        <v>7098</v>
      </c>
      <c r="L505">
        <v>2</v>
      </c>
      <c r="M505">
        <v>55</v>
      </c>
      <c r="N505">
        <v>0.6518518518518519</v>
      </c>
      <c r="O505">
        <v>360310.16666666663</v>
      </c>
      <c r="P505">
        <v>7339</v>
      </c>
      <c r="Q505">
        <v>2</v>
      </c>
      <c r="R505">
        <v>56</v>
      </c>
      <c r="S505" t="s">
        <v>1495</v>
      </c>
      <c r="Z505">
        <f>IF((LEN(Wine_pres_final[[#This Row],[kan_width]])-LEN(SUBSTITUTE(Wine_pres_final[[#This Row],[kan_width]]," ","")))&gt;2,Wine_pres_final[[#This Row],[kan_test_acc]],"")</f>
        <v>0.90000000596046448</v>
      </c>
      <c r="AA505" t="str">
        <f>IF((LEN(Wine_pres_final[[#This Row],[kan_width]])-LEN(SUBSTITUTE(Wine_pres_final[[#This Row],[kan_width]]," ","")))&gt;2,"",Wine_pres_final[[#This Row],[kan_test_acc]])</f>
        <v/>
      </c>
      <c r="AB505">
        <f>Wine_pres_final[[#This Row],[mlp_test_acc]]</f>
        <v>0.70370370370370372</v>
      </c>
      <c r="AC505">
        <f>Wine_pres_final[[#This Row],[mlp_test_acc2]]</f>
        <v>0.6518518518518519</v>
      </c>
    </row>
    <row r="506" spans="1:29" hidden="1" x14ac:dyDescent="0.25">
      <c r="A506" t="s">
        <v>1336</v>
      </c>
      <c r="B506">
        <v>3</v>
      </c>
      <c r="C506">
        <v>3</v>
      </c>
      <c r="D506">
        <v>0</v>
      </c>
      <c r="E506" t="s">
        <v>1365</v>
      </c>
      <c r="F506">
        <v>5162</v>
      </c>
      <c r="G506">
        <v>9481542.0833333321</v>
      </c>
      <c r="H506">
        <v>0.90000000596046448</v>
      </c>
      <c r="I506">
        <v>0.69259259259259265</v>
      </c>
      <c r="J506">
        <v>368230.58333333331</v>
      </c>
      <c r="K506">
        <v>9138</v>
      </c>
      <c r="L506">
        <v>2</v>
      </c>
      <c r="M506">
        <v>63</v>
      </c>
      <c r="N506">
        <v>0.63888888888888884</v>
      </c>
      <c r="O506">
        <v>314408.58333333331</v>
      </c>
      <c r="P506">
        <v>9411</v>
      </c>
      <c r="Q506">
        <v>2</v>
      </c>
      <c r="R506">
        <v>64</v>
      </c>
      <c r="S506" t="s">
        <v>1451</v>
      </c>
      <c r="Z506">
        <f>IF((LEN(Wine_pres_final[[#This Row],[kan_width]])-LEN(SUBSTITUTE(Wine_pres_final[[#This Row],[kan_width]]," ","")))&gt;2,Wine_pres_final[[#This Row],[kan_test_acc]],"")</f>
        <v>0.90000000596046448</v>
      </c>
      <c r="AA506" t="str">
        <f>IF((LEN(Wine_pres_final[[#This Row],[kan_width]])-LEN(SUBSTITUTE(Wine_pres_final[[#This Row],[kan_width]]," ","")))&gt;2,"",Wine_pres_final[[#This Row],[kan_test_acc]])</f>
        <v/>
      </c>
      <c r="AB506">
        <f>Wine_pres_final[[#This Row],[mlp_test_acc]]</f>
        <v>0.69259259259259265</v>
      </c>
      <c r="AC506">
        <f>Wine_pres_final[[#This Row],[mlp_test_acc2]]</f>
        <v>0.63888888888888884</v>
      </c>
    </row>
    <row r="507" spans="1:29" hidden="1" x14ac:dyDescent="0.25">
      <c r="A507" t="s">
        <v>1336</v>
      </c>
      <c r="B507">
        <v>3</v>
      </c>
      <c r="C507">
        <v>5</v>
      </c>
      <c r="D507">
        <v>0</v>
      </c>
      <c r="E507" t="s">
        <v>1349</v>
      </c>
      <c r="F507">
        <v>4428</v>
      </c>
      <c r="G507">
        <v>7547989.666666666</v>
      </c>
      <c r="H507">
        <v>0.90185185770193732</v>
      </c>
      <c r="I507">
        <v>0.6962962962962963</v>
      </c>
      <c r="J507">
        <v>379943.5</v>
      </c>
      <c r="K507">
        <v>8604</v>
      </c>
      <c r="L507">
        <v>2</v>
      </c>
      <c r="M507">
        <v>61</v>
      </c>
      <c r="N507">
        <v>0.74444444444444446</v>
      </c>
      <c r="O507">
        <v>374988.75</v>
      </c>
      <c r="P507">
        <v>8869</v>
      </c>
      <c r="Q507">
        <v>2</v>
      </c>
      <c r="R507">
        <v>62</v>
      </c>
      <c r="S507" t="s">
        <v>1543</v>
      </c>
      <c r="Z507" t="str">
        <f>IF((LEN(Wine_pres_final[[#This Row],[kan_width]])-LEN(SUBSTITUTE(Wine_pres_final[[#This Row],[kan_width]]," ","")))&gt;2,Wine_pres_final[[#This Row],[kan_test_acc]],"")</f>
        <v/>
      </c>
      <c r="AA507">
        <f>IF((LEN(Wine_pres_final[[#This Row],[kan_width]])-LEN(SUBSTITUTE(Wine_pres_final[[#This Row],[kan_width]]," ","")))&gt;2,"",Wine_pres_final[[#This Row],[kan_test_acc]])</f>
        <v>0.90185185770193732</v>
      </c>
      <c r="AB507">
        <f>Wine_pres_final[[#This Row],[mlp_test_acc]]</f>
        <v>0.6962962962962963</v>
      </c>
      <c r="AC507">
        <f>Wine_pres_final[[#This Row],[mlp_test_acc2]]</f>
        <v>0.74444444444444446</v>
      </c>
    </row>
    <row r="508" spans="1:29" hidden="1" x14ac:dyDescent="0.25">
      <c r="A508" t="s">
        <v>1336</v>
      </c>
      <c r="B508">
        <v>9</v>
      </c>
      <c r="C508">
        <v>2</v>
      </c>
      <c r="D508">
        <v>0</v>
      </c>
      <c r="E508" t="s">
        <v>1349</v>
      </c>
      <c r="F508">
        <v>5628</v>
      </c>
      <c r="G508">
        <v>6722973.75</v>
      </c>
      <c r="H508">
        <v>0.90185185770193732</v>
      </c>
      <c r="I508">
        <v>0.64444444444444438</v>
      </c>
      <c r="J508">
        <v>345579.25</v>
      </c>
      <c r="K508">
        <v>7584</v>
      </c>
      <c r="L508">
        <v>2</v>
      </c>
      <c r="M508">
        <v>57</v>
      </c>
      <c r="N508">
        <v>0.63888888888888884</v>
      </c>
      <c r="O508">
        <v>345521.08333333337</v>
      </c>
      <c r="P508">
        <v>7833</v>
      </c>
      <c r="Q508">
        <v>2</v>
      </c>
      <c r="R508">
        <v>58</v>
      </c>
      <c r="S508" t="s">
        <v>1793</v>
      </c>
      <c r="Z508" t="str">
        <f>IF((LEN(Wine_pres_final[[#This Row],[kan_width]])-LEN(SUBSTITUTE(Wine_pres_final[[#This Row],[kan_width]]," ","")))&gt;2,Wine_pres_final[[#This Row],[kan_test_acc]],"")</f>
        <v/>
      </c>
      <c r="AA508">
        <f>IF((LEN(Wine_pres_final[[#This Row],[kan_width]])-LEN(SUBSTITUTE(Wine_pres_final[[#This Row],[kan_width]]," ","")))&gt;2,"",Wine_pres_final[[#This Row],[kan_test_acc]])</f>
        <v>0.90185185770193732</v>
      </c>
      <c r="AB508">
        <f>Wine_pres_final[[#This Row],[mlp_test_acc]]</f>
        <v>0.64444444444444438</v>
      </c>
      <c r="AC508">
        <f>Wine_pres_final[[#This Row],[mlp_test_acc2]]</f>
        <v>0.63888888888888884</v>
      </c>
    </row>
    <row r="509" spans="1:29" hidden="1" x14ac:dyDescent="0.25">
      <c r="A509" t="s">
        <v>1336</v>
      </c>
      <c r="B509">
        <v>3</v>
      </c>
      <c r="C509">
        <v>3</v>
      </c>
      <c r="D509">
        <v>0</v>
      </c>
      <c r="E509" t="s">
        <v>1383</v>
      </c>
      <c r="F509">
        <v>6174</v>
      </c>
      <c r="G509">
        <v>12125320.916666668</v>
      </c>
      <c r="H509">
        <v>0.90185185770193743</v>
      </c>
      <c r="I509">
        <v>0.6962962962962963</v>
      </c>
      <c r="J509">
        <v>555859.33333333326</v>
      </c>
      <c r="K509">
        <v>10836</v>
      </c>
      <c r="L509">
        <v>2</v>
      </c>
      <c r="M509">
        <v>69</v>
      </c>
      <c r="N509">
        <v>0.67407407407407405</v>
      </c>
      <c r="O509">
        <v>633190.08333333326</v>
      </c>
      <c r="P509">
        <v>11133</v>
      </c>
      <c r="Q509">
        <v>2</v>
      </c>
      <c r="R509">
        <v>70</v>
      </c>
      <c r="S509" t="s">
        <v>1460</v>
      </c>
      <c r="Z509">
        <f>IF((LEN(Wine_pres_final[[#This Row],[kan_width]])-LEN(SUBSTITUTE(Wine_pres_final[[#This Row],[kan_width]]," ","")))&gt;2,Wine_pres_final[[#This Row],[kan_test_acc]],"")</f>
        <v>0.90185185770193743</v>
      </c>
      <c r="AA509" t="str">
        <f>IF((LEN(Wine_pres_final[[#This Row],[kan_width]])-LEN(SUBSTITUTE(Wine_pres_final[[#This Row],[kan_width]]," ","")))&gt;2,"",Wine_pres_final[[#This Row],[kan_test_acc]])</f>
        <v/>
      </c>
      <c r="AB509">
        <f>Wine_pres_final[[#This Row],[mlp_test_acc]]</f>
        <v>0.6962962962962963</v>
      </c>
      <c r="AC509">
        <f>Wine_pres_final[[#This Row],[mlp_test_acc2]]</f>
        <v>0.67407407407407405</v>
      </c>
    </row>
    <row r="510" spans="1:29" hidden="1" x14ac:dyDescent="0.25">
      <c r="A510" t="s">
        <v>1336</v>
      </c>
      <c r="B510">
        <v>3</v>
      </c>
      <c r="C510">
        <v>3</v>
      </c>
      <c r="D510">
        <v>0</v>
      </c>
      <c r="E510" t="s">
        <v>1423</v>
      </c>
      <c r="F510">
        <v>6604</v>
      </c>
      <c r="G510">
        <v>11427320.416666666</v>
      </c>
      <c r="H510">
        <v>0.90185185770193743</v>
      </c>
      <c r="I510">
        <v>0.72407407407407409</v>
      </c>
      <c r="J510">
        <v>1267791.1666666665</v>
      </c>
      <c r="K510">
        <v>11434</v>
      </c>
      <c r="L510">
        <v>2</v>
      </c>
      <c r="M510">
        <v>71</v>
      </c>
      <c r="N510">
        <v>0.70555555555555549</v>
      </c>
      <c r="O510">
        <v>990571</v>
      </c>
      <c r="P510">
        <v>11739</v>
      </c>
      <c r="Q510">
        <v>2</v>
      </c>
      <c r="R510">
        <v>72</v>
      </c>
      <c r="S510" t="s">
        <v>1480</v>
      </c>
      <c r="Z510">
        <f>IF((LEN(Wine_pres_final[[#This Row],[kan_width]])-LEN(SUBSTITUTE(Wine_pres_final[[#This Row],[kan_width]]," ","")))&gt;2,Wine_pres_final[[#This Row],[kan_test_acc]],"")</f>
        <v>0.90185185770193743</v>
      </c>
      <c r="AA510" t="str">
        <f>IF((LEN(Wine_pres_final[[#This Row],[kan_width]])-LEN(SUBSTITUTE(Wine_pres_final[[#This Row],[kan_width]]," ","")))&gt;2,"",Wine_pres_final[[#This Row],[kan_test_acc]])</f>
        <v/>
      </c>
      <c r="AB510">
        <f>Wine_pres_final[[#This Row],[mlp_test_acc]]</f>
        <v>0.72407407407407409</v>
      </c>
      <c r="AC510">
        <f>Wine_pres_final[[#This Row],[mlp_test_acc2]]</f>
        <v>0.70555555555555549</v>
      </c>
    </row>
    <row r="511" spans="1:29" hidden="1" x14ac:dyDescent="0.25">
      <c r="A511" t="s">
        <v>1336</v>
      </c>
      <c r="B511">
        <v>3</v>
      </c>
      <c r="C511">
        <v>2</v>
      </c>
      <c r="D511">
        <v>0</v>
      </c>
      <c r="E511" t="s">
        <v>1389</v>
      </c>
      <c r="F511">
        <v>4525</v>
      </c>
      <c r="G511">
        <v>7579910.5</v>
      </c>
      <c r="H511">
        <v>0.90370370944341016</v>
      </c>
      <c r="I511">
        <v>0.66296296296296298</v>
      </c>
      <c r="J511">
        <v>296862.33333333337</v>
      </c>
      <c r="K511">
        <v>7098</v>
      </c>
      <c r="L511">
        <v>2</v>
      </c>
      <c r="M511">
        <v>55</v>
      </c>
      <c r="N511">
        <v>0.68333333333333335</v>
      </c>
      <c r="O511">
        <v>264826.41666666663</v>
      </c>
      <c r="P511">
        <v>7339</v>
      </c>
      <c r="Q511">
        <v>2</v>
      </c>
      <c r="R511">
        <v>56</v>
      </c>
      <c r="S511" t="s">
        <v>1390</v>
      </c>
      <c r="Z511">
        <f>IF((LEN(Wine_pres_final[[#This Row],[kan_width]])-LEN(SUBSTITUTE(Wine_pres_final[[#This Row],[kan_width]]," ","")))&gt;2,Wine_pres_final[[#This Row],[kan_test_acc]],"")</f>
        <v>0.90370370944341016</v>
      </c>
      <c r="AA511" t="str">
        <f>IF((LEN(Wine_pres_final[[#This Row],[kan_width]])-LEN(SUBSTITUTE(Wine_pres_final[[#This Row],[kan_width]]," ","")))&gt;2,"",Wine_pres_final[[#This Row],[kan_test_acc]])</f>
        <v/>
      </c>
      <c r="AB511">
        <f>Wine_pres_final[[#This Row],[mlp_test_acc]]</f>
        <v>0.66296296296296298</v>
      </c>
      <c r="AC511">
        <f>Wine_pres_final[[#This Row],[mlp_test_acc2]]</f>
        <v>0.68333333333333335</v>
      </c>
    </row>
    <row r="512" spans="1:29" hidden="1" x14ac:dyDescent="0.25">
      <c r="A512" t="s">
        <v>1336</v>
      </c>
      <c r="B512">
        <v>3</v>
      </c>
      <c r="C512">
        <v>2</v>
      </c>
      <c r="D512">
        <v>0</v>
      </c>
      <c r="E512" t="s">
        <v>1409</v>
      </c>
      <c r="F512">
        <v>5715</v>
      </c>
      <c r="G512">
        <v>8064244.666666666</v>
      </c>
      <c r="H512">
        <v>0.90370370944341016</v>
      </c>
      <c r="I512">
        <v>0.71111111111111103</v>
      </c>
      <c r="J512">
        <v>307233.75</v>
      </c>
      <c r="K512">
        <v>9138</v>
      </c>
      <c r="L512">
        <v>2</v>
      </c>
      <c r="M512">
        <v>63</v>
      </c>
      <c r="N512">
        <v>0.69074074074074066</v>
      </c>
      <c r="O512">
        <v>289213.5</v>
      </c>
      <c r="P512">
        <v>9411</v>
      </c>
      <c r="Q512">
        <v>2</v>
      </c>
      <c r="R512">
        <v>64</v>
      </c>
      <c r="S512" t="s">
        <v>1410</v>
      </c>
      <c r="Z512">
        <f>IF((LEN(Wine_pres_final[[#This Row],[kan_width]])-LEN(SUBSTITUTE(Wine_pres_final[[#This Row],[kan_width]]," ","")))&gt;2,Wine_pres_final[[#This Row],[kan_test_acc]],"")</f>
        <v>0.90370370944341016</v>
      </c>
      <c r="AA512" t="str">
        <f>IF((LEN(Wine_pres_final[[#This Row],[kan_width]])-LEN(SUBSTITUTE(Wine_pres_final[[#This Row],[kan_width]]," ","")))&gt;2,"",Wine_pres_final[[#This Row],[kan_test_acc]])</f>
        <v/>
      </c>
      <c r="AB512">
        <f>Wine_pres_final[[#This Row],[mlp_test_acc]]</f>
        <v>0.71111111111111103</v>
      </c>
      <c r="AC512">
        <f>Wine_pres_final[[#This Row],[mlp_test_acc2]]</f>
        <v>0.69074074074074066</v>
      </c>
    </row>
    <row r="513" spans="1:29" hidden="1" x14ac:dyDescent="0.25">
      <c r="A513" t="s">
        <v>1336</v>
      </c>
      <c r="B513">
        <v>3</v>
      </c>
      <c r="C513">
        <v>2</v>
      </c>
      <c r="D513">
        <v>0</v>
      </c>
      <c r="E513" t="s">
        <v>1399</v>
      </c>
      <c r="F513">
        <v>6135</v>
      </c>
      <c r="G513">
        <v>9336732.833333334</v>
      </c>
      <c r="H513">
        <v>0.90370370944341016</v>
      </c>
      <c r="I513">
        <v>0.6425925925925926</v>
      </c>
      <c r="J513">
        <v>420274.83333333337</v>
      </c>
      <c r="K513">
        <v>9688</v>
      </c>
      <c r="L513">
        <v>2</v>
      </c>
      <c r="M513">
        <v>65</v>
      </c>
      <c r="N513">
        <v>0.67962962962962969</v>
      </c>
      <c r="O513">
        <v>406526.58333333331</v>
      </c>
      <c r="P513">
        <v>9969</v>
      </c>
      <c r="Q513">
        <v>2</v>
      </c>
      <c r="R513">
        <v>66</v>
      </c>
      <c r="S513" t="s">
        <v>1400</v>
      </c>
      <c r="Z513">
        <f>IF((LEN(Wine_pres_final[[#This Row],[kan_width]])-LEN(SUBSTITUTE(Wine_pres_final[[#This Row],[kan_width]]," ","")))&gt;2,Wine_pres_final[[#This Row],[kan_test_acc]],"")</f>
        <v>0.90370370944341016</v>
      </c>
      <c r="AA513" t="str">
        <f>IF((LEN(Wine_pres_final[[#This Row],[kan_width]])-LEN(SUBSTITUTE(Wine_pres_final[[#This Row],[kan_width]]," ","")))&gt;2,"",Wine_pres_final[[#This Row],[kan_test_acc]])</f>
        <v/>
      </c>
      <c r="AB513">
        <f>Wine_pres_final[[#This Row],[mlp_test_acc]]</f>
        <v>0.6425925925925926</v>
      </c>
      <c r="AC513">
        <f>Wine_pres_final[[#This Row],[mlp_test_acc2]]</f>
        <v>0.67962962962962969</v>
      </c>
    </row>
    <row r="514" spans="1:29" hidden="1" x14ac:dyDescent="0.25">
      <c r="A514" t="s">
        <v>1336</v>
      </c>
      <c r="B514">
        <v>3</v>
      </c>
      <c r="C514">
        <v>3</v>
      </c>
      <c r="D514">
        <v>0</v>
      </c>
      <c r="E514" t="s">
        <v>1413</v>
      </c>
      <c r="F514">
        <v>7220</v>
      </c>
      <c r="G514">
        <v>12738650</v>
      </c>
      <c r="H514">
        <v>0.90370370944341016</v>
      </c>
      <c r="I514">
        <v>0.67407407407407405</v>
      </c>
      <c r="J514">
        <v>1030391.9166666667</v>
      </c>
      <c r="K514">
        <v>12678</v>
      </c>
      <c r="L514">
        <v>2</v>
      </c>
      <c r="M514">
        <v>75</v>
      </c>
      <c r="N514">
        <v>0.67037037037037028</v>
      </c>
      <c r="O514">
        <v>501102.5</v>
      </c>
      <c r="P514">
        <v>12999</v>
      </c>
      <c r="Q514">
        <v>2</v>
      </c>
      <c r="R514">
        <v>76</v>
      </c>
      <c r="S514" t="s">
        <v>1475</v>
      </c>
      <c r="Z514">
        <f>IF((LEN(Wine_pres_final[[#This Row],[kan_width]])-LEN(SUBSTITUTE(Wine_pres_final[[#This Row],[kan_width]]," ","")))&gt;2,Wine_pres_final[[#This Row],[kan_test_acc]],"")</f>
        <v>0.90370370944341016</v>
      </c>
      <c r="AA514" t="str">
        <f>IF((LEN(Wine_pres_final[[#This Row],[kan_width]])-LEN(SUBSTITUTE(Wine_pres_final[[#This Row],[kan_width]]," ","")))&gt;2,"",Wine_pres_final[[#This Row],[kan_test_acc]])</f>
        <v/>
      </c>
      <c r="AB514">
        <f>Wine_pres_final[[#This Row],[mlp_test_acc]]</f>
        <v>0.67407407407407405</v>
      </c>
      <c r="AC514">
        <f>Wine_pres_final[[#This Row],[mlp_test_acc2]]</f>
        <v>0.67037037037037028</v>
      </c>
    </row>
    <row r="515" spans="1:29" hidden="1" x14ac:dyDescent="0.25">
      <c r="A515" t="s">
        <v>1336</v>
      </c>
      <c r="B515">
        <v>5</v>
      </c>
      <c r="C515">
        <v>2</v>
      </c>
      <c r="D515">
        <v>0</v>
      </c>
      <c r="E515" t="s">
        <v>1341</v>
      </c>
      <c r="F515">
        <v>2740</v>
      </c>
      <c r="G515">
        <v>4090359.333333333</v>
      </c>
      <c r="H515">
        <v>0.90370370944341027</v>
      </c>
      <c r="I515">
        <v>0.63888888888888884</v>
      </c>
      <c r="J515">
        <v>272609.5</v>
      </c>
      <c r="K515">
        <v>3963</v>
      </c>
      <c r="L515">
        <v>2</v>
      </c>
      <c r="M515">
        <v>40</v>
      </c>
      <c r="N515">
        <v>0.67592592592592582</v>
      </c>
      <c r="O515">
        <v>294499.41666666663</v>
      </c>
      <c r="P515">
        <v>4144</v>
      </c>
      <c r="Q515">
        <v>2</v>
      </c>
      <c r="R515">
        <v>41</v>
      </c>
      <c r="S515" t="s">
        <v>1589</v>
      </c>
      <c r="Z515" t="str">
        <f>IF((LEN(Wine_pres_final[[#This Row],[kan_width]])-LEN(SUBSTITUTE(Wine_pres_final[[#This Row],[kan_width]]," ","")))&gt;2,Wine_pres_final[[#This Row],[kan_test_acc]],"")</f>
        <v/>
      </c>
      <c r="AA515">
        <f>IF((LEN(Wine_pres_final[[#This Row],[kan_width]])-LEN(SUBSTITUTE(Wine_pres_final[[#This Row],[kan_width]]," ","")))&gt;2,"",Wine_pres_final[[#This Row],[kan_test_acc]])</f>
        <v>0.90370370944341027</v>
      </c>
      <c r="AB515">
        <f>Wine_pres_final[[#This Row],[mlp_test_acc]]</f>
        <v>0.63888888888888884</v>
      </c>
      <c r="AC515">
        <f>Wine_pres_final[[#This Row],[mlp_test_acc2]]</f>
        <v>0.67592592592592582</v>
      </c>
    </row>
    <row r="516" spans="1:29" hidden="1" x14ac:dyDescent="0.25">
      <c r="A516" t="s">
        <v>1336</v>
      </c>
      <c r="B516">
        <v>3</v>
      </c>
      <c r="C516">
        <v>3</v>
      </c>
      <c r="D516">
        <v>0</v>
      </c>
      <c r="E516" t="s">
        <v>1387</v>
      </c>
      <c r="F516">
        <v>4724</v>
      </c>
      <c r="G516">
        <v>10923469</v>
      </c>
      <c r="H516">
        <v>0.90370370944341027</v>
      </c>
      <c r="I516">
        <v>0.71111111111111114</v>
      </c>
      <c r="J516">
        <v>467647.91666666663</v>
      </c>
      <c r="K516">
        <v>8343</v>
      </c>
      <c r="L516">
        <v>2</v>
      </c>
      <c r="M516">
        <v>60</v>
      </c>
      <c r="N516">
        <v>0.66481481481481475</v>
      </c>
      <c r="O516">
        <v>479001.16666666663</v>
      </c>
      <c r="P516">
        <v>8604</v>
      </c>
      <c r="Q516">
        <v>2</v>
      </c>
      <c r="R516">
        <v>61</v>
      </c>
      <c r="S516" t="s">
        <v>1462</v>
      </c>
      <c r="Z516">
        <f>IF((LEN(Wine_pres_final[[#This Row],[kan_width]])-LEN(SUBSTITUTE(Wine_pres_final[[#This Row],[kan_width]]," ","")))&gt;2,Wine_pres_final[[#This Row],[kan_test_acc]],"")</f>
        <v>0.90370370944341027</v>
      </c>
      <c r="AA516" t="str">
        <f>IF((LEN(Wine_pres_final[[#This Row],[kan_width]])-LEN(SUBSTITUTE(Wine_pres_final[[#This Row],[kan_width]]," ","")))&gt;2,"",Wine_pres_final[[#This Row],[kan_test_acc]])</f>
        <v/>
      </c>
      <c r="AB516">
        <f>Wine_pres_final[[#This Row],[mlp_test_acc]]</f>
        <v>0.71111111111111114</v>
      </c>
      <c r="AC516">
        <f>Wine_pres_final[[#This Row],[mlp_test_acc2]]</f>
        <v>0.66481481481481475</v>
      </c>
    </row>
    <row r="517" spans="1:29" hidden="1" x14ac:dyDescent="0.25">
      <c r="A517" t="s">
        <v>1336</v>
      </c>
      <c r="B517">
        <v>3</v>
      </c>
      <c r="C517">
        <v>3</v>
      </c>
      <c r="D517">
        <v>0</v>
      </c>
      <c r="E517" t="s">
        <v>1405</v>
      </c>
      <c r="F517">
        <v>5628</v>
      </c>
      <c r="G517">
        <v>12419950.166666668</v>
      </c>
      <c r="H517">
        <v>0.90370370944341027</v>
      </c>
      <c r="I517">
        <v>0.65370370370370368</v>
      </c>
      <c r="J517">
        <v>723792.41666666663</v>
      </c>
      <c r="K517">
        <v>9969</v>
      </c>
      <c r="L517">
        <v>2</v>
      </c>
      <c r="M517">
        <v>66</v>
      </c>
      <c r="N517">
        <v>0.63888888888888884</v>
      </c>
      <c r="O517">
        <v>385658.33333333337</v>
      </c>
      <c r="P517">
        <v>10254</v>
      </c>
      <c r="Q517">
        <v>2</v>
      </c>
      <c r="R517">
        <v>67</v>
      </c>
      <c r="S517" t="s">
        <v>1471</v>
      </c>
      <c r="Z517">
        <f>IF((LEN(Wine_pres_final[[#This Row],[kan_width]])-LEN(SUBSTITUTE(Wine_pres_final[[#This Row],[kan_width]]," ","")))&gt;2,Wine_pres_final[[#This Row],[kan_test_acc]],"")</f>
        <v>0.90370370944341027</v>
      </c>
      <c r="AA517" t="str">
        <f>IF((LEN(Wine_pres_final[[#This Row],[kan_width]])-LEN(SUBSTITUTE(Wine_pres_final[[#This Row],[kan_width]]," ","")))&gt;2,"",Wine_pres_final[[#This Row],[kan_test_acc]])</f>
        <v/>
      </c>
      <c r="AB517">
        <f>Wine_pres_final[[#This Row],[mlp_test_acc]]</f>
        <v>0.65370370370370368</v>
      </c>
      <c r="AC517">
        <f>Wine_pres_final[[#This Row],[mlp_test_acc2]]</f>
        <v>0.63888888888888884</v>
      </c>
    </row>
    <row r="518" spans="1:29" hidden="1" x14ac:dyDescent="0.25">
      <c r="A518" t="s">
        <v>1336</v>
      </c>
      <c r="B518">
        <v>5</v>
      </c>
      <c r="C518">
        <v>3</v>
      </c>
      <c r="D518">
        <v>0</v>
      </c>
      <c r="E518" t="s">
        <v>1435</v>
      </c>
      <c r="F518">
        <v>1950</v>
      </c>
      <c r="G518">
        <v>8117929.5</v>
      </c>
      <c r="H518">
        <v>0.90555556118488312</v>
      </c>
      <c r="I518">
        <v>0.69259259259259265</v>
      </c>
      <c r="J518">
        <v>1853831.6666666667</v>
      </c>
      <c r="K518">
        <v>3118</v>
      </c>
      <c r="L518">
        <v>2</v>
      </c>
      <c r="M518">
        <v>35</v>
      </c>
      <c r="N518">
        <v>0.74629629629629624</v>
      </c>
      <c r="O518">
        <v>1339747.5833333335</v>
      </c>
      <c r="P518">
        <v>3279</v>
      </c>
      <c r="Q518">
        <v>2</v>
      </c>
      <c r="R518">
        <v>36</v>
      </c>
      <c r="S518" t="s">
        <v>1636</v>
      </c>
      <c r="Z518" t="str">
        <f>IF((LEN(Wine_pres_final[[#This Row],[kan_width]])-LEN(SUBSTITUTE(Wine_pres_final[[#This Row],[kan_width]]," ","")))&gt;2,Wine_pres_final[[#This Row],[kan_test_acc]],"")</f>
        <v/>
      </c>
      <c r="AA518">
        <f>IF((LEN(Wine_pres_final[[#This Row],[kan_width]])-LEN(SUBSTITUTE(Wine_pres_final[[#This Row],[kan_width]]," ","")))&gt;2,"",Wine_pres_final[[#This Row],[kan_test_acc]])</f>
        <v>0.90555556118488312</v>
      </c>
      <c r="AB518">
        <f>Wine_pres_final[[#This Row],[mlp_test_acc]]</f>
        <v>0.69259259259259265</v>
      </c>
      <c r="AC518">
        <f>Wine_pres_final[[#This Row],[mlp_test_acc2]]</f>
        <v>0.74629629629629624</v>
      </c>
    </row>
    <row r="519" spans="1:29" hidden="1" x14ac:dyDescent="0.25">
      <c r="A519" t="s">
        <v>1336</v>
      </c>
      <c r="B519">
        <v>5</v>
      </c>
      <c r="C519">
        <v>2</v>
      </c>
      <c r="D519">
        <v>0</v>
      </c>
      <c r="E519" t="s">
        <v>1343</v>
      </c>
      <c r="F519">
        <v>3062</v>
      </c>
      <c r="G519">
        <v>3720043.333333333</v>
      </c>
      <c r="H519">
        <v>0.90555556118488312</v>
      </c>
      <c r="I519">
        <v>0.66851851851851851</v>
      </c>
      <c r="J519">
        <v>297319.91666666669</v>
      </c>
      <c r="K519">
        <v>4518</v>
      </c>
      <c r="L519">
        <v>2</v>
      </c>
      <c r="M519">
        <v>43</v>
      </c>
      <c r="N519">
        <v>0.67962962962962958</v>
      </c>
      <c r="O519">
        <v>321274.25</v>
      </c>
      <c r="P519">
        <v>4711</v>
      </c>
      <c r="Q519">
        <v>2</v>
      </c>
      <c r="R519">
        <v>44</v>
      </c>
      <c r="S519" t="s">
        <v>1590</v>
      </c>
      <c r="Z519" t="str">
        <f>IF((LEN(Wine_pres_final[[#This Row],[kan_width]])-LEN(SUBSTITUTE(Wine_pres_final[[#This Row],[kan_width]]," ","")))&gt;2,Wine_pres_final[[#This Row],[kan_test_acc]],"")</f>
        <v/>
      </c>
      <c r="AA519">
        <f>IF((LEN(Wine_pres_final[[#This Row],[kan_width]])-LEN(SUBSTITUTE(Wine_pres_final[[#This Row],[kan_width]]," ","")))&gt;2,"",Wine_pres_final[[#This Row],[kan_test_acc]])</f>
        <v>0.90555556118488312</v>
      </c>
      <c r="AB519">
        <f>Wine_pres_final[[#This Row],[mlp_test_acc]]</f>
        <v>0.66851851851851851</v>
      </c>
      <c r="AC519">
        <f>Wine_pres_final[[#This Row],[mlp_test_acc2]]</f>
        <v>0.67962962962962958</v>
      </c>
    </row>
    <row r="520" spans="1:29" hidden="1" x14ac:dyDescent="0.25">
      <c r="A520" t="s">
        <v>1336</v>
      </c>
      <c r="B520">
        <v>3</v>
      </c>
      <c r="C520">
        <v>2</v>
      </c>
      <c r="D520">
        <v>0</v>
      </c>
      <c r="E520" t="s">
        <v>1355</v>
      </c>
      <c r="F520">
        <v>3303</v>
      </c>
      <c r="G520">
        <v>4812967.25</v>
      </c>
      <c r="H520">
        <v>0.90555556118488312</v>
      </c>
      <c r="I520">
        <v>0.65370370370370368</v>
      </c>
      <c r="J520">
        <v>221641.66666666669</v>
      </c>
      <c r="K520">
        <v>5314</v>
      </c>
      <c r="L520">
        <v>2</v>
      </c>
      <c r="M520">
        <v>47</v>
      </c>
      <c r="N520">
        <v>0.68518518518518512</v>
      </c>
      <c r="O520">
        <v>203625.33333333331</v>
      </c>
      <c r="P520">
        <v>5523</v>
      </c>
      <c r="Q520">
        <v>2</v>
      </c>
      <c r="R520">
        <v>48</v>
      </c>
      <c r="S520" t="s">
        <v>1356</v>
      </c>
      <c r="Z520">
        <f>IF((LEN(Wine_pres_final[[#This Row],[kan_width]])-LEN(SUBSTITUTE(Wine_pres_final[[#This Row],[kan_width]]," ","")))&gt;2,Wine_pres_final[[#This Row],[kan_test_acc]],"")</f>
        <v>0.90555556118488312</v>
      </c>
      <c r="AA520" t="str">
        <f>IF((LEN(Wine_pres_final[[#This Row],[kan_width]])-LEN(SUBSTITUTE(Wine_pres_final[[#This Row],[kan_width]]," ","")))&gt;2,"",Wine_pres_final[[#This Row],[kan_test_acc]])</f>
        <v/>
      </c>
      <c r="AB520">
        <f>Wine_pres_final[[#This Row],[mlp_test_acc]]</f>
        <v>0.65370370370370368</v>
      </c>
      <c r="AC520">
        <f>Wine_pres_final[[#This Row],[mlp_test_acc2]]</f>
        <v>0.68518518518518512</v>
      </c>
    </row>
    <row r="521" spans="1:29" hidden="1" x14ac:dyDescent="0.25">
      <c r="A521" t="s">
        <v>1336</v>
      </c>
      <c r="B521">
        <v>3</v>
      </c>
      <c r="C521">
        <v>5</v>
      </c>
      <c r="D521">
        <v>0</v>
      </c>
      <c r="E521" t="s">
        <v>1347</v>
      </c>
      <c r="F521">
        <v>4074</v>
      </c>
      <c r="G521">
        <v>6846276</v>
      </c>
      <c r="H521">
        <v>0.90555556118488312</v>
      </c>
      <c r="I521">
        <v>0.69259259259259265</v>
      </c>
      <c r="J521">
        <v>358658.66666666663</v>
      </c>
      <c r="K521">
        <v>8086</v>
      </c>
      <c r="L521">
        <v>2</v>
      </c>
      <c r="M521">
        <v>59</v>
      </c>
      <c r="N521">
        <v>0.73518518518518516</v>
      </c>
      <c r="O521">
        <v>355700.16666666669</v>
      </c>
      <c r="P521">
        <v>8343</v>
      </c>
      <c r="Q521">
        <v>2</v>
      </c>
      <c r="R521">
        <v>60</v>
      </c>
      <c r="S521" t="s">
        <v>1542</v>
      </c>
      <c r="Z521" t="str">
        <f>IF((LEN(Wine_pres_final[[#This Row],[kan_width]])-LEN(SUBSTITUTE(Wine_pres_final[[#This Row],[kan_width]]," ","")))&gt;2,Wine_pres_final[[#This Row],[kan_test_acc]],"")</f>
        <v/>
      </c>
      <c r="AA521">
        <f>IF((LEN(Wine_pres_final[[#This Row],[kan_width]])-LEN(SUBSTITUTE(Wine_pres_final[[#This Row],[kan_width]]," ","")))&gt;2,"",Wine_pres_final[[#This Row],[kan_test_acc]])</f>
        <v>0.90555556118488312</v>
      </c>
      <c r="AB521">
        <f>Wine_pres_final[[#This Row],[mlp_test_acc]]</f>
        <v>0.69259259259259265</v>
      </c>
      <c r="AC521">
        <f>Wine_pres_final[[#This Row],[mlp_test_acc2]]</f>
        <v>0.73518518518518516</v>
      </c>
    </row>
    <row r="522" spans="1:29" hidden="1" x14ac:dyDescent="0.25">
      <c r="A522" t="s">
        <v>1336</v>
      </c>
      <c r="B522">
        <v>3</v>
      </c>
      <c r="C522">
        <v>3</v>
      </c>
      <c r="D522">
        <v>0</v>
      </c>
      <c r="E522" t="s">
        <v>1375</v>
      </c>
      <c r="F522">
        <v>4870</v>
      </c>
      <c r="G522">
        <v>11295858.166666668</v>
      </c>
      <c r="H522">
        <v>0.90555556118488312</v>
      </c>
      <c r="I522">
        <v>0.6962962962962963</v>
      </c>
      <c r="J522">
        <v>341738.33333333331</v>
      </c>
      <c r="K522">
        <v>8604</v>
      </c>
      <c r="L522">
        <v>2</v>
      </c>
      <c r="M522">
        <v>61</v>
      </c>
      <c r="N522">
        <v>0.67777777777777781</v>
      </c>
      <c r="O522">
        <v>295104</v>
      </c>
      <c r="P522">
        <v>8869</v>
      </c>
      <c r="Q522">
        <v>2</v>
      </c>
      <c r="R522">
        <v>62</v>
      </c>
      <c r="S522" t="s">
        <v>1456</v>
      </c>
      <c r="Z522">
        <f>IF((LEN(Wine_pres_final[[#This Row],[kan_width]])-LEN(SUBSTITUTE(Wine_pres_final[[#This Row],[kan_width]]," ","")))&gt;2,Wine_pres_final[[#This Row],[kan_test_acc]],"")</f>
        <v>0.90555556118488312</v>
      </c>
      <c r="AA522" t="str">
        <f>IF((LEN(Wine_pres_final[[#This Row],[kan_width]])-LEN(SUBSTITUTE(Wine_pres_final[[#This Row],[kan_width]]," ","")))&gt;2,"",Wine_pres_final[[#This Row],[kan_test_acc]])</f>
        <v/>
      </c>
      <c r="AB522">
        <f>Wine_pres_final[[#This Row],[mlp_test_acc]]</f>
        <v>0.6962962962962963</v>
      </c>
      <c r="AC522">
        <f>Wine_pres_final[[#This Row],[mlp_test_acc2]]</f>
        <v>0.67777777777777781</v>
      </c>
    </row>
    <row r="523" spans="1:29" hidden="1" x14ac:dyDescent="0.25">
      <c r="A523" t="s">
        <v>1336</v>
      </c>
      <c r="B523">
        <v>3</v>
      </c>
      <c r="C523">
        <v>3</v>
      </c>
      <c r="D523">
        <v>0</v>
      </c>
      <c r="E523" t="s">
        <v>1393</v>
      </c>
      <c r="F523">
        <v>5810</v>
      </c>
      <c r="G523">
        <v>10589536.333333334</v>
      </c>
      <c r="H523">
        <v>0.90555556118488312</v>
      </c>
      <c r="I523">
        <v>0.66666666666666674</v>
      </c>
      <c r="J523">
        <v>723506.33333333326</v>
      </c>
      <c r="K523">
        <v>10254</v>
      </c>
      <c r="L523">
        <v>2</v>
      </c>
      <c r="M523">
        <v>67</v>
      </c>
      <c r="N523">
        <v>0.64629629629629637</v>
      </c>
      <c r="O523">
        <v>978152.83333333326</v>
      </c>
      <c r="P523">
        <v>10543</v>
      </c>
      <c r="Q523">
        <v>2</v>
      </c>
      <c r="R523">
        <v>68</v>
      </c>
      <c r="S523" t="s">
        <v>1465</v>
      </c>
      <c r="Z523">
        <f>IF((LEN(Wine_pres_final[[#This Row],[kan_width]])-LEN(SUBSTITUTE(Wine_pres_final[[#This Row],[kan_width]]," ","")))&gt;2,Wine_pres_final[[#This Row],[kan_test_acc]],"")</f>
        <v>0.90555556118488312</v>
      </c>
      <c r="AA523" t="str">
        <f>IF((LEN(Wine_pres_final[[#This Row],[kan_width]])-LEN(SUBSTITUTE(Wine_pres_final[[#This Row],[kan_width]]," ","")))&gt;2,"",Wine_pres_final[[#This Row],[kan_test_acc]])</f>
        <v/>
      </c>
      <c r="AB523">
        <f>Wine_pres_final[[#This Row],[mlp_test_acc]]</f>
        <v>0.66666666666666674</v>
      </c>
      <c r="AC523">
        <f>Wine_pres_final[[#This Row],[mlp_test_acc2]]</f>
        <v>0.64629629629629637</v>
      </c>
    </row>
    <row r="524" spans="1:29" hidden="1" x14ac:dyDescent="0.25">
      <c r="A524" t="s">
        <v>1336</v>
      </c>
      <c r="B524">
        <v>3</v>
      </c>
      <c r="C524">
        <v>3</v>
      </c>
      <c r="D524">
        <v>0</v>
      </c>
      <c r="E524" t="s">
        <v>1411</v>
      </c>
      <c r="F524">
        <v>6822</v>
      </c>
      <c r="G524">
        <v>11780220.75</v>
      </c>
      <c r="H524">
        <v>0.90555556118488312</v>
      </c>
      <c r="I524">
        <v>0.65555555555555556</v>
      </c>
      <c r="J524">
        <v>1129753.75</v>
      </c>
      <c r="K524">
        <v>12048</v>
      </c>
      <c r="L524">
        <v>2</v>
      </c>
      <c r="M524">
        <v>73</v>
      </c>
      <c r="N524">
        <v>0.65</v>
      </c>
      <c r="O524">
        <v>717386.5</v>
      </c>
      <c r="P524">
        <v>12361</v>
      </c>
      <c r="Q524">
        <v>2</v>
      </c>
      <c r="R524">
        <v>74</v>
      </c>
      <c r="S524" t="s">
        <v>1474</v>
      </c>
      <c r="Z524">
        <f>IF((LEN(Wine_pres_final[[#This Row],[kan_width]])-LEN(SUBSTITUTE(Wine_pres_final[[#This Row],[kan_width]]," ","")))&gt;2,Wine_pres_final[[#This Row],[kan_test_acc]],"")</f>
        <v>0.90555556118488312</v>
      </c>
      <c r="AA524" t="str">
        <f>IF((LEN(Wine_pres_final[[#This Row],[kan_width]])-LEN(SUBSTITUTE(Wine_pres_final[[#This Row],[kan_width]]," ","")))&gt;2,"",Wine_pres_final[[#This Row],[kan_test_acc]])</f>
        <v/>
      </c>
      <c r="AB524">
        <f>Wine_pres_final[[#This Row],[mlp_test_acc]]</f>
        <v>0.65555555555555556</v>
      </c>
      <c r="AC524">
        <f>Wine_pres_final[[#This Row],[mlp_test_acc2]]</f>
        <v>0.65</v>
      </c>
    </row>
    <row r="525" spans="1:29" hidden="1" x14ac:dyDescent="0.25">
      <c r="A525" t="s">
        <v>1336</v>
      </c>
      <c r="B525">
        <v>3</v>
      </c>
      <c r="C525">
        <v>4</v>
      </c>
      <c r="D525">
        <v>0</v>
      </c>
      <c r="E525" t="s">
        <v>1341</v>
      </c>
      <c r="F525">
        <v>2740</v>
      </c>
      <c r="G525">
        <v>7096546.916666667</v>
      </c>
      <c r="H525">
        <v>0.90740741292635607</v>
      </c>
      <c r="I525">
        <v>0.6962962962962963</v>
      </c>
      <c r="J525">
        <v>286108.66666666663</v>
      </c>
      <c r="K525">
        <v>5109</v>
      </c>
      <c r="L525">
        <v>2</v>
      </c>
      <c r="M525">
        <v>46</v>
      </c>
      <c r="N525">
        <v>0.67777777777777781</v>
      </c>
      <c r="O525">
        <v>298853.33333333337</v>
      </c>
      <c r="P525">
        <v>5314</v>
      </c>
      <c r="Q525">
        <v>2</v>
      </c>
      <c r="R525">
        <v>47</v>
      </c>
      <c r="S525" t="s">
        <v>1489</v>
      </c>
      <c r="Z525" t="str">
        <f>IF((LEN(Wine_pres_final[[#This Row],[kan_width]])-LEN(SUBSTITUTE(Wine_pres_final[[#This Row],[kan_width]]," ","")))&gt;2,Wine_pres_final[[#This Row],[kan_test_acc]],"")</f>
        <v/>
      </c>
      <c r="AA525">
        <f>IF((LEN(Wine_pres_final[[#This Row],[kan_width]])-LEN(SUBSTITUTE(Wine_pres_final[[#This Row],[kan_width]]," ","")))&gt;2,"",Wine_pres_final[[#This Row],[kan_test_acc]])</f>
        <v>0.90740741292635607</v>
      </c>
      <c r="AB525">
        <f>Wine_pres_final[[#This Row],[mlp_test_acc]]</f>
        <v>0.6962962962962963</v>
      </c>
      <c r="AC525">
        <f>Wine_pres_final[[#This Row],[mlp_test_acc2]]</f>
        <v>0.67777777777777781</v>
      </c>
    </row>
    <row r="526" spans="1:29" hidden="1" x14ac:dyDescent="0.25">
      <c r="A526" t="s">
        <v>1336</v>
      </c>
      <c r="B526">
        <v>5</v>
      </c>
      <c r="C526">
        <v>2</v>
      </c>
      <c r="D526">
        <v>0</v>
      </c>
      <c r="E526" t="s">
        <v>1353</v>
      </c>
      <c r="F526">
        <v>3799</v>
      </c>
      <c r="G526">
        <v>3888395.75</v>
      </c>
      <c r="H526">
        <v>0.90740741292635607</v>
      </c>
      <c r="I526">
        <v>0.68148148148148147</v>
      </c>
      <c r="J526">
        <v>355161.91666666663</v>
      </c>
      <c r="K526">
        <v>5523</v>
      </c>
      <c r="L526">
        <v>2</v>
      </c>
      <c r="M526">
        <v>48</v>
      </c>
      <c r="N526">
        <v>0.71481481481481479</v>
      </c>
      <c r="O526">
        <v>335809.25</v>
      </c>
      <c r="P526">
        <v>5736</v>
      </c>
      <c r="Q526">
        <v>2</v>
      </c>
      <c r="R526">
        <v>49</v>
      </c>
      <c r="S526" t="s">
        <v>1595</v>
      </c>
      <c r="Z526">
        <f>IF((LEN(Wine_pres_final[[#This Row],[kan_width]])-LEN(SUBSTITUTE(Wine_pres_final[[#This Row],[kan_width]]," ","")))&gt;2,Wine_pres_final[[#This Row],[kan_test_acc]],"")</f>
        <v>0.90740741292635607</v>
      </c>
      <c r="AA526" t="str">
        <f>IF((LEN(Wine_pres_final[[#This Row],[kan_width]])-LEN(SUBSTITUTE(Wine_pres_final[[#This Row],[kan_width]]," ","")))&gt;2,"",Wine_pres_final[[#This Row],[kan_test_acc]])</f>
        <v/>
      </c>
      <c r="AB526">
        <f>Wine_pres_final[[#This Row],[mlp_test_acc]]</f>
        <v>0.68148148148148147</v>
      </c>
      <c r="AC526">
        <f>Wine_pres_final[[#This Row],[mlp_test_acc2]]</f>
        <v>0.71481481481481479</v>
      </c>
    </row>
    <row r="527" spans="1:29" hidden="1" x14ac:dyDescent="0.25">
      <c r="A527" t="s">
        <v>1336</v>
      </c>
      <c r="B527">
        <v>3</v>
      </c>
      <c r="C527">
        <v>3</v>
      </c>
      <c r="D527">
        <v>0</v>
      </c>
      <c r="E527" t="s">
        <v>1389</v>
      </c>
      <c r="F527">
        <v>5086</v>
      </c>
      <c r="G527">
        <v>10618030.5</v>
      </c>
      <c r="H527">
        <v>0.90740741292635607</v>
      </c>
      <c r="I527">
        <v>0.72037037037037033</v>
      </c>
      <c r="J527">
        <v>341757.5</v>
      </c>
      <c r="K527">
        <v>8869</v>
      </c>
      <c r="L527">
        <v>2</v>
      </c>
      <c r="M527">
        <v>62</v>
      </c>
      <c r="N527">
        <v>0.6611111111111112</v>
      </c>
      <c r="O527">
        <v>310862.25</v>
      </c>
      <c r="P527">
        <v>9138</v>
      </c>
      <c r="Q527">
        <v>2</v>
      </c>
      <c r="R527">
        <v>63</v>
      </c>
      <c r="S527" t="s">
        <v>1463</v>
      </c>
      <c r="Z527">
        <f>IF((LEN(Wine_pres_final[[#This Row],[kan_width]])-LEN(SUBSTITUTE(Wine_pres_final[[#This Row],[kan_width]]," ","")))&gt;2,Wine_pres_final[[#This Row],[kan_test_acc]],"")</f>
        <v>0.90740741292635607</v>
      </c>
      <c r="AA527" t="str">
        <f>IF((LEN(Wine_pres_final[[#This Row],[kan_width]])-LEN(SUBSTITUTE(Wine_pres_final[[#This Row],[kan_width]]," ","")))&gt;2,"",Wine_pres_final[[#This Row],[kan_test_acc]])</f>
        <v/>
      </c>
      <c r="AB527">
        <f>Wine_pres_final[[#This Row],[mlp_test_acc]]</f>
        <v>0.72037037037037033</v>
      </c>
      <c r="AC527">
        <f>Wine_pres_final[[#This Row],[mlp_test_acc2]]</f>
        <v>0.6611111111111112</v>
      </c>
    </row>
    <row r="528" spans="1:29" hidden="1" x14ac:dyDescent="0.25">
      <c r="A528" t="s">
        <v>1336</v>
      </c>
      <c r="B528">
        <v>3</v>
      </c>
      <c r="C528">
        <v>3</v>
      </c>
      <c r="D528">
        <v>0</v>
      </c>
      <c r="E528" t="s">
        <v>1409</v>
      </c>
      <c r="F528">
        <v>6424</v>
      </c>
      <c r="G528">
        <v>12363200.583333334</v>
      </c>
      <c r="H528">
        <v>0.90740741292635607</v>
      </c>
      <c r="I528">
        <v>0.67222222222222228</v>
      </c>
      <c r="J528">
        <v>1110840.75</v>
      </c>
      <c r="K528">
        <v>11133</v>
      </c>
      <c r="L528">
        <v>2</v>
      </c>
      <c r="M528">
        <v>70</v>
      </c>
      <c r="N528">
        <v>0.69074074074074077</v>
      </c>
      <c r="O528">
        <v>768335.5</v>
      </c>
      <c r="P528">
        <v>11434</v>
      </c>
      <c r="Q528">
        <v>2</v>
      </c>
      <c r="R528">
        <v>71</v>
      </c>
      <c r="S528" t="s">
        <v>1473</v>
      </c>
      <c r="Z528">
        <f>IF((LEN(Wine_pres_final[[#This Row],[kan_width]])-LEN(SUBSTITUTE(Wine_pres_final[[#This Row],[kan_width]]," ","")))&gt;2,Wine_pres_final[[#This Row],[kan_test_acc]],"")</f>
        <v>0.90740741292635607</v>
      </c>
      <c r="AA528" t="str">
        <f>IF((LEN(Wine_pres_final[[#This Row],[kan_width]])-LEN(SUBSTITUTE(Wine_pres_final[[#This Row],[kan_width]]," ","")))&gt;2,"",Wine_pres_final[[#This Row],[kan_test_acc]])</f>
        <v/>
      </c>
      <c r="AB528">
        <f>Wine_pres_final[[#This Row],[mlp_test_acc]]</f>
        <v>0.67222222222222228</v>
      </c>
      <c r="AC528">
        <f>Wine_pres_final[[#This Row],[mlp_test_acc2]]</f>
        <v>0.69074074074074077</v>
      </c>
    </row>
    <row r="529" spans="1:29" hidden="1" x14ac:dyDescent="0.25">
      <c r="A529" t="s">
        <v>1336</v>
      </c>
      <c r="B529">
        <v>3</v>
      </c>
      <c r="C529">
        <v>4</v>
      </c>
      <c r="D529">
        <v>0</v>
      </c>
      <c r="E529" t="s">
        <v>1343</v>
      </c>
      <c r="F529">
        <v>3062</v>
      </c>
      <c r="G529">
        <v>7322650</v>
      </c>
      <c r="H529">
        <v>0.9092592646678288</v>
      </c>
      <c r="I529">
        <v>0.67592592592592593</v>
      </c>
      <c r="J529">
        <v>302114.25</v>
      </c>
      <c r="K529">
        <v>5736</v>
      </c>
      <c r="L529">
        <v>2</v>
      </c>
      <c r="M529">
        <v>49</v>
      </c>
      <c r="N529">
        <v>0.69814814814814818</v>
      </c>
      <c r="O529">
        <v>301049.33333333337</v>
      </c>
      <c r="P529">
        <v>5953</v>
      </c>
      <c r="Q529">
        <v>2</v>
      </c>
      <c r="R529">
        <v>50</v>
      </c>
      <c r="S529" t="s">
        <v>1490</v>
      </c>
      <c r="Z529" t="str">
        <f>IF((LEN(Wine_pres_final[[#This Row],[kan_width]])-LEN(SUBSTITUTE(Wine_pres_final[[#This Row],[kan_width]]," ","")))&gt;2,Wine_pres_final[[#This Row],[kan_test_acc]],"")</f>
        <v/>
      </c>
      <c r="AA529">
        <f>IF((LEN(Wine_pres_final[[#This Row],[kan_width]])-LEN(SUBSTITUTE(Wine_pres_final[[#This Row],[kan_width]]," ","")))&gt;2,"",Wine_pres_final[[#This Row],[kan_test_acc]])</f>
        <v>0.9092592646678288</v>
      </c>
      <c r="AB529">
        <f>Wine_pres_final[[#This Row],[mlp_test_acc]]</f>
        <v>0.67592592592592593</v>
      </c>
      <c r="AC529">
        <f>Wine_pres_final[[#This Row],[mlp_test_acc2]]</f>
        <v>0.69814814814814818</v>
      </c>
    </row>
    <row r="530" spans="1:29" hidden="1" x14ac:dyDescent="0.25">
      <c r="A530" t="s">
        <v>1336</v>
      </c>
      <c r="B530">
        <v>5</v>
      </c>
      <c r="C530">
        <v>5</v>
      </c>
      <c r="D530">
        <v>0</v>
      </c>
      <c r="E530" t="s">
        <v>1339</v>
      </c>
      <c r="F530">
        <v>3138</v>
      </c>
      <c r="G530">
        <v>6397809.333333334</v>
      </c>
      <c r="H530">
        <v>0.9092592646678288</v>
      </c>
      <c r="I530">
        <v>0.72222222222222221</v>
      </c>
      <c r="J530">
        <v>315449.75</v>
      </c>
      <c r="K530">
        <v>5736</v>
      </c>
      <c r="L530">
        <v>2</v>
      </c>
      <c r="M530">
        <v>49</v>
      </c>
      <c r="N530">
        <v>0.67222222222222228</v>
      </c>
      <c r="O530">
        <v>296298.75</v>
      </c>
      <c r="P530">
        <v>5953</v>
      </c>
      <c r="Q530">
        <v>2</v>
      </c>
      <c r="R530">
        <v>50</v>
      </c>
      <c r="S530" t="s">
        <v>1738</v>
      </c>
      <c r="Z530" t="str">
        <f>IF((LEN(Wine_pres_final[[#This Row],[kan_width]])-LEN(SUBSTITUTE(Wine_pres_final[[#This Row],[kan_width]]," ","")))&gt;2,Wine_pres_final[[#This Row],[kan_test_acc]],"")</f>
        <v/>
      </c>
      <c r="AA530">
        <f>IF((LEN(Wine_pres_final[[#This Row],[kan_width]])-LEN(SUBSTITUTE(Wine_pres_final[[#This Row],[kan_width]]," ","")))&gt;2,"",Wine_pres_final[[#This Row],[kan_test_acc]])</f>
        <v>0.9092592646678288</v>
      </c>
      <c r="AB530">
        <f>Wine_pres_final[[#This Row],[mlp_test_acc]]</f>
        <v>0.72222222222222221</v>
      </c>
      <c r="AC530">
        <f>Wine_pres_final[[#This Row],[mlp_test_acc2]]</f>
        <v>0.67222222222222228</v>
      </c>
    </row>
    <row r="531" spans="1:29" hidden="1" x14ac:dyDescent="0.25">
      <c r="A531" t="s">
        <v>1336</v>
      </c>
      <c r="B531">
        <v>5</v>
      </c>
      <c r="C531">
        <v>2</v>
      </c>
      <c r="D531">
        <v>0</v>
      </c>
      <c r="E531" t="s">
        <v>1339</v>
      </c>
      <c r="F531">
        <v>2418</v>
      </c>
      <c r="G531">
        <v>4770259</v>
      </c>
      <c r="H531">
        <v>0.90925926466782891</v>
      </c>
      <c r="I531">
        <v>0.68333333333333335</v>
      </c>
      <c r="J531">
        <v>272509.5</v>
      </c>
      <c r="K531">
        <v>3613</v>
      </c>
      <c r="L531">
        <v>2</v>
      </c>
      <c r="M531">
        <v>38</v>
      </c>
      <c r="N531">
        <v>0.70555555555555549</v>
      </c>
      <c r="O531">
        <v>265080.83333333331</v>
      </c>
      <c r="P531">
        <v>3786</v>
      </c>
      <c r="Q531">
        <v>2</v>
      </c>
      <c r="R531">
        <v>39</v>
      </c>
      <c r="S531" t="s">
        <v>1588</v>
      </c>
      <c r="Z531" t="str">
        <f>IF((LEN(Wine_pres_final[[#This Row],[kan_width]])-LEN(SUBSTITUTE(Wine_pres_final[[#This Row],[kan_width]]," ","")))&gt;2,Wine_pres_final[[#This Row],[kan_test_acc]],"")</f>
        <v/>
      </c>
      <c r="AA531">
        <f>IF((LEN(Wine_pres_final[[#This Row],[kan_width]])-LEN(SUBSTITUTE(Wine_pres_final[[#This Row],[kan_width]]," ","")))&gt;2,"",Wine_pres_final[[#This Row],[kan_test_acc]])</f>
        <v>0.90925926466782891</v>
      </c>
      <c r="AB531">
        <f>Wine_pres_final[[#This Row],[mlp_test_acc]]</f>
        <v>0.68333333333333335</v>
      </c>
      <c r="AC531">
        <f>Wine_pres_final[[#This Row],[mlp_test_acc2]]</f>
        <v>0.70555555555555549</v>
      </c>
    </row>
    <row r="532" spans="1:29" hidden="1" x14ac:dyDescent="0.25">
      <c r="A532" t="s">
        <v>1336</v>
      </c>
      <c r="B532">
        <v>3</v>
      </c>
      <c r="C532">
        <v>3</v>
      </c>
      <c r="D532">
        <v>0</v>
      </c>
      <c r="E532" t="s">
        <v>1385</v>
      </c>
      <c r="F532">
        <v>4362</v>
      </c>
      <c r="G532">
        <v>11537804</v>
      </c>
      <c r="H532">
        <v>0.90925926466782891</v>
      </c>
      <c r="I532">
        <v>0.7055555555555556</v>
      </c>
      <c r="J532">
        <v>577512.41666666663</v>
      </c>
      <c r="K532">
        <v>7584</v>
      </c>
      <c r="L532">
        <v>2</v>
      </c>
      <c r="M532">
        <v>57</v>
      </c>
      <c r="N532">
        <v>0.64629629629629626</v>
      </c>
      <c r="O532">
        <v>681726.58333333326</v>
      </c>
      <c r="P532">
        <v>7833</v>
      </c>
      <c r="Q532">
        <v>2</v>
      </c>
      <c r="R532">
        <v>58</v>
      </c>
      <c r="S532" t="s">
        <v>1461</v>
      </c>
      <c r="Z532">
        <f>IF((LEN(Wine_pres_final[[#This Row],[kan_width]])-LEN(SUBSTITUTE(Wine_pres_final[[#This Row],[kan_width]]," ","")))&gt;2,Wine_pres_final[[#This Row],[kan_test_acc]],"")</f>
        <v>0.90925926466782891</v>
      </c>
      <c r="AA532" t="str">
        <f>IF((LEN(Wine_pres_final[[#This Row],[kan_width]])-LEN(SUBSTITUTE(Wine_pres_final[[#This Row],[kan_width]]," ","")))&gt;2,"",Wine_pres_final[[#This Row],[kan_test_acc]])</f>
        <v/>
      </c>
      <c r="AB532">
        <f>Wine_pres_final[[#This Row],[mlp_test_acc]]</f>
        <v>0.7055555555555556</v>
      </c>
      <c r="AC532">
        <f>Wine_pres_final[[#This Row],[mlp_test_acc2]]</f>
        <v>0.64629629629629626</v>
      </c>
    </row>
    <row r="533" spans="1:29" hidden="1" x14ac:dyDescent="0.25">
      <c r="A533" t="s">
        <v>1336</v>
      </c>
      <c r="B533">
        <v>3</v>
      </c>
      <c r="C533">
        <v>3</v>
      </c>
      <c r="D533">
        <v>0</v>
      </c>
      <c r="E533" t="s">
        <v>1417</v>
      </c>
      <c r="F533">
        <v>5302</v>
      </c>
      <c r="G533">
        <v>12387515.333333332</v>
      </c>
      <c r="H533">
        <v>0.90925926466782891</v>
      </c>
      <c r="I533">
        <v>0.72037037037037033</v>
      </c>
      <c r="J533">
        <v>833913</v>
      </c>
      <c r="K533">
        <v>9138</v>
      </c>
      <c r="L533">
        <v>2</v>
      </c>
      <c r="M533">
        <v>63</v>
      </c>
      <c r="N533">
        <v>0.66666666666666674</v>
      </c>
      <c r="O533">
        <v>697155.41666666674</v>
      </c>
      <c r="P533">
        <v>9411</v>
      </c>
      <c r="Q533">
        <v>2</v>
      </c>
      <c r="R533">
        <v>64</v>
      </c>
      <c r="S533" t="s">
        <v>1477</v>
      </c>
      <c r="Z533">
        <f>IF((LEN(Wine_pres_final[[#This Row],[kan_width]])-LEN(SUBSTITUTE(Wine_pres_final[[#This Row],[kan_width]]," ","")))&gt;2,Wine_pres_final[[#This Row],[kan_test_acc]],"")</f>
        <v>0.90925926466782891</v>
      </c>
      <c r="AA533" t="str">
        <f>IF((LEN(Wine_pres_final[[#This Row],[kan_width]])-LEN(SUBSTITUTE(Wine_pres_final[[#This Row],[kan_width]]," ","")))&gt;2,"",Wine_pres_final[[#This Row],[kan_test_acc]])</f>
        <v/>
      </c>
      <c r="AB533">
        <f>Wine_pres_final[[#This Row],[mlp_test_acc]]</f>
        <v>0.72037037037037033</v>
      </c>
      <c r="AC533">
        <f>Wine_pres_final[[#This Row],[mlp_test_acc2]]</f>
        <v>0.66666666666666674</v>
      </c>
    </row>
    <row r="534" spans="1:29" hidden="1" x14ac:dyDescent="0.25">
      <c r="A534" t="s">
        <v>1336</v>
      </c>
      <c r="B534">
        <v>5</v>
      </c>
      <c r="C534">
        <v>3</v>
      </c>
      <c r="D534">
        <v>0</v>
      </c>
      <c r="E534" t="s">
        <v>1341</v>
      </c>
      <c r="F534">
        <v>3012</v>
      </c>
      <c r="G534">
        <v>4637635.916666666</v>
      </c>
      <c r="H534">
        <v>0.91111111640930176</v>
      </c>
      <c r="I534">
        <v>0.63148148148148153</v>
      </c>
      <c r="J534">
        <v>300509.58333333337</v>
      </c>
      <c r="K534">
        <v>4908</v>
      </c>
      <c r="L534">
        <v>2</v>
      </c>
      <c r="M534">
        <v>45</v>
      </c>
      <c r="N534">
        <v>0.71481481481481479</v>
      </c>
      <c r="O534">
        <v>303571.25</v>
      </c>
      <c r="P534">
        <v>5109</v>
      </c>
      <c r="Q534">
        <v>2</v>
      </c>
      <c r="R534">
        <v>46</v>
      </c>
      <c r="S534" t="s">
        <v>1639</v>
      </c>
      <c r="Z534" t="str">
        <f>IF((LEN(Wine_pres_final[[#This Row],[kan_width]])-LEN(SUBSTITUTE(Wine_pres_final[[#This Row],[kan_width]]," ","")))&gt;2,Wine_pres_final[[#This Row],[kan_test_acc]],"")</f>
        <v/>
      </c>
      <c r="AA534">
        <f>IF((LEN(Wine_pres_final[[#This Row],[kan_width]])-LEN(SUBSTITUTE(Wine_pres_final[[#This Row],[kan_width]]," ","")))&gt;2,"",Wine_pres_final[[#This Row],[kan_test_acc]])</f>
        <v>0.91111111640930176</v>
      </c>
      <c r="AB534">
        <f>Wine_pres_final[[#This Row],[mlp_test_acc]]</f>
        <v>0.63148148148148153</v>
      </c>
      <c r="AC534">
        <f>Wine_pres_final[[#This Row],[mlp_test_acc2]]</f>
        <v>0.71481481481481479</v>
      </c>
    </row>
    <row r="535" spans="1:29" hidden="1" x14ac:dyDescent="0.25">
      <c r="A535" t="s">
        <v>1336</v>
      </c>
      <c r="B535">
        <v>3</v>
      </c>
      <c r="C535">
        <v>2</v>
      </c>
      <c r="D535">
        <v>0</v>
      </c>
      <c r="E535" t="s">
        <v>1377</v>
      </c>
      <c r="F535">
        <v>4623</v>
      </c>
      <c r="G535">
        <v>8157575.25</v>
      </c>
      <c r="H535">
        <v>0.91111111640930176</v>
      </c>
      <c r="I535">
        <v>0.64629629629629637</v>
      </c>
      <c r="J535">
        <v>278336.25</v>
      </c>
      <c r="K535">
        <v>7339</v>
      </c>
      <c r="L535">
        <v>2</v>
      </c>
      <c r="M535">
        <v>56</v>
      </c>
      <c r="N535">
        <v>0.64444444444444438</v>
      </c>
      <c r="O535">
        <v>275653.5</v>
      </c>
      <c r="P535">
        <v>7584</v>
      </c>
      <c r="Q535">
        <v>2</v>
      </c>
      <c r="R535">
        <v>57</v>
      </c>
      <c r="S535" t="s">
        <v>1378</v>
      </c>
      <c r="Z535">
        <f>IF((LEN(Wine_pres_final[[#This Row],[kan_width]])-LEN(SUBSTITUTE(Wine_pres_final[[#This Row],[kan_width]]," ","")))&gt;2,Wine_pres_final[[#This Row],[kan_test_acc]],"")</f>
        <v>0.91111111640930176</v>
      </c>
      <c r="AA535" t="str">
        <f>IF((LEN(Wine_pres_final[[#This Row],[kan_width]])-LEN(SUBSTITUTE(Wine_pres_final[[#This Row],[kan_width]]," ","")))&gt;2,"",Wine_pres_final[[#This Row],[kan_test_acc]])</f>
        <v/>
      </c>
      <c r="AB535">
        <f>Wine_pres_final[[#This Row],[mlp_test_acc]]</f>
        <v>0.64629629629629637</v>
      </c>
      <c r="AC535">
        <f>Wine_pres_final[[#This Row],[mlp_test_acc2]]</f>
        <v>0.64444444444444438</v>
      </c>
    </row>
    <row r="536" spans="1:29" hidden="1" x14ac:dyDescent="0.25">
      <c r="A536" t="s">
        <v>1336</v>
      </c>
      <c r="B536">
        <v>3</v>
      </c>
      <c r="C536">
        <v>2</v>
      </c>
      <c r="D536">
        <v>0</v>
      </c>
      <c r="E536" t="s">
        <v>1407</v>
      </c>
      <c r="F536">
        <v>5361</v>
      </c>
      <c r="G536">
        <v>8857544.25</v>
      </c>
      <c r="H536">
        <v>0.91111111640930176</v>
      </c>
      <c r="I536">
        <v>0.67037037037037028</v>
      </c>
      <c r="J536">
        <v>287018.58333333337</v>
      </c>
      <c r="K536">
        <v>8604</v>
      </c>
      <c r="L536">
        <v>2</v>
      </c>
      <c r="M536">
        <v>61</v>
      </c>
      <c r="N536">
        <v>0.68888888888888888</v>
      </c>
      <c r="O536">
        <v>260486.25</v>
      </c>
      <c r="P536">
        <v>8869</v>
      </c>
      <c r="Q536">
        <v>2</v>
      </c>
      <c r="R536">
        <v>62</v>
      </c>
      <c r="S536" t="s">
        <v>1408</v>
      </c>
      <c r="Z536">
        <f>IF((LEN(Wine_pres_final[[#This Row],[kan_width]])-LEN(SUBSTITUTE(Wine_pres_final[[#This Row],[kan_width]]," ","")))&gt;2,Wine_pres_final[[#This Row],[kan_test_acc]],"")</f>
        <v>0.91111111640930176</v>
      </c>
      <c r="AA536" t="str">
        <f>IF((LEN(Wine_pres_final[[#This Row],[kan_width]])-LEN(SUBSTITUTE(Wine_pres_final[[#This Row],[kan_width]]," ","")))&gt;2,"",Wine_pres_final[[#This Row],[kan_test_acc]])</f>
        <v/>
      </c>
      <c r="AB536">
        <f>Wine_pres_final[[#This Row],[mlp_test_acc]]</f>
        <v>0.67037037037037028</v>
      </c>
      <c r="AC536">
        <f>Wine_pres_final[[#This Row],[mlp_test_acc2]]</f>
        <v>0.68888888888888888</v>
      </c>
    </row>
    <row r="537" spans="1:29" hidden="1" x14ac:dyDescent="0.25">
      <c r="A537" t="s">
        <v>1336</v>
      </c>
      <c r="B537">
        <v>3</v>
      </c>
      <c r="C537">
        <v>3</v>
      </c>
      <c r="D537">
        <v>0</v>
      </c>
      <c r="E537" t="s">
        <v>1391</v>
      </c>
      <c r="F537">
        <v>5448</v>
      </c>
      <c r="G537">
        <v>10543517</v>
      </c>
      <c r="H537">
        <v>0.91111111640930176</v>
      </c>
      <c r="I537">
        <v>0.68148148148148158</v>
      </c>
      <c r="J537">
        <v>494465.25</v>
      </c>
      <c r="K537">
        <v>9411</v>
      </c>
      <c r="L537">
        <v>2</v>
      </c>
      <c r="M537">
        <v>64</v>
      </c>
      <c r="N537">
        <v>0.64814814814814814</v>
      </c>
      <c r="O537">
        <v>666779.16666666663</v>
      </c>
      <c r="P537">
        <v>9688</v>
      </c>
      <c r="Q537">
        <v>2</v>
      </c>
      <c r="R537">
        <v>65</v>
      </c>
      <c r="S537" t="s">
        <v>1464</v>
      </c>
      <c r="Z537">
        <f>IF((LEN(Wine_pres_final[[#This Row],[kan_width]])-LEN(SUBSTITUTE(Wine_pres_final[[#This Row],[kan_width]]," ","")))&gt;2,Wine_pres_final[[#This Row],[kan_test_acc]],"")</f>
        <v>0.91111111640930176</v>
      </c>
      <c r="AA537" t="str">
        <f>IF((LEN(Wine_pres_final[[#This Row],[kan_width]])-LEN(SUBSTITUTE(Wine_pres_final[[#This Row],[kan_width]]," ","")))&gt;2,"",Wine_pres_final[[#This Row],[kan_test_acc]])</f>
        <v/>
      </c>
      <c r="AB537">
        <f>Wine_pres_final[[#This Row],[mlp_test_acc]]</f>
        <v>0.68148148148148158</v>
      </c>
      <c r="AC537">
        <f>Wine_pres_final[[#This Row],[mlp_test_acc2]]</f>
        <v>0.64814814814814814</v>
      </c>
    </row>
    <row r="538" spans="1:29" hidden="1" x14ac:dyDescent="0.25">
      <c r="A538" t="s">
        <v>1336</v>
      </c>
      <c r="B538">
        <v>3</v>
      </c>
      <c r="C538">
        <v>2</v>
      </c>
      <c r="D538">
        <v>0</v>
      </c>
      <c r="E538" t="s">
        <v>1429</v>
      </c>
      <c r="F538">
        <v>7033</v>
      </c>
      <c r="G538">
        <v>8742521.916666666</v>
      </c>
      <c r="H538">
        <v>0.91111111640930176</v>
      </c>
      <c r="I538">
        <v>0.65</v>
      </c>
      <c r="J538">
        <v>788458.91666666674</v>
      </c>
      <c r="K538">
        <v>11133</v>
      </c>
      <c r="L538">
        <v>2</v>
      </c>
      <c r="M538">
        <v>70</v>
      </c>
      <c r="N538">
        <v>0.66296296296296298</v>
      </c>
      <c r="O538">
        <v>594657</v>
      </c>
      <c r="P538">
        <v>11434</v>
      </c>
      <c r="Q538">
        <v>2</v>
      </c>
      <c r="R538">
        <v>71</v>
      </c>
      <c r="S538" t="s">
        <v>1430</v>
      </c>
      <c r="Z538">
        <f>IF((LEN(Wine_pres_final[[#This Row],[kan_width]])-LEN(SUBSTITUTE(Wine_pres_final[[#This Row],[kan_width]]," ","")))&gt;2,Wine_pres_final[[#This Row],[kan_test_acc]],"")</f>
        <v>0.91111111640930176</v>
      </c>
      <c r="AA538" t="str">
        <f>IF((LEN(Wine_pres_final[[#This Row],[kan_width]])-LEN(SUBSTITUTE(Wine_pres_final[[#This Row],[kan_width]]," ","")))&gt;2,"",Wine_pres_final[[#This Row],[kan_test_acc]])</f>
        <v/>
      </c>
      <c r="AB538">
        <f>Wine_pres_final[[#This Row],[mlp_test_acc]]</f>
        <v>0.65</v>
      </c>
      <c r="AC538">
        <f>Wine_pres_final[[#This Row],[mlp_test_acc2]]</f>
        <v>0.66296296296296298</v>
      </c>
    </row>
    <row r="539" spans="1:29" hidden="1" x14ac:dyDescent="0.25">
      <c r="A539" t="s">
        <v>1336</v>
      </c>
      <c r="B539">
        <v>3</v>
      </c>
      <c r="C539">
        <v>3</v>
      </c>
      <c r="D539">
        <v>0</v>
      </c>
      <c r="E539" t="s">
        <v>1415</v>
      </c>
      <c r="F539">
        <v>7618</v>
      </c>
      <c r="G539">
        <v>12881230.166666668</v>
      </c>
      <c r="H539">
        <v>0.91111111640930176</v>
      </c>
      <c r="I539">
        <v>0.7314814814814814</v>
      </c>
      <c r="J539">
        <v>852747.66666666674</v>
      </c>
      <c r="K539">
        <v>13324</v>
      </c>
      <c r="L539">
        <v>2</v>
      </c>
      <c r="M539">
        <v>77</v>
      </c>
      <c r="N539">
        <v>0.67222222222222228</v>
      </c>
      <c r="O539">
        <v>572040.08333333337</v>
      </c>
      <c r="P539">
        <v>13653</v>
      </c>
      <c r="Q539">
        <v>2</v>
      </c>
      <c r="R539">
        <v>78</v>
      </c>
      <c r="S539" t="s">
        <v>1476</v>
      </c>
      <c r="Z539">
        <f>IF((LEN(Wine_pres_final[[#This Row],[kan_width]])-LEN(SUBSTITUTE(Wine_pres_final[[#This Row],[kan_width]]," ","")))&gt;2,Wine_pres_final[[#This Row],[kan_test_acc]],"")</f>
        <v>0.91111111640930176</v>
      </c>
      <c r="AA539" t="str">
        <f>IF((LEN(Wine_pres_final[[#This Row],[kan_width]])-LEN(SUBSTITUTE(Wine_pres_final[[#This Row],[kan_width]]," ","")))&gt;2,"",Wine_pres_final[[#This Row],[kan_test_acc]])</f>
        <v/>
      </c>
      <c r="AB539">
        <f>Wine_pres_final[[#This Row],[mlp_test_acc]]</f>
        <v>0.7314814814814814</v>
      </c>
      <c r="AC539">
        <f>Wine_pres_final[[#This Row],[mlp_test_acc2]]</f>
        <v>0.67222222222222228</v>
      </c>
    </row>
    <row r="540" spans="1:29" hidden="1" x14ac:dyDescent="0.25">
      <c r="A540" t="s">
        <v>1336</v>
      </c>
      <c r="B540">
        <v>5</v>
      </c>
      <c r="C540">
        <v>2</v>
      </c>
      <c r="D540">
        <v>0</v>
      </c>
      <c r="E540" t="s">
        <v>1345</v>
      </c>
      <c r="F540">
        <v>3384</v>
      </c>
      <c r="G540">
        <v>4199920.25</v>
      </c>
      <c r="H540">
        <v>0.9129629681507746</v>
      </c>
      <c r="I540">
        <v>0.71481481481481479</v>
      </c>
      <c r="J540">
        <v>307538.08333333337</v>
      </c>
      <c r="K540">
        <v>4908</v>
      </c>
      <c r="L540">
        <v>2</v>
      </c>
      <c r="M540">
        <v>45</v>
      </c>
      <c r="N540">
        <v>0.68518518518518512</v>
      </c>
      <c r="O540">
        <v>327777.91666666669</v>
      </c>
      <c r="P540">
        <v>5109</v>
      </c>
      <c r="Q540">
        <v>2</v>
      </c>
      <c r="R540">
        <v>46</v>
      </c>
      <c r="S540" t="s">
        <v>1591</v>
      </c>
      <c r="Z540" t="str">
        <f>IF((LEN(Wine_pres_final[[#This Row],[kan_width]])-LEN(SUBSTITUTE(Wine_pres_final[[#This Row],[kan_width]]," ","")))&gt;2,Wine_pres_final[[#This Row],[kan_test_acc]],"")</f>
        <v/>
      </c>
      <c r="AA540">
        <f>IF((LEN(Wine_pres_final[[#This Row],[kan_width]])-LEN(SUBSTITUTE(Wine_pres_final[[#This Row],[kan_width]]," ","")))&gt;2,"",Wine_pres_final[[#This Row],[kan_test_acc]])</f>
        <v>0.9129629681507746</v>
      </c>
      <c r="AB540">
        <f>Wine_pres_final[[#This Row],[mlp_test_acc]]</f>
        <v>0.71481481481481479</v>
      </c>
      <c r="AC540">
        <f>Wine_pres_final[[#This Row],[mlp_test_acc2]]</f>
        <v>0.68518518518518512</v>
      </c>
    </row>
    <row r="541" spans="1:29" hidden="1" x14ac:dyDescent="0.25">
      <c r="A541" t="s">
        <v>1336</v>
      </c>
      <c r="B541">
        <v>9</v>
      </c>
      <c r="C541">
        <v>2</v>
      </c>
      <c r="D541">
        <v>0</v>
      </c>
      <c r="E541" t="s">
        <v>1339</v>
      </c>
      <c r="F541">
        <v>3378</v>
      </c>
      <c r="G541">
        <v>4019104</v>
      </c>
      <c r="H541">
        <v>0.91296296815077471</v>
      </c>
      <c r="I541">
        <v>0.73333333333333339</v>
      </c>
      <c r="J541">
        <v>289599.66666666663</v>
      </c>
      <c r="K541">
        <v>4518</v>
      </c>
      <c r="L541">
        <v>2</v>
      </c>
      <c r="M541">
        <v>43</v>
      </c>
      <c r="N541">
        <v>0.65</v>
      </c>
      <c r="O541">
        <v>275284.58333333337</v>
      </c>
      <c r="P541">
        <v>4711</v>
      </c>
      <c r="Q541">
        <v>2</v>
      </c>
      <c r="R541">
        <v>44</v>
      </c>
      <c r="S541" t="s">
        <v>1788</v>
      </c>
      <c r="Z541" t="str">
        <f>IF((LEN(Wine_pres_final[[#This Row],[kan_width]])-LEN(SUBSTITUTE(Wine_pres_final[[#This Row],[kan_width]]," ","")))&gt;2,Wine_pres_final[[#This Row],[kan_test_acc]],"")</f>
        <v/>
      </c>
      <c r="AA541">
        <f>IF((LEN(Wine_pres_final[[#This Row],[kan_width]])-LEN(SUBSTITUTE(Wine_pres_final[[#This Row],[kan_width]]," ","")))&gt;2,"",Wine_pres_final[[#This Row],[kan_test_acc]])</f>
        <v>0.91296296815077471</v>
      </c>
      <c r="AB541">
        <f>Wine_pres_final[[#This Row],[mlp_test_acc]]</f>
        <v>0.73333333333333339</v>
      </c>
      <c r="AC541">
        <f>Wine_pres_final[[#This Row],[mlp_test_acc2]]</f>
        <v>0.65</v>
      </c>
    </row>
    <row r="542" spans="1:29" hidden="1" x14ac:dyDescent="0.25">
      <c r="A542" t="s">
        <v>1336</v>
      </c>
      <c r="B542">
        <v>3</v>
      </c>
      <c r="C542">
        <v>2</v>
      </c>
      <c r="D542">
        <v>0</v>
      </c>
      <c r="E542" t="s">
        <v>1379</v>
      </c>
      <c r="F542">
        <v>4913</v>
      </c>
      <c r="G542">
        <v>9872958.5</v>
      </c>
      <c r="H542">
        <v>0.91296296815077471</v>
      </c>
      <c r="I542">
        <v>0.66481481481481475</v>
      </c>
      <c r="J542">
        <v>261053.91666666666</v>
      </c>
      <c r="K542">
        <v>7833</v>
      </c>
      <c r="L542">
        <v>2</v>
      </c>
      <c r="M542">
        <v>58</v>
      </c>
      <c r="N542">
        <v>0.67222222222222228</v>
      </c>
      <c r="O542">
        <v>260847.83333333334</v>
      </c>
      <c r="P542">
        <v>8086</v>
      </c>
      <c r="Q542">
        <v>2</v>
      </c>
      <c r="R542">
        <v>59</v>
      </c>
      <c r="S542" t="s">
        <v>1380</v>
      </c>
      <c r="Z542">
        <f>IF((LEN(Wine_pres_final[[#This Row],[kan_width]])-LEN(SUBSTITUTE(Wine_pres_final[[#This Row],[kan_width]]," ","")))&gt;2,Wine_pres_final[[#This Row],[kan_test_acc]],"")</f>
        <v>0.91296296815077471</v>
      </c>
      <c r="AA542" t="str">
        <f>IF((LEN(Wine_pres_final[[#This Row],[kan_width]])-LEN(SUBSTITUTE(Wine_pres_final[[#This Row],[kan_width]]," ","")))&gt;2,"",Wine_pres_final[[#This Row],[kan_test_acc]])</f>
        <v/>
      </c>
      <c r="AB542">
        <f>Wine_pres_final[[#This Row],[mlp_test_acc]]</f>
        <v>0.66481481481481475</v>
      </c>
      <c r="AC542">
        <f>Wine_pres_final[[#This Row],[mlp_test_acc2]]</f>
        <v>0.67222222222222228</v>
      </c>
    </row>
    <row r="543" spans="1:29" hidden="1" x14ac:dyDescent="0.25">
      <c r="A543" t="s">
        <v>1336</v>
      </c>
      <c r="B543">
        <v>9</v>
      </c>
      <c r="C543">
        <v>3</v>
      </c>
      <c r="D543">
        <v>0</v>
      </c>
      <c r="E543" t="s">
        <v>1349</v>
      </c>
      <c r="F543">
        <v>6028</v>
      </c>
      <c r="G543">
        <v>5969377.25</v>
      </c>
      <c r="H543">
        <v>0.91296296815077471</v>
      </c>
      <c r="I543">
        <v>0.7314814814814814</v>
      </c>
      <c r="J543">
        <v>379670.5</v>
      </c>
      <c r="K543">
        <v>8604</v>
      </c>
      <c r="L543">
        <v>2</v>
      </c>
      <c r="M543">
        <v>61</v>
      </c>
      <c r="N543">
        <v>0.7592592592592593</v>
      </c>
      <c r="O543">
        <v>396988.83333333331</v>
      </c>
      <c r="P543">
        <v>8869</v>
      </c>
      <c r="Q543">
        <v>2</v>
      </c>
      <c r="R543">
        <v>62</v>
      </c>
      <c r="S543" t="s">
        <v>1843</v>
      </c>
      <c r="Z543" t="str">
        <f>IF((LEN(Wine_pres_final[[#This Row],[kan_width]])-LEN(SUBSTITUTE(Wine_pres_final[[#This Row],[kan_width]]," ","")))&gt;2,Wine_pres_final[[#This Row],[kan_test_acc]],"")</f>
        <v/>
      </c>
      <c r="AA543">
        <f>IF((LEN(Wine_pres_final[[#This Row],[kan_width]])-LEN(SUBSTITUTE(Wine_pres_final[[#This Row],[kan_width]]," ","")))&gt;2,"",Wine_pres_final[[#This Row],[kan_test_acc]])</f>
        <v>0.91296296815077471</v>
      </c>
      <c r="AB543">
        <f>Wine_pres_final[[#This Row],[mlp_test_acc]]</f>
        <v>0.7314814814814814</v>
      </c>
      <c r="AC543">
        <f>Wine_pres_final[[#This Row],[mlp_test_acc2]]</f>
        <v>0.7592592592592593</v>
      </c>
    </row>
    <row r="544" spans="1:29" hidden="1" x14ac:dyDescent="0.25">
      <c r="A544" t="s">
        <v>1336</v>
      </c>
      <c r="B544">
        <v>3</v>
      </c>
      <c r="C544">
        <v>3</v>
      </c>
      <c r="D544">
        <v>0</v>
      </c>
      <c r="E544" t="s">
        <v>1399</v>
      </c>
      <c r="F544">
        <v>6896</v>
      </c>
      <c r="G544">
        <v>12567946.666666668</v>
      </c>
      <c r="H544">
        <v>0.91296296815077471</v>
      </c>
      <c r="I544">
        <v>0.70555555555555549</v>
      </c>
      <c r="J544">
        <v>1615783.5</v>
      </c>
      <c r="K544">
        <v>12048</v>
      </c>
      <c r="L544">
        <v>2</v>
      </c>
      <c r="M544">
        <v>73</v>
      </c>
      <c r="N544">
        <v>0.69444444444444442</v>
      </c>
      <c r="O544">
        <v>1540080</v>
      </c>
      <c r="P544">
        <v>12361</v>
      </c>
      <c r="Q544">
        <v>2</v>
      </c>
      <c r="R544">
        <v>74</v>
      </c>
      <c r="S544" t="s">
        <v>1468</v>
      </c>
      <c r="Z544">
        <f>IF((LEN(Wine_pres_final[[#This Row],[kan_width]])-LEN(SUBSTITUTE(Wine_pres_final[[#This Row],[kan_width]]," ","")))&gt;2,Wine_pres_final[[#This Row],[kan_test_acc]],"")</f>
        <v>0.91296296815077471</v>
      </c>
      <c r="AA544" t="str">
        <f>IF((LEN(Wine_pres_final[[#This Row],[kan_width]])-LEN(SUBSTITUTE(Wine_pres_final[[#This Row],[kan_width]]," ","")))&gt;2,"",Wine_pres_final[[#This Row],[kan_test_acc]])</f>
        <v/>
      </c>
      <c r="AB544">
        <f>Wine_pres_final[[#This Row],[mlp_test_acc]]</f>
        <v>0.70555555555555549</v>
      </c>
      <c r="AC544">
        <f>Wine_pres_final[[#This Row],[mlp_test_acc2]]</f>
        <v>0.69444444444444442</v>
      </c>
    </row>
    <row r="545" spans="1:29" hidden="1" x14ac:dyDescent="0.25">
      <c r="A545" t="s">
        <v>1336</v>
      </c>
      <c r="B545">
        <v>3</v>
      </c>
      <c r="C545">
        <v>3</v>
      </c>
      <c r="D545">
        <v>0</v>
      </c>
      <c r="E545" t="s">
        <v>1431</v>
      </c>
      <c r="F545">
        <v>8340</v>
      </c>
      <c r="G545">
        <v>14265032.416666668</v>
      </c>
      <c r="H545">
        <v>0.91296296815077471</v>
      </c>
      <c r="I545">
        <v>0.70555555555555549</v>
      </c>
      <c r="J545">
        <v>1693364</v>
      </c>
      <c r="K545">
        <v>14664</v>
      </c>
      <c r="L545">
        <v>2</v>
      </c>
      <c r="M545">
        <v>81</v>
      </c>
      <c r="N545">
        <v>0.70555555555555549</v>
      </c>
      <c r="O545">
        <v>1089320.5833333333</v>
      </c>
      <c r="P545">
        <v>15009</v>
      </c>
      <c r="Q545">
        <v>2</v>
      </c>
      <c r="R545">
        <v>82</v>
      </c>
      <c r="S545" t="s">
        <v>1484</v>
      </c>
      <c r="Z545">
        <f>IF((LEN(Wine_pres_final[[#This Row],[kan_width]])-LEN(SUBSTITUTE(Wine_pres_final[[#This Row],[kan_width]]," ","")))&gt;2,Wine_pres_final[[#This Row],[kan_test_acc]],"")</f>
        <v>0.91296296815077471</v>
      </c>
      <c r="AA545" t="str">
        <f>IF((LEN(Wine_pres_final[[#This Row],[kan_width]])-LEN(SUBSTITUTE(Wine_pres_final[[#This Row],[kan_width]]," ","")))&gt;2,"",Wine_pres_final[[#This Row],[kan_test_acc]])</f>
        <v/>
      </c>
      <c r="AB545">
        <f>Wine_pres_final[[#This Row],[mlp_test_acc]]</f>
        <v>0.70555555555555549</v>
      </c>
      <c r="AC545">
        <f>Wine_pres_final[[#This Row],[mlp_test_acc2]]</f>
        <v>0.70555555555555549</v>
      </c>
    </row>
    <row r="546" spans="1:29" hidden="1" x14ac:dyDescent="0.25">
      <c r="A546" t="s">
        <v>1336</v>
      </c>
      <c r="B546">
        <v>3</v>
      </c>
      <c r="C546">
        <v>2</v>
      </c>
      <c r="D546">
        <v>0</v>
      </c>
      <c r="E546" t="s">
        <v>1387</v>
      </c>
      <c r="F546">
        <v>4203</v>
      </c>
      <c r="G546">
        <v>7951422.833333334</v>
      </c>
      <c r="H546">
        <v>0.91481481989224744</v>
      </c>
      <c r="I546">
        <v>0.6333333333333333</v>
      </c>
      <c r="J546">
        <v>294034.83333333337</v>
      </c>
      <c r="K546">
        <v>6628</v>
      </c>
      <c r="L546">
        <v>2</v>
      </c>
      <c r="M546">
        <v>53</v>
      </c>
      <c r="N546">
        <v>0.67962962962962958</v>
      </c>
      <c r="O546">
        <v>430027.58333333331</v>
      </c>
      <c r="P546">
        <v>6861</v>
      </c>
      <c r="Q546">
        <v>2</v>
      </c>
      <c r="R546">
        <v>54</v>
      </c>
      <c r="S546" t="s">
        <v>1388</v>
      </c>
      <c r="Z546">
        <f>IF((LEN(Wine_pres_final[[#This Row],[kan_width]])-LEN(SUBSTITUTE(Wine_pres_final[[#This Row],[kan_width]]," ","")))&gt;2,Wine_pres_final[[#This Row],[kan_test_acc]],"")</f>
        <v>0.91481481989224744</v>
      </c>
      <c r="AA546" t="str">
        <f>IF((LEN(Wine_pres_final[[#This Row],[kan_width]])-LEN(SUBSTITUTE(Wine_pres_final[[#This Row],[kan_width]]," ","")))&gt;2,"",Wine_pres_final[[#This Row],[kan_test_acc]])</f>
        <v/>
      </c>
      <c r="AB546">
        <f>Wine_pres_final[[#This Row],[mlp_test_acc]]</f>
        <v>0.6333333333333333</v>
      </c>
      <c r="AC546">
        <f>Wine_pres_final[[#This Row],[mlp_test_acc2]]</f>
        <v>0.67962962962962958</v>
      </c>
    </row>
    <row r="547" spans="1:29" hidden="1" x14ac:dyDescent="0.25">
      <c r="A547" t="s">
        <v>1336</v>
      </c>
      <c r="B547">
        <v>3</v>
      </c>
      <c r="C547">
        <v>2</v>
      </c>
      <c r="D547">
        <v>0</v>
      </c>
      <c r="E547" t="s">
        <v>1401</v>
      </c>
      <c r="F547">
        <v>4299</v>
      </c>
      <c r="G547">
        <v>9733045.916666666</v>
      </c>
      <c r="H547">
        <v>0.91481481989224744</v>
      </c>
      <c r="I547">
        <v>0.66481481481481475</v>
      </c>
      <c r="J547">
        <v>520435.66666666669</v>
      </c>
      <c r="K547">
        <v>6861</v>
      </c>
      <c r="L547">
        <v>2</v>
      </c>
      <c r="M547">
        <v>54</v>
      </c>
      <c r="N547">
        <v>0.69814814814814818</v>
      </c>
      <c r="O547">
        <v>397595.58333333331</v>
      </c>
      <c r="P547">
        <v>7098</v>
      </c>
      <c r="Q547">
        <v>2</v>
      </c>
      <c r="R547">
        <v>55</v>
      </c>
      <c r="S547" t="s">
        <v>1402</v>
      </c>
      <c r="Z547">
        <f>IF((LEN(Wine_pres_final[[#This Row],[kan_width]])-LEN(SUBSTITUTE(Wine_pres_final[[#This Row],[kan_width]]," ","")))&gt;2,Wine_pres_final[[#This Row],[kan_test_acc]],"")</f>
        <v>0.91481481989224744</v>
      </c>
      <c r="AA547" t="str">
        <f>IF((LEN(Wine_pres_final[[#This Row],[kan_width]])-LEN(SUBSTITUTE(Wine_pres_final[[#This Row],[kan_width]]," ","")))&gt;2,"",Wine_pres_final[[#This Row],[kan_test_acc]])</f>
        <v/>
      </c>
      <c r="AB547">
        <f>Wine_pres_final[[#This Row],[mlp_test_acc]]</f>
        <v>0.66481481481481475</v>
      </c>
      <c r="AC547">
        <f>Wine_pres_final[[#This Row],[mlp_test_acc2]]</f>
        <v>0.69814814814814818</v>
      </c>
    </row>
    <row r="548" spans="1:29" hidden="1" x14ac:dyDescent="0.25">
      <c r="A548" t="s">
        <v>1336</v>
      </c>
      <c r="B548">
        <v>3</v>
      </c>
      <c r="C548">
        <v>2</v>
      </c>
      <c r="D548">
        <v>0</v>
      </c>
      <c r="E548" t="s">
        <v>1369</v>
      </c>
      <c r="F548">
        <v>3463</v>
      </c>
      <c r="G548">
        <v>8886412.6666666679</v>
      </c>
      <c r="H548">
        <v>0.91481481989224755</v>
      </c>
      <c r="I548">
        <v>0.67222222222222228</v>
      </c>
      <c r="J548">
        <v>253405.25</v>
      </c>
      <c r="K548">
        <v>5523</v>
      </c>
      <c r="L548">
        <v>2</v>
      </c>
      <c r="M548">
        <v>48</v>
      </c>
      <c r="N548">
        <v>0.65370370370370368</v>
      </c>
      <c r="O548">
        <v>249736</v>
      </c>
      <c r="P548">
        <v>5736</v>
      </c>
      <c r="Q548">
        <v>2</v>
      </c>
      <c r="R548">
        <v>49</v>
      </c>
      <c r="S548" t="s">
        <v>1370</v>
      </c>
      <c r="Z548">
        <f>IF((LEN(Wine_pres_final[[#This Row],[kan_width]])-LEN(SUBSTITUTE(Wine_pres_final[[#This Row],[kan_width]]," ","")))&gt;2,Wine_pres_final[[#This Row],[kan_test_acc]],"")</f>
        <v>0.91481481989224755</v>
      </c>
      <c r="AA548" t="str">
        <f>IF((LEN(Wine_pres_final[[#This Row],[kan_width]])-LEN(SUBSTITUTE(Wine_pres_final[[#This Row],[kan_width]]," ","")))&gt;2,"",Wine_pres_final[[#This Row],[kan_test_acc]])</f>
        <v/>
      </c>
      <c r="AB548">
        <f>Wine_pres_final[[#This Row],[mlp_test_acc]]</f>
        <v>0.67222222222222228</v>
      </c>
      <c r="AC548">
        <f>Wine_pres_final[[#This Row],[mlp_test_acc2]]</f>
        <v>0.65370370370370368</v>
      </c>
    </row>
    <row r="549" spans="1:29" hidden="1" x14ac:dyDescent="0.25">
      <c r="A549" t="s">
        <v>1336</v>
      </c>
      <c r="B549">
        <v>3</v>
      </c>
      <c r="C549">
        <v>3</v>
      </c>
      <c r="D549">
        <v>0</v>
      </c>
      <c r="E549" t="s">
        <v>1343</v>
      </c>
      <c r="F549">
        <v>2758</v>
      </c>
      <c r="G549">
        <v>5855897.833333333</v>
      </c>
      <c r="H549">
        <v>0.9166666716337204</v>
      </c>
      <c r="I549">
        <v>0.69259259259259265</v>
      </c>
      <c r="J549">
        <v>292626.41666666663</v>
      </c>
      <c r="K549">
        <v>4711</v>
      </c>
      <c r="L549">
        <v>2</v>
      </c>
      <c r="M549">
        <v>44</v>
      </c>
      <c r="N549">
        <v>0.68333333333333335</v>
      </c>
      <c r="O549">
        <v>234879.16666666669</v>
      </c>
      <c r="P549">
        <v>4908</v>
      </c>
      <c r="Q549">
        <v>2</v>
      </c>
      <c r="R549">
        <v>45</v>
      </c>
      <c r="S549" t="s">
        <v>1440</v>
      </c>
      <c r="Z549" t="str">
        <f>IF((LEN(Wine_pres_final[[#This Row],[kan_width]])-LEN(SUBSTITUTE(Wine_pres_final[[#This Row],[kan_width]]," ","")))&gt;2,Wine_pres_final[[#This Row],[kan_test_acc]],"")</f>
        <v/>
      </c>
      <c r="AA549">
        <f>IF((LEN(Wine_pres_final[[#This Row],[kan_width]])-LEN(SUBSTITUTE(Wine_pres_final[[#This Row],[kan_width]]," ","")))&gt;2,"",Wine_pres_final[[#This Row],[kan_test_acc]])</f>
        <v>0.9166666716337204</v>
      </c>
      <c r="AB549">
        <f>Wine_pres_final[[#This Row],[mlp_test_acc]]</f>
        <v>0.69259259259259265</v>
      </c>
      <c r="AC549">
        <f>Wine_pres_final[[#This Row],[mlp_test_acc2]]</f>
        <v>0.68333333333333335</v>
      </c>
    </row>
    <row r="550" spans="1:29" hidden="1" x14ac:dyDescent="0.25">
      <c r="A550" t="s">
        <v>1336</v>
      </c>
      <c r="B550">
        <v>3</v>
      </c>
      <c r="C550">
        <v>3</v>
      </c>
      <c r="D550">
        <v>0</v>
      </c>
      <c r="E550" t="s">
        <v>1353</v>
      </c>
      <c r="F550">
        <v>3422</v>
      </c>
      <c r="G550">
        <v>4855204</v>
      </c>
      <c r="H550">
        <v>0.9166666716337204</v>
      </c>
      <c r="I550">
        <v>0.62037037037037035</v>
      </c>
      <c r="J550">
        <v>294615.58333333331</v>
      </c>
      <c r="K550">
        <v>5953</v>
      </c>
      <c r="L550">
        <v>2</v>
      </c>
      <c r="M550">
        <v>50</v>
      </c>
      <c r="N550">
        <v>0.68518518518518523</v>
      </c>
      <c r="O550">
        <v>292654.5</v>
      </c>
      <c r="P550">
        <v>6174</v>
      </c>
      <c r="Q550">
        <v>2</v>
      </c>
      <c r="R550">
        <v>51</v>
      </c>
      <c r="S550" t="s">
        <v>1445</v>
      </c>
      <c r="Z550">
        <f>IF((LEN(Wine_pres_final[[#This Row],[kan_width]])-LEN(SUBSTITUTE(Wine_pres_final[[#This Row],[kan_width]]," ","")))&gt;2,Wine_pres_final[[#This Row],[kan_test_acc]],"")</f>
        <v>0.9166666716337204</v>
      </c>
      <c r="AA550" t="str">
        <f>IF((LEN(Wine_pres_final[[#This Row],[kan_width]])-LEN(SUBSTITUTE(Wine_pres_final[[#This Row],[kan_width]]," ","")))&gt;2,"",Wine_pres_final[[#This Row],[kan_test_acc]])</f>
        <v/>
      </c>
      <c r="AB550">
        <f>Wine_pres_final[[#This Row],[mlp_test_acc]]</f>
        <v>0.62037037037037035</v>
      </c>
      <c r="AC550">
        <f>Wine_pres_final[[#This Row],[mlp_test_acc2]]</f>
        <v>0.68518518518518523</v>
      </c>
    </row>
    <row r="551" spans="1:29" hidden="1" x14ac:dyDescent="0.25">
      <c r="A551" t="s">
        <v>1336</v>
      </c>
      <c r="B551">
        <v>3</v>
      </c>
      <c r="C551">
        <v>2</v>
      </c>
      <c r="D551">
        <v>0</v>
      </c>
      <c r="E551" t="s">
        <v>1361</v>
      </c>
      <c r="F551">
        <v>4077</v>
      </c>
      <c r="G551">
        <v>7408754.75</v>
      </c>
      <c r="H551">
        <v>0.91851852337519335</v>
      </c>
      <c r="I551">
        <v>0.66851851851851851</v>
      </c>
      <c r="J551">
        <v>255050.58333333331</v>
      </c>
      <c r="K551">
        <v>6399</v>
      </c>
      <c r="L551">
        <v>2</v>
      </c>
      <c r="M551">
        <v>52</v>
      </c>
      <c r="N551">
        <v>0.73333333333333339</v>
      </c>
      <c r="O551">
        <v>228614.25</v>
      </c>
      <c r="P551">
        <v>6628</v>
      </c>
      <c r="Q551">
        <v>2</v>
      </c>
      <c r="R551">
        <v>53</v>
      </c>
      <c r="S551" t="s">
        <v>1362</v>
      </c>
      <c r="Z551">
        <f>IF((LEN(Wine_pres_final[[#This Row],[kan_width]])-LEN(SUBSTITUTE(Wine_pres_final[[#This Row],[kan_width]]," ","")))&gt;2,Wine_pres_final[[#This Row],[kan_test_acc]],"")</f>
        <v>0.91851852337519335</v>
      </c>
      <c r="AA551" t="str">
        <f>IF((LEN(Wine_pres_final[[#This Row],[kan_width]])-LEN(SUBSTITUTE(Wine_pres_final[[#This Row],[kan_width]]," ","")))&gt;2,"",Wine_pres_final[[#This Row],[kan_test_acc]])</f>
        <v/>
      </c>
      <c r="AB551">
        <f>Wine_pres_final[[#This Row],[mlp_test_acc]]</f>
        <v>0.66851851851851851</v>
      </c>
      <c r="AC551">
        <f>Wine_pres_final[[#This Row],[mlp_test_acc2]]</f>
        <v>0.73333333333333339</v>
      </c>
    </row>
    <row r="552" spans="1:29" hidden="1" x14ac:dyDescent="0.25">
      <c r="A552" t="s">
        <v>1336</v>
      </c>
      <c r="B552">
        <v>3</v>
      </c>
      <c r="C552">
        <v>2</v>
      </c>
      <c r="D552">
        <v>0</v>
      </c>
      <c r="E552" t="s">
        <v>1405</v>
      </c>
      <c r="F552">
        <v>5007</v>
      </c>
      <c r="G552">
        <v>9575450.8333333321</v>
      </c>
      <c r="H552">
        <v>0.91851852337519335</v>
      </c>
      <c r="I552">
        <v>0.69259259259259265</v>
      </c>
      <c r="J552">
        <v>292253.83333333337</v>
      </c>
      <c r="K552">
        <v>8086</v>
      </c>
      <c r="L552">
        <v>2</v>
      </c>
      <c r="M552">
        <v>59</v>
      </c>
      <c r="N552">
        <v>0.69259259259259265</v>
      </c>
      <c r="O552">
        <v>276341.83333333331</v>
      </c>
      <c r="P552">
        <v>8343</v>
      </c>
      <c r="Q552">
        <v>2</v>
      </c>
      <c r="R552">
        <v>60</v>
      </c>
      <c r="S552" t="s">
        <v>1406</v>
      </c>
      <c r="Z552">
        <f>IF((LEN(Wine_pres_final[[#This Row],[kan_width]])-LEN(SUBSTITUTE(Wine_pres_final[[#This Row],[kan_width]]," ","")))&gt;2,Wine_pres_final[[#This Row],[kan_test_acc]],"")</f>
        <v>0.91851852337519335</v>
      </c>
      <c r="AA552" t="str">
        <f>IF((LEN(Wine_pres_final[[#This Row],[kan_width]])-LEN(SUBSTITUTE(Wine_pres_final[[#This Row],[kan_width]]," ","")))&gt;2,"",Wine_pres_final[[#This Row],[kan_test_acc]])</f>
        <v/>
      </c>
      <c r="AB552">
        <f>Wine_pres_final[[#This Row],[mlp_test_acc]]</f>
        <v>0.69259259259259265</v>
      </c>
      <c r="AC552">
        <f>Wine_pres_final[[#This Row],[mlp_test_acc2]]</f>
        <v>0.69259259259259265</v>
      </c>
    </row>
    <row r="553" spans="1:29" hidden="1" x14ac:dyDescent="0.25">
      <c r="A553" t="s">
        <v>1336</v>
      </c>
      <c r="B553">
        <v>3</v>
      </c>
      <c r="C553">
        <v>2</v>
      </c>
      <c r="D553">
        <v>0</v>
      </c>
      <c r="E553" t="s">
        <v>1339</v>
      </c>
      <c r="F553">
        <v>1938</v>
      </c>
      <c r="G553">
        <v>3516568.75</v>
      </c>
      <c r="H553">
        <v>0.92037037511666608</v>
      </c>
      <c r="I553">
        <v>0.73888888888888893</v>
      </c>
      <c r="J553">
        <v>187496.41666666669</v>
      </c>
      <c r="K553">
        <v>3118</v>
      </c>
      <c r="L553">
        <v>2</v>
      </c>
      <c r="M553">
        <v>35</v>
      </c>
      <c r="N553">
        <v>0.67407407407407405</v>
      </c>
      <c r="O553">
        <v>185708.08333333331</v>
      </c>
      <c r="P553">
        <v>3279</v>
      </c>
      <c r="Q553">
        <v>2</v>
      </c>
      <c r="R553">
        <v>36</v>
      </c>
      <c r="S553" t="s">
        <v>1340</v>
      </c>
      <c r="Z553" t="str">
        <f>IF((LEN(Wine_pres_final[[#This Row],[kan_width]])-LEN(SUBSTITUTE(Wine_pres_final[[#This Row],[kan_width]]," ","")))&gt;2,Wine_pres_final[[#This Row],[kan_test_acc]],"")</f>
        <v/>
      </c>
      <c r="AA553">
        <f>IF((LEN(Wine_pres_final[[#This Row],[kan_width]])-LEN(SUBSTITUTE(Wine_pres_final[[#This Row],[kan_width]]," ","")))&gt;2,"",Wine_pres_final[[#This Row],[kan_test_acc]])</f>
        <v>0.92037037511666608</v>
      </c>
      <c r="AB553">
        <f>Wine_pres_final[[#This Row],[mlp_test_acc]]</f>
        <v>0.73888888888888893</v>
      </c>
      <c r="AC553">
        <f>Wine_pres_final[[#This Row],[mlp_test_acc2]]</f>
        <v>0.67407407407407405</v>
      </c>
    </row>
    <row r="554" spans="1:29" hidden="1" x14ac:dyDescent="0.25">
      <c r="A554" t="s">
        <v>1336</v>
      </c>
      <c r="B554">
        <v>5</v>
      </c>
      <c r="C554">
        <v>3</v>
      </c>
      <c r="D554">
        <v>0</v>
      </c>
      <c r="E554" t="s">
        <v>1339</v>
      </c>
      <c r="F554">
        <v>2658</v>
      </c>
      <c r="G554">
        <v>3959551.6666666665</v>
      </c>
      <c r="H554">
        <v>0.92037037511666608</v>
      </c>
      <c r="I554">
        <v>0.65370370370370368</v>
      </c>
      <c r="J554">
        <v>286237</v>
      </c>
      <c r="K554">
        <v>4329</v>
      </c>
      <c r="L554">
        <v>2</v>
      </c>
      <c r="M554">
        <v>42</v>
      </c>
      <c r="N554">
        <v>0.69444444444444442</v>
      </c>
      <c r="O554">
        <v>305643.58333333337</v>
      </c>
      <c r="P554">
        <v>4518</v>
      </c>
      <c r="Q554">
        <v>2</v>
      </c>
      <c r="R554">
        <v>43</v>
      </c>
      <c r="S554" t="s">
        <v>1638</v>
      </c>
      <c r="Z554" t="str">
        <f>IF((LEN(Wine_pres_final[[#This Row],[kan_width]])-LEN(SUBSTITUTE(Wine_pres_final[[#This Row],[kan_width]]," ","")))&gt;2,Wine_pres_final[[#This Row],[kan_test_acc]],"")</f>
        <v/>
      </c>
      <c r="AA554">
        <f>IF((LEN(Wine_pres_final[[#This Row],[kan_width]])-LEN(SUBSTITUTE(Wine_pres_final[[#This Row],[kan_width]]," ","")))&gt;2,"",Wine_pres_final[[#This Row],[kan_test_acc]])</f>
        <v>0.92037037511666608</v>
      </c>
      <c r="AB554">
        <f>Wine_pres_final[[#This Row],[mlp_test_acc]]</f>
        <v>0.65370370370370368</v>
      </c>
      <c r="AC554">
        <f>Wine_pres_final[[#This Row],[mlp_test_acc2]]</f>
        <v>0.69444444444444442</v>
      </c>
    </row>
    <row r="555" spans="1:29" hidden="1" x14ac:dyDescent="0.25">
      <c r="A555" t="s">
        <v>1336</v>
      </c>
      <c r="B555">
        <v>3</v>
      </c>
      <c r="C555">
        <v>2</v>
      </c>
      <c r="D555">
        <v>0</v>
      </c>
      <c r="E555" t="s">
        <v>1375</v>
      </c>
      <c r="F555">
        <v>4333</v>
      </c>
      <c r="G555">
        <v>7706619.916666666</v>
      </c>
      <c r="H555">
        <v>0.92037037511666608</v>
      </c>
      <c r="I555">
        <v>0.67777777777777781</v>
      </c>
      <c r="J555">
        <v>278608.5</v>
      </c>
      <c r="K555">
        <v>6861</v>
      </c>
      <c r="L555">
        <v>2</v>
      </c>
      <c r="M555">
        <v>54</v>
      </c>
      <c r="N555">
        <v>0.70740740740740748</v>
      </c>
      <c r="O555">
        <v>257067</v>
      </c>
      <c r="P555">
        <v>7098</v>
      </c>
      <c r="Q555">
        <v>2</v>
      </c>
      <c r="R555">
        <v>55</v>
      </c>
      <c r="S555" t="s">
        <v>1376</v>
      </c>
      <c r="Z555">
        <f>IF((LEN(Wine_pres_final[[#This Row],[kan_width]])-LEN(SUBSTITUTE(Wine_pres_final[[#This Row],[kan_width]]," ","")))&gt;2,Wine_pres_final[[#This Row],[kan_test_acc]],"")</f>
        <v>0.92037037511666608</v>
      </c>
      <c r="AA555" t="str">
        <f>IF((LEN(Wine_pres_final[[#This Row],[kan_width]])-LEN(SUBSTITUTE(Wine_pres_final[[#This Row],[kan_width]]," ","")))&gt;2,"",Wine_pres_final[[#This Row],[kan_test_acc]])</f>
        <v/>
      </c>
      <c r="AB555">
        <f>Wine_pres_final[[#This Row],[mlp_test_acc]]</f>
        <v>0.67777777777777781</v>
      </c>
      <c r="AC555">
        <f>Wine_pres_final[[#This Row],[mlp_test_acc2]]</f>
        <v>0.70740740740740748</v>
      </c>
    </row>
    <row r="556" spans="1:29" hidden="1" x14ac:dyDescent="0.25">
      <c r="A556" t="s">
        <v>1336</v>
      </c>
      <c r="B556">
        <v>3</v>
      </c>
      <c r="C556">
        <v>2</v>
      </c>
      <c r="D556">
        <v>0</v>
      </c>
      <c r="E556" t="s">
        <v>1417</v>
      </c>
      <c r="F556">
        <v>4717</v>
      </c>
      <c r="G556">
        <v>8969892.5</v>
      </c>
      <c r="H556">
        <v>0.92037037511666608</v>
      </c>
      <c r="I556">
        <v>0.72962962962962963</v>
      </c>
      <c r="J556">
        <v>443974.33333333337</v>
      </c>
      <c r="K556">
        <v>7584</v>
      </c>
      <c r="L556">
        <v>2</v>
      </c>
      <c r="M556">
        <v>57</v>
      </c>
      <c r="N556">
        <v>0.66296296296296298</v>
      </c>
      <c r="O556">
        <v>579487.41666666663</v>
      </c>
      <c r="P556">
        <v>7833</v>
      </c>
      <c r="Q556">
        <v>2</v>
      </c>
      <c r="R556">
        <v>58</v>
      </c>
      <c r="S556" t="s">
        <v>1418</v>
      </c>
      <c r="Z556">
        <f>IF((LEN(Wine_pres_final[[#This Row],[kan_width]])-LEN(SUBSTITUTE(Wine_pres_final[[#This Row],[kan_width]]," ","")))&gt;2,Wine_pres_final[[#This Row],[kan_test_acc]],"")</f>
        <v>0.92037037511666608</v>
      </c>
      <c r="AA556" t="str">
        <f>IF((LEN(Wine_pres_final[[#This Row],[kan_width]])-LEN(SUBSTITUTE(Wine_pres_final[[#This Row],[kan_width]]," ","")))&gt;2,"",Wine_pres_final[[#This Row],[kan_test_acc]])</f>
        <v/>
      </c>
      <c r="AB556">
        <f>Wine_pres_final[[#This Row],[mlp_test_acc]]</f>
        <v>0.72962962962962963</v>
      </c>
      <c r="AC556">
        <f>Wine_pres_final[[#This Row],[mlp_test_acc2]]</f>
        <v>0.66296296296296298</v>
      </c>
    </row>
    <row r="557" spans="1:29" hidden="1" x14ac:dyDescent="0.25">
      <c r="A557" t="s">
        <v>1336</v>
      </c>
      <c r="B557">
        <v>3</v>
      </c>
      <c r="C557">
        <v>2</v>
      </c>
      <c r="D557">
        <v>0</v>
      </c>
      <c r="E557" t="s">
        <v>1421</v>
      </c>
      <c r="F557">
        <v>5489</v>
      </c>
      <c r="G557">
        <v>9957964.3333333321</v>
      </c>
      <c r="H557">
        <v>0.92037037511666608</v>
      </c>
      <c r="I557">
        <v>0.67777777777777781</v>
      </c>
      <c r="J557">
        <v>311487.66666666663</v>
      </c>
      <c r="K557">
        <v>8869</v>
      </c>
      <c r="L557">
        <v>2</v>
      </c>
      <c r="M557">
        <v>62</v>
      </c>
      <c r="N557">
        <v>0.64629629629629637</v>
      </c>
      <c r="O557">
        <v>290144.66666666663</v>
      </c>
      <c r="P557">
        <v>9138</v>
      </c>
      <c r="Q557">
        <v>2</v>
      </c>
      <c r="R557">
        <v>63</v>
      </c>
      <c r="S557" t="s">
        <v>1422</v>
      </c>
      <c r="Z557">
        <f>IF((LEN(Wine_pres_final[[#This Row],[kan_width]])-LEN(SUBSTITUTE(Wine_pres_final[[#This Row],[kan_width]]," ","")))&gt;2,Wine_pres_final[[#This Row],[kan_test_acc]],"")</f>
        <v>0.92037037511666608</v>
      </c>
      <c r="AA557" t="str">
        <f>IF((LEN(Wine_pres_final[[#This Row],[kan_width]])-LEN(SUBSTITUTE(Wine_pres_final[[#This Row],[kan_width]]," ","")))&gt;2,"",Wine_pres_final[[#This Row],[kan_test_acc]])</f>
        <v/>
      </c>
      <c r="AB557">
        <f>Wine_pres_final[[#This Row],[mlp_test_acc]]</f>
        <v>0.67777777777777781</v>
      </c>
      <c r="AC557">
        <f>Wine_pres_final[[#This Row],[mlp_test_acc2]]</f>
        <v>0.64629629629629637</v>
      </c>
    </row>
    <row r="558" spans="1:29" hidden="1" x14ac:dyDescent="0.25">
      <c r="A558" t="s">
        <v>1336</v>
      </c>
      <c r="B558">
        <v>3</v>
      </c>
      <c r="C558">
        <v>3</v>
      </c>
      <c r="D558">
        <v>0</v>
      </c>
      <c r="E558" t="s">
        <v>1379</v>
      </c>
      <c r="F558">
        <v>5522</v>
      </c>
      <c r="G558">
        <v>12980884.583333334</v>
      </c>
      <c r="H558">
        <v>0.92037037511666608</v>
      </c>
      <c r="I558">
        <v>0.74629629629629624</v>
      </c>
      <c r="J558">
        <v>796559.91666666663</v>
      </c>
      <c r="K558">
        <v>9688</v>
      </c>
      <c r="L558">
        <v>2</v>
      </c>
      <c r="M558">
        <v>65</v>
      </c>
      <c r="N558">
        <v>0.65740740740740744</v>
      </c>
      <c r="O558">
        <v>789521.75</v>
      </c>
      <c r="P558">
        <v>9969</v>
      </c>
      <c r="Q558">
        <v>2</v>
      </c>
      <c r="R558">
        <v>66</v>
      </c>
      <c r="S558" t="s">
        <v>1458</v>
      </c>
      <c r="Z558">
        <f>IF((LEN(Wine_pres_final[[#This Row],[kan_width]])-LEN(SUBSTITUTE(Wine_pres_final[[#This Row],[kan_width]]," ","")))&gt;2,Wine_pres_final[[#This Row],[kan_test_acc]],"")</f>
        <v>0.92037037511666608</v>
      </c>
      <c r="AA558" t="str">
        <f>IF((LEN(Wine_pres_final[[#This Row],[kan_width]])-LEN(SUBSTITUTE(Wine_pres_final[[#This Row],[kan_width]]," ","")))&gt;2,"",Wine_pres_final[[#This Row],[kan_test_acc]])</f>
        <v/>
      </c>
      <c r="AB558">
        <f>Wine_pres_final[[#This Row],[mlp_test_acc]]</f>
        <v>0.74629629629629624</v>
      </c>
      <c r="AC558">
        <f>Wine_pres_final[[#This Row],[mlp_test_acc2]]</f>
        <v>0.65740740740740744</v>
      </c>
    </row>
    <row r="559" spans="1:29" hidden="1" x14ac:dyDescent="0.25">
      <c r="A559" t="s">
        <v>1336</v>
      </c>
      <c r="B559">
        <v>3</v>
      </c>
      <c r="C559">
        <v>3</v>
      </c>
      <c r="D559">
        <v>0</v>
      </c>
      <c r="E559" t="s">
        <v>1433</v>
      </c>
      <c r="F559">
        <v>1308</v>
      </c>
      <c r="G559">
        <v>8370918.583333333</v>
      </c>
      <c r="H559">
        <v>0.9203703751166662</v>
      </c>
      <c r="I559">
        <v>0.72222222222222221</v>
      </c>
      <c r="J559">
        <v>724459.5</v>
      </c>
      <c r="K559">
        <v>2236</v>
      </c>
      <c r="L559">
        <v>2</v>
      </c>
      <c r="M559">
        <v>29</v>
      </c>
      <c r="N559">
        <v>0.66851851851851851</v>
      </c>
      <c r="O559">
        <v>513428.58333333337</v>
      </c>
      <c r="P559">
        <v>2373</v>
      </c>
      <c r="Q559">
        <v>2</v>
      </c>
      <c r="R559">
        <v>30</v>
      </c>
      <c r="S559" t="s">
        <v>1434</v>
      </c>
      <c r="Z559" t="str">
        <f>IF((LEN(Wine_pres_final[[#This Row],[kan_width]])-LEN(SUBSTITUTE(Wine_pres_final[[#This Row],[kan_width]]," ","")))&gt;2,Wine_pres_final[[#This Row],[kan_test_acc]],"")</f>
        <v/>
      </c>
      <c r="AA559">
        <f>IF((LEN(Wine_pres_final[[#This Row],[kan_width]])-LEN(SUBSTITUTE(Wine_pres_final[[#This Row],[kan_width]]," ","")))&gt;2,"",Wine_pres_final[[#This Row],[kan_test_acc]])</f>
        <v>0.9203703751166662</v>
      </c>
      <c r="AB559">
        <f>Wine_pres_final[[#This Row],[mlp_test_acc]]</f>
        <v>0.72222222222222221</v>
      </c>
      <c r="AC559">
        <f>Wine_pres_final[[#This Row],[mlp_test_acc2]]</f>
        <v>0.66851851851851851</v>
      </c>
    </row>
    <row r="560" spans="1:29" hidden="1" x14ac:dyDescent="0.25">
      <c r="A560" t="s">
        <v>1336</v>
      </c>
      <c r="B560">
        <v>3</v>
      </c>
      <c r="C560">
        <v>4</v>
      </c>
      <c r="D560">
        <v>0</v>
      </c>
      <c r="E560" t="s">
        <v>1433</v>
      </c>
      <c r="F560">
        <v>1452</v>
      </c>
      <c r="G560">
        <v>11950945.583333334</v>
      </c>
      <c r="H560">
        <v>0.92222222685813904</v>
      </c>
      <c r="I560">
        <v>0.67037037037037039</v>
      </c>
      <c r="J560">
        <v>1787204.8333333333</v>
      </c>
      <c r="K560">
        <v>2659</v>
      </c>
      <c r="L560">
        <v>2</v>
      </c>
      <c r="M560">
        <v>32</v>
      </c>
      <c r="N560">
        <v>0.69259259259259265</v>
      </c>
      <c r="O560">
        <v>1269936.25</v>
      </c>
      <c r="P560">
        <v>2808</v>
      </c>
      <c r="Q560">
        <v>2</v>
      </c>
      <c r="R560">
        <v>33</v>
      </c>
      <c r="S560" t="s">
        <v>1485</v>
      </c>
      <c r="Z560" t="str">
        <f>IF((LEN(Wine_pres_final[[#This Row],[kan_width]])-LEN(SUBSTITUTE(Wine_pres_final[[#This Row],[kan_width]]," ","")))&gt;2,Wine_pres_final[[#This Row],[kan_test_acc]],"")</f>
        <v/>
      </c>
      <c r="AA560">
        <f>IF((LEN(Wine_pres_final[[#This Row],[kan_width]])-LEN(SUBSTITUTE(Wine_pres_final[[#This Row],[kan_width]]," ","")))&gt;2,"",Wine_pres_final[[#This Row],[kan_test_acc]])</f>
        <v>0.92222222685813904</v>
      </c>
      <c r="AB560">
        <f>Wine_pres_final[[#This Row],[mlp_test_acc]]</f>
        <v>0.67037037037037039</v>
      </c>
      <c r="AC560">
        <f>Wine_pres_final[[#This Row],[mlp_test_acc2]]</f>
        <v>0.69259259259259265</v>
      </c>
    </row>
    <row r="561" spans="1:29" hidden="1" x14ac:dyDescent="0.25">
      <c r="A561" t="s">
        <v>1336</v>
      </c>
      <c r="B561">
        <v>3</v>
      </c>
      <c r="C561">
        <v>3</v>
      </c>
      <c r="D561">
        <v>0</v>
      </c>
      <c r="E561" t="s">
        <v>1337</v>
      </c>
      <c r="F561">
        <v>1888</v>
      </c>
      <c r="G561">
        <v>4181409.833333333</v>
      </c>
      <c r="H561">
        <v>0.92222222685813904</v>
      </c>
      <c r="I561">
        <v>0.70740740740740737</v>
      </c>
      <c r="J561">
        <v>245073.75</v>
      </c>
      <c r="K561">
        <v>3279</v>
      </c>
      <c r="L561">
        <v>2</v>
      </c>
      <c r="M561">
        <v>36</v>
      </c>
      <c r="N561">
        <v>0.73703703703703705</v>
      </c>
      <c r="O561">
        <v>239936.25</v>
      </c>
      <c r="P561">
        <v>3444</v>
      </c>
      <c r="Q561">
        <v>2</v>
      </c>
      <c r="R561">
        <v>37</v>
      </c>
      <c r="S561" t="s">
        <v>1437</v>
      </c>
      <c r="Z561" t="str">
        <f>IF((LEN(Wine_pres_final[[#This Row],[kan_width]])-LEN(SUBSTITUTE(Wine_pres_final[[#This Row],[kan_width]]," ","")))&gt;2,Wine_pres_final[[#This Row],[kan_test_acc]],"")</f>
        <v/>
      </c>
      <c r="AA561">
        <f>IF((LEN(Wine_pres_final[[#This Row],[kan_width]])-LEN(SUBSTITUTE(Wine_pres_final[[#This Row],[kan_width]]," ","")))&gt;2,"",Wine_pres_final[[#This Row],[kan_test_acc]])</f>
        <v>0.92222222685813904</v>
      </c>
      <c r="AB561">
        <f>Wine_pres_final[[#This Row],[mlp_test_acc]]</f>
        <v>0.70740740740740737</v>
      </c>
      <c r="AC561">
        <f>Wine_pres_final[[#This Row],[mlp_test_acc2]]</f>
        <v>0.73703703703703705</v>
      </c>
    </row>
    <row r="562" spans="1:29" hidden="1" x14ac:dyDescent="0.25">
      <c r="A562" t="s">
        <v>1336</v>
      </c>
      <c r="B562">
        <v>9</v>
      </c>
      <c r="C562">
        <v>3</v>
      </c>
      <c r="D562">
        <v>0</v>
      </c>
      <c r="E562" t="s">
        <v>1339</v>
      </c>
      <c r="F562">
        <v>3618</v>
      </c>
      <c r="G562">
        <v>3414099.333333333</v>
      </c>
      <c r="H562">
        <v>0.92222222685813904</v>
      </c>
      <c r="I562">
        <v>0.67222222222222228</v>
      </c>
      <c r="J562">
        <v>305650.75</v>
      </c>
      <c r="K562">
        <v>5109</v>
      </c>
      <c r="L562">
        <v>2</v>
      </c>
      <c r="M562">
        <v>46</v>
      </c>
      <c r="N562">
        <v>0.68888888888888888</v>
      </c>
      <c r="O562">
        <v>307511.91666666669</v>
      </c>
      <c r="P562">
        <v>5314</v>
      </c>
      <c r="Q562">
        <v>2</v>
      </c>
      <c r="R562">
        <v>47</v>
      </c>
      <c r="S562" t="s">
        <v>1838</v>
      </c>
      <c r="Z562" t="str">
        <f>IF((LEN(Wine_pres_final[[#This Row],[kan_width]])-LEN(SUBSTITUTE(Wine_pres_final[[#This Row],[kan_width]]," ","")))&gt;2,Wine_pres_final[[#This Row],[kan_test_acc]],"")</f>
        <v/>
      </c>
      <c r="AA562">
        <f>IF((LEN(Wine_pres_final[[#This Row],[kan_width]])-LEN(SUBSTITUTE(Wine_pres_final[[#This Row],[kan_width]]," ","")))&gt;2,"",Wine_pres_final[[#This Row],[kan_test_acc]])</f>
        <v>0.92222222685813904</v>
      </c>
      <c r="AB562">
        <f>Wine_pres_final[[#This Row],[mlp_test_acc]]</f>
        <v>0.67222222222222228</v>
      </c>
      <c r="AC562">
        <f>Wine_pres_final[[#This Row],[mlp_test_acc2]]</f>
        <v>0.68888888888888888</v>
      </c>
    </row>
    <row r="563" spans="1:29" hidden="1" x14ac:dyDescent="0.25">
      <c r="A563" t="s">
        <v>1336</v>
      </c>
      <c r="B563">
        <v>3</v>
      </c>
      <c r="C563">
        <v>4</v>
      </c>
      <c r="D563">
        <v>0</v>
      </c>
      <c r="E563" t="s">
        <v>1349</v>
      </c>
      <c r="F563">
        <v>4028</v>
      </c>
      <c r="G563">
        <v>5278217.083333334</v>
      </c>
      <c r="H563">
        <v>0.92222222685813904</v>
      </c>
      <c r="I563">
        <v>0.63888888888888884</v>
      </c>
      <c r="J563">
        <v>325683.16666666663</v>
      </c>
      <c r="K563">
        <v>7584</v>
      </c>
      <c r="L563">
        <v>2</v>
      </c>
      <c r="M563">
        <v>57</v>
      </c>
      <c r="N563">
        <v>0.66666666666666674</v>
      </c>
      <c r="O563">
        <v>340604.5</v>
      </c>
      <c r="P563">
        <v>7833</v>
      </c>
      <c r="Q563">
        <v>2</v>
      </c>
      <c r="R563">
        <v>58</v>
      </c>
      <c r="S563" t="s">
        <v>1493</v>
      </c>
      <c r="Z563" t="str">
        <f>IF((LEN(Wine_pres_final[[#This Row],[kan_width]])-LEN(SUBSTITUTE(Wine_pres_final[[#This Row],[kan_width]]," ","")))&gt;2,Wine_pres_final[[#This Row],[kan_test_acc]],"")</f>
        <v/>
      </c>
      <c r="AA563">
        <f>IF((LEN(Wine_pres_final[[#This Row],[kan_width]])-LEN(SUBSTITUTE(Wine_pres_final[[#This Row],[kan_width]]," ","")))&gt;2,"",Wine_pres_final[[#This Row],[kan_test_acc]])</f>
        <v>0.92222222685813904</v>
      </c>
      <c r="AB563">
        <f>Wine_pres_final[[#This Row],[mlp_test_acc]]</f>
        <v>0.63888888888888884</v>
      </c>
      <c r="AC563">
        <f>Wine_pres_final[[#This Row],[mlp_test_acc2]]</f>
        <v>0.66666666666666674</v>
      </c>
    </row>
    <row r="564" spans="1:29" hidden="1" x14ac:dyDescent="0.25">
      <c r="A564" t="s">
        <v>1336</v>
      </c>
      <c r="B564">
        <v>5</v>
      </c>
      <c r="C564">
        <v>3</v>
      </c>
      <c r="D564">
        <v>0</v>
      </c>
      <c r="E564" t="s">
        <v>1353</v>
      </c>
      <c r="F564">
        <v>4176</v>
      </c>
      <c r="G564">
        <v>6460161.416666667</v>
      </c>
      <c r="H564">
        <v>0.92222222685813904</v>
      </c>
      <c r="I564">
        <v>0.66296296296296298</v>
      </c>
      <c r="J564">
        <v>397066.25</v>
      </c>
      <c r="K564">
        <v>6628</v>
      </c>
      <c r="L564">
        <v>2</v>
      </c>
      <c r="M564">
        <v>53</v>
      </c>
      <c r="N564">
        <v>0.70555555555555549</v>
      </c>
      <c r="O564">
        <v>402928.75</v>
      </c>
      <c r="P564">
        <v>6861</v>
      </c>
      <c r="Q564">
        <v>2</v>
      </c>
      <c r="R564">
        <v>54</v>
      </c>
      <c r="S564" t="s">
        <v>1645</v>
      </c>
      <c r="Z564">
        <f>IF((LEN(Wine_pres_final[[#This Row],[kan_width]])-LEN(SUBSTITUTE(Wine_pres_final[[#This Row],[kan_width]]," ","")))&gt;2,Wine_pres_final[[#This Row],[kan_test_acc]],"")</f>
        <v>0.92222222685813904</v>
      </c>
      <c r="AA564" t="str">
        <f>IF((LEN(Wine_pres_final[[#This Row],[kan_width]])-LEN(SUBSTITUTE(Wine_pres_final[[#This Row],[kan_width]]," ","")))&gt;2,"",Wine_pres_final[[#This Row],[kan_test_acc]])</f>
        <v/>
      </c>
      <c r="AB564">
        <f>Wine_pres_final[[#This Row],[mlp_test_acc]]</f>
        <v>0.66296296296296298</v>
      </c>
      <c r="AC564">
        <f>Wine_pres_final[[#This Row],[mlp_test_acc2]]</f>
        <v>0.70555555555555549</v>
      </c>
    </row>
    <row r="565" spans="1:29" hidden="1" x14ac:dyDescent="0.25">
      <c r="A565" t="s">
        <v>1336</v>
      </c>
      <c r="B565">
        <v>3</v>
      </c>
      <c r="C565">
        <v>2</v>
      </c>
      <c r="D565">
        <v>0</v>
      </c>
      <c r="E565" t="s">
        <v>1403</v>
      </c>
      <c r="F565">
        <v>4653</v>
      </c>
      <c r="G565">
        <v>8988504.5</v>
      </c>
      <c r="H565">
        <v>0.92222222685813904</v>
      </c>
      <c r="I565">
        <v>0.68518518518518512</v>
      </c>
      <c r="J565">
        <v>411270.66666666669</v>
      </c>
      <c r="K565">
        <v>7339</v>
      </c>
      <c r="L565">
        <v>2</v>
      </c>
      <c r="M565">
        <v>56</v>
      </c>
      <c r="N565">
        <v>0.70370370370370372</v>
      </c>
      <c r="O565">
        <v>337061.58333333331</v>
      </c>
      <c r="P565">
        <v>7584</v>
      </c>
      <c r="Q565">
        <v>2</v>
      </c>
      <c r="R565">
        <v>57</v>
      </c>
      <c r="S565" t="s">
        <v>1404</v>
      </c>
      <c r="Z565">
        <f>IF((LEN(Wine_pres_final[[#This Row],[kan_width]])-LEN(SUBSTITUTE(Wine_pres_final[[#This Row],[kan_width]]," ","")))&gt;2,Wine_pres_final[[#This Row],[kan_test_acc]],"")</f>
        <v>0.92222222685813904</v>
      </c>
      <c r="AA565" t="str">
        <f>IF((LEN(Wine_pres_final[[#This Row],[kan_width]])-LEN(SUBSTITUTE(Wine_pres_final[[#This Row],[kan_width]]," ","")))&gt;2,"",Wine_pres_final[[#This Row],[kan_test_acc]])</f>
        <v/>
      </c>
      <c r="AB565">
        <f>Wine_pres_final[[#This Row],[mlp_test_acc]]</f>
        <v>0.68518518518518512</v>
      </c>
      <c r="AC565">
        <f>Wine_pres_final[[#This Row],[mlp_test_acc2]]</f>
        <v>0.70370370370370372</v>
      </c>
    </row>
    <row r="566" spans="1:29" hidden="1" x14ac:dyDescent="0.25">
      <c r="A566" t="s">
        <v>1336</v>
      </c>
      <c r="B566">
        <v>3</v>
      </c>
      <c r="C566">
        <v>2</v>
      </c>
      <c r="D566">
        <v>0</v>
      </c>
      <c r="E566" t="s">
        <v>1391</v>
      </c>
      <c r="F566">
        <v>4847</v>
      </c>
      <c r="G566">
        <v>8364676.166666666</v>
      </c>
      <c r="H566">
        <v>0.92222222685813904</v>
      </c>
      <c r="I566">
        <v>0.67222222222222217</v>
      </c>
      <c r="J566">
        <v>291609.83333333337</v>
      </c>
      <c r="K566">
        <v>7833</v>
      </c>
      <c r="L566">
        <v>2</v>
      </c>
      <c r="M566">
        <v>58</v>
      </c>
      <c r="N566">
        <v>0.69814814814814818</v>
      </c>
      <c r="O566">
        <v>274067.91666666663</v>
      </c>
      <c r="P566">
        <v>8086</v>
      </c>
      <c r="Q566">
        <v>2</v>
      </c>
      <c r="R566">
        <v>59</v>
      </c>
      <c r="S566" t="s">
        <v>1392</v>
      </c>
      <c r="Z566">
        <f>IF((LEN(Wine_pres_final[[#This Row],[kan_width]])-LEN(SUBSTITUTE(Wine_pres_final[[#This Row],[kan_width]]," ","")))&gt;2,Wine_pres_final[[#This Row],[kan_test_acc]],"")</f>
        <v>0.92222222685813904</v>
      </c>
      <c r="AA566" t="str">
        <f>IF((LEN(Wine_pres_final[[#This Row],[kan_width]])-LEN(SUBSTITUTE(Wine_pres_final[[#This Row],[kan_width]]," ","")))&gt;2,"",Wine_pres_final[[#This Row],[kan_test_acc]])</f>
        <v/>
      </c>
      <c r="AB566">
        <f>Wine_pres_final[[#This Row],[mlp_test_acc]]</f>
        <v>0.67222222222222217</v>
      </c>
      <c r="AC566">
        <f>Wine_pres_final[[#This Row],[mlp_test_acc2]]</f>
        <v>0.69814814814814818</v>
      </c>
    </row>
    <row r="567" spans="1:29" hidden="1" x14ac:dyDescent="0.25">
      <c r="A567" t="s">
        <v>1336</v>
      </c>
      <c r="B567">
        <v>3</v>
      </c>
      <c r="C567">
        <v>3</v>
      </c>
      <c r="D567">
        <v>0</v>
      </c>
      <c r="E567" t="s">
        <v>1403</v>
      </c>
      <c r="F567">
        <v>5230</v>
      </c>
      <c r="G567">
        <v>13101628.666666668</v>
      </c>
      <c r="H567">
        <v>0.92222222685813904</v>
      </c>
      <c r="I567">
        <v>0.67037037037037039</v>
      </c>
      <c r="J567">
        <v>591316.25</v>
      </c>
      <c r="K567">
        <v>9138</v>
      </c>
      <c r="L567">
        <v>2</v>
      </c>
      <c r="M567">
        <v>63</v>
      </c>
      <c r="N567">
        <v>0.64444444444444438</v>
      </c>
      <c r="O567">
        <v>527376.16666666663</v>
      </c>
      <c r="P567">
        <v>9411</v>
      </c>
      <c r="Q567">
        <v>2</v>
      </c>
      <c r="R567">
        <v>64</v>
      </c>
      <c r="S567" t="s">
        <v>1470</v>
      </c>
      <c r="Z567">
        <f>IF((LEN(Wine_pres_final[[#This Row],[kan_width]])-LEN(SUBSTITUTE(Wine_pres_final[[#This Row],[kan_width]]," ","")))&gt;2,Wine_pres_final[[#This Row],[kan_test_acc]],"")</f>
        <v>0.92222222685813904</v>
      </c>
      <c r="AA567" t="str">
        <f>IF((LEN(Wine_pres_final[[#This Row],[kan_width]])-LEN(SUBSTITUTE(Wine_pres_final[[#This Row],[kan_width]]," ","")))&gt;2,"",Wine_pres_final[[#This Row],[kan_test_acc]])</f>
        <v/>
      </c>
      <c r="AB567">
        <f>Wine_pres_final[[#This Row],[mlp_test_acc]]</f>
        <v>0.67037037037037039</v>
      </c>
      <c r="AC567">
        <f>Wine_pres_final[[#This Row],[mlp_test_acc2]]</f>
        <v>0.64444444444444438</v>
      </c>
    </row>
    <row r="568" spans="1:29" hidden="1" x14ac:dyDescent="0.25">
      <c r="A568" t="s">
        <v>1336</v>
      </c>
      <c r="B568">
        <v>3</v>
      </c>
      <c r="C568">
        <v>2</v>
      </c>
      <c r="D568">
        <v>0</v>
      </c>
      <c r="E568" t="s">
        <v>1415</v>
      </c>
      <c r="F568">
        <v>6777</v>
      </c>
      <c r="G568">
        <v>8278547</v>
      </c>
      <c r="H568">
        <v>0.92222222685813904</v>
      </c>
      <c r="I568">
        <v>0.6962962962962963</v>
      </c>
      <c r="J568">
        <v>669231.25</v>
      </c>
      <c r="K568">
        <v>10836</v>
      </c>
      <c r="L568">
        <v>2</v>
      </c>
      <c r="M568">
        <v>69</v>
      </c>
      <c r="N568">
        <v>0.65555555555555556</v>
      </c>
      <c r="O568">
        <v>918191.66666666674</v>
      </c>
      <c r="P568">
        <v>11133</v>
      </c>
      <c r="Q568">
        <v>2</v>
      </c>
      <c r="R568">
        <v>70</v>
      </c>
      <c r="S568" t="s">
        <v>1416</v>
      </c>
      <c r="Z568">
        <f>IF((LEN(Wine_pres_final[[#This Row],[kan_width]])-LEN(SUBSTITUTE(Wine_pres_final[[#This Row],[kan_width]]," ","")))&gt;2,Wine_pres_final[[#This Row],[kan_test_acc]],"")</f>
        <v>0.92222222685813904</v>
      </c>
      <c r="AA568" t="str">
        <f>IF((LEN(Wine_pres_final[[#This Row],[kan_width]])-LEN(SUBSTITUTE(Wine_pres_final[[#This Row],[kan_width]]," ","")))&gt;2,"",Wine_pres_final[[#This Row],[kan_test_acc]])</f>
        <v/>
      </c>
      <c r="AB568">
        <f>Wine_pres_final[[#This Row],[mlp_test_acc]]</f>
        <v>0.6962962962962963</v>
      </c>
      <c r="AC568">
        <f>Wine_pres_final[[#This Row],[mlp_test_acc2]]</f>
        <v>0.65555555555555556</v>
      </c>
    </row>
    <row r="569" spans="1:29" hidden="1" x14ac:dyDescent="0.25">
      <c r="A569" t="s">
        <v>1336</v>
      </c>
      <c r="B569">
        <v>3</v>
      </c>
      <c r="C569">
        <v>2</v>
      </c>
      <c r="D569">
        <v>0</v>
      </c>
      <c r="E569" t="s">
        <v>1431</v>
      </c>
      <c r="F569">
        <v>7419</v>
      </c>
      <c r="G569">
        <v>8416001.166666666</v>
      </c>
      <c r="H569">
        <v>0.92222222685813904</v>
      </c>
      <c r="I569">
        <v>0.67037037037037028</v>
      </c>
      <c r="J569">
        <v>893025.75</v>
      </c>
      <c r="K569">
        <v>11739</v>
      </c>
      <c r="L569">
        <v>2</v>
      </c>
      <c r="M569">
        <v>72</v>
      </c>
      <c r="N569">
        <v>0.64814814814814814</v>
      </c>
      <c r="O569">
        <v>626593</v>
      </c>
      <c r="P569">
        <v>12048</v>
      </c>
      <c r="Q569">
        <v>2</v>
      </c>
      <c r="R569">
        <v>73</v>
      </c>
      <c r="S569" t="s">
        <v>1432</v>
      </c>
      <c r="Z569">
        <f>IF((LEN(Wine_pres_final[[#This Row],[kan_width]])-LEN(SUBSTITUTE(Wine_pres_final[[#This Row],[kan_width]]," ","")))&gt;2,Wine_pres_final[[#This Row],[kan_test_acc]],"")</f>
        <v>0.92222222685813904</v>
      </c>
      <c r="AA569" t="str">
        <f>IF((LEN(Wine_pres_final[[#This Row],[kan_width]])-LEN(SUBSTITUTE(Wine_pres_final[[#This Row],[kan_width]]," ","")))&gt;2,"",Wine_pres_final[[#This Row],[kan_test_acc]])</f>
        <v/>
      </c>
      <c r="AB569">
        <f>Wine_pres_final[[#This Row],[mlp_test_acc]]</f>
        <v>0.67037037037037028</v>
      </c>
      <c r="AC569">
        <f>Wine_pres_final[[#This Row],[mlp_test_acc2]]</f>
        <v>0.64814814814814814</v>
      </c>
    </row>
    <row r="570" spans="1:29" hidden="1" x14ac:dyDescent="0.25">
      <c r="A570" t="s">
        <v>1336</v>
      </c>
      <c r="B570">
        <v>5</v>
      </c>
      <c r="C570">
        <v>3</v>
      </c>
      <c r="D570">
        <v>0</v>
      </c>
      <c r="E570" t="s">
        <v>1337</v>
      </c>
      <c r="F570">
        <v>2304</v>
      </c>
      <c r="G570">
        <v>3098248.833333333</v>
      </c>
      <c r="H570">
        <v>0.92407407859961188</v>
      </c>
      <c r="I570">
        <v>0.687037037037037</v>
      </c>
      <c r="J570">
        <v>278407.83333333331</v>
      </c>
      <c r="K570">
        <v>3613</v>
      </c>
      <c r="L570">
        <v>2</v>
      </c>
      <c r="M570">
        <v>38</v>
      </c>
      <c r="N570">
        <v>0.73888888888888893</v>
      </c>
      <c r="O570">
        <v>267298.5</v>
      </c>
      <c r="P570">
        <v>3786</v>
      </c>
      <c r="Q570">
        <v>2</v>
      </c>
      <c r="R570">
        <v>39</v>
      </c>
      <c r="S570" t="s">
        <v>1637</v>
      </c>
      <c r="Z570" t="str">
        <f>IF((LEN(Wine_pres_final[[#This Row],[kan_width]])-LEN(SUBSTITUTE(Wine_pres_final[[#This Row],[kan_width]]," ","")))&gt;2,Wine_pres_final[[#This Row],[kan_test_acc]],"")</f>
        <v/>
      </c>
      <c r="AA570">
        <f>IF((LEN(Wine_pres_final[[#This Row],[kan_width]])-LEN(SUBSTITUTE(Wine_pres_final[[#This Row],[kan_width]]," ","")))&gt;2,"",Wine_pres_final[[#This Row],[kan_test_acc]])</f>
        <v>0.92407407859961188</v>
      </c>
      <c r="AB570">
        <f>Wine_pres_final[[#This Row],[mlp_test_acc]]</f>
        <v>0.687037037037037</v>
      </c>
      <c r="AC570">
        <f>Wine_pres_final[[#This Row],[mlp_test_acc2]]</f>
        <v>0.73888888888888893</v>
      </c>
    </row>
    <row r="571" spans="1:29" hidden="1" x14ac:dyDescent="0.25">
      <c r="A571" t="s">
        <v>1336</v>
      </c>
      <c r="B571">
        <v>3</v>
      </c>
      <c r="C571">
        <v>3</v>
      </c>
      <c r="D571">
        <v>0</v>
      </c>
      <c r="E571" t="s">
        <v>1435</v>
      </c>
      <c r="F571">
        <v>1598</v>
      </c>
      <c r="G571">
        <v>5689249.083333333</v>
      </c>
      <c r="H571">
        <v>0.92407407859961199</v>
      </c>
      <c r="I571">
        <v>0.71481481481481479</v>
      </c>
      <c r="J571">
        <v>389449.33333333331</v>
      </c>
      <c r="K571">
        <v>2808</v>
      </c>
      <c r="L571">
        <v>2</v>
      </c>
      <c r="M571">
        <v>33</v>
      </c>
      <c r="N571">
        <v>0.70370370370370372</v>
      </c>
      <c r="O571">
        <v>341153.16666666669</v>
      </c>
      <c r="P571">
        <v>2961</v>
      </c>
      <c r="Q571">
        <v>2</v>
      </c>
      <c r="R571">
        <v>34</v>
      </c>
      <c r="S571" t="s">
        <v>1436</v>
      </c>
      <c r="Z571" t="str">
        <f>IF((LEN(Wine_pres_final[[#This Row],[kan_width]])-LEN(SUBSTITUTE(Wine_pres_final[[#This Row],[kan_width]]," ","")))&gt;2,Wine_pres_final[[#This Row],[kan_test_acc]],"")</f>
        <v/>
      </c>
      <c r="AA571">
        <f>IF((LEN(Wine_pres_final[[#This Row],[kan_width]])-LEN(SUBSTITUTE(Wine_pres_final[[#This Row],[kan_width]]," ","")))&gt;2,"",Wine_pres_final[[#This Row],[kan_test_acc]])</f>
        <v>0.92407407859961199</v>
      </c>
      <c r="AB571">
        <f>Wine_pres_final[[#This Row],[mlp_test_acc]]</f>
        <v>0.71481481481481479</v>
      </c>
      <c r="AC571">
        <f>Wine_pres_final[[#This Row],[mlp_test_acc2]]</f>
        <v>0.70370370370370372</v>
      </c>
    </row>
    <row r="572" spans="1:29" hidden="1" x14ac:dyDescent="0.25">
      <c r="A572" t="s">
        <v>1336</v>
      </c>
      <c r="B572">
        <v>3</v>
      </c>
      <c r="C572">
        <v>2</v>
      </c>
      <c r="D572">
        <v>0</v>
      </c>
      <c r="E572" t="s">
        <v>1393</v>
      </c>
      <c r="F572">
        <v>5169</v>
      </c>
      <c r="G572">
        <v>7935024.75</v>
      </c>
      <c r="H572">
        <v>0.92407407859961199</v>
      </c>
      <c r="I572">
        <v>0.64814814814814814</v>
      </c>
      <c r="J572">
        <v>274526.08333333337</v>
      </c>
      <c r="K572">
        <v>8343</v>
      </c>
      <c r="L572">
        <v>2</v>
      </c>
      <c r="M572">
        <v>60</v>
      </c>
      <c r="N572">
        <v>0.7</v>
      </c>
      <c r="O572">
        <v>262956.08333333331</v>
      </c>
      <c r="P572">
        <v>8604</v>
      </c>
      <c r="Q572">
        <v>2</v>
      </c>
      <c r="R572">
        <v>61</v>
      </c>
      <c r="S572" t="s">
        <v>1394</v>
      </c>
      <c r="Z572">
        <f>IF((LEN(Wine_pres_final[[#This Row],[kan_width]])-LEN(SUBSTITUTE(Wine_pres_final[[#This Row],[kan_width]]," ","")))&gt;2,Wine_pres_final[[#This Row],[kan_test_acc]],"")</f>
        <v>0.92407407859961199</v>
      </c>
      <c r="AA572" t="str">
        <f>IF((LEN(Wine_pres_final[[#This Row],[kan_width]])-LEN(SUBSTITUTE(Wine_pres_final[[#This Row],[kan_width]]," ","")))&gt;2,"",Wine_pres_final[[#This Row],[kan_test_acc]])</f>
        <v/>
      </c>
      <c r="AB572">
        <f>Wine_pres_final[[#This Row],[mlp_test_acc]]</f>
        <v>0.64814814814814814</v>
      </c>
      <c r="AC572">
        <f>Wine_pres_final[[#This Row],[mlp_test_acc2]]</f>
        <v>0.7</v>
      </c>
    </row>
    <row r="573" spans="1:29" hidden="1" x14ac:dyDescent="0.25">
      <c r="A573" t="s">
        <v>1336</v>
      </c>
      <c r="B573">
        <v>3</v>
      </c>
      <c r="C573">
        <v>3</v>
      </c>
      <c r="D573">
        <v>0</v>
      </c>
      <c r="E573" t="s">
        <v>1377</v>
      </c>
      <c r="F573">
        <v>5196</v>
      </c>
      <c r="G573">
        <v>10890252.583333334</v>
      </c>
      <c r="H573">
        <v>0.92407407859961199</v>
      </c>
      <c r="I573">
        <v>0.75</v>
      </c>
      <c r="J573">
        <v>440380.16666666663</v>
      </c>
      <c r="K573">
        <v>9138</v>
      </c>
      <c r="L573">
        <v>2</v>
      </c>
      <c r="M573">
        <v>63</v>
      </c>
      <c r="N573">
        <v>0.66666666666666663</v>
      </c>
      <c r="O573">
        <v>378667</v>
      </c>
      <c r="P573">
        <v>9411</v>
      </c>
      <c r="Q573">
        <v>2</v>
      </c>
      <c r="R573">
        <v>64</v>
      </c>
      <c r="S573" t="s">
        <v>1457</v>
      </c>
      <c r="Z573">
        <f>IF((LEN(Wine_pres_final[[#This Row],[kan_width]])-LEN(SUBSTITUTE(Wine_pres_final[[#This Row],[kan_width]]," ","")))&gt;2,Wine_pres_final[[#This Row],[kan_test_acc]],"")</f>
        <v>0.92407407859961199</v>
      </c>
      <c r="AA573" t="str">
        <f>IF((LEN(Wine_pres_final[[#This Row],[kan_width]])-LEN(SUBSTITUTE(Wine_pres_final[[#This Row],[kan_width]]," ","")))&gt;2,"",Wine_pres_final[[#This Row],[kan_test_acc]])</f>
        <v/>
      </c>
      <c r="AB573">
        <f>Wine_pres_final[[#This Row],[mlp_test_acc]]</f>
        <v>0.75</v>
      </c>
      <c r="AC573">
        <f>Wine_pres_final[[#This Row],[mlp_test_acc2]]</f>
        <v>0.66666666666666663</v>
      </c>
    </row>
    <row r="574" spans="1:29" hidden="1" x14ac:dyDescent="0.25">
      <c r="A574" t="s">
        <v>1336</v>
      </c>
      <c r="B574">
        <v>3</v>
      </c>
      <c r="C574">
        <v>4</v>
      </c>
      <c r="D574">
        <v>0</v>
      </c>
      <c r="E574" t="s">
        <v>1435</v>
      </c>
      <c r="F574">
        <v>1774</v>
      </c>
      <c r="G574">
        <v>7233850.666666667</v>
      </c>
      <c r="H574">
        <v>0.92592593034108472</v>
      </c>
      <c r="I574">
        <v>0.71481481481481479</v>
      </c>
      <c r="J574">
        <v>812735.75</v>
      </c>
      <c r="K574">
        <v>3279</v>
      </c>
      <c r="L574">
        <v>2</v>
      </c>
      <c r="M574">
        <v>36</v>
      </c>
      <c r="N574">
        <v>0.68518518518518512</v>
      </c>
      <c r="O574">
        <v>716559.5</v>
      </c>
      <c r="P574">
        <v>3444</v>
      </c>
      <c r="Q574">
        <v>2</v>
      </c>
      <c r="R574">
        <v>37</v>
      </c>
      <c r="S574" t="s">
        <v>1486</v>
      </c>
      <c r="Z574" t="str">
        <f>IF((LEN(Wine_pres_final[[#This Row],[kan_width]])-LEN(SUBSTITUTE(Wine_pres_final[[#This Row],[kan_width]]," ","")))&gt;2,Wine_pres_final[[#This Row],[kan_test_acc]],"")</f>
        <v/>
      </c>
      <c r="AA574">
        <f>IF((LEN(Wine_pres_final[[#This Row],[kan_width]])-LEN(SUBSTITUTE(Wine_pres_final[[#This Row],[kan_width]]," ","")))&gt;2,"",Wine_pres_final[[#This Row],[kan_test_acc]])</f>
        <v>0.92592593034108472</v>
      </c>
      <c r="AB574">
        <f>Wine_pres_final[[#This Row],[mlp_test_acc]]</f>
        <v>0.71481481481481479</v>
      </c>
      <c r="AC574">
        <f>Wine_pres_final[[#This Row],[mlp_test_acc2]]</f>
        <v>0.68518518518518512</v>
      </c>
    </row>
    <row r="575" spans="1:29" hidden="1" x14ac:dyDescent="0.25">
      <c r="A575" t="s">
        <v>1336</v>
      </c>
      <c r="B575">
        <v>3</v>
      </c>
      <c r="C575">
        <v>2</v>
      </c>
      <c r="D575">
        <v>0</v>
      </c>
      <c r="E575" t="s">
        <v>1419</v>
      </c>
      <c r="F575">
        <v>5103</v>
      </c>
      <c r="G575">
        <v>9306898.3333333321</v>
      </c>
      <c r="H575">
        <v>0.92592593034108472</v>
      </c>
      <c r="I575">
        <v>0.72407407407407409</v>
      </c>
      <c r="J575">
        <v>384155.25</v>
      </c>
      <c r="K575">
        <v>8086</v>
      </c>
      <c r="L575">
        <v>2</v>
      </c>
      <c r="M575">
        <v>59</v>
      </c>
      <c r="N575">
        <v>0.68333333333333335</v>
      </c>
      <c r="O575">
        <v>418337.58333333331</v>
      </c>
      <c r="P575">
        <v>8343</v>
      </c>
      <c r="Q575">
        <v>2</v>
      </c>
      <c r="R575">
        <v>60</v>
      </c>
      <c r="S575" t="s">
        <v>1420</v>
      </c>
      <c r="Z575">
        <f>IF((LEN(Wine_pres_final[[#This Row],[kan_width]])-LEN(SUBSTITUTE(Wine_pres_final[[#This Row],[kan_width]]," ","")))&gt;2,Wine_pres_final[[#This Row],[kan_test_acc]],"")</f>
        <v>0.92592593034108472</v>
      </c>
      <c r="AA575" t="str">
        <f>IF((LEN(Wine_pres_final[[#This Row],[kan_width]])-LEN(SUBSTITUTE(Wine_pres_final[[#This Row],[kan_width]]," ","")))&gt;2,"",Wine_pres_final[[#This Row],[kan_test_acc]])</f>
        <v/>
      </c>
      <c r="AB575">
        <f>Wine_pres_final[[#This Row],[mlp_test_acc]]</f>
        <v>0.72407407407407409</v>
      </c>
      <c r="AC575">
        <f>Wine_pres_final[[#This Row],[mlp_test_acc2]]</f>
        <v>0.68333333333333335</v>
      </c>
    </row>
    <row r="576" spans="1:29" hidden="1" x14ac:dyDescent="0.25">
      <c r="A576" t="s">
        <v>1336</v>
      </c>
      <c r="B576">
        <v>3</v>
      </c>
      <c r="C576">
        <v>2</v>
      </c>
      <c r="D576">
        <v>0</v>
      </c>
      <c r="E576" t="s">
        <v>1423</v>
      </c>
      <c r="F576">
        <v>5875</v>
      </c>
      <c r="G576">
        <v>10775452.25</v>
      </c>
      <c r="H576">
        <v>0.92592593034108472</v>
      </c>
      <c r="I576">
        <v>0.66481481481481475</v>
      </c>
      <c r="J576">
        <v>332029.5</v>
      </c>
      <c r="K576">
        <v>9411</v>
      </c>
      <c r="L576">
        <v>2</v>
      </c>
      <c r="M576">
        <v>64</v>
      </c>
      <c r="N576">
        <v>0.67222222222222228</v>
      </c>
      <c r="O576">
        <v>725618.08333333326</v>
      </c>
      <c r="P576">
        <v>9688</v>
      </c>
      <c r="Q576">
        <v>2</v>
      </c>
      <c r="R576">
        <v>65</v>
      </c>
      <c r="S576" t="s">
        <v>1424</v>
      </c>
      <c r="Z576">
        <f>IF((LEN(Wine_pres_final[[#This Row],[kan_width]])-LEN(SUBSTITUTE(Wine_pres_final[[#This Row],[kan_width]]," ","")))&gt;2,Wine_pres_final[[#This Row],[kan_test_acc]],"")</f>
        <v>0.92592593034108472</v>
      </c>
      <c r="AA576" t="str">
        <f>IF((LEN(Wine_pres_final[[#This Row],[kan_width]])-LEN(SUBSTITUTE(Wine_pres_final[[#This Row],[kan_width]]," ","")))&gt;2,"",Wine_pres_final[[#This Row],[kan_test_acc]])</f>
        <v/>
      </c>
      <c r="AB576">
        <f>Wine_pres_final[[#This Row],[mlp_test_acc]]</f>
        <v>0.66481481481481475</v>
      </c>
      <c r="AC576">
        <f>Wine_pres_final[[#This Row],[mlp_test_acc2]]</f>
        <v>0.67222222222222228</v>
      </c>
    </row>
    <row r="577" spans="1:29" hidden="1" x14ac:dyDescent="0.25">
      <c r="A577" t="s">
        <v>1336</v>
      </c>
      <c r="B577">
        <v>3</v>
      </c>
      <c r="C577">
        <v>2</v>
      </c>
      <c r="D577">
        <v>0</v>
      </c>
      <c r="E577" t="s">
        <v>1365</v>
      </c>
      <c r="F577">
        <v>4593</v>
      </c>
      <c r="G577">
        <v>10826033.416666666</v>
      </c>
      <c r="H577">
        <v>0.92592593034108484</v>
      </c>
      <c r="I577">
        <v>0.68148148148148147</v>
      </c>
      <c r="J577">
        <v>256045.25</v>
      </c>
      <c r="K577">
        <v>7339</v>
      </c>
      <c r="L577">
        <v>2</v>
      </c>
      <c r="M577">
        <v>56</v>
      </c>
      <c r="N577">
        <v>0.64814814814814814</v>
      </c>
      <c r="O577">
        <v>249545</v>
      </c>
      <c r="P577">
        <v>7584</v>
      </c>
      <c r="Q577">
        <v>2</v>
      </c>
      <c r="R577">
        <v>57</v>
      </c>
      <c r="S577" t="s">
        <v>1366</v>
      </c>
      <c r="Z577">
        <f>IF((LEN(Wine_pres_final[[#This Row],[kan_width]])-LEN(SUBSTITUTE(Wine_pres_final[[#This Row],[kan_width]]," ","")))&gt;2,Wine_pres_final[[#This Row],[kan_test_acc]],"")</f>
        <v>0.92592593034108484</v>
      </c>
      <c r="AA577" t="str">
        <f>IF((LEN(Wine_pres_final[[#This Row],[kan_width]])-LEN(SUBSTITUTE(Wine_pres_final[[#This Row],[kan_width]]," ","")))&gt;2,"",Wine_pres_final[[#This Row],[kan_test_acc]])</f>
        <v/>
      </c>
      <c r="AB577">
        <f>Wine_pres_final[[#This Row],[mlp_test_acc]]</f>
        <v>0.68148148148148147</v>
      </c>
      <c r="AC577">
        <f>Wine_pres_final[[#This Row],[mlp_test_acc2]]</f>
        <v>0.64814814814814814</v>
      </c>
    </row>
    <row r="578" spans="1:29" hidden="1" x14ac:dyDescent="0.25">
      <c r="A578" t="s">
        <v>1336</v>
      </c>
      <c r="B578">
        <v>5</v>
      </c>
      <c r="C578">
        <v>3</v>
      </c>
      <c r="D578">
        <v>0</v>
      </c>
      <c r="E578" t="s">
        <v>1351</v>
      </c>
      <c r="F578">
        <v>4782</v>
      </c>
      <c r="G578">
        <v>5598620.333333334</v>
      </c>
      <c r="H578">
        <v>0.92592593034108484</v>
      </c>
      <c r="I578">
        <v>0.65370370370370368</v>
      </c>
      <c r="J578">
        <v>391946.75</v>
      </c>
      <c r="K578">
        <v>7584</v>
      </c>
      <c r="L578">
        <v>2</v>
      </c>
      <c r="M578">
        <v>57</v>
      </c>
      <c r="N578">
        <v>0.76296296296296284</v>
      </c>
      <c r="O578">
        <v>362645.41666666669</v>
      </c>
      <c r="P578">
        <v>7833</v>
      </c>
      <c r="Q578">
        <v>2</v>
      </c>
      <c r="R578">
        <v>58</v>
      </c>
      <c r="S578" t="s">
        <v>1644</v>
      </c>
      <c r="Z578" t="str">
        <f>IF((LEN(Wine_pres_final[[#This Row],[kan_width]])-LEN(SUBSTITUTE(Wine_pres_final[[#This Row],[kan_width]]," ","")))&gt;2,Wine_pres_final[[#This Row],[kan_test_acc]],"")</f>
        <v/>
      </c>
      <c r="AA578">
        <f>IF((LEN(Wine_pres_final[[#This Row],[kan_width]])-LEN(SUBSTITUTE(Wine_pres_final[[#This Row],[kan_width]]," ","")))&gt;2,"",Wine_pres_final[[#This Row],[kan_test_acc]])</f>
        <v>0.92592593034108484</v>
      </c>
      <c r="AB578">
        <f>Wine_pres_final[[#This Row],[mlp_test_acc]]</f>
        <v>0.65370370370370368</v>
      </c>
      <c r="AC578">
        <f>Wine_pres_final[[#This Row],[mlp_test_acc2]]</f>
        <v>0.76296296296296284</v>
      </c>
    </row>
    <row r="579" spans="1:29" hidden="1" x14ac:dyDescent="0.25">
      <c r="A579" t="s">
        <v>1336</v>
      </c>
      <c r="B579">
        <v>3</v>
      </c>
      <c r="C579">
        <v>2</v>
      </c>
      <c r="D579">
        <v>0</v>
      </c>
      <c r="E579" t="s">
        <v>1367</v>
      </c>
      <c r="F579">
        <v>4851</v>
      </c>
      <c r="G579">
        <v>10350407</v>
      </c>
      <c r="H579">
        <v>0.92592593034108484</v>
      </c>
      <c r="I579">
        <v>0.65740740740740744</v>
      </c>
      <c r="J579">
        <v>257641.16666666669</v>
      </c>
      <c r="K579">
        <v>7833</v>
      </c>
      <c r="L579">
        <v>2</v>
      </c>
      <c r="M579">
        <v>58</v>
      </c>
      <c r="N579">
        <v>0.6518518518518519</v>
      </c>
      <c r="O579">
        <v>255701</v>
      </c>
      <c r="P579">
        <v>8086</v>
      </c>
      <c r="Q579">
        <v>2</v>
      </c>
      <c r="R579">
        <v>59</v>
      </c>
      <c r="S579" t="s">
        <v>1368</v>
      </c>
      <c r="Z579">
        <f>IF((LEN(Wine_pres_final[[#This Row],[kan_width]])-LEN(SUBSTITUTE(Wine_pres_final[[#This Row],[kan_width]]," ","")))&gt;2,Wine_pres_final[[#This Row],[kan_test_acc]],"")</f>
        <v>0.92592593034108484</v>
      </c>
      <c r="AA579" t="str">
        <f>IF((LEN(Wine_pres_final[[#This Row],[kan_width]])-LEN(SUBSTITUTE(Wine_pres_final[[#This Row],[kan_width]]," ","")))&gt;2,"",Wine_pres_final[[#This Row],[kan_test_acc]])</f>
        <v/>
      </c>
      <c r="AB579">
        <f>Wine_pres_final[[#This Row],[mlp_test_acc]]</f>
        <v>0.65740740740740744</v>
      </c>
      <c r="AC579">
        <f>Wine_pres_final[[#This Row],[mlp_test_acc2]]</f>
        <v>0.6518518518518519</v>
      </c>
    </row>
    <row r="580" spans="1:29" hidden="1" x14ac:dyDescent="0.25">
      <c r="A580" t="s">
        <v>1336</v>
      </c>
      <c r="B580">
        <v>9</v>
      </c>
      <c r="C580">
        <v>3</v>
      </c>
      <c r="D580">
        <v>0</v>
      </c>
      <c r="E580" t="s">
        <v>1351</v>
      </c>
      <c r="F580">
        <v>6510</v>
      </c>
      <c r="G580">
        <v>5199869.333333334</v>
      </c>
      <c r="H580">
        <v>0.92592593034108484</v>
      </c>
      <c r="I580">
        <v>0.70370370370370372</v>
      </c>
      <c r="J580">
        <v>726727.66666666674</v>
      </c>
      <c r="K580">
        <v>9411</v>
      </c>
      <c r="L580">
        <v>2</v>
      </c>
      <c r="M580">
        <v>64</v>
      </c>
      <c r="N580">
        <v>0.74259259259259258</v>
      </c>
      <c r="O580">
        <v>450891.91666666663</v>
      </c>
      <c r="P580">
        <v>9688</v>
      </c>
      <c r="Q580">
        <v>2</v>
      </c>
      <c r="R580">
        <v>65</v>
      </c>
      <c r="S580" t="s">
        <v>1844</v>
      </c>
      <c r="Z580" t="str">
        <f>IF((LEN(Wine_pres_final[[#This Row],[kan_width]])-LEN(SUBSTITUTE(Wine_pres_final[[#This Row],[kan_width]]," ","")))&gt;2,Wine_pres_final[[#This Row],[kan_test_acc]],"")</f>
        <v/>
      </c>
      <c r="AA580">
        <f>IF((LEN(Wine_pres_final[[#This Row],[kan_width]])-LEN(SUBSTITUTE(Wine_pres_final[[#This Row],[kan_width]]," ","")))&gt;2,"",Wine_pres_final[[#This Row],[kan_test_acc]])</f>
        <v>0.92592593034108484</v>
      </c>
      <c r="AB580">
        <f>Wine_pres_final[[#This Row],[mlp_test_acc]]</f>
        <v>0.70370370370370372</v>
      </c>
      <c r="AC580">
        <f>Wine_pres_final[[#This Row],[mlp_test_acc2]]</f>
        <v>0.74259259259259258</v>
      </c>
    </row>
    <row r="581" spans="1:29" hidden="1" x14ac:dyDescent="0.25">
      <c r="A581" t="s">
        <v>1336</v>
      </c>
      <c r="B581">
        <v>3</v>
      </c>
      <c r="C581">
        <v>2</v>
      </c>
      <c r="D581">
        <v>0</v>
      </c>
      <c r="E581" t="s">
        <v>1427</v>
      </c>
      <c r="F581">
        <v>6647</v>
      </c>
      <c r="G581">
        <v>9102877</v>
      </c>
      <c r="H581">
        <v>0.92592593034108484</v>
      </c>
      <c r="I581">
        <v>0.65925925925925921</v>
      </c>
      <c r="J581">
        <v>672728</v>
      </c>
      <c r="K581">
        <v>10543</v>
      </c>
      <c r="L581">
        <v>2</v>
      </c>
      <c r="M581">
        <v>68</v>
      </c>
      <c r="N581">
        <v>0.70185185185185184</v>
      </c>
      <c r="O581">
        <v>596234.91666666674</v>
      </c>
      <c r="P581">
        <v>10836</v>
      </c>
      <c r="Q581">
        <v>2</v>
      </c>
      <c r="R581">
        <v>69</v>
      </c>
      <c r="S581" t="s">
        <v>1428</v>
      </c>
      <c r="Z581">
        <f>IF((LEN(Wine_pres_final[[#This Row],[kan_width]])-LEN(SUBSTITUTE(Wine_pres_final[[#This Row],[kan_width]]," ","")))&gt;2,Wine_pres_final[[#This Row],[kan_test_acc]],"")</f>
        <v>0.92592593034108484</v>
      </c>
      <c r="AA581" t="str">
        <f>IF((LEN(Wine_pres_final[[#This Row],[kan_width]])-LEN(SUBSTITUTE(Wine_pres_final[[#This Row],[kan_width]]," ","")))&gt;2,"",Wine_pres_final[[#This Row],[kan_test_acc]])</f>
        <v/>
      </c>
      <c r="AB581">
        <f>Wine_pres_final[[#This Row],[mlp_test_acc]]</f>
        <v>0.65925925925925921</v>
      </c>
      <c r="AC581">
        <f>Wine_pres_final[[#This Row],[mlp_test_acc2]]</f>
        <v>0.70185185185185184</v>
      </c>
    </row>
    <row r="582" spans="1:29" hidden="1" x14ac:dyDescent="0.25">
      <c r="A582" t="s">
        <v>1336</v>
      </c>
      <c r="B582">
        <v>3</v>
      </c>
      <c r="C582">
        <v>2</v>
      </c>
      <c r="D582">
        <v>0</v>
      </c>
      <c r="E582" t="s">
        <v>1337</v>
      </c>
      <c r="F582">
        <v>1680</v>
      </c>
      <c r="G582">
        <v>3715812.083333333</v>
      </c>
      <c r="H582">
        <v>0.92777778208255768</v>
      </c>
      <c r="I582">
        <v>0.69629629629629619</v>
      </c>
      <c r="J582">
        <v>199962.16666666669</v>
      </c>
      <c r="K582">
        <v>2659</v>
      </c>
      <c r="L582">
        <v>2</v>
      </c>
      <c r="M582">
        <v>32</v>
      </c>
      <c r="N582">
        <v>0.69259259259259265</v>
      </c>
      <c r="O582">
        <v>177126.91666666669</v>
      </c>
      <c r="P582">
        <v>2808</v>
      </c>
      <c r="Q582">
        <v>2</v>
      </c>
      <c r="R582">
        <v>33</v>
      </c>
      <c r="S582" t="s">
        <v>1338</v>
      </c>
      <c r="Z582" t="str">
        <f>IF((LEN(Wine_pres_final[[#This Row],[kan_width]])-LEN(SUBSTITUTE(Wine_pres_final[[#This Row],[kan_width]]," ","")))&gt;2,Wine_pres_final[[#This Row],[kan_test_acc]],"")</f>
        <v/>
      </c>
      <c r="AA582">
        <f>IF((LEN(Wine_pres_final[[#This Row],[kan_width]])-LEN(SUBSTITUTE(Wine_pres_final[[#This Row],[kan_width]]," ","")))&gt;2,"",Wine_pres_final[[#This Row],[kan_test_acc]])</f>
        <v>0.92777778208255768</v>
      </c>
      <c r="AB582">
        <f>Wine_pres_final[[#This Row],[mlp_test_acc]]</f>
        <v>0.69629629629629619</v>
      </c>
      <c r="AC582">
        <f>Wine_pres_final[[#This Row],[mlp_test_acc2]]</f>
        <v>0.69259259259259265</v>
      </c>
    </row>
    <row r="583" spans="1:29" hidden="1" x14ac:dyDescent="0.25">
      <c r="A583" t="s">
        <v>1336</v>
      </c>
      <c r="B583">
        <v>3</v>
      </c>
      <c r="C583">
        <v>2</v>
      </c>
      <c r="D583">
        <v>0</v>
      </c>
      <c r="E583" t="s">
        <v>1345</v>
      </c>
      <c r="F583">
        <v>2712</v>
      </c>
      <c r="G583">
        <v>2992671.916666667</v>
      </c>
      <c r="H583">
        <v>0.92777778208255768</v>
      </c>
      <c r="I583">
        <v>0.64814814814814814</v>
      </c>
      <c r="J583">
        <v>196955.08333333331</v>
      </c>
      <c r="K583">
        <v>4329</v>
      </c>
      <c r="L583">
        <v>2</v>
      </c>
      <c r="M583">
        <v>42</v>
      </c>
      <c r="N583">
        <v>0.71111111111111103</v>
      </c>
      <c r="O583">
        <v>188892.83333333331</v>
      </c>
      <c r="P583">
        <v>4518</v>
      </c>
      <c r="Q583">
        <v>2</v>
      </c>
      <c r="R583">
        <v>43</v>
      </c>
      <c r="S583" t="s">
        <v>1346</v>
      </c>
      <c r="Z583" t="str">
        <f>IF((LEN(Wine_pres_final[[#This Row],[kan_width]])-LEN(SUBSTITUTE(Wine_pres_final[[#This Row],[kan_width]]," ","")))&gt;2,Wine_pres_final[[#This Row],[kan_test_acc]],"")</f>
        <v/>
      </c>
      <c r="AA583">
        <f>IF((LEN(Wine_pres_final[[#This Row],[kan_width]])-LEN(SUBSTITUTE(Wine_pres_final[[#This Row],[kan_width]]," ","")))&gt;2,"",Wine_pres_final[[#This Row],[kan_test_acc]])</f>
        <v>0.92777778208255768</v>
      </c>
      <c r="AB583">
        <f>Wine_pres_final[[#This Row],[mlp_test_acc]]</f>
        <v>0.64814814814814814</v>
      </c>
      <c r="AC583">
        <f>Wine_pres_final[[#This Row],[mlp_test_acc2]]</f>
        <v>0.71111111111111103</v>
      </c>
    </row>
    <row r="584" spans="1:29" hidden="1" x14ac:dyDescent="0.25">
      <c r="A584" t="s">
        <v>1336</v>
      </c>
      <c r="B584">
        <v>3</v>
      </c>
      <c r="C584">
        <v>2</v>
      </c>
      <c r="D584">
        <v>0</v>
      </c>
      <c r="E584" t="s">
        <v>1347</v>
      </c>
      <c r="F584">
        <v>2970</v>
      </c>
      <c r="G584">
        <v>3200542.666666667</v>
      </c>
      <c r="H584">
        <v>0.92777778208255768</v>
      </c>
      <c r="I584">
        <v>0.70740740740740748</v>
      </c>
      <c r="J584">
        <v>211651.41666666669</v>
      </c>
      <c r="K584">
        <v>4711</v>
      </c>
      <c r="L584">
        <v>2</v>
      </c>
      <c r="M584">
        <v>44</v>
      </c>
      <c r="N584">
        <v>0.72222222222222221</v>
      </c>
      <c r="O584">
        <v>189719.41666666666</v>
      </c>
      <c r="P584">
        <v>4908</v>
      </c>
      <c r="Q584">
        <v>2</v>
      </c>
      <c r="R584">
        <v>45</v>
      </c>
      <c r="S584" t="s">
        <v>1348</v>
      </c>
      <c r="Z584" t="str">
        <f>IF((LEN(Wine_pres_final[[#This Row],[kan_width]])-LEN(SUBSTITUTE(Wine_pres_final[[#This Row],[kan_width]]," ","")))&gt;2,Wine_pres_final[[#This Row],[kan_test_acc]],"")</f>
        <v/>
      </c>
      <c r="AA584">
        <f>IF((LEN(Wine_pres_final[[#This Row],[kan_width]])-LEN(SUBSTITUTE(Wine_pres_final[[#This Row],[kan_width]]," ","")))&gt;2,"",Wine_pres_final[[#This Row],[kan_test_acc]])</f>
        <v>0.92777778208255768</v>
      </c>
      <c r="AB584">
        <f>Wine_pres_final[[#This Row],[mlp_test_acc]]</f>
        <v>0.70740740740740748</v>
      </c>
      <c r="AC584">
        <f>Wine_pres_final[[#This Row],[mlp_test_acc2]]</f>
        <v>0.72222222222222221</v>
      </c>
    </row>
    <row r="585" spans="1:29" hidden="1" x14ac:dyDescent="0.25">
      <c r="A585" t="s">
        <v>1336</v>
      </c>
      <c r="B585">
        <v>3</v>
      </c>
      <c r="C585">
        <v>3</v>
      </c>
      <c r="D585">
        <v>0</v>
      </c>
      <c r="E585" t="s">
        <v>1401</v>
      </c>
      <c r="F585">
        <v>4832</v>
      </c>
      <c r="G585">
        <v>13007192</v>
      </c>
      <c r="H585">
        <v>0.92777778208255768</v>
      </c>
      <c r="I585">
        <v>0.69444444444444442</v>
      </c>
      <c r="J585">
        <v>1246920.0833333333</v>
      </c>
      <c r="K585">
        <v>8343</v>
      </c>
      <c r="L585">
        <v>2</v>
      </c>
      <c r="M585">
        <v>60</v>
      </c>
      <c r="N585">
        <v>0.66481481481481475</v>
      </c>
      <c r="O585">
        <v>1075006.5833333333</v>
      </c>
      <c r="P585">
        <v>8604</v>
      </c>
      <c r="Q585">
        <v>2</v>
      </c>
      <c r="R585">
        <v>61</v>
      </c>
      <c r="S585" t="s">
        <v>1469</v>
      </c>
      <c r="Z585">
        <f>IF((LEN(Wine_pres_final[[#This Row],[kan_width]])-LEN(SUBSTITUTE(Wine_pres_final[[#This Row],[kan_width]]," ","")))&gt;2,Wine_pres_final[[#This Row],[kan_test_acc]],"")</f>
        <v>0.92777778208255768</v>
      </c>
      <c r="AA585" t="str">
        <f>IF((LEN(Wine_pres_final[[#This Row],[kan_width]])-LEN(SUBSTITUTE(Wine_pres_final[[#This Row],[kan_width]]," ","")))&gt;2,"",Wine_pres_final[[#This Row],[kan_test_acc]])</f>
        <v/>
      </c>
      <c r="AB585">
        <f>Wine_pres_final[[#This Row],[mlp_test_acc]]</f>
        <v>0.69444444444444442</v>
      </c>
      <c r="AC585">
        <f>Wine_pres_final[[#This Row],[mlp_test_acc2]]</f>
        <v>0.66481481481481475</v>
      </c>
    </row>
    <row r="586" spans="1:29" hidden="1" x14ac:dyDescent="0.25">
      <c r="A586" t="s">
        <v>1336</v>
      </c>
      <c r="B586">
        <v>3</v>
      </c>
      <c r="C586">
        <v>2</v>
      </c>
      <c r="D586">
        <v>0</v>
      </c>
      <c r="E586" t="s">
        <v>1363</v>
      </c>
      <c r="F586">
        <v>4335</v>
      </c>
      <c r="G586">
        <v>8861980.166666666</v>
      </c>
      <c r="H586">
        <v>0.92962963382403063</v>
      </c>
      <c r="I586">
        <v>0.7</v>
      </c>
      <c r="J586">
        <v>247975.83333333331</v>
      </c>
      <c r="K586">
        <v>6861</v>
      </c>
      <c r="L586">
        <v>2</v>
      </c>
      <c r="M586">
        <v>54</v>
      </c>
      <c r="N586">
        <v>0.69444444444444442</v>
      </c>
      <c r="O586">
        <v>236513.25</v>
      </c>
      <c r="P586">
        <v>7098</v>
      </c>
      <c r="Q586">
        <v>2</v>
      </c>
      <c r="R586">
        <v>55</v>
      </c>
      <c r="S586" t="s">
        <v>1364</v>
      </c>
      <c r="Z586">
        <f>IF((LEN(Wine_pres_final[[#This Row],[kan_width]])-LEN(SUBSTITUTE(Wine_pres_final[[#This Row],[kan_width]]," ","")))&gt;2,Wine_pres_final[[#This Row],[kan_test_acc]],"")</f>
        <v>0.92962963382403063</v>
      </c>
      <c r="AA586" t="str">
        <f>IF((LEN(Wine_pres_final[[#This Row],[kan_width]])-LEN(SUBSTITUTE(Wine_pres_final[[#This Row],[kan_width]]," ","")))&gt;2,"",Wine_pres_final[[#This Row],[kan_test_acc]])</f>
        <v/>
      </c>
      <c r="AB586">
        <f>Wine_pres_final[[#This Row],[mlp_test_acc]]</f>
        <v>0.7</v>
      </c>
      <c r="AC586">
        <f>Wine_pres_final[[#This Row],[mlp_test_acc2]]</f>
        <v>0.69444444444444442</v>
      </c>
    </row>
    <row r="587" spans="1:29" hidden="1" x14ac:dyDescent="0.25">
      <c r="A587" t="s">
        <v>1336</v>
      </c>
      <c r="B587">
        <v>3</v>
      </c>
      <c r="C587">
        <v>2</v>
      </c>
      <c r="D587">
        <v>0</v>
      </c>
      <c r="E587" t="s">
        <v>1385</v>
      </c>
      <c r="F587">
        <v>3881</v>
      </c>
      <c r="G587">
        <v>7979010.666666666</v>
      </c>
      <c r="H587">
        <v>0.93148148556550336</v>
      </c>
      <c r="I587">
        <v>0.64444444444444438</v>
      </c>
      <c r="J587">
        <v>318098.83333333337</v>
      </c>
      <c r="K587">
        <v>6174</v>
      </c>
      <c r="L587">
        <v>2</v>
      </c>
      <c r="M587">
        <v>51</v>
      </c>
      <c r="N587">
        <v>0.65555555555555556</v>
      </c>
      <c r="O587">
        <v>466111.75</v>
      </c>
      <c r="P587">
        <v>6399</v>
      </c>
      <c r="Q587">
        <v>2</v>
      </c>
      <c r="R587">
        <v>52</v>
      </c>
      <c r="S587" t="s">
        <v>1386</v>
      </c>
      <c r="Z587">
        <f>IF((LEN(Wine_pres_final[[#This Row],[kan_width]])-LEN(SUBSTITUTE(Wine_pres_final[[#This Row],[kan_width]]," ","")))&gt;2,Wine_pres_final[[#This Row],[kan_test_acc]],"")</f>
        <v>0.93148148556550336</v>
      </c>
      <c r="AA587" t="str">
        <f>IF((LEN(Wine_pres_final[[#This Row],[kan_width]])-LEN(SUBSTITUTE(Wine_pres_final[[#This Row],[kan_width]]," ","")))&gt;2,"",Wine_pres_final[[#This Row],[kan_test_acc]])</f>
        <v/>
      </c>
      <c r="AB587">
        <f>Wine_pres_final[[#This Row],[mlp_test_acc]]</f>
        <v>0.64444444444444438</v>
      </c>
      <c r="AC587">
        <f>Wine_pres_final[[#This Row],[mlp_test_acc2]]</f>
        <v>0.65555555555555556</v>
      </c>
    </row>
    <row r="588" spans="1:29" hidden="1" x14ac:dyDescent="0.25">
      <c r="A588" t="s">
        <v>1336</v>
      </c>
      <c r="B588">
        <v>9</v>
      </c>
      <c r="C588">
        <v>3</v>
      </c>
      <c r="D588">
        <v>0</v>
      </c>
      <c r="E588" t="s">
        <v>1341</v>
      </c>
      <c r="F588">
        <v>4100</v>
      </c>
      <c r="G588">
        <v>4140721.25</v>
      </c>
      <c r="H588">
        <v>0.93148148556550336</v>
      </c>
      <c r="I588">
        <v>0.66666666666666663</v>
      </c>
      <c r="J588">
        <v>324899.33333333331</v>
      </c>
      <c r="K588">
        <v>5953</v>
      </c>
      <c r="L588">
        <v>2</v>
      </c>
      <c r="M588">
        <v>50</v>
      </c>
      <c r="N588">
        <v>0.71851851851851856</v>
      </c>
      <c r="O588">
        <v>308675.66666666669</v>
      </c>
      <c r="P588">
        <v>6174</v>
      </c>
      <c r="Q588">
        <v>2</v>
      </c>
      <c r="R588">
        <v>51</v>
      </c>
      <c r="S588" t="s">
        <v>1839</v>
      </c>
      <c r="Z588" t="str">
        <f>IF((LEN(Wine_pres_final[[#This Row],[kan_width]])-LEN(SUBSTITUTE(Wine_pres_final[[#This Row],[kan_width]]," ","")))&gt;2,Wine_pres_final[[#This Row],[kan_test_acc]],"")</f>
        <v/>
      </c>
      <c r="AA588">
        <f>IF((LEN(Wine_pres_final[[#This Row],[kan_width]])-LEN(SUBSTITUTE(Wine_pres_final[[#This Row],[kan_width]]," ","")))&gt;2,"",Wine_pres_final[[#This Row],[kan_test_acc]])</f>
        <v>0.93148148556550336</v>
      </c>
      <c r="AB588">
        <f>Wine_pres_final[[#This Row],[mlp_test_acc]]</f>
        <v>0.66666666666666663</v>
      </c>
      <c r="AC588">
        <f>Wine_pres_final[[#This Row],[mlp_test_acc2]]</f>
        <v>0.71851851851851856</v>
      </c>
    </row>
    <row r="589" spans="1:29" hidden="1" x14ac:dyDescent="0.25">
      <c r="A589" t="s">
        <v>1336</v>
      </c>
      <c r="B589">
        <v>9</v>
      </c>
      <c r="C589">
        <v>2</v>
      </c>
      <c r="D589">
        <v>0</v>
      </c>
      <c r="E589" t="s">
        <v>1351</v>
      </c>
      <c r="F589">
        <v>6078</v>
      </c>
      <c r="G589">
        <v>3603150.75</v>
      </c>
      <c r="H589">
        <v>0.93148148556550336</v>
      </c>
      <c r="I589">
        <v>0.66666666666666674</v>
      </c>
      <c r="J589">
        <v>356931.5</v>
      </c>
      <c r="K589">
        <v>8086</v>
      </c>
      <c r="L589">
        <v>2</v>
      </c>
      <c r="M589">
        <v>59</v>
      </c>
      <c r="N589">
        <v>0.63148148148148153</v>
      </c>
      <c r="O589">
        <v>350916.5</v>
      </c>
      <c r="P589">
        <v>8343</v>
      </c>
      <c r="Q589">
        <v>2</v>
      </c>
      <c r="R589">
        <v>60</v>
      </c>
      <c r="S589" t="s">
        <v>1794</v>
      </c>
      <c r="Z589" t="str">
        <f>IF((LEN(Wine_pres_final[[#This Row],[kan_width]])-LEN(SUBSTITUTE(Wine_pres_final[[#This Row],[kan_width]]," ","")))&gt;2,Wine_pres_final[[#This Row],[kan_test_acc]],"")</f>
        <v/>
      </c>
      <c r="AA589">
        <f>IF((LEN(Wine_pres_final[[#This Row],[kan_width]])-LEN(SUBSTITUTE(Wine_pres_final[[#This Row],[kan_width]]," ","")))&gt;2,"",Wine_pres_final[[#This Row],[kan_test_acc]])</f>
        <v>0.93148148556550336</v>
      </c>
      <c r="AB589">
        <f>Wine_pres_final[[#This Row],[mlp_test_acc]]</f>
        <v>0.66666666666666674</v>
      </c>
      <c r="AC589">
        <f>Wine_pres_final[[#This Row],[mlp_test_acc2]]</f>
        <v>0.63148148148148153</v>
      </c>
    </row>
    <row r="590" spans="1:29" hidden="1" x14ac:dyDescent="0.25">
      <c r="A590" t="s">
        <v>1336</v>
      </c>
      <c r="B590">
        <v>3</v>
      </c>
      <c r="C590">
        <v>4</v>
      </c>
      <c r="D590">
        <v>0</v>
      </c>
      <c r="E590" t="s">
        <v>1351</v>
      </c>
      <c r="F590">
        <v>4350</v>
      </c>
      <c r="G590">
        <v>5789803.333333334</v>
      </c>
      <c r="H590">
        <v>0.93148148556550348</v>
      </c>
      <c r="I590">
        <v>0.71296296296296291</v>
      </c>
      <c r="J590">
        <v>380282.75</v>
      </c>
      <c r="K590">
        <v>8086</v>
      </c>
      <c r="L590">
        <v>2</v>
      </c>
      <c r="M590">
        <v>59</v>
      </c>
      <c r="N590">
        <v>0.6425925925925926</v>
      </c>
      <c r="O590">
        <v>362624.75</v>
      </c>
      <c r="P590">
        <v>8343</v>
      </c>
      <c r="Q590">
        <v>2</v>
      </c>
      <c r="R590">
        <v>60</v>
      </c>
      <c r="S590" t="s">
        <v>1494</v>
      </c>
      <c r="Z590" t="str">
        <f>IF((LEN(Wine_pres_final[[#This Row],[kan_width]])-LEN(SUBSTITUTE(Wine_pres_final[[#This Row],[kan_width]]," ","")))&gt;2,Wine_pres_final[[#This Row],[kan_test_acc]],"")</f>
        <v/>
      </c>
      <c r="AA590">
        <f>IF((LEN(Wine_pres_final[[#This Row],[kan_width]])-LEN(SUBSTITUTE(Wine_pres_final[[#This Row],[kan_width]]," ","")))&gt;2,"",Wine_pres_final[[#This Row],[kan_test_acc]])</f>
        <v>0.93148148556550348</v>
      </c>
      <c r="AB590">
        <f>Wine_pres_final[[#This Row],[mlp_test_acc]]</f>
        <v>0.71296296296296291</v>
      </c>
      <c r="AC590">
        <f>Wine_pres_final[[#This Row],[mlp_test_acc2]]</f>
        <v>0.6425925925925926</v>
      </c>
    </row>
    <row r="591" spans="1:29" hidden="1" x14ac:dyDescent="0.25">
      <c r="A591" t="s">
        <v>1336</v>
      </c>
      <c r="B591">
        <v>9</v>
      </c>
      <c r="C591">
        <v>3</v>
      </c>
      <c r="D591">
        <v>0</v>
      </c>
      <c r="E591" t="s">
        <v>1343</v>
      </c>
      <c r="F591">
        <v>4582</v>
      </c>
      <c r="G591">
        <v>3799174.1666666665</v>
      </c>
      <c r="H591">
        <v>0.93333333730697632</v>
      </c>
      <c r="I591">
        <v>0.68888888888888888</v>
      </c>
      <c r="J591">
        <v>358556.25</v>
      </c>
      <c r="K591">
        <v>6628</v>
      </c>
      <c r="L591">
        <v>2</v>
      </c>
      <c r="M591">
        <v>53</v>
      </c>
      <c r="N591">
        <v>0.7314814814814814</v>
      </c>
      <c r="O591">
        <v>322533.41666666669</v>
      </c>
      <c r="P591">
        <v>6861</v>
      </c>
      <c r="Q591">
        <v>2</v>
      </c>
      <c r="R591">
        <v>54</v>
      </c>
      <c r="S591" t="s">
        <v>1840</v>
      </c>
      <c r="Z591" t="str">
        <f>IF((LEN(Wine_pres_final[[#This Row],[kan_width]])-LEN(SUBSTITUTE(Wine_pres_final[[#This Row],[kan_width]]," ","")))&gt;2,Wine_pres_final[[#This Row],[kan_test_acc]],"")</f>
        <v/>
      </c>
      <c r="AA591">
        <f>IF((LEN(Wine_pres_final[[#This Row],[kan_width]])-LEN(SUBSTITUTE(Wine_pres_final[[#This Row],[kan_width]]," ","")))&gt;2,"",Wine_pres_final[[#This Row],[kan_test_acc]])</f>
        <v>0.93333333730697632</v>
      </c>
      <c r="AB591">
        <f>Wine_pres_final[[#This Row],[mlp_test_acc]]</f>
        <v>0.68888888888888888</v>
      </c>
      <c r="AC591">
        <f>Wine_pres_final[[#This Row],[mlp_test_acc2]]</f>
        <v>0.7314814814814814</v>
      </c>
    </row>
    <row r="592" spans="1:29" hidden="1" x14ac:dyDescent="0.25">
      <c r="A592" t="s">
        <v>1336</v>
      </c>
      <c r="B592">
        <v>3</v>
      </c>
      <c r="C592">
        <v>3</v>
      </c>
      <c r="D592">
        <v>0</v>
      </c>
      <c r="E592" t="s">
        <v>1349</v>
      </c>
      <c r="F592">
        <v>3628</v>
      </c>
      <c r="G592">
        <v>4301464.75</v>
      </c>
      <c r="H592">
        <v>0.93518518904844916</v>
      </c>
      <c r="I592">
        <v>0.74259259259259258</v>
      </c>
      <c r="J592">
        <v>315695.41666666663</v>
      </c>
      <c r="K592">
        <v>6399</v>
      </c>
      <c r="L592">
        <v>2</v>
      </c>
      <c r="M592">
        <v>52</v>
      </c>
      <c r="N592">
        <v>0.68148148148148147</v>
      </c>
      <c r="O592">
        <v>283275.91666666669</v>
      </c>
      <c r="P592">
        <v>6628</v>
      </c>
      <c r="Q592">
        <v>2</v>
      </c>
      <c r="R592">
        <v>53</v>
      </c>
      <c r="S592" t="s">
        <v>1443</v>
      </c>
      <c r="Z592" t="str">
        <f>IF((LEN(Wine_pres_final[[#This Row],[kan_width]])-LEN(SUBSTITUTE(Wine_pres_final[[#This Row],[kan_width]]," ","")))&gt;2,Wine_pres_final[[#This Row],[kan_test_acc]],"")</f>
        <v/>
      </c>
      <c r="AA592">
        <f>IF((LEN(Wine_pres_final[[#This Row],[kan_width]])-LEN(SUBSTITUTE(Wine_pres_final[[#This Row],[kan_width]]," ","")))&gt;2,"",Wine_pres_final[[#This Row],[kan_test_acc]])</f>
        <v>0.93518518904844916</v>
      </c>
      <c r="AB592">
        <f>Wine_pres_final[[#This Row],[mlp_test_acc]]</f>
        <v>0.74259259259259258</v>
      </c>
      <c r="AC592">
        <f>Wine_pres_final[[#This Row],[mlp_test_acc2]]</f>
        <v>0.68148148148148147</v>
      </c>
    </row>
    <row r="593" spans="1:29" hidden="1" x14ac:dyDescent="0.25">
      <c r="A593" t="s">
        <v>1336</v>
      </c>
      <c r="B593">
        <v>5</v>
      </c>
      <c r="C593">
        <v>2</v>
      </c>
      <c r="D593">
        <v>0</v>
      </c>
      <c r="E593" t="s">
        <v>1337</v>
      </c>
      <c r="F593">
        <v>2096</v>
      </c>
      <c r="G593">
        <v>3312032.833333333</v>
      </c>
      <c r="H593">
        <v>0.93518518904844927</v>
      </c>
      <c r="I593">
        <v>0.71666666666666656</v>
      </c>
      <c r="J593">
        <v>263070.16666666669</v>
      </c>
      <c r="K593">
        <v>3118</v>
      </c>
      <c r="L593">
        <v>2</v>
      </c>
      <c r="M593">
        <v>35</v>
      </c>
      <c r="N593">
        <v>0.69814814814814818</v>
      </c>
      <c r="O593">
        <v>243341.08333333331</v>
      </c>
      <c r="P593">
        <v>3279</v>
      </c>
      <c r="Q593">
        <v>2</v>
      </c>
      <c r="R593">
        <v>36</v>
      </c>
      <c r="S593" t="s">
        <v>1587</v>
      </c>
      <c r="Z593" t="str">
        <f>IF((LEN(Wine_pres_final[[#This Row],[kan_width]])-LEN(SUBSTITUTE(Wine_pres_final[[#This Row],[kan_width]]," ","")))&gt;2,Wine_pres_final[[#This Row],[kan_test_acc]],"")</f>
        <v/>
      </c>
      <c r="AA593">
        <f>IF((LEN(Wine_pres_final[[#This Row],[kan_width]])-LEN(SUBSTITUTE(Wine_pres_final[[#This Row],[kan_width]]," ","")))&gt;2,"",Wine_pres_final[[#This Row],[kan_test_acc]])</f>
        <v>0.93518518904844927</v>
      </c>
      <c r="AB593">
        <f>Wine_pres_final[[#This Row],[mlp_test_acc]]</f>
        <v>0.71666666666666656</v>
      </c>
      <c r="AC593">
        <f>Wine_pres_final[[#This Row],[mlp_test_acc2]]</f>
        <v>0.69814814814814818</v>
      </c>
    </row>
    <row r="594" spans="1:29" hidden="1" x14ac:dyDescent="0.25">
      <c r="A594" t="s">
        <v>1336</v>
      </c>
      <c r="B594">
        <v>5</v>
      </c>
      <c r="C594">
        <v>2</v>
      </c>
      <c r="D594">
        <v>0</v>
      </c>
      <c r="E594" t="s">
        <v>1347</v>
      </c>
      <c r="F594">
        <v>3706</v>
      </c>
      <c r="G594">
        <v>3450184.833333333</v>
      </c>
      <c r="H594">
        <v>0.937037040789922</v>
      </c>
      <c r="I594">
        <v>0.67592592592592593</v>
      </c>
      <c r="J594">
        <v>293412.5</v>
      </c>
      <c r="K594">
        <v>5523</v>
      </c>
      <c r="L594">
        <v>2</v>
      </c>
      <c r="M594">
        <v>48</v>
      </c>
      <c r="N594">
        <v>0.70740740740740748</v>
      </c>
      <c r="O594">
        <v>310897</v>
      </c>
      <c r="P594">
        <v>5736</v>
      </c>
      <c r="Q594">
        <v>2</v>
      </c>
      <c r="R594">
        <v>49</v>
      </c>
      <c r="S594" t="s">
        <v>1592</v>
      </c>
      <c r="Z594" t="str">
        <f>IF((LEN(Wine_pres_final[[#This Row],[kan_width]])-LEN(SUBSTITUTE(Wine_pres_final[[#This Row],[kan_width]]," ","")))&gt;2,Wine_pres_final[[#This Row],[kan_test_acc]],"")</f>
        <v/>
      </c>
      <c r="AA594">
        <f>IF((LEN(Wine_pres_final[[#This Row],[kan_width]])-LEN(SUBSTITUTE(Wine_pres_final[[#This Row],[kan_width]]," ","")))&gt;2,"",Wine_pres_final[[#This Row],[kan_test_acc]])</f>
        <v>0.937037040789922</v>
      </c>
      <c r="AB594">
        <f>Wine_pres_final[[#This Row],[mlp_test_acc]]</f>
        <v>0.67592592592592593</v>
      </c>
      <c r="AC594">
        <f>Wine_pres_final[[#This Row],[mlp_test_acc2]]</f>
        <v>0.70740740740740748</v>
      </c>
    </row>
    <row r="595" spans="1:29" hidden="1" x14ac:dyDescent="0.25">
      <c r="A595" t="s">
        <v>1336</v>
      </c>
      <c r="B595">
        <v>5</v>
      </c>
      <c r="C595">
        <v>3</v>
      </c>
      <c r="D595">
        <v>0</v>
      </c>
      <c r="E595" t="s">
        <v>1349</v>
      </c>
      <c r="F595">
        <v>4428</v>
      </c>
      <c r="G595">
        <v>3946382.916666667</v>
      </c>
      <c r="H595">
        <v>0.93703704078992212</v>
      </c>
      <c r="I595">
        <v>0.68518518518518512</v>
      </c>
      <c r="J595">
        <v>384045.16666666663</v>
      </c>
      <c r="K595">
        <v>7098</v>
      </c>
      <c r="L595">
        <v>2</v>
      </c>
      <c r="M595">
        <v>55</v>
      </c>
      <c r="N595">
        <v>0.74259259259259258</v>
      </c>
      <c r="O595">
        <v>325183.83333333337</v>
      </c>
      <c r="P595">
        <v>7339</v>
      </c>
      <c r="Q595">
        <v>2</v>
      </c>
      <c r="R595">
        <v>56</v>
      </c>
      <c r="S595" t="s">
        <v>1643</v>
      </c>
      <c r="Z595" t="str">
        <f>IF((LEN(Wine_pres_final[[#This Row],[kan_width]])-LEN(SUBSTITUTE(Wine_pres_final[[#This Row],[kan_width]]," ","")))&gt;2,Wine_pres_final[[#This Row],[kan_test_acc]],"")</f>
        <v/>
      </c>
      <c r="AA595">
        <f>IF((LEN(Wine_pres_final[[#This Row],[kan_width]])-LEN(SUBSTITUTE(Wine_pres_final[[#This Row],[kan_width]]," ","")))&gt;2,"",Wine_pres_final[[#This Row],[kan_test_acc]])</f>
        <v>0.93703704078992212</v>
      </c>
      <c r="AB595">
        <f>Wine_pres_final[[#This Row],[mlp_test_acc]]</f>
        <v>0.68518518518518512</v>
      </c>
      <c r="AC595">
        <f>Wine_pres_final[[#This Row],[mlp_test_acc2]]</f>
        <v>0.74259259259259258</v>
      </c>
    </row>
    <row r="596" spans="1:29" hidden="1" x14ac:dyDescent="0.25">
      <c r="A596" t="s">
        <v>1336</v>
      </c>
      <c r="B596">
        <v>3</v>
      </c>
      <c r="C596">
        <v>2</v>
      </c>
      <c r="D596">
        <v>0</v>
      </c>
      <c r="E596" t="s">
        <v>1349</v>
      </c>
      <c r="F596">
        <v>3228</v>
      </c>
      <c r="G596">
        <v>2452124.583333333</v>
      </c>
      <c r="H596">
        <v>0.9407407442728678</v>
      </c>
      <c r="I596">
        <v>0.67222222222222228</v>
      </c>
      <c r="J596">
        <v>211895.41666666669</v>
      </c>
      <c r="K596">
        <v>5109</v>
      </c>
      <c r="L596">
        <v>2</v>
      </c>
      <c r="M596">
        <v>46</v>
      </c>
      <c r="N596">
        <v>0.81111111111111112</v>
      </c>
      <c r="O596">
        <v>200173.25</v>
      </c>
      <c r="P596">
        <v>5314</v>
      </c>
      <c r="Q596">
        <v>2</v>
      </c>
      <c r="R596">
        <v>47</v>
      </c>
      <c r="S596" t="s">
        <v>1350</v>
      </c>
      <c r="Z596" t="str">
        <f>IF((LEN(Wine_pres_final[[#This Row],[kan_width]])-LEN(SUBSTITUTE(Wine_pres_final[[#This Row],[kan_width]]," ","")))&gt;2,Wine_pres_final[[#This Row],[kan_test_acc]],"")</f>
        <v/>
      </c>
      <c r="AA596">
        <f>IF((LEN(Wine_pres_final[[#This Row],[kan_width]])-LEN(SUBSTITUTE(Wine_pres_final[[#This Row],[kan_width]]," ","")))&gt;2,"",Wine_pres_final[[#This Row],[kan_test_acc]])</f>
        <v>0.9407407442728678</v>
      </c>
      <c r="AB596">
        <f>Wine_pres_final[[#This Row],[mlp_test_acc]]</f>
        <v>0.67222222222222228</v>
      </c>
      <c r="AC596">
        <f>Wine_pres_final[[#This Row],[mlp_test_acc2]]</f>
        <v>0.81111111111111112</v>
      </c>
    </row>
    <row r="597" spans="1:29" hidden="1" x14ac:dyDescent="0.25">
      <c r="A597" t="s">
        <v>1336</v>
      </c>
      <c r="B597">
        <v>3</v>
      </c>
      <c r="C597">
        <v>2</v>
      </c>
      <c r="D597">
        <v>0</v>
      </c>
      <c r="E597" t="s">
        <v>1425</v>
      </c>
      <c r="F597">
        <v>6261</v>
      </c>
      <c r="G597">
        <v>9480947.833333334</v>
      </c>
      <c r="H597">
        <v>0.94074074427286791</v>
      </c>
      <c r="I597">
        <v>0.66296296296296298</v>
      </c>
      <c r="J597">
        <v>500594.08333333331</v>
      </c>
      <c r="K597">
        <v>9969</v>
      </c>
      <c r="L597">
        <v>2</v>
      </c>
      <c r="M597">
        <v>66</v>
      </c>
      <c r="N597">
        <v>0.72037037037037033</v>
      </c>
      <c r="O597">
        <v>911548.58333333326</v>
      </c>
      <c r="P597">
        <v>10254</v>
      </c>
      <c r="Q597">
        <v>2</v>
      </c>
      <c r="R597">
        <v>67</v>
      </c>
      <c r="S597" t="s">
        <v>1426</v>
      </c>
      <c r="Z597">
        <f>IF((LEN(Wine_pres_final[[#This Row],[kan_width]])-LEN(SUBSTITUTE(Wine_pres_final[[#This Row],[kan_width]]," ","")))&gt;2,Wine_pres_final[[#This Row],[kan_test_acc]],"")</f>
        <v>0.94074074427286791</v>
      </c>
      <c r="AA597" t="str">
        <f>IF((LEN(Wine_pres_final[[#This Row],[kan_width]])-LEN(SUBSTITUTE(Wine_pres_final[[#This Row],[kan_width]]," ","")))&gt;2,"",Wine_pres_final[[#This Row],[kan_test_acc]])</f>
        <v/>
      </c>
      <c r="AB597">
        <f>Wine_pres_final[[#This Row],[mlp_test_acc]]</f>
        <v>0.66296296296296298</v>
      </c>
      <c r="AC597">
        <f>Wine_pres_final[[#This Row],[mlp_test_acc2]]</f>
        <v>0.72037037037037033</v>
      </c>
    </row>
    <row r="598" spans="1:29" hidden="1" x14ac:dyDescent="0.25">
      <c r="A598" t="s">
        <v>1336</v>
      </c>
      <c r="B598">
        <v>3</v>
      </c>
      <c r="C598">
        <v>2</v>
      </c>
      <c r="D598">
        <v>0</v>
      </c>
      <c r="E598" t="s">
        <v>1341</v>
      </c>
      <c r="F598">
        <v>2196</v>
      </c>
      <c r="G598">
        <v>3058868.25</v>
      </c>
      <c r="H598">
        <v>0.94814815123875928</v>
      </c>
      <c r="I598">
        <v>0.71111111111111103</v>
      </c>
      <c r="J598">
        <v>196054.66666666669</v>
      </c>
      <c r="K598">
        <v>3444</v>
      </c>
      <c r="L598">
        <v>2</v>
      </c>
      <c r="M598">
        <v>37</v>
      </c>
      <c r="N598">
        <v>0.67777777777777781</v>
      </c>
      <c r="O598">
        <v>183256</v>
      </c>
      <c r="P598">
        <v>3613</v>
      </c>
      <c r="Q598">
        <v>2</v>
      </c>
      <c r="R598">
        <v>38</v>
      </c>
      <c r="S598" t="s">
        <v>1342</v>
      </c>
      <c r="Z598" t="str">
        <f>IF((LEN(Wine_pres_final[[#This Row],[kan_width]])-LEN(SUBSTITUTE(Wine_pres_final[[#This Row],[kan_width]]," ","")))&gt;2,Wine_pres_final[[#This Row],[kan_test_acc]],"")</f>
        <v/>
      </c>
      <c r="AA598">
        <f>IF((LEN(Wine_pres_final[[#This Row],[kan_width]])-LEN(SUBSTITUTE(Wine_pres_final[[#This Row],[kan_width]]," ","")))&gt;2,"",Wine_pres_final[[#This Row],[kan_test_acc]])</f>
        <v>0.94814815123875928</v>
      </c>
      <c r="AB598">
        <f>Wine_pres_final[[#This Row],[mlp_test_acc]]</f>
        <v>0.71111111111111103</v>
      </c>
      <c r="AC598">
        <f>Wine_pres_final[[#This Row],[mlp_test_acc2]]</f>
        <v>0.67777777777777781</v>
      </c>
    </row>
    <row r="599" spans="1:29" hidden="1" x14ac:dyDescent="0.25">
      <c r="A599" t="s">
        <v>1336</v>
      </c>
      <c r="B599">
        <v>3</v>
      </c>
      <c r="C599">
        <v>3</v>
      </c>
      <c r="D599">
        <v>0</v>
      </c>
      <c r="E599" t="s">
        <v>1351</v>
      </c>
      <c r="F599">
        <v>3918</v>
      </c>
      <c r="G599">
        <v>4456101.333333333</v>
      </c>
      <c r="H599">
        <v>0.94814815123875928</v>
      </c>
      <c r="I599">
        <v>0.65370370370370368</v>
      </c>
      <c r="J599">
        <v>300959.33333333331</v>
      </c>
      <c r="K599">
        <v>6861</v>
      </c>
      <c r="L599">
        <v>2</v>
      </c>
      <c r="M599">
        <v>54</v>
      </c>
      <c r="N599">
        <v>0.72592592592592586</v>
      </c>
      <c r="O599">
        <v>303905.5</v>
      </c>
      <c r="P599">
        <v>7098</v>
      </c>
      <c r="Q599">
        <v>2</v>
      </c>
      <c r="R599">
        <v>55</v>
      </c>
      <c r="S599" t="s">
        <v>1444</v>
      </c>
      <c r="Z599" t="str">
        <f>IF((LEN(Wine_pres_final[[#This Row],[kan_width]])-LEN(SUBSTITUTE(Wine_pres_final[[#This Row],[kan_width]]," ","")))&gt;2,Wine_pres_final[[#This Row],[kan_test_acc]],"")</f>
        <v/>
      </c>
      <c r="AA599">
        <f>IF((LEN(Wine_pres_final[[#This Row],[kan_width]])-LEN(SUBSTITUTE(Wine_pres_final[[#This Row],[kan_width]]," ","")))&gt;2,"",Wine_pres_final[[#This Row],[kan_test_acc]])</f>
        <v>0.94814815123875928</v>
      </c>
      <c r="AB599">
        <f>Wine_pres_final[[#This Row],[mlp_test_acc]]</f>
        <v>0.65370370370370368</v>
      </c>
      <c r="AC599">
        <f>Wine_pres_final[[#This Row],[mlp_test_acc2]]</f>
        <v>0.72592592592592586</v>
      </c>
    </row>
    <row r="600" spans="1:29" hidden="1" x14ac:dyDescent="0.25">
      <c r="A600" t="s">
        <v>1336</v>
      </c>
      <c r="B600">
        <v>5</v>
      </c>
      <c r="C600">
        <v>2</v>
      </c>
      <c r="D600">
        <v>0</v>
      </c>
      <c r="E600" t="s">
        <v>1351</v>
      </c>
      <c r="F600">
        <v>4350</v>
      </c>
      <c r="G600">
        <v>3202722.583333333</v>
      </c>
      <c r="H600">
        <v>0.94814815123875928</v>
      </c>
      <c r="I600">
        <v>0.67407407407407405</v>
      </c>
      <c r="J600">
        <v>341676.33333333331</v>
      </c>
      <c r="K600">
        <v>6399</v>
      </c>
      <c r="L600">
        <v>2</v>
      </c>
      <c r="M600">
        <v>52</v>
      </c>
      <c r="N600">
        <v>0.76111111111111107</v>
      </c>
      <c r="O600">
        <v>319835.91666666663</v>
      </c>
      <c r="P600">
        <v>6628</v>
      </c>
      <c r="Q600">
        <v>2</v>
      </c>
      <c r="R600">
        <v>53</v>
      </c>
      <c r="S600" t="s">
        <v>1594</v>
      </c>
      <c r="Z600" t="str">
        <f>IF((LEN(Wine_pres_final[[#This Row],[kan_width]])-LEN(SUBSTITUTE(Wine_pres_final[[#This Row],[kan_width]]," ","")))&gt;2,Wine_pres_final[[#This Row],[kan_test_acc]],"")</f>
        <v/>
      </c>
      <c r="AA600">
        <f>IF((LEN(Wine_pres_final[[#This Row],[kan_width]])-LEN(SUBSTITUTE(Wine_pres_final[[#This Row],[kan_width]]," ","")))&gt;2,"",Wine_pres_final[[#This Row],[kan_test_acc]])</f>
        <v>0.94814815123875928</v>
      </c>
      <c r="AB600">
        <f>Wine_pres_final[[#This Row],[mlp_test_acc]]</f>
        <v>0.67407407407407405</v>
      </c>
      <c r="AC600">
        <f>Wine_pres_final[[#This Row],[mlp_test_acc2]]</f>
        <v>0.76111111111111107</v>
      </c>
    </row>
    <row r="601" spans="1:29" hidden="1" x14ac:dyDescent="0.25">
      <c r="A601" t="s">
        <v>1336</v>
      </c>
      <c r="B601">
        <v>3</v>
      </c>
      <c r="C601">
        <v>2</v>
      </c>
      <c r="D601">
        <v>0</v>
      </c>
      <c r="E601" t="s">
        <v>1343</v>
      </c>
      <c r="F601">
        <v>2454</v>
      </c>
      <c r="G601">
        <v>2925500.5</v>
      </c>
      <c r="H601">
        <v>0.95185185472170508</v>
      </c>
      <c r="I601">
        <v>0.62592592592592589</v>
      </c>
      <c r="J601">
        <v>191234.83333333331</v>
      </c>
      <c r="K601">
        <v>3963</v>
      </c>
      <c r="L601">
        <v>2</v>
      </c>
      <c r="M601">
        <v>40</v>
      </c>
      <c r="N601">
        <v>0.71481481481481479</v>
      </c>
      <c r="O601">
        <v>182593.66666666669</v>
      </c>
      <c r="P601">
        <v>4144</v>
      </c>
      <c r="Q601">
        <v>2</v>
      </c>
      <c r="R601">
        <v>41</v>
      </c>
      <c r="S601" t="s">
        <v>1344</v>
      </c>
      <c r="Z601" t="str">
        <f>IF((LEN(Wine_pres_final[[#This Row],[kan_width]])-LEN(SUBSTITUTE(Wine_pres_final[[#This Row],[kan_width]]," ","")))&gt;2,Wine_pres_final[[#This Row],[kan_test_acc]],"")</f>
        <v/>
      </c>
      <c r="AA601">
        <f>IF((LEN(Wine_pres_final[[#This Row],[kan_width]])-LEN(SUBSTITUTE(Wine_pres_final[[#This Row],[kan_width]]," ","")))&gt;2,"",Wine_pres_final[[#This Row],[kan_test_acc]])</f>
        <v>0.95185185472170508</v>
      </c>
      <c r="AB601">
        <f>Wine_pres_final[[#This Row],[mlp_test_acc]]</f>
        <v>0.62592592592592589</v>
      </c>
      <c r="AC601">
        <f>Wine_pres_final[[#This Row],[mlp_test_acc2]]</f>
        <v>0.71481481481481479</v>
      </c>
    </row>
    <row r="602" spans="1:29" hidden="1" x14ac:dyDescent="0.25">
      <c r="A602" t="s">
        <v>1336</v>
      </c>
      <c r="B602">
        <v>3</v>
      </c>
      <c r="C602">
        <v>2</v>
      </c>
      <c r="D602">
        <v>0</v>
      </c>
      <c r="E602" t="s">
        <v>1353</v>
      </c>
      <c r="F602">
        <v>3045</v>
      </c>
      <c r="G602">
        <v>2521636.916666667</v>
      </c>
      <c r="H602">
        <v>0.95370370646317792</v>
      </c>
      <c r="I602">
        <v>0.67407407407407405</v>
      </c>
      <c r="J602">
        <v>224270</v>
      </c>
      <c r="K602">
        <v>4908</v>
      </c>
      <c r="L602">
        <v>2</v>
      </c>
      <c r="M602">
        <v>45</v>
      </c>
      <c r="N602">
        <v>0.72592592592592586</v>
      </c>
      <c r="O602">
        <v>210243</v>
      </c>
      <c r="P602">
        <v>5109</v>
      </c>
      <c r="Q602">
        <v>2</v>
      </c>
      <c r="R602">
        <v>46</v>
      </c>
      <c r="S602" t="s">
        <v>1354</v>
      </c>
      <c r="Z602">
        <f>IF((LEN(Wine_pres_final[[#This Row],[kan_width]])-LEN(SUBSTITUTE(Wine_pres_final[[#This Row],[kan_width]]," ","")))&gt;2,Wine_pres_final[[#This Row],[kan_test_acc]],"")</f>
        <v>0.95370370646317792</v>
      </c>
      <c r="AA602" t="str">
        <f>IF((LEN(Wine_pres_final[[#This Row],[kan_width]])-LEN(SUBSTITUTE(Wine_pres_final[[#This Row],[kan_width]]," ","")))&gt;2,"",Wine_pres_final[[#This Row],[kan_test_acc]])</f>
        <v/>
      </c>
      <c r="AB602">
        <f>Wine_pres_final[[#This Row],[mlp_test_acc]]</f>
        <v>0.67407407407407405</v>
      </c>
      <c r="AC602">
        <f>Wine_pres_final[[#This Row],[mlp_test_acc2]]</f>
        <v>0.72592592592592586</v>
      </c>
    </row>
    <row r="603" spans="1:29" hidden="1" x14ac:dyDescent="0.25">
      <c r="A603" t="s">
        <v>1336</v>
      </c>
      <c r="B603">
        <v>3</v>
      </c>
      <c r="C603">
        <v>2</v>
      </c>
      <c r="D603">
        <v>0</v>
      </c>
      <c r="E603" t="s">
        <v>1351</v>
      </c>
      <c r="F603">
        <v>3486</v>
      </c>
      <c r="G603">
        <v>2205584.5</v>
      </c>
      <c r="H603">
        <v>0.95370370646317792</v>
      </c>
      <c r="I603">
        <v>0.65925925925925921</v>
      </c>
      <c r="J603">
        <v>223729.5</v>
      </c>
      <c r="K603">
        <v>5523</v>
      </c>
      <c r="L603">
        <v>2</v>
      </c>
      <c r="M603">
        <v>48</v>
      </c>
      <c r="N603">
        <v>0.78888888888888886</v>
      </c>
      <c r="O603">
        <v>214269.41666666669</v>
      </c>
      <c r="P603">
        <v>5736</v>
      </c>
      <c r="Q603">
        <v>2</v>
      </c>
      <c r="R603">
        <v>49</v>
      </c>
      <c r="S603" t="s">
        <v>1352</v>
      </c>
      <c r="Z603" t="str">
        <f>IF((LEN(Wine_pres_final[[#This Row],[kan_width]])-LEN(SUBSTITUTE(Wine_pres_final[[#This Row],[kan_width]]," ","")))&gt;2,Wine_pres_final[[#This Row],[kan_test_acc]],"")</f>
        <v/>
      </c>
      <c r="AA603">
        <f>IF((LEN(Wine_pres_final[[#This Row],[kan_width]])-LEN(SUBSTITUTE(Wine_pres_final[[#This Row],[kan_width]]," ","")))&gt;2,"",Wine_pres_final[[#This Row],[kan_test_acc]])</f>
        <v>0.95370370646317792</v>
      </c>
      <c r="AB603">
        <f>Wine_pres_final[[#This Row],[mlp_test_acc]]</f>
        <v>0.65925925925925921</v>
      </c>
      <c r="AC603">
        <f>Wine_pres_final[[#This Row],[mlp_test_acc2]]</f>
        <v>0.78888888888888886</v>
      </c>
    </row>
    <row r="604" spans="1:29" hidden="1" x14ac:dyDescent="0.25">
      <c r="A604" t="s">
        <v>1336</v>
      </c>
      <c r="B604">
        <v>5</v>
      </c>
      <c r="C604">
        <v>2</v>
      </c>
      <c r="D604">
        <v>0</v>
      </c>
      <c r="E604" t="s">
        <v>1349</v>
      </c>
      <c r="F604">
        <v>4028</v>
      </c>
      <c r="G604">
        <v>3026377.083333333</v>
      </c>
      <c r="H604">
        <v>0.95370370646317792</v>
      </c>
      <c r="I604">
        <v>0.65555555555555556</v>
      </c>
      <c r="J604">
        <v>303380.16666666663</v>
      </c>
      <c r="K604">
        <v>5953</v>
      </c>
      <c r="L604">
        <v>2</v>
      </c>
      <c r="M604">
        <v>50</v>
      </c>
      <c r="N604">
        <v>0.7407407407407407</v>
      </c>
      <c r="O604">
        <v>310279.58333333331</v>
      </c>
      <c r="P604">
        <v>6174</v>
      </c>
      <c r="Q604">
        <v>2</v>
      </c>
      <c r="R604">
        <v>51</v>
      </c>
      <c r="S604" t="s">
        <v>1593</v>
      </c>
      <c r="Z604" t="str">
        <f>IF((LEN(Wine_pres_final[[#This Row],[kan_width]])-LEN(SUBSTITUTE(Wine_pres_final[[#This Row],[kan_width]]," ","")))&gt;2,Wine_pres_final[[#This Row],[kan_test_acc]],"")</f>
        <v/>
      </c>
      <c r="AA604">
        <f>IF((LEN(Wine_pres_final[[#This Row],[kan_width]])-LEN(SUBSTITUTE(Wine_pres_final[[#This Row],[kan_width]]," ","")))&gt;2,"",Wine_pres_final[[#This Row],[kan_test_acc]])</f>
        <v>0.95370370646317792</v>
      </c>
      <c r="AB604">
        <f>Wine_pres_final[[#This Row],[mlp_test_acc]]</f>
        <v>0.65555555555555556</v>
      </c>
      <c r="AC604">
        <f>Wine_pres_final[[#This Row],[mlp_test_acc2]]</f>
        <v>0.7407407407407407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A44CC-1496-4749-8CEB-75E63B39D35F}">
  <dimension ref="A1:Z1662"/>
  <sheetViews>
    <sheetView tabSelected="1" zoomScale="70" zoomScaleNormal="70" workbookViewId="0">
      <selection activeCell="U28" sqref="U28"/>
    </sheetView>
  </sheetViews>
  <sheetFormatPr defaultRowHeight="15" x14ac:dyDescent="0.25"/>
  <cols>
    <col min="1" max="1" width="16" bestFit="1" customWidth="1"/>
    <col min="2" max="2" width="10.7109375" bestFit="1" customWidth="1"/>
    <col min="3" max="3" width="13.5703125" bestFit="1" customWidth="1"/>
    <col min="4" max="4" width="10.5703125" bestFit="1" customWidth="1"/>
    <col min="5" max="5" width="12.28515625" bestFit="1" customWidth="1"/>
    <col min="6" max="6" width="13.85546875" bestFit="1" customWidth="1"/>
    <col min="7" max="7" width="22" bestFit="1" customWidth="1"/>
    <col min="8" max="8" width="14.7109375" bestFit="1" customWidth="1"/>
    <col min="9" max="9" width="15" bestFit="1" customWidth="1"/>
    <col min="10" max="10" width="22.28515625" bestFit="1" customWidth="1"/>
    <col min="11" max="11" width="14.140625" customWidth="1"/>
    <col min="12" max="12" width="16.28515625" customWidth="1"/>
    <col min="13" max="13" width="19" bestFit="1" customWidth="1"/>
    <col min="14" max="14" width="16.140625" bestFit="1" customWidth="1"/>
    <col min="15" max="15" width="23.28515625" bestFit="1" customWidth="1"/>
    <col min="16" max="16" width="15.140625" hidden="1" customWidth="1"/>
    <col min="17" max="17" width="12.85546875" hidden="1" customWidth="1"/>
    <col min="18" max="18" width="15.7109375" bestFit="1" customWidth="1"/>
    <col min="19" max="19" width="21.5703125" hidden="1" customWidth="1"/>
    <col min="25" max="25" width="13.7109375" bestFit="1" customWidth="1"/>
    <col min="26" max="26" width="1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W1" t="s">
        <v>1332</v>
      </c>
      <c r="X1" t="s">
        <v>1333</v>
      </c>
      <c r="Y1" t="s">
        <v>1334</v>
      </c>
      <c r="Z1" t="s">
        <v>1335</v>
      </c>
    </row>
    <row r="2" spans="1:26" hidden="1" x14ac:dyDescent="0.25">
      <c r="A2" t="s">
        <v>19</v>
      </c>
      <c r="B2">
        <v>3</v>
      </c>
      <c r="C2">
        <v>2</v>
      </c>
      <c r="D2">
        <v>0</v>
      </c>
      <c r="E2" t="s">
        <v>20</v>
      </c>
      <c r="F2">
        <v>6170</v>
      </c>
      <c r="G2">
        <v>43259669.277777776</v>
      </c>
      <c r="H2">
        <v>0.91103341016504502</v>
      </c>
      <c r="I2">
        <v>0.93919968919968921</v>
      </c>
      <c r="J2">
        <v>10832421.777777778</v>
      </c>
      <c r="K2">
        <v>9860</v>
      </c>
      <c r="L2">
        <v>2</v>
      </c>
      <c r="M2">
        <v>62</v>
      </c>
      <c r="N2">
        <v>0.94522144522144524</v>
      </c>
      <c r="O2">
        <v>11003574.972222222</v>
      </c>
      <c r="P2">
        <v>10145</v>
      </c>
      <c r="Q2">
        <v>2</v>
      </c>
      <c r="R2">
        <v>63</v>
      </c>
      <c r="S2" t="s">
        <v>21</v>
      </c>
      <c r="W2">
        <f>Cancer_doubles_final2[[#This Row],[kan_params]]</f>
        <v>6170</v>
      </c>
      <c r="X2">
        <f>Cancer_doubles_final2[[#This Row],[kan_test_acc]]</f>
        <v>0.91103341016504502</v>
      </c>
      <c r="Y2">
        <f>Cancer_doubles_final2[[#This Row],[mlp_test_acc]]</f>
        <v>0.93919968919968921</v>
      </c>
      <c r="Z2">
        <f>Cancer_doubles_final2[[#This Row],[mlp_test_acc2]]</f>
        <v>0.94522144522144524</v>
      </c>
    </row>
    <row r="3" spans="1:26" hidden="1" x14ac:dyDescent="0.25">
      <c r="A3" t="s">
        <v>19</v>
      </c>
      <c r="B3">
        <v>3</v>
      </c>
      <c r="C3">
        <v>3</v>
      </c>
      <c r="D3">
        <v>0</v>
      </c>
      <c r="E3" t="s">
        <v>22</v>
      </c>
      <c r="F3">
        <v>6360</v>
      </c>
      <c r="G3">
        <v>35321037.222222224</v>
      </c>
      <c r="H3">
        <v>0.94094793332947635</v>
      </c>
      <c r="I3">
        <v>0.94211344211344217</v>
      </c>
      <c r="J3">
        <v>7417953.847222222</v>
      </c>
      <c r="K3">
        <v>11024</v>
      </c>
      <c r="L3">
        <v>2</v>
      </c>
      <c r="M3">
        <v>66</v>
      </c>
      <c r="N3">
        <v>0.94493006993006989</v>
      </c>
      <c r="O3">
        <v>7906017.333333333</v>
      </c>
      <c r="P3">
        <v>11325</v>
      </c>
      <c r="Q3">
        <v>2</v>
      </c>
      <c r="R3">
        <v>67</v>
      </c>
      <c r="S3" t="s">
        <v>23</v>
      </c>
      <c r="W3">
        <f>Cancer_doubles_final2[[#This Row],[kan_params]]</f>
        <v>6360</v>
      </c>
      <c r="X3">
        <f>Cancer_doubles_final2[[#This Row],[kan_test_acc]]</f>
        <v>0.94094793332947635</v>
      </c>
      <c r="Y3">
        <f>Cancer_doubles_final2[[#This Row],[mlp_test_acc]]</f>
        <v>0.94211344211344217</v>
      </c>
      <c r="Z3">
        <f>Cancer_doubles_final2[[#This Row],[mlp_test_acc2]]</f>
        <v>0.94493006993006989</v>
      </c>
    </row>
    <row r="4" spans="1:26" hidden="1" x14ac:dyDescent="0.25">
      <c r="A4" t="s">
        <v>19</v>
      </c>
      <c r="B4">
        <v>3</v>
      </c>
      <c r="C4">
        <v>2</v>
      </c>
      <c r="D4">
        <v>0</v>
      </c>
      <c r="E4" t="s">
        <v>24</v>
      </c>
      <c r="F4">
        <v>6684</v>
      </c>
      <c r="G4">
        <v>33404746.416666672</v>
      </c>
      <c r="H4">
        <v>0.95959595011340248</v>
      </c>
      <c r="I4">
        <v>0.9456099456099456</v>
      </c>
      <c r="J4">
        <v>5979336.25</v>
      </c>
      <c r="K4">
        <v>10727</v>
      </c>
      <c r="L4">
        <v>2</v>
      </c>
      <c r="M4">
        <v>65</v>
      </c>
      <c r="N4">
        <v>0.94502719502719501</v>
      </c>
      <c r="O4">
        <v>6418015.027777778</v>
      </c>
      <c r="P4">
        <v>11024</v>
      </c>
      <c r="Q4">
        <v>2</v>
      </c>
      <c r="R4">
        <v>66</v>
      </c>
      <c r="S4" t="s">
        <v>25</v>
      </c>
      <c r="W4">
        <f>Cancer_doubles_final2[[#This Row],[kan_params]]</f>
        <v>6684</v>
      </c>
      <c r="X4">
        <f>Cancer_doubles_final2[[#This Row],[kan_test_acc]]</f>
        <v>0.95959595011340248</v>
      </c>
      <c r="Y4">
        <f>Cancer_doubles_final2[[#This Row],[mlp_test_acc]]</f>
        <v>0.9456099456099456</v>
      </c>
      <c r="Z4">
        <f>Cancer_doubles_final2[[#This Row],[mlp_test_acc2]]</f>
        <v>0.94502719502719501</v>
      </c>
    </row>
    <row r="5" spans="1:26" hidden="1" x14ac:dyDescent="0.25">
      <c r="A5" t="s">
        <v>19</v>
      </c>
      <c r="B5">
        <v>3</v>
      </c>
      <c r="C5">
        <v>3</v>
      </c>
      <c r="D5">
        <v>0</v>
      </c>
      <c r="E5" t="s">
        <v>20</v>
      </c>
      <c r="F5">
        <v>6938</v>
      </c>
      <c r="G5">
        <v>16740443.222222222</v>
      </c>
      <c r="H5">
        <v>0.96076145105891764</v>
      </c>
      <c r="I5">
        <v>0.9456099456099456</v>
      </c>
      <c r="J5">
        <v>3229501.0555555555</v>
      </c>
      <c r="K5">
        <v>12252</v>
      </c>
      <c r="L5">
        <v>2</v>
      </c>
      <c r="M5">
        <v>70</v>
      </c>
      <c r="N5">
        <v>0.94580419580419584</v>
      </c>
      <c r="O5">
        <v>2747159.4444444445</v>
      </c>
      <c r="P5">
        <v>12569</v>
      </c>
      <c r="Q5">
        <v>2</v>
      </c>
      <c r="R5">
        <v>71</v>
      </c>
      <c r="S5" t="s">
        <v>26</v>
      </c>
      <c r="W5">
        <f>Cancer_doubles_final2[[#This Row],[kan_params]]</f>
        <v>6938</v>
      </c>
      <c r="X5">
        <f>Cancer_doubles_final2[[#This Row],[kan_test_acc]]</f>
        <v>0.96076145105891764</v>
      </c>
      <c r="Y5">
        <f>Cancer_doubles_final2[[#This Row],[mlp_test_acc]]</f>
        <v>0.9456099456099456</v>
      </c>
      <c r="Z5">
        <f>Cancer_doubles_final2[[#This Row],[mlp_test_acc2]]</f>
        <v>0.94580419580419584</v>
      </c>
    </row>
    <row r="6" spans="1:26" hidden="1" x14ac:dyDescent="0.25">
      <c r="A6" t="s">
        <v>19</v>
      </c>
      <c r="B6">
        <v>3</v>
      </c>
      <c r="C6">
        <v>4</v>
      </c>
      <c r="D6">
        <v>0</v>
      </c>
      <c r="E6" t="s">
        <v>22</v>
      </c>
      <c r="F6">
        <v>7064</v>
      </c>
      <c r="G6">
        <v>34389588.583333328</v>
      </c>
      <c r="H6">
        <v>0.9714452193842994</v>
      </c>
      <c r="I6">
        <v>0.9456099456099456</v>
      </c>
      <c r="J6">
        <v>6663775.916666666</v>
      </c>
      <c r="K6">
        <v>13215</v>
      </c>
      <c r="L6">
        <v>2</v>
      </c>
      <c r="M6">
        <v>73</v>
      </c>
      <c r="N6">
        <v>0.94735819735819726</v>
      </c>
      <c r="O6">
        <v>6563441.555555556</v>
      </c>
      <c r="P6">
        <v>13544</v>
      </c>
      <c r="Q6">
        <v>2</v>
      </c>
      <c r="R6">
        <v>74</v>
      </c>
      <c r="S6" t="s">
        <v>27</v>
      </c>
      <c r="W6">
        <f>Cancer_doubles_final2[[#This Row],[kan_params]]</f>
        <v>7064</v>
      </c>
      <c r="X6">
        <f>Cancer_doubles_final2[[#This Row],[kan_test_acc]]</f>
        <v>0.9714452193842994</v>
      </c>
      <c r="Y6">
        <f>Cancer_doubles_final2[[#This Row],[mlp_test_acc]]</f>
        <v>0.9456099456099456</v>
      </c>
      <c r="Z6">
        <f>Cancer_doubles_final2[[#This Row],[mlp_test_acc2]]</f>
        <v>0.94735819735819726</v>
      </c>
    </row>
    <row r="7" spans="1:26" hidden="1" x14ac:dyDescent="0.25">
      <c r="A7" t="s">
        <v>19</v>
      </c>
      <c r="B7">
        <v>5</v>
      </c>
      <c r="C7">
        <v>2</v>
      </c>
      <c r="D7">
        <v>0</v>
      </c>
      <c r="E7" t="s">
        <v>22</v>
      </c>
      <c r="F7">
        <v>7064</v>
      </c>
      <c r="G7">
        <v>54940794.5</v>
      </c>
      <c r="H7">
        <v>0.97465035070975614</v>
      </c>
      <c r="I7">
        <v>0.94667832167832167</v>
      </c>
      <c r="J7">
        <v>10260091</v>
      </c>
      <c r="K7">
        <v>10434</v>
      </c>
      <c r="L7">
        <v>2</v>
      </c>
      <c r="M7">
        <v>64</v>
      </c>
      <c r="N7">
        <v>0.94842657342657333</v>
      </c>
      <c r="O7">
        <v>9960567.5</v>
      </c>
      <c r="P7">
        <v>10727</v>
      </c>
      <c r="Q7">
        <v>2</v>
      </c>
      <c r="R7">
        <v>65</v>
      </c>
      <c r="S7" t="s">
        <v>28</v>
      </c>
      <c r="W7">
        <f>Cancer_doubles_final2[[#This Row],[kan_params]]</f>
        <v>7064</v>
      </c>
      <c r="X7">
        <f>Cancer_doubles_final2[[#This Row],[kan_test_acc]]</f>
        <v>0.97465035070975614</v>
      </c>
      <c r="Y7">
        <f>Cancer_doubles_final2[[#This Row],[mlp_test_acc]]</f>
        <v>0.94667832167832167</v>
      </c>
      <c r="Z7">
        <f>Cancer_doubles_final2[[#This Row],[mlp_test_acc2]]</f>
        <v>0.94842657342657333</v>
      </c>
    </row>
    <row r="8" spans="1:26" hidden="1" x14ac:dyDescent="0.25">
      <c r="A8" t="s">
        <v>19</v>
      </c>
      <c r="B8">
        <v>3</v>
      </c>
      <c r="C8">
        <v>4</v>
      </c>
      <c r="D8">
        <v>0</v>
      </c>
      <c r="E8" t="s">
        <v>22</v>
      </c>
      <c r="F8">
        <v>7064</v>
      </c>
      <c r="G8">
        <v>54395462.166666672</v>
      </c>
      <c r="H8">
        <v>0.96969696134328842</v>
      </c>
      <c r="I8">
        <v>0.93240093240093236</v>
      </c>
      <c r="J8">
        <v>10893023.583333332</v>
      </c>
      <c r="K8">
        <v>13215</v>
      </c>
      <c r="L8">
        <v>2</v>
      </c>
      <c r="M8">
        <v>73</v>
      </c>
      <c r="N8">
        <v>0.93356643356643354</v>
      </c>
      <c r="O8">
        <v>10532986</v>
      </c>
      <c r="P8">
        <v>13544</v>
      </c>
      <c r="Q8">
        <v>2</v>
      </c>
      <c r="R8">
        <v>74</v>
      </c>
      <c r="S8" t="s">
        <v>27</v>
      </c>
      <c r="W8">
        <f>Cancer_doubles_final2[[#This Row],[kan_params]]</f>
        <v>7064</v>
      </c>
      <c r="X8">
        <f>Cancer_doubles_final2[[#This Row],[kan_test_acc]]</f>
        <v>0.96969696134328842</v>
      </c>
      <c r="Y8">
        <f>Cancer_doubles_final2[[#This Row],[mlp_test_acc]]</f>
        <v>0.93240093240093236</v>
      </c>
      <c r="Z8">
        <f>Cancer_doubles_final2[[#This Row],[mlp_test_acc2]]</f>
        <v>0.93356643356643354</v>
      </c>
    </row>
    <row r="9" spans="1:26" hidden="1" x14ac:dyDescent="0.25">
      <c r="A9" t="s">
        <v>19</v>
      </c>
      <c r="B9">
        <v>5</v>
      </c>
      <c r="C9">
        <v>2</v>
      </c>
      <c r="D9">
        <v>0</v>
      </c>
      <c r="E9" t="s">
        <v>22</v>
      </c>
      <c r="F9">
        <v>7064</v>
      </c>
      <c r="G9">
        <v>63369078.666666672</v>
      </c>
      <c r="H9">
        <v>0.96270395567019773</v>
      </c>
      <c r="I9">
        <v>0.93240093240093236</v>
      </c>
      <c r="J9">
        <v>12268823.208333332</v>
      </c>
      <c r="K9">
        <v>10434</v>
      </c>
      <c r="L9">
        <v>2</v>
      </c>
      <c r="M9">
        <v>64</v>
      </c>
      <c r="N9">
        <v>0.93356643356643354</v>
      </c>
      <c r="O9">
        <v>12106391.958333332</v>
      </c>
      <c r="P9">
        <v>10727</v>
      </c>
      <c r="Q9">
        <v>2</v>
      </c>
      <c r="R9">
        <v>65</v>
      </c>
      <c r="S9" t="s">
        <v>28</v>
      </c>
      <c r="W9">
        <f>Cancer_doubles_final2[[#This Row],[kan_params]]</f>
        <v>7064</v>
      </c>
      <c r="X9">
        <f>Cancer_doubles_final2[[#This Row],[kan_test_acc]]</f>
        <v>0.96270395567019773</v>
      </c>
      <c r="Y9">
        <f>Cancer_doubles_final2[[#This Row],[mlp_test_acc]]</f>
        <v>0.93240093240093236</v>
      </c>
      <c r="Z9">
        <f>Cancer_doubles_final2[[#This Row],[mlp_test_acc2]]</f>
        <v>0.93356643356643354</v>
      </c>
    </row>
    <row r="10" spans="1:26" hidden="1" x14ac:dyDescent="0.25">
      <c r="A10" t="s">
        <v>19</v>
      </c>
      <c r="B10">
        <v>3</v>
      </c>
      <c r="C10">
        <v>2</v>
      </c>
      <c r="D10">
        <v>0</v>
      </c>
      <c r="E10" t="s">
        <v>29</v>
      </c>
      <c r="F10">
        <v>7198</v>
      </c>
      <c r="G10">
        <v>46364799.416666672</v>
      </c>
      <c r="H10">
        <v>0.9583333283662796</v>
      </c>
      <c r="I10">
        <v>0.94376456876456871</v>
      </c>
      <c r="J10">
        <v>7910594.958333333</v>
      </c>
      <c r="K10">
        <v>11630</v>
      </c>
      <c r="L10">
        <v>2</v>
      </c>
      <c r="M10">
        <v>68</v>
      </c>
      <c r="N10">
        <v>0.94988344988344986</v>
      </c>
      <c r="O10">
        <v>8051630.625</v>
      </c>
      <c r="P10">
        <v>11939</v>
      </c>
      <c r="Q10">
        <v>2</v>
      </c>
      <c r="R10">
        <v>69</v>
      </c>
      <c r="S10" t="s">
        <v>30</v>
      </c>
      <c r="W10">
        <f>Cancer_doubles_final2[[#This Row],[kan_params]]</f>
        <v>7198</v>
      </c>
      <c r="X10">
        <f>Cancer_doubles_final2[[#This Row],[kan_test_acc]]</f>
        <v>0.9583333283662796</v>
      </c>
      <c r="Y10">
        <f>Cancer_doubles_final2[[#This Row],[mlp_test_acc]]</f>
        <v>0.94376456876456871</v>
      </c>
      <c r="Z10">
        <f>Cancer_doubles_final2[[#This Row],[mlp_test_acc2]]</f>
        <v>0.94988344988344986</v>
      </c>
    </row>
    <row r="11" spans="1:26" hidden="1" x14ac:dyDescent="0.25">
      <c r="A11" t="s">
        <v>19</v>
      </c>
      <c r="B11">
        <v>3</v>
      </c>
      <c r="C11">
        <v>3</v>
      </c>
      <c r="D11">
        <v>0</v>
      </c>
      <c r="E11" t="s">
        <v>24</v>
      </c>
      <c r="F11">
        <v>7516</v>
      </c>
      <c r="G11">
        <v>10448982.194444444</v>
      </c>
      <c r="H11">
        <v>0.9628982047239939</v>
      </c>
      <c r="I11">
        <v>0.94463869463869454</v>
      </c>
      <c r="J11">
        <v>2058264.9444444445</v>
      </c>
      <c r="K11">
        <v>13215</v>
      </c>
      <c r="L11">
        <v>2</v>
      </c>
      <c r="M11">
        <v>73</v>
      </c>
      <c r="N11">
        <v>0.94716394716394714</v>
      </c>
      <c r="O11">
        <v>1619174.6388888888</v>
      </c>
      <c r="P11">
        <v>13544</v>
      </c>
      <c r="Q11">
        <v>2</v>
      </c>
      <c r="R11">
        <v>74</v>
      </c>
      <c r="S11" t="s">
        <v>31</v>
      </c>
      <c r="W11">
        <f>Cancer_doubles_final2[[#This Row],[kan_params]]</f>
        <v>7516</v>
      </c>
      <c r="X11">
        <f>Cancer_doubles_final2[[#This Row],[kan_test_acc]]</f>
        <v>0.9628982047239939</v>
      </c>
      <c r="Y11">
        <f>Cancer_doubles_final2[[#This Row],[mlp_test_acc]]</f>
        <v>0.94463869463869454</v>
      </c>
      <c r="Z11">
        <f>Cancer_doubles_final2[[#This Row],[mlp_test_acc2]]</f>
        <v>0.94716394716394714</v>
      </c>
    </row>
    <row r="12" spans="1:26" hidden="1" x14ac:dyDescent="0.25">
      <c r="A12" t="s">
        <v>19</v>
      </c>
      <c r="B12">
        <v>3</v>
      </c>
      <c r="C12">
        <v>4</v>
      </c>
      <c r="D12">
        <v>0</v>
      </c>
      <c r="E12" t="s">
        <v>20</v>
      </c>
      <c r="F12">
        <v>7706</v>
      </c>
      <c r="G12">
        <v>16955019.97222222</v>
      </c>
      <c r="H12">
        <v>0.97144521772861481</v>
      </c>
      <c r="I12">
        <v>0.94658119658119655</v>
      </c>
      <c r="J12">
        <v>3839918.25</v>
      </c>
      <c r="K12">
        <v>14555</v>
      </c>
      <c r="L12">
        <v>2</v>
      </c>
      <c r="M12">
        <v>77</v>
      </c>
      <c r="N12">
        <v>0.94794094794094796</v>
      </c>
      <c r="O12">
        <v>2906533.9166666665</v>
      </c>
      <c r="P12">
        <v>14900</v>
      </c>
      <c r="Q12">
        <v>2</v>
      </c>
      <c r="R12">
        <v>78</v>
      </c>
      <c r="S12" t="s">
        <v>32</v>
      </c>
      <c r="W12">
        <f>Cancer_doubles_final2[[#This Row],[kan_params]]</f>
        <v>7706</v>
      </c>
      <c r="X12">
        <f>Cancer_doubles_final2[[#This Row],[kan_test_acc]]</f>
        <v>0.97144521772861481</v>
      </c>
      <c r="Y12">
        <f>Cancer_doubles_final2[[#This Row],[mlp_test_acc]]</f>
        <v>0.94658119658119655</v>
      </c>
      <c r="Z12">
        <f>Cancer_doubles_final2[[#This Row],[mlp_test_acc2]]</f>
        <v>0.94794094794094796</v>
      </c>
    </row>
    <row r="13" spans="1:26" hidden="1" x14ac:dyDescent="0.25">
      <c r="A13" t="s">
        <v>19</v>
      </c>
      <c r="B13">
        <v>5</v>
      </c>
      <c r="C13">
        <v>2</v>
      </c>
      <c r="D13">
        <v>0</v>
      </c>
      <c r="E13" t="s">
        <v>20</v>
      </c>
      <c r="F13">
        <v>7706</v>
      </c>
      <c r="G13">
        <v>30926154.541666668</v>
      </c>
      <c r="H13">
        <v>0.97406760603189468</v>
      </c>
      <c r="I13">
        <v>0.94784382284382285</v>
      </c>
      <c r="J13">
        <v>5556982.25</v>
      </c>
      <c r="K13">
        <v>11325</v>
      </c>
      <c r="L13">
        <v>2</v>
      </c>
      <c r="M13">
        <v>67</v>
      </c>
      <c r="N13">
        <v>0.94638694638694632</v>
      </c>
      <c r="O13">
        <v>4935843.916666666</v>
      </c>
      <c r="P13">
        <v>11630</v>
      </c>
      <c r="Q13">
        <v>2</v>
      </c>
      <c r="R13">
        <v>68</v>
      </c>
      <c r="S13" t="s">
        <v>33</v>
      </c>
      <c r="W13">
        <f>Cancer_doubles_final2[[#This Row],[kan_params]]</f>
        <v>7706</v>
      </c>
      <c r="X13">
        <f>Cancer_doubles_final2[[#This Row],[kan_test_acc]]</f>
        <v>0.97406760603189468</v>
      </c>
      <c r="Y13">
        <f>Cancer_doubles_final2[[#This Row],[mlp_test_acc]]</f>
        <v>0.94784382284382285</v>
      </c>
      <c r="Z13">
        <f>Cancer_doubles_final2[[#This Row],[mlp_test_acc2]]</f>
        <v>0.94638694638694632</v>
      </c>
    </row>
    <row r="14" spans="1:26" hidden="1" x14ac:dyDescent="0.25">
      <c r="A14" t="s">
        <v>19</v>
      </c>
      <c r="B14">
        <v>3</v>
      </c>
      <c r="C14">
        <v>4</v>
      </c>
      <c r="D14">
        <v>0</v>
      </c>
      <c r="E14" t="s">
        <v>20</v>
      </c>
      <c r="F14">
        <v>7706</v>
      </c>
      <c r="G14">
        <v>31552926.541666668</v>
      </c>
      <c r="H14">
        <v>0.96794871240854263</v>
      </c>
      <c r="I14">
        <v>0.93006993006993011</v>
      </c>
      <c r="J14">
        <v>6460320.791666666</v>
      </c>
      <c r="K14">
        <v>14555</v>
      </c>
      <c r="L14">
        <v>2</v>
      </c>
      <c r="M14">
        <v>77</v>
      </c>
      <c r="N14">
        <v>0.93123543123543118</v>
      </c>
      <c r="O14">
        <v>5661840.708333333</v>
      </c>
      <c r="P14">
        <v>14900</v>
      </c>
      <c r="Q14">
        <v>2</v>
      </c>
      <c r="R14">
        <v>78</v>
      </c>
      <c r="S14" t="s">
        <v>32</v>
      </c>
      <c r="W14">
        <f>Cancer_doubles_final2[[#This Row],[kan_params]]</f>
        <v>7706</v>
      </c>
      <c r="X14">
        <f>Cancer_doubles_final2[[#This Row],[kan_test_acc]]</f>
        <v>0.96794871240854263</v>
      </c>
      <c r="Y14">
        <f>Cancer_doubles_final2[[#This Row],[mlp_test_acc]]</f>
        <v>0.93006993006993011</v>
      </c>
      <c r="Z14">
        <f>Cancer_doubles_final2[[#This Row],[mlp_test_acc2]]</f>
        <v>0.93123543123543118</v>
      </c>
    </row>
    <row r="15" spans="1:26" hidden="1" x14ac:dyDescent="0.25">
      <c r="A15" t="s">
        <v>19</v>
      </c>
      <c r="B15">
        <v>5</v>
      </c>
      <c r="C15">
        <v>2</v>
      </c>
      <c r="D15">
        <v>0</v>
      </c>
      <c r="E15" t="s">
        <v>20</v>
      </c>
      <c r="F15">
        <v>7706</v>
      </c>
      <c r="G15">
        <v>34350988.916666672</v>
      </c>
      <c r="H15">
        <v>0.97027971098820376</v>
      </c>
      <c r="I15">
        <v>0.93356643356643354</v>
      </c>
      <c r="J15">
        <v>7853760.8749999991</v>
      </c>
      <c r="K15">
        <v>11325</v>
      </c>
      <c r="L15">
        <v>2</v>
      </c>
      <c r="M15">
        <v>67</v>
      </c>
      <c r="N15">
        <v>0.93356643356643354</v>
      </c>
      <c r="O15">
        <v>7098544.4583333321</v>
      </c>
      <c r="P15">
        <v>11630</v>
      </c>
      <c r="Q15">
        <v>2</v>
      </c>
      <c r="R15">
        <v>68</v>
      </c>
      <c r="S15" t="s">
        <v>33</v>
      </c>
      <c r="W15">
        <f>Cancer_doubles_final2[[#This Row],[kan_params]]</f>
        <v>7706</v>
      </c>
      <c r="X15">
        <f>Cancer_doubles_final2[[#This Row],[kan_test_acc]]</f>
        <v>0.97027971098820376</v>
      </c>
      <c r="Y15">
        <f>Cancer_doubles_final2[[#This Row],[mlp_test_acc]]</f>
        <v>0.93356643356643354</v>
      </c>
      <c r="Z15">
        <f>Cancer_doubles_final2[[#This Row],[mlp_test_acc2]]</f>
        <v>0.93356643356643354</v>
      </c>
    </row>
    <row r="16" spans="1:26" hidden="1" x14ac:dyDescent="0.25">
      <c r="A16" t="s">
        <v>19</v>
      </c>
      <c r="B16">
        <v>3</v>
      </c>
      <c r="C16">
        <v>2</v>
      </c>
      <c r="D16">
        <v>0</v>
      </c>
      <c r="E16" t="s">
        <v>34</v>
      </c>
      <c r="F16">
        <v>7712</v>
      </c>
      <c r="G16">
        <v>26907987.75</v>
      </c>
      <c r="H16">
        <v>0.97086246063311887</v>
      </c>
      <c r="I16">
        <v>0.94493006993006989</v>
      </c>
      <c r="J16">
        <v>5014708.583333333</v>
      </c>
      <c r="K16">
        <v>12252</v>
      </c>
      <c r="L16">
        <v>2</v>
      </c>
      <c r="M16">
        <v>70</v>
      </c>
      <c r="N16">
        <v>0.95250582750582757</v>
      </c>
      <c r="O16">
        <v>4840191.4999999991</v>
      </c>
      <c r="P16">
        <v>12569</v>
      </c>
      <c r="Q16">
        <v>2</v>
      </c>
      <c r="R16">
        <v>71</v>
      </c>
      <c r="S16" t="s">
        <v>35</v>
      </c>
      <c r="W16">
        <f>Cancer_doubles_final2[[#This Row],[kan_params]]</f>
        <v>7712</v>
      </c>
      <c r="X16">
        <f>Cancer_doubles_final2[[#This Row],[kan_test_acc]]</f>
        <v>0.97086246063311887</v>
      </c>
      <c r="Y16">
        <f>Cancer_doubles_final2[[#This Row],[mlp_test_acc]]</f>
        <v>0.94493006993006989</v>
      </c>
      <c r="Z16">
        <f>Cancer_doubles_final2[[#This Row],[mlp_test_acc2]]</f>
        <v>0.95250582750582757</v>
      </c>
    </row>
    <row r="17" spans="1:26" x14ac:dyDescent="0.25">
      <c r="A17" t="s">
        <v>19</v>
      </c>
      <c r="B17">
        <v>3</v>
      </c>
      <c r="C17">
        <v>5</v>
      </c>
      <c r="D17">
        <v>0</v>
      </c>
      <c r="E17" t="s">
        <v>22</v>
      </c>
      <c r="F17">
        <v>7768</v>
      </c>
      <c r="G17">
        <v>23079279.611111112</v>
      </c>
      <c r="H17">
        <v>0.96872570945156944</v>
      </c>
      <c r="I17">
        <v>0.94347319347319347</v>
      </c>
      <c r="J17">
        <v>4690224.277777778</v>
      </c>
      <c r="K17">
        <v>15249</v>
      </c>
      <c r="L17">
        <v>2</v>
      </c>
      <c r="M17">
        <v>79</v>
      </c>
      <c r="N17">
        <v>0.94852369852369856</v>
      </c>
      <c r="O17">
        <v>4837521.75</v>
      </c>
      <c r="P17">
        <v>15602</v>
      </c>
      <c r="Q17">
        <v>2</v>
      </c>
      <c r="R17">
        <v>80</v>
      </c>
      <c r="S17" t="s">
        <v>36</v>
      </c>
      <c r="W17">
        <f>Cancer_doubles_final2[[#This Row],[mlp_params]]</f>
        <v>15249</v>
      </c>
      <c r="X17">
        <f>Cancer_doubles_final2[[#This Row],[kan_test_acc]]</f>
        <v>0.96872570945156944</v>
      </c>
      <c r="Y17">
        <f>Cancer_doubles_final2[[#This Row],[mlp_test_acc]]</f>
        <v>0.94347319347319347</v>
      </c>
      <c r="Z17">
        <f>Cancer_doubles_final2[[#This Row],[mlp_test_acc2]]</f>
        <v>0.94852369852369856</v>
      </c>
    </row>
    <row r="18" spans="1:26" hidden="1" x14ac:dyDescent="0.25">
      <c r="A18" t="s">
        <v>19</v>
      </c>
      <c r="B18">
        <v>5</v>
      </c>
      <c r="C18">
        <v>3</v>
      </c>
      <c r="D18">
        <v>0</v>
      </c>
      <c r="E18" t="s">
        <v>22</v>
      </c>
      <c r="F18">
        <v>7768</v>
      </c>
      <c r="G18">
        <v>49028782.666666672</v>
      </c>
      <c r="H18">
        <v>0.97406759361426032</v>
      </c>
      <c r="I18">
        <v>0.94289044289044288</v>
      </c>
      <c r="J18">
        <v>8986553.625</v>
      </c>
      <c r="K18">
        <v>12569</v>
      </c>
      <c r="L18">
        <v>2</v>
      </c>
      <c r="M18">
        <v>71</v>
      </c>
      <c r="N18">
        <v>0.94026806526806528</v>
      </c>
      <c r="O18">
        <v>8893615.458333334</v>
      </c>
      <c r="P18">
        <v>12890</v>
      </c>
      <c r="Q18">
        <v>2</v>
      </c>
      <c r="R18">
        <v>72</v>
      </c>
      <c r="S18" t="s">
        <v>37</v>
      </c>
      <c r="W18">
        <f>Cancer_doubles_final2[[#This Row],[mlp_params]]</f>
        <v>12569</v>
      </c>
      <c r="X18">
        <f>Cancer_doubles_final2[[#This Row],[kan_test_acc]]</f>
        <v>0.97406759361426032</v>
      </c>
      <c r="Y18">
        <f>Cancer_doubles_final2[[#This Row],[mlp_test_acc]]</f>
        <v>0.94289044289044288</v>
      </c>
      <c r="Z18">
        <f>Cancer_doubles_final2[[#This Row],[mlp_test_acc2]]</f>
        <v>0.94026806526806528</v>
      </c>
    </row>
    <row r="19" spans="1:26" x14ac:dyDescent="0.25">
      <c r="A19" t="s">
        <v>19</v>
      </c>
      <c r="B19">
        <v>3</v>
      </c>
      <c r="C19">
        <v>5</v>
      </c>
      <c r="D19">
        <v>0</v>
      </c>
      <c r="E19" t="s">
        <v>22</v>
      </c>
      <c r="F19">
        <v>7768</v>
      </c>
      <c r="G19">
        <v>48797870.166666672</v>
      </c>
      <c r="H19">
        <v>0.9691142116983732</v>
      </c>
      <c r="I19">
        <v>0.93269230769230771</v>
      </c>
      <c r="J19">
        <v>8739850.25</v>
      </c>
      <c r="K19">
        <v>15249</v>
      </c>
      <c r="L19">
        <v>2</v>
      </c>
      <c r="M19">
        <v>79</v>
      </c>
      <c r="N19">
        <v>0.92832167832167833</v>
      </c>
      <c r="O19">
        <v>8516974.208333334</v>
      </c>
      <c r="P19">
        <v>15602</v>
      </c>
      <c r="Q19">
        <v>2</v>
      </c>
      <c r="R19">
        <v>80</v>
      </c>
      <c r="S19" t="s">
        <v>36</v>
      </c>
      <c r="W19">
        <f>Cancer_doubles_final2[[#This Row],[mlp_params]]</f>
        <v>15249</v>
      </c>
      <c r="X19">
        <f>Cancer_doubles_final2[[#This Row],[kan_test_acc]]</f>
        <v>0.9691142116983732</v>
      </c>
      <c r="Y19">
        <f>Cancer_doubles_final2[[#This Row],[mlp_test_acc]]</f>
        <v>0.93269230769230771</v>
      </c>
      <c r="Z19">
        <f>Cancer_doubles_final2[[#This Row],[mlp_test_acc2]]</f>
        <v>0.92832167832167833</v>
      </c>
    </row>
    <row r="20" spans="1:26" hidden="1" x14ac:dyDescent="0.25">
      <c r="A20" t="s">
        <v>19</v>
      </c>
      <c r="B20">
        <v>5</v>
      </c>
      <c r="C20">
        <v>3</v>
      </c>
      <c r="D20">
        <v>0</v>
      </c>
      <c r="E20" t="s">
        <v>22</v>
      </c>
      <c r="F20">
        <v>7768</v>
      </c>
      <c r="G20">
        <v>41929141.291666672</v>
      </c>
      <c r="H20">
        <v>0.95308857411146164</v>
      </c>
      <c r="I20">
        <v>0.91054778554778559</v>
      </c>
      <c r="J20">
        <v>8487468.75</v>
      </c>
      <c r="K20">
        <v>12569</v>
      </c>
      <c r="L20">
        <v>2</v>
      </c>
      <c r="M20">
        <v>71</v>
      </c>
      <c r="N20">
        <v>0.90821678321678323</v>
      </c>
      <c r="O20">
        <v>9036495.5416666679</v>
      </c>
      <c r="P20">
        <v>12890</v>
      </c>
      <c r="Q20">
        <v>2</v>
      </c>
      <c r="R20">
        <v>72</v>
      </c>
      <c r="S20" t="s">
        <v>37</v>
      </c>
      <c r="W20">
        <f>Cancer_doubles_final2[[#This Row],[mlp_params]]</f>
        <v>12569</v>
      </c>
      <c r="X20">
        <f>Cancer_doubles_final2[[#This Row],[kan_test_acc]]</f>
        <v>0.95308857411146164</v>
      </c>
      <c r="Y20">
        <f>Cancer_doubles_final2[[#This Row],[mlp_test_acc]]</f>
        <v>0.91054778554778559</v>
      </c>
      <c r="Z20">
        <f>Cancer_doubles_final2[[#This Row],[mlp_test_acc2]]</f>
        <v>0.90821678321678323</v>
      </c>
    </row>
    <row r="21" spans="1:26" hidden="1" x14ac:dyDescent="0.25">
      <c r="A21" t="s">
        <v>19</v>
      </c>
      <c r="B21">
        <v>3</v>
      </c>
      <c r="C21">
        <v>3</v>
      </c>
      <c r="D21">
        <v>0</v>
      </c>
      <c r="E21" t="s">
        <v>29</v>
      </c>
      <c r="F21">
        <v>8094</v>
      </c>
      <c r="G21">
        <v>24754070.958333336</v>
      </c>
      <c r="H21">
        <v>0.95192307233810425</v>
      </c>
      <c r="I21">
        <v>0.9216200466200466</v>
      </c>
      <c r="J21">
        <v>5275421.666666666</v>
      </c>
      <c r="K21">
        <v>14214</v>
      </c>
      <c r="L21">
        <v>2</v>
      </c>
      <c r="M21">
        <v>76</v>
      </c>
      <c r="N21">
        <v>0.92365967365967361</v>
      </c>
      <c r="O21">
        <v>4893308.916666667</v>
      </c>
      <c r="P21">
        <v>14555</v>
      </c>
      <c r="Q21">
        <v>2</v>
      </c>
      <c r="R21">
        <v>77</v>
      </c>
      <c r="S21" t="s">
        <v>38</v>
      </c>
      <c r="W21">
        <f>Cancer_doubles_final2[[#This Row],[mlp_params]]</f>
        <v>14214</v>
      </c>
      <c r="X21">
        <f>Cancer_doubles_final2[[#This Row],[kan_test_acc]]</f>
        <v>0.95192307233810425</v>
      </c>
      <c r="Y21">
        <f>Cancer_doubles_final2[[#This Row],[mlp_test_acc]]</f>
        <v>0.9216200466200466</v>
      </c>
      <c r="Z21">
        <f>Cancer_doubles_final2[[#This Row],[mlp_test_acc2]]</f>
        <v>0.92365967365967361</v>
      </c>
    </row>
    <row r="22" spans="1:26" hidden="1" x14ac:dyDescent="0.25">
      <c r="A22" t="s">
        <v>19</v>
      </c>
      <c r="B22">
        <v>3</v>
      </c>
      <c r="C22">
        <v>2</v>
      </c>
      <c r="D22">
        <v>0</v>
      </c>
      <c r="E22" t="s">
        <v>39</v>
      </c>
      <c r="F22">
        <v>8226</v>
      </c>
      <c r="G22">
        <v>12416712</v>
      </c>
      <c r="H22">
        <v>0.96386945413218605</v>
      </c>
      <c r="I22">
        <v>0.94444444444444442</v>
      </c>
      <c r="J22">
        <v>2573160.638888889</v>
      </c>
      <c r="K22">
        <v>13215</v>
      </c>
      <c r="L22">
        <v>2</v>
      </c>
      <c r="M22">
        <v>73</v>
      </c>
      <c r="N22">
        <v>0.94910644910644903</v>
      </c>
      <c r="O22">
        <v>1463967.3055555555</v>
      </c>
      <c r="P22">
        <v>13544</v>
      </c>
      <c r="Q22">
        <v>2</v>
      </c>
      <c r="R22">
        <v>74</v>
      </c>
      <c r="S22" t="s">
        <v>40</v>
      </c>
      <c r="W22">
        <f>Cancer_doubles_final2[[#This Row],[mlp_params]]</f>
        <v>13215</v>
      </c>
      <c r="X22">
        <f>Cancer_doubles_final2[[#This Row],[kan_test_acc]]</f>
        <v>0.96386945413218605</v>
      </c>
      <c r="Y22">
        <f>Cancer_doubles_final2[[#This Row],[mlp_test_acc]]</f>
        <v>0.94444444444444442</v>
      </c>
      <c r="Z22">
        <f>Cancer_doubles_final2[[#This Row],[mlp_test_acc2]]</f>
        <v>0.94910644910644903</v>
      </c>
    </row>
    <row r="23" spans="1:26" hidden="1" x14ac:dyDescent="0.25">
      <c r="A23" t="s">
        <v>19</v>
      </c>
      <c r="B23">
        <v>3</v>
      </c>
      <c r="C23">
        <v>4</v>
      </c>
      <c r="D23">
        <v>0</v>
      </c>
      <c r="E23" t="s">
        <v>24</v>
      </c>
      <c r="F23">
        <v>8348</v>
      </c>
      <c r="G23">
        <v>11089103.805555556</v>
      </c>
      <c r="H23">
        <v>0.97261071701844526</v>
      </c>
      <c r="I23">
        <v>0.94755244755244761</v>
      </c>
      <c r="J23">
        <v>2497866.138888889</v>
      </c>
      <c r="K23">
        <v>15602</v>
      </c>
      <c r="L23">
        <v>2</v>
      </c>
      <c r="M23">
        <v>80</v>
      </c>
      <c r="N23">
        <v>0.94813519813519809</v>
      </c>
      <c r="O23">
        <v>1743756.0277777778</v>
      </c>
      <c r="P23">
        <v>15959</v>
      </c>
      <c r="Q23">
        <v>2</v>
      </c>
      <c r="R23">
        <v>81</v>
      </c>
      <c r="S23" t="s">
        <v>41</v>
      </c>
      <c r="W23">
        <f>Cancer_doubles_final2[[#This Row],[mlp_params]]</f>
        <v>15602</v>
      </c>
      <c r="X23">
        <f>Cancer_doubles_final2[[#This Row],[kan_test_acc]]</f>
        <v>0.97261071701844526</v>
      </c>
      <c r="Y23">
        <f>Cancer_doubles_final2[[#This Row],[mlp_test_acc]]</f>
        <v>0.94755244755244761</v>
      </c>
      <c r="Z23">
        <f>Cancer_doubles_final2[[#This Row],[mlp_test_acc2]]</f>
        <v>0.94813519813519809</v>
      </c>
    </row>
    <row r="24" spans="1:26" hidden="1" x14ac:dyDescent="0.25">
      <c r="A24" t="s">
        <v>19</v>
      </c>
      <c r="B24">
        <v>5</v>
      </c>
      <c r="C24">
        <v>2</v>
      </c>
      <c r="D24">
        <v>0</v>
      </c>
      <c r="E24" t="s">
        <v>24</v>
      </c>
      <c r="F24">
        <v>8348</v>
      </c>
      <c r="G24">
        <v>13031630.583333334</v>
      </c>
      <c r="H24">
        <v>0.98339162021875381</v>
      </c>
      <c r="I24">
        <v>0.94638694638694643</v>
      </c>
      <c r="J24">
        <v>1822118.1666666667</v>
      </c>
      <c r="K24">
        <v>12252</v>
      </c>
      <c r="L24">
        <v>2</v>
      </c>
      <c r="M24">
        <v>70</v>
      </c>
      <c r="N24">
        <v>0.94347319347319347</v>
      </c>
      <c r="O24">
        <v>998528.375</v>
      </c>
      <c r="P24">
        <v>12569</v>
      </c>
      <c r="Q24">
        <v>2</v>
      </c>
      <c r="R24">
        <v>71</v>
      </c>
      <c r="S24" t="s">
        <v>42</v>
      </c>
      <c r="W24">
        <f>Cancer_doubles_final2[[#This Row],[mlp_params]]</f>
        <v>12252</v>
      </c>
      <c r="X24">
        <f>Cancer_doubles_final2[[#This Row],[kan_test_acc]]</f>
        <v>0.98339162021875381</v>
      </c>
      <c r="Y24">
        <f>Cancer_doubles_final2[[#This Row],[mlp_test_acc]]</f>
        <v>0.94638694638694643</v>
      </c>
      <c r="Z24">
        <f>Cancer_doubles_final2[[#This Row],[mlp_test_acc2]]</f>
        <v>0.94347319347319347</v>
      </c>
    </row>
    <row r="25" spans="1:26" hidden="1" x14ac:dyDescent="0.25">
      <c r="A25" t="s">
        <v>19</v>
      </c>
      <c r="B25">
        <v>3</v>
      </c>
      <c r="C25">
        <v>4</v>
      </c>
      <c r="D25">
        <v>0</v>
      </c>
      <c r="E25" t="s">
        <v>24</v>
      </c>
      <c r="F25">
        <v>8348</v>
      </c>
      <c r="G25">
        <v>13915940.041666666</v>
      </c>
      <c r="H25">
        <v>0.97465034574270248</v>
      </c>
      <c r="I25">
        <v>0.92773892773892774</v>
      </c>
      <c r="J25">
        <v>2485329.5416666665</v>
      </c>
      <c r="K25">
        <v>15602</v>
      </c>
      <c r="L25">
        <v>2</v>
      </c>
      <c r="M25">
        <v>80</v>
      </c>
      <c r="N25">
        <v>0.92919580419580416</v>
      </c>
      <c r="O25">
        <v>2338675.541666667</v>
      </c>
      <c r="P25">
        <v>15959</v>
      </c>
      <c r="Q25">
        <v>2</v>
      </c>
      <c r="R25">
        <v>81</v>
      </c>
      <c r="S25" t="s">
        <v>41</v>
      </c>
      <c r="W25">
        <f>Cancer_doubles_final2[[#This Row],[mlp_params]]</f>
        <v>15602</v>
      </c>
      <c r="X25">
        <f>Cancer_doubles_final2[[#This Row],[kan_test_acc]]</f>
        <v>0.97465034574270248</v>
      </c>
      <c r="Y25">
        <f>Cancer_doubles_final2[[#This Row],[mlp_test_acc]]</f>
        <v>0.92773892773892774</v>
      </c>
      <c r="Z25">
        <f>Cancer_doubles_final2[[#This Row],[mlp_test_acc2]]</f>
        <v>0.92919580419580416</v>
      </c>
    </row>
    <row r="26" spans="1:26" hidden="1" x14ac:dyDescent="0.25">
      <c r="A26" t="s">
        <v>19</v>
      </c>
      <c r="B26">
        <v>5</v>
      </c>
      <c r="C26">
        <v>2</v>
      </c>
      <c r="D26">
        <v>0</v>
      </c>
      <c r="E26" t="s">
        <v>24</v>
      </c>
      <c r="F26">
        <v>8348</v>
      </c>
      <c r="G26">
        <v>12932757.25</v>
      </c>
      <c r="H26">
        <v>0.9731934666633606</v>
      </c>
      <c r="I26">
        <v>0.9332750582750583</v>
      </c>
      <c r="J26">
        <v>3980300.7083333335</v>
      </c>
      <c r="K26">
        <v>12252</v>
      </c>
      <c r="L26">
        <v>2</v>
      </c>
      <c r="M26">
        <v>70</v>
      </c>
      <c r="N26">
        <v>0.9332750582750583</v>
      </c>
      <c r="O26">
        <v>3753262.4583333335</v>
      </c>
      <c r="P26">
        <v>12569</v>
      </c>
      <c r="Q26">
        <v>2</v>
      </c>
      <c r="R26">
        <v>71</v>
      </c>
      <c r="S26" t="s">
        <v>42</v>
      </c>
      <c r="W26">
        <f>Cancer_doubles_final2[[#This Row],[mlp_params]]</f>
        <v>12252</v>
      </c>
      <c r="X26">
        <f>Cancer_doubles_final2[[#This Row],[kan_test_acc]]</f>
        <v>0.9731934666633606</v>
      </c>
      <c r="Y26">
        <f>Cancer_doubles_final2[[#This Row],[mlp_test_acc]]</f>
        <v>0.9332750582750583</v>
      </c>
      <c r="Z26">
        <f>Cancer_doubles_final2[[#This Row],[mlp_test_acc2]]</f>
        <v>0.9332750582750583</v>
      </c>
    </row>
    <row r="27" spans="1:26" hidden="1" x14ac:dyDescent="0.25">
      <c r="A27" t="s">
        <v>19</v>
      </c>
      <c r="B27">
        <v>5</v>
      </c>
      <c r="C27">
        <v>4</v>
      </c>
      <c r="D27">
        <v>0</v>
      </c>
      <c r="E27" t="s">
        <v>22</v>
      </c>
      <c r="F27">
        <v>8472</v>
      </c>
      <c r="G27">
        <v>28627841.458333336</v>
      </c>
      <c r="H27">
        <v>0.97931235780318571</v>
      </c>
      <c r="I27">
        <v>0.9533799533799534</v>
      </c>
      <c r="J27">
        <v>8030449.6666666679</v>
      </c>
      <c r="K27">
        <v>14555</v>
      </c>
      <c r="L27">
        <v>2</v>
      </c>
      <c r="M27">
        <v>77</v>
      </c>
      <c r="N27">
        <v>0.95134032634032639</v>
      </c>
      <c r="O27">
        <v>7718634.791666667</v>
      </c>
      <c r="P27">
        <v>14900</v>
      </c>
      <c r="Q27">
        <v>2</v>
      </c>
      <c r="R27">
        <v>78</v>
      </c>
      <c r="S27" t="s">
        <v>43</v>
      </c>
      <c r="W27">
        <f>Cancer_doubles_final2[[#This Row],[mlp_params]]</f>
        <v>14555</v>
      </c>
      <c r="X27">
        <f>Cancer_doubles_final2[[#This Row],[kan_test_acc]]</f>
        <v>0.97931235780318571</v>
      </c>
      <c r="Y27">
        <f>Cancer_doubles_final2[[#This Row],[mlp_test_acc]]</f>
        <v>0.9533799533799534</v>
      </c>
      <c r="Z27">
        <f>Cancer_doubles_final2[[#This Row],[mlp_test_acc2]]</f>
        <v>0.95134032634032639</v>
      </c>
    </row>
    <row r="28" spans="1:26" x14ac:dyDescent="0.25">
      <c r="A28" t="s">
        <v>19</v>
      </c>
      <c r="B28">
        <v>3</v>
      </c>
      <c r="C28">
        <v>5</v>
      </c>
      <c r="D28">
        <v>0</v>
      </c>
      <c r="E28" t="s">
        <v>20</v>
      </c>
      <c r="F28">
        <v>8474</v>
      </c>
      <c r="G28">
        <v>41310659.666666664</v>
      </c>
      <c r="H28">
        <v>0.97596153368552518</v>
      </c>
      <c r="I28">
        <v>0.93560606060606055</v>
      </c>
      <c r="J28">
        <v>9198067.875</v>
      </c>
      <c r="K28">
        <v>16685</v>
      </c>
      <c r="L28">
        <v>2</v>
      </c>
      <c r="M28">
        <v>83</v>
      </c>
      <c r="N28">
        <v>0.93502331002331007</v>
      </c>
      <c r="O28">
        <v>9136656.770833334</v>
      </c>
      <c r="P28">
        <v>17054</v>
      </c>
      <c r="Q28">
        <v>2</v>
      </c>
      <c r="R28">
        <v>84</v>
      </c>
      <c r="S28" t="s">
        <v>44</v>
      </c>
      <c r="W28">
        <f>Cancer_doubles_final2[[#This Row],[mlp_params]]</f>
        <v>16685</v>
      </c>
      <c r="X28">
        <f>Cancer_doubles_final2[[#This Row],[kan_test_acc]]</f>
        <v>0.97596153368552518</v>
      </c>
      <c r="Y28">
        <f>Cancer_doubles_final2[[#This Row],[mlp_test_acc]]</f>
        <v>0.93560606060606055</v>
      </c>
      <c r="Z28">
        <f>Cancer_doubles_final2[[#This Row],[mlp_test_acc2]]</f>
        <v>0.93502331002331007</v>
      </c>
    </row>
    <row r="29" spans="1:26" hidden="1" x14ac:dyDescent="0.25">
      <c r="A29" t="s">
        <v>19</v>
      </c>
      <c r="B29">
        <v>5</v>
      </c>
      <c r="C29">
        <v>3</v>
      </c>
      <c r="D29">
        <v>0</v>
      </c>
      <c r="E29" t="s">
        <v>20</v>
      </c>
      <c r="F29">
        <v>8474</v>
      </c>
      <c r="G29">
        <v>33245455.833333336</v>
      </c>
      <c r="H29">
        <v>0.97348484893639886</v>
      </c>
      <c r="I29">
        <v>0.94580419580419584</v>
      </c>
      <c r="J29">
        <v>5736817.666666667</v>
      </c>
      <c r="K29">
        <v>13544</v>
      </c>
      <c r="L29">
        <v>2</v>
      </c>
      <c r="M29">
        <v>74</v>
      </c>
      <c r="N29">
        <v>0.94085081585081587</v>
      </c>
      <c r="O29">
        <v>4276536.25</v>
      </c>
      <c r="P29">
        <v>13877</v>
      </c>
      <c r="Q29">
        <v>2</v>
      </c>
      <c r="R29">
        <v>75</v>
      </c>
      <c r="S29" t="s">
        <v>45</v>
      </c>
      <c r="W29">
        <f>Cancer_doubles_final2[[#This Row],[mlp_params]]</f>
        <v>13544</v>
      </c>
      <c r="X29">
        <f>Cancer_doubles_final2[[#This Row],[kan_test_acc]]</f>
        <v>0.97348484893639886</v>
      </c>
      <c r="Y29">
        <f>Cancer_doubles_final2[[#This Row],[mlp_test_acc]]</f>
        <v>0.94580419580419584</v>
      </c>
      <c r="Z29">
        <f>Cancer_doubles_final2[[#This Row],[mlp_test_acc2]]</f>
        <v>0.94085081585081587</v>
      </c>
    </row>
    <row r="30" spans="1:26" x14ac:dyDescent="0.25">
      <c r="A30" t="s">
        <v>19</v>
      </c>
      <c r="B30">
        <v>3</v>
      </c>
      <c r="C30">
        <v>5</v>
      </c>
      <c r="D30">
        <v>0</v>
      </c>
      <c r="E30" t="s">
        <v>20</v>
      </c>
      <c r="F30">
        <v>8474</v>
      </c>
      <c r="G30">
        <v>33840066.375</v>
      </c>
      <c r="H30">
        <v>0.96707459042469668</v>
      </c>
      <c r="I30">
        <v>0.93181818181818188</v>
      </c>
      <c r="J30">
        <v>5767200.458333334</v>
      </c>
      <c r="K30">
        <v>16685</v>
      </c>
      <c r="L30">
        <v>2</v>
      </c>
      <c r="M30">
        <v>83</v>
      </c>
      <c r="N30">
        <v>0.92890442890442892</v>
      </c>
      <c r="O30">
        <v>5267544.791666667</v>
      </c>
      <c r="P30">
        <v>17054</v>
      </c>
      <c r="Q30">
        <v>2</v>
      </c>
      <c r="R30">
        <v>84</v>
      </c>
      <c r="S30" t="s">
        <v>44</v>
      </c>
      <c r="W30">
        <f>Cancer_doubles_final2[[#This Row],[mlp_params]]</f>
        <v>16685</v>
      </c>
      <c r="X30">
        <f>Cancer_doubles_final2[[#This Row],[kan_test_acc]]</f>
        <v>0.96707459042469668</v>
      </c>
      <c r="Y30">
        <f>Cancer_doubles_final2[[#This Row],[mlp_test_acc]]</f>
        <v>0.93181818181818188</v>
      </c>
      <c r="Z30">
        <f>Cancer_doubles_final2[[#This Row],[mlp_test_acc2]]</f>
        <v>0.92890442890442892</v>
      </c>
    </row>
    <row r="31" spans="1:26" hidden="1" x14ac:dyDescent="0.25">
      <c r="A31" t="s">
        <v>19</v>
      </c>
      <c r="B31">
        <v>5</v>
      </c>
      <c r="C31">
        <v>3</v>
      </c>
      <c r="D31">
        <v>0</v>
      </c>
      <c r="E31" t="s">
        <v>20</v>
      </c>
      <c r="F31">
        <v>8474</v>
      </c>
      <c r="G31">
        <v>28512661</v>
      </c>
      <c r="H31">
        <v>0.95454545567433047</v>
      </c>
      <c r="I31">
        <v>0.90967365967365965</v>
      </c>
      <c r="J31">
        <v>5760445.875</v>
      </c>
      <c r="K31">
        <v>13544</v>
      </c>
      <c r="L31">
        <v>2</v>
      </c>
      <c r="M31">
        <v>74</v>
      </c>
      <c r="N31">
        <v>0.91229603729603737</v>
      </c>
      <c r="O31">
        <v>6327212.666666667</v>
      </c>
      <c r="P31">
        <v>13877</v>
      </c>
      <c r="Q31">
        <v>2</v>
      </c>
      <c r="R31">
        <v>75</v>
      </c>
      <c r="S31" t="s">
        <v>45</v>
      </c>
      <c r="W31">
        <f>Cancer_doubles_final2[[#This Row],[mlp_params]]</f>
        <v>13544</v>
      </c>
      <c r="X31">
        <f>Cancer_doubles_final2[[#This Row],[kan_test_acc]]</f>
        <v>0.95454545567433047</v>
      </c>
      <c r="Y31">
        <f>Cancer_doubles_final2[[#This Row],[mlp_test_acc]]</f>
        <v>0.90967365967365965</v>
      </c>
      <c r="Z31">
        <f>Cancer_doubles_final2[[#This Row],[mlp_test_acc2]]</f>
        <v>0.91229603729603737</v>
      </c>
    </row>
    <row r="32" spans="1:26" hidden="1" x14ac:dyDescent="0.25">
      <c r="A32" t="s">
        <v>19</v>
      </c>
      <c r="B32">
        <v>3</v>
      </c>
      <c r="C32">
        <v>3</v>
      </c>
      <c r="D32">
        <v>0</v>
      </c>
      <c r="E32" t="s">
        <v>34</v>
      </c>
      <c r="F32">
        <v>8672</v>
      </c>
      <c r="G32">
        <v>19643801.125</v>
      </c>
      <c r="H32">
        <v>0.94988345106442773</v>
      </c>
      <c r="I32">
        <v>0.92249417249417243</v>
      </c>
      <c r="J32">
        <v>3788782</v>
      </c>
      <c r="K32">
        <v>15249</v>
      </c>
      <c r="L32">
        <v>2</v>
      </c>
      <c r="M32">
        <v>79</v>
      </c>
      <c r="N32">
        <v>0.92773892773892774</v>
      </c>
      <c r="O32">
        <v>3508200.875</v>
      </c>
      <c r="P32">
        <v>15602</v>
      </c>
      <c r="Q32">
        <v>2</v>
      </c>
      <c r="R32">
        <v>80</v>
      </c>
      <c r="S32" t="s">
        <v>46</v>
      </c>
      <c r="W32">
        <f>Cancer_doubles_final2[[#This Row],[mlp_params]]</f>
        <v>15249</v>
      </c>
      <c r="X32">
        <f>Cancer_doubles_final2[[#This Row],[kan_test_acc]]</f>
        <v>0.94988345106442773</v>
      </c>
      <c r="Y32">
        <f>Cancer_doubles_final2[[#This Row],[mlp_test_acc]]</f>
        <v>0.92249417249417243</v>
      </c>
      <c r="Z32">
        <f>Cancer_doubles_final2[[#This Row],[mlp_test_acc2]]</f>
        <v>0.92773892773892774</v>
      </c>
    </row>
    <row r="33" spans="1:26" hidden="1" x14ac:dyDescent="0.25">
      <c r="A33" t="s">
        <v>19</v>
      </c>
      <c r="B33">
        <v>3</v>
      </c>
      <c r="C33">
        <v>2</v>
      </c>
      <c r="D33">
        <v>0</v>
      </c>
      <c r="E33" t="s">
        <v>47</v>
      </c>
      <c r="F33">
        <v>8740</v>
      </c>
      <c r="G33">
        <v>12603950.61111111</v>
      </c>
      <c r="H33">
        <v>0.96270396146509385</v>
      </c>
      <c r="I33">
        <v>0.9456099456099456</v>
      </c>
      <c r="J33">
        <v>2415501.1944444445</v>
      </c>
      <c r="K33">
        <v>13877</v>
      </c>
      <c r="L33">
        <v>2</v>
      </c>
      <c r="M33">
        <v>75</v>
      </c>
      <c r="N33">
        <v>0.94735819735819726</v>
      </c>
      <c r="O33">
        <v>1795921.9444444443</v>
      </c>
      <c r="P33">
        <v>14214</v>
      </c>
      <c r="Q33">
        <v>2</v>
      </c>
      <c r="R33">
        <v>76</v>
      </c>
      <c r="S33" t="s">
        <v>48</v>
      </c>
      <c r="W33">
        <f>Cancer_doubles_final2[[#This Row],[mlp_params]]</f>
        <v>13877</v>
      </c>
      <c r="X33">
        <f>Cancer_doubles_final2[[#This Row],[kan_test_acc]]</f>
        <v>0.96270396146509385</v>
      </c>
      <c r="Y33">
        <f>Cancer_doubles_final2[[#This Row],[mlp_test_acc]]</f>
        <v>0.9456099456099456</v>
      </c>
      <c r="Z33">
        <f>Cancer_doubles_final2[[#This Row],[mlp_test_acc2]]</f>
        <v>0.94735819735819726</v>
      </c>
    </row>
    <row r="34" spans="1:26" hidden="1" x14ac:dyDescent="0.25">
      <c r="A34" t="s">
        <v>19</v>
      </c>
      <c r="B34">
        <v>3</v>
      </c>
      <c r="C34">
        <v>4</v>
      </c>
      <c r="D34">
        <v>0</v>
      </c>
      <c r="E34" t="s">
        <v>29</v>
      </c>
      <c r="F34">
        <v>8990</v>
      </c>
      <c r="G34">
        <v>11065535.527777776</v>
      </c>
      <c r="H34">
        <v>0.96600621442000068</v>
      </c>
      <c r="I34">
        <v>0.94677544677544678</v>
      </c>
      <c r="J34">
        <v>2430856.083333333</v>
      </c>
      <c r="K34">
        <v>16685</v>
      </c>
      <c r="L34">
        <v>2</v>
      </c>
      <c r="M34">
        <v>83</v>
      </c>
      <c r="N34">
        <v>0.94658119658119655</v>
      </c>
      <c r="O34">
        <v>1786616.4444444445</v>
      </c>
      <c r="P34">
        <v>17054</v>
      </c>
      <c r="Q34">
        <v>2</v>
      </c>
      <c r="R34">
        <v>84</v>
      </c>
      <c r="S34" t="s">
        <v>49</v>
      </c>
      <c r="W34">
        <f>Cancer_doubles_final2[[#This Row],[mlp_params]]</f>
        <v>16685</v>
      </c>
      <c r="X34">
        <f>Cancer_doubles_final2[[#This Row],[kan_test_acc]]</f>
        <v>0.96600621442000068</v>
      </c>
      <c r="Y34">
        <f>Cancer_doubles_final2[[#This Row],[mlp_test_acc]]</f>
        <v>0.94677544677544678</v>
      </c>
      <c r="Z34">
        <f>Cancer_doubles_final2[[#This Row],[mlp_test_acc2]]</f>
        <v>0.94658119658119655</v>
      </c>
    </row>
    <row r="35" spans="1:26" hidden="1" x14ac:dyDescent="0.25">
      <c r="A35" t="s">
        <v>19</v>
      </c>
      <c r="B35">
        <v>5</v>
      </c>
      <c r="C35">
        <v>2</v>
      </c>
      <c r="D35">
        <v>0</v>
      </c>
      <c r="E35" t="s">
        <v>29</v>
      </c>
      <c r="F35">
        <v>8990</v>
      </c>
      <c r="G35">
        <v>15428433.583333332</v>
      </c>
      <c r="H35">
        <v>0.98630536595980323</v>
      </c>
      <c r="I35">
        <v>0.94900932400932403</v>
      </c>
      <c r="J35">
        <v>1818148.5</v>
      </c>
      <c r="K35">
        <v>13215</v>
      </c>
      <c r="L35">
        <v>2</v>
      </c>
      <c r="M35">
        <v>73</v>
      </c>
      <c r="N35">
        <v>0.9443473193473193</v>
      </c>
      <c r="O35">
        <v>1007646.5833333333</v>
      </c>
      <c r="P35">
        <v>13544</v>
      </c>
      <c r="Q35">
        <v>2</v>
      </c>
      <c r="R35">
        <v>74</v>
      </c>
      <c r="S35" t="s">
        <v>50</v>
      </c>
      <c r="W35">
        <f>Cancer_doubles_final2[[#This Row],[mlp_params]]</f>
        <v>13215</v>
      </c>
      <c r="X35">
        <f>Cancer_doubles_final2[[#This Row],[kan_test_acc]]</f>
        <v>0.98630536595980323</v>
      </c>
      <c r="Y35">
        <f>Cancer_doubles_final2[[#This Row],[mlp_test_acc]]</f>
        <v>0.94900932400932403</v>
      </c>
      <c r="Z35">
        <f>Cancer_doubles_final2[[#This Row],[mlp_test_acc2]]</f>
        <v>0.9443473193473193</v>
      </c>
    </row>
    <row r="36" spans="1:26" hidden="1" x14ac:dyDescent="0.25">
      <c r="A36" t="s">
        <v>19</v>
      </c>
      <c r="B36">
        <v>3</v>
      </c>
      <c r="C36">
        <v>4</v>
      </c>
      <c r="D36">
        <v>0</v>
      </c>
      <c r="E36" t="s">
        <v>29</v>
      </c>
      <c r="F36">
        <v>8990</v>
      </c>
      <c r="G36">
        <v>15798497.333333332</v>
      </c>
      <c r="H36">
        <v>0.97989509999752045</v>
      </c>
      <c r="I36">
        <v>0.93240093240093236</v>
      </c>
      <c r="J36">
        <v>2346212.541666667</v>
      </c>
      <c r="K36">
        <v>16685</v>
      </c>
      <c r="L36">
        <v>2</v>
      </c>
      <c r="M36">
        <v>83</v>
      </c>
      <c r="N36">
        <v>0.9306526806526807</v>
      </c>
      <c r="O36">
        <v>2896222.4583333335</v>
      </c>
      <c r="P36">
        <v>17054</v>
      </c>
      <c r="Q36">
        <v>2</v>
      </c>
      <c r="R36">
        <v>84</v>
      </c>
      <c r="S36" t="s">
        <v>49</v>
      </c>
      <c r="W36">
        <f>Cancer_doubles_final2[[#This Row],[mlp_params]]</f>
        <v>16685</v>
      </c>
      <c r="X36">
        <f>Cancer_doubles_final2[[#This Row],[kan_test_acc]]</f>
        <v>0.97989509999752045</v>
      </c>
      <c r="Y36">
        <f>Cancer_doubles_final2[[#This Row],[mlp_test_acc]]</f>
        <v>0.93240093240093236</v>
      </c>
      <c r="Z36">
        <f>Cancer_doubles_final2[[#This Row],[mlp_test_acc2]]</f>
        <v>0.9306526806526807</v>
      </c>
    </row>
    <row r="37" spans="1:26" hidden="1" x14ac:dyDescent="0.25">
      <c r="A37" t="s">
        <v>19</v>
      </c>
      <c r="B37">
        <v>5</v>
      </c>
      <c r="C37">
        <v>2</v>
      </c>
      <c r="D37">
        <v>0</v>
      </c>
      <c r="E37" t="s">
        <v>29</v>
      </c>
      <c r="F37">
        <v>8990</v>
      </c>
      <c r="G37">
        <v>13917990.125</v>
      </c>
      <c r="H37">
        <v>0.97465034325917566</v>
      </c>
      <c r="I37">
        <v>0.9332750582750583</v>
      </c>
      <c r="J37">
        <v>3734313.625</v>
      </c>
      <c r="K37">
        <v>13215</v>
      </c>
      <c r="L37">
        <v>2</v>
      </c>
      <c r="M37">
        <v>73</v>
      </c>
      <c r="N37">
        <v>0.93152680652680653</v>
      </c>
      <c r="O37">
        <v>4758373.541666667</v>
      </c>
      <c r="P37">
        <v>13544</v>
      </c>
      <c r="Q37">
        <v>2</v>
      </c>
      <c r="R37">
        <v>74</v>
      </c>
      <c r="S37" t="s">
        <v>50</v>
      </c>
      <c r="W37">
        <f>Cancer_doubles_final2[[#This Row],[mlp_params]]</f>
        <v>13215</v>
      </c>
      <c r="X37">
        <f>Cancer_doubles_final2[[#This Row],[kan_test_acc]]</f>
        <v>0.97465034325917566</v>
      </c>
      <c r="Y37">
        <f>Cancer_doubles_final2[[#This Row],[mlp_test_acc]]</f>
        <v>0.9332750582750583</v>
      </c>
      <c r="Z37">
        <f>Cancer_doubles_final2[[#This Row],[mlp_test_acc2]]</f>
        <v>0.93152680652680653</v>
      </c>
    </row>
    <row r="38" spans="1:26" hidden="1" x14ac:dyDescent="0.25">
      <c r="A38" t="s">
        <v>19</v>
      </c>
      <c r="B38">
        <v>5</v>
      </c>
      <c r="C38">
        <v>5</v>
      </c>
      <c r="D38">
        <v>0</v>
      </c>
      <c r="E38" t="s">
        <v>22</v>
      </c>
      <c r="F38">
        <v>9176</v>
      </c>
      <c r="G38">
        <v>29537605.833333336</v>
      </c>
      <c r="H38">
        <v>0.95775057872136427</v>
      </c>
      <c r="I38">
        <v>0.93648018648018649</v>
      </c>
      <c r="J38">
        <v>6073937.166666667</v>
      </c>
      <c r="K38">
        <v>16685</v>
      </c>
      <c r="L38">
        <v>2</v>
      </c>
      <c r="M38">
        <v>83</v>
      </c>
      <c r="N38">
        <v>0.93502331002331007</v>
      </c>
      <c r="O38">
        <v>7291288.458333334</v>
      </c>
      <c r="P38">
        <v>17054</v>
      </c>
      <c r="Q38">
        <v>2</v>
      </c>
      <c r="R38">
        <v>84</v>
      </c>
      <c r="S38" t="s">
        <v>51</v>
      </c>
      <c r="W38">
        <f>Cancer_doubles_final2[[#This Row],[mlp_params]]</f>
        <v>16685</v>
      </c>
      <c r="X38">
        <f>Cancer_doubles_final2[[#This Row],[kan_test_acc]]</f>
        <v>0.95775057872136427</v>
      </c>
      <c r="Y38">
        <f>Cancer_doubles_final2[[#This Row],[mlp_test_acc]]</f>
        <v>0.93648018648018649</v>
      </c>
      <c r="Z38">
        <f>Cancer_doubles_final2[[#This Row],[mlp_test_acc2]]</f>
        <v>0.93502331002331007</v>
      </c>
    </row>
    <row r="39" spans="1:26" x14ac:dyDescent="0.25">
      <c r="A39" t="s">
        <v>19</v>
      </c>
      <c r="B39">
        <v>3</v>
      </c>
      <c r="C39">
        <v>5</v>
      </c>
      <c r="D39">
        <v>0</v>
      </c>
      <c r="E39" t="s">
        <v>24</v>
      </c>
      <c r="F39">
        <v>9180</v>
      </c>
      <c r="G39">
        <v>35638400.277777776</v>
      </c>
      <c r="H39">
        <v>0.95590520070658791</v>
      </c>
      <c r="I39">
        <v>0.94308469308469312</v>
      </c>
      <c r="J39">
        <v>6379931.527777778</v>
      </c>
      <c r="K39">
        <v>18185</v>
      </c>
      <c r="L39">
        <v>2</v>
      </c>
      <c r="M39">
        <v>87</v>
      </c>
      <c r="N39">
        <v>0.94055944055944052</v>
      </c>
      <c r="O39">
        <v>7161953.1111111119</v>
      </c>
      <c r="P39">
        <v>18570</v>
      </c>
      <c r="Q39">
        <v>2</v>
      </c>
      <c r="R39">
        <v>88</v>
      </c>
      <c r="S39" t="s">
        <v>52</v>
      </c>
      <c r="W39">
        <f>Cancer_doubles_final2[[#This Row],[mlp_params]]</f>
        <v>18185</v>
      </c>
      <c r="X39">
        <f>Cancer_doubles_final2[[#This Row],[kan_test_acc]]</f>
        <v>0.95590520070658791</v>
      </c>
      <c r="Y39">
        <f>Cancer_doubles_final2[[#This Row],[mlp_test_acc]]</f>
        <v>0.94308469308469312</v>
      </c>
      <c r="Z39">
        <f>Cancer_doubles_final2[[#This Row],[mlp_test_acc2]]</f>
        <v>0.94055944055944052</v>
      </c>
    </row>
    <row r="40" spans="1:26" hidden="1" x14ac:dyDescent="0.25">
      <c r="A40" t="s">
        <v>19</v>
      </c>
      <c r="B40">
        <v>5</v>
      </c>
      <c r="C40">
        <v>3</v>
      </c>
      <c r="D40">
        <v>0</v>
      </c>
      <c r="E40" t="s">
        <v>24</v>
      </c>
      <c r="F40">
        <v>9180</v>
      </c>
      <c r="G40">
        <v>15186053.208333332</v>
      </c>
      <c r="H40">
        <v>0.97086247056722641</v>
      </c>
      <c r="I40">
        <v>0.94318181818181812</v>
      </c>
      <c r="J40">
        <v>2141590.291666667</v>
      </c>
      <c r="K40">
        <v>14900</v>
      </c>
      <c r="L40">
        <v>2</v>
      </c>
      <c r="M40">
        <v>78</v>
      </c>
      <c r="N40">
        <v>0.94085081585081587</v>
      </c>
      <c r="O40">
        <v>1075078.7916666667</v>
      </c>
      <c r="P40">
        <v>15249</v>
      </c>
      <c r="Q40">
        <v>2</v>
      </c>
      <c r="R40">
        <v>79</v>
      </c>
      <c r="S40" t="s">
        <v>53</v>
      </c>
      <c r="W40">
        <f>Cancer_doubles_final2[[#This Row],[mlp_params]]</f>
        <v>14900</v>
      </c>
      <c r="X40">
        <f>Cancer_doubles_final2[[#This Row],[kan_test_acc]]</f>
        <v>0.97086247056722641</v>
      </c>
      <c r="Y40">
        <f>Cancer_doubles_final2[[#This Row],[mlp_test_acc]]</f>
        <v>0.94318181818181812</v>
      </c>
      <c r="Z40">
        <f>Cancer_doubles_final2[[#This Row],[mlp_test_acc2]]</f>
        <v>0.94085081585081587</v>
      </c>
    </row>
    <row r="41" spans="1:26" x14ac:dyDescent="0.25">
      <c r="A41" t="s">
        <v>19</v>
      </c>
      <c r="B41">
        <v>3</v>
      </c>
      <c r="C41">
        <v>5</v>
      </c>
      <c r="D41">
        <v>0</v>
      </c>
      <c r="E41" t="s">
        <v>24</v>
      </c>
      <c r="F41">
        <v>9180</v>
      </c>
      <c r="G41">
        <v>15070299.75</v>
      </c>
      <c r="H41">
        <v>0.96736596524715424</v>
      </c>
      <c r="I41">
        <v>0.92832167832167833</v>
      </c>
      <c r="J41">
        <v>3378633.833333333</v>
      </c>
      <c r="K41">
        <v>18185</v>
      </c>
      <c r="L41">
        <v>2</v>
      </c>
      <c r="M41">
        <v>87</v>
      </c>
      <c r="N41">
        <v>0.92861305361305368</v>
      </c>
      <c r="O41">
        <v>2545488.0833333335</v>
      </c>
      <c r="P41">
        <v>18570</v>
      </c>
      <c r="Q41">
        <v>2</v>
      </c>
      <c r="R41">
        <v>88</v>
      </c>
      <c r="S41" t="s">
        <v>52</v>
      </c>
      <c r="W41">
        <f>Cancer_doubles_final2[[#This Row],[mlp_params]]</f>
        <v>18185</v>
      </c>
      <c r="X41">
        <f>Cancer_doubles_final2[[#This Row],[kan_test_acc]]</f>
        <v>0.96736596524715424</v>
      </c>
      <c r="Y41">
        <f>Cancer_doubles_final2[[#This Row],[mlp_test_acc]]</f>
        <v>0.92832167832167833</v>
      </c>
      <c r="Z41">
        <f>Cancer_doubles_final2[[#This Row],[mlp_test_acc2]]</f>
        <v>0.92861305361305368</v>
      </c>
    </row>
    <row r="42" spans="1:26" hidden="1" x14ac:dyDescent="0.25">
      <c r="A42" t="s">
        <v>19</v>
      </c>
      <c r="B42">
        <v>5</v>
      </c>
      <c r="C42">
        <v>3</v>
      </c>
      <c r="D42">
        <v>0</v>
      </c>
      <c r="E42" t="s">
        <v>24</v>
      </c>
      <c r="F42">
        <v>9180</v>
      </c>
      <c r="G42">
        <v>13922533.375</v>
      </c>
      <c r="H42">
        <v>0.95891608049472177</v>
      </c>
      <c r="I42">
        <v>0.91083916083916083</v>
      </c>
      <c r="J42">
        <v>4327101.375</v>
      </c>
      <c r="K42">
        <v>14900</v>
      </c>
      <c r="L42">
        <v>2</v>
      </c>
      <c r="M42">
        <v>78</v>
      </c>
      <c r="N42">
        <v>0.91142191142191142</v>
      </c>
      <c r="O42">
        <v>3886466.125</v>
      </c>
      <c r="P42">
        <v>15249</v>
      </c>
      <c r="Q42">
        <v>2</v>
      </c>
      <c r="R42">
        <v>79</v>
      </c>
      <c r="S42" t="s">
        <v>53</v>
      </c>
      <c r="W42">
        <f>Cancer_doubles_final2[[#This Row],[mlp_params]]</f>
        <v>14900</v>
      </c>
      <c r="X42">
        <f>Cancer_doubles_final2[[#This Row],[kan_test_acc]]</f>
        <v>0.95891608049472177</v>
      </c>
      <c r="Y42">
        <f>Cancer_doubles_final2[[#This Row],[mlp_test_acc]]</f>
        <v>0.91083916083916083</v>
      </c>
      <c r="Z42">
        <f>Cancer_doubles_final2[[#This Row],[mlp_test_acc2]]</f>
        <v>0.91142191142191142</v>
      </c>
    </row>
    <row r="43" spans="1:26" hidden="1" x14ac:dyDescent="0.25">
      <c r="A43" t="s">
        <v>19</v>
      </c>
      <c r="B43">
        <v>5</v>
      </c>
      <c r="C43">
        <v>4</v>
      </c>
      <c r="D43">
        <v>0</v>
      </c>
      <c r="E43" t="s">
        <v>20</v>
      </c>
      <c r="F43">
        <v>9242</v>
      </c>
      <c r="G43">
        <v>18720733.958333332</v>
      </c>
      <c r="H43">
        <v>0.96445221453905106</v>
      </c>
      <c r="I43">
        <v>0.92919580419580416</v>
      </c>
      <c r="J43">
        <v>4757085.333333334</v>
      </c>
      <c r="K43">
        <v>15959</v>
      </c>
      <c r="L43">
        <v>2</v>
      </c>
      <c r="M43">
        <v>81</v>
      </c>
      <c r="N43">
        <v>0.92657342657342656</v>
      </c>
      <c r="O43">
        <v>4902289.875</v>
      </c>
      <c r="P43">
        <v>16320</v>
      </c>
      <c r="Q43">
        <v>2</v>
      </c>
      <c r="R43">
        <v>82</v>
      </c>
      <c r="S43" t="s">
        <v>54</v>
      </c>
      <c r="W43">
        <f>Cancer_doubles_final2[[#This Row],[mlp_params]]</f>
        <v>15959</v>
      </c>
      <c r="X43">
        <f>Cancer_doubles_final2[[#This Row],[kan_test_acc]]</f>
        <v>0.96445221453905106</v>
      </c>
      <c r="Y43">
        <f>Cancer_doubles_final2[[#This Row],[mlp_test_acc]]</f>
        <v>0.92919580419580416</v>
      </c>
      <c r="Z43">
        <f>Cancer_doubles_final2[[#This Row],[mlp_test_acc2]]</f>
        <v>0.92657342657342656</v>
      </c>
    </row>
    <row r="44" spans="1:26" hidden="1" x14ac:dyDescent="0.25">
      <c r="A44" t="s">
        <v>19</v>
      </c>
      <c r="B44">
        <v>3</v>
      </c>
      <c r="C44">
        <v>3</v>
      </c>
      <c r="D44">
        <v>0</v>
      </c>
      <c r="E44" t="s">
        <v>39</v>
      </c>
      <c r="F44">
        <v>9250</v>
      </c>
      <c r="G44">
        <v>24861125.5</v>
      </c>
      <c r="H44">
        <v>0.96722027907768882</v>
      </c>
      <c r="I44">
        <v>0.93414918414918413</v>
      </c>
      <c r="J44">
        <v>4558897.645833333</v>
      </c>
      <c r="K44">
        <v>16320</v>
      </c>
      <c r="L44">
        <v>2</v>
      </c>
      <c r="M44">
        <v>82</v>
      </c>
      <c r="N44">
        <v>0.93720862470862465</v>
      </c>
      <c r="O44">
        <v>4744217.604166667</v>
      </c>
      <c r="P44">
        <v>16685</v>
      </c>
      <c r="Q44">
        <v>2</v>
      </c>
      <c r="R44">
        <v>83</v>
      </c>
      <c r="S44" t="s">
        <v>55</v>
      </c>
      <c r="W44">
        <f>Cancer_doubles_final2[[#This Row],[mlp_params]]</f>
        <v>16320</v>
      </c>
      <c r="X44">
        <f>Cancer_doubles_final2[[#This Row],[kan_test_acc]]</f>
        <v>0.96722027907768882</v>
      </c>
      <c r="Y44">
        <f>Cancer_doubles_final2[[#This Row],[mlp_test_acc]]</f>
        <v>0.93414918414918413</v>
      </c>
      <c r="Z44">
        <f>Cancer_doubles_final2[[#This Row],[mlp_test_acc2]]</f>
        <v>0.93720862470862465</v>
      </c>
    </row>
    <row r="45" spans="1:26" hidden="1" x14ac:dyDescent="0.25">
      <c r="A45" t="s">
        <v>19</v>
      </c>
      <c r="B45">
        <v>3</v>
      </c>
      <c r="C45">
        <v>2</v>
      </c>
      <c r="D45">
        <v>0</v>
      </c>
      <c r="E45" t="s">
        <v>56</v>
      </c>
      <c r="F45">
        <v>9254</v>
      </c>
      <c r="G45">
        <v>13687381.63888889</v>
      </c>
      <c r="H45">
        <v>0.96814296974076164</v>
      </c>
      <c r="I45">
        <v>0.9456099456099456</v>
      </c>
      <c r="J45">
        <v>2281054.9166666665</v>
      </c>
      <c r="K45">
        <v>14900</v>
      </c>
      <c r="L45">
        <v>2</v>
      </c>
      <c r="M45">
        <v>78</v>
      </c>
      <c r="N45">
        <v>0.94871794871794868</v>
      </c>
      <c r="O45">
        <v>1953761.1944444445</v>
      </c>
      <c r="P45">
        <v>15249</v>
      </c>
      <c r="Q45">
        <v>2</v>
      </c>
      <c r="R45">
        <v>79</v>
      </c>
      <c r="S45" t="s">
        <v>57</v>
      </c>
      <c r="W45">
        <f>Cancer_doubles_final2[[#This Row],[mlp_params]]</f>
        <v>14900</v>
      </c>
      <c r="X45">
        <f>Cancer_doubles_final2[[#This Row],[kan_test_acc]]</f>
        <v>0.96814296974076164</v>
      </c>
      <c r="Y45">
        <f>Cancer_doubles_final2[[#This Row],[mlp_test_acc]]</f>
        <v>0.9456099456099456</v>
      </c>
      <c r="Z45">
        <f>Cancer_doubles_final2[[#This Row],[mlp_test_acc2]]</f>
        <v>0.94871794871794868</v>
      </c>
    </row>
    <row r="46" spans="1:26" hidden="1" x14ac:dyDescent="0.25">
      <c r="A46" t="s">
        <v>19</v>
      </c>
      <c r="B46">
        <v>3</v>
      </c>
      <c r="C46">
        <v>4</v>
      </c>
      <c r="D46">
        <v>0</v>
      </c>
      <c r="E46" t="s">
        <v>34</v>
      </c>
      <c r="F46">
        <v>9632</v>
      </c>
      <c r="G46">
        <v>11827367.5</v>
      </c>
      <c r="H46">
        <v>0.96289820969104778</v>
      </c>
      <c r="I46">
        <v>0.94716394716394714</v>
      </c>
      <c r="J46">
        <v>2298453.138888889</v>
      </c>
      <c r="K46">
        <v>18185</v>
      </c>
      <c r="L46">
        <v>2</v>
      </c>
      <c r="M46">
        <v>87</v>
      </c>
      <c r="N46">
        <v>0.94638694638694643</v>
      </c>
      <c r="O46">
        <v>2215634.888888889</v>
      </c>
      <c r="P46">
        <v>18570</v>
      </c>
      <c r="Q46">
        <v>2</v>
      </c>
      <c r="R46">
        <v>88</v>
      </c>
      <c r="S46" t="s">
        <v>58</v>
      </c>
      <c r="W46">
        <f>Cancer_doubles_final2[[#This Row],[mlp_params]]</f>
        <v>18185</v>
      </c>
      <c r="X46">
        <f>Cancer_doubles_final2[[#This Row],[kan_test_acc]]</f>
        <v>0.96289820969104778</v>
      </c>
      <c r="Y46">
        <f>Cancer_doubles_final2[[#This Row],[mlp_test_acc]]</f>
        <v>0.94716394716394714</v>
      </c>
      <c r="Z46">
        <f>Cancer_doubles_final2[[#This Row],[mlp_test_acc2]]</f>
        <v>0.94638694638694643</v>
      </c>
    </row>
    <row r="47" spans="1:26" hidden="1" x14ac:dyDescent="0.25">
      <c r="A47" t="s">
        <v>19</v>
      </c>
      <c r="B47">
        <v>5</v>
      </c>
      <c r="C47">
        <v>2</v>
      </c>
      <c r="D47">
        <v>0</v>
      </c>
      <c r="E47" t="s">
        <v>34</v>
      </c>
      <c r="F47">
        <v>9632</v>
      </c>
      <c r="G47">
        <v>15553732.208333334</v>
      </c>
      <c r="H47">
        <v>0.97756410886844003</v>
      </c>
      <c r="I47">
        <v>0.95279720279720281</v>
      </c>
      <c r="J47">
        <v>1333026.5</v>
      </c>
      <c r="K47">
        <v>14214</v>
      </c>
      <c r="L47">
        <v>2</v>
      </c>
      <c r="M47">
        <v>76</v>
      </c>
      <c r="N47">
        <v>0.94551282051282048</v>
      </c>
      <c r="O47">
        <v>1251871.1666666667</v>
      </c>
      <c r="P47">
        <v>14555</v>
      </c>
      <c r="Q47">
        <v>2</v>
      </c>
      <c r="R47">
        <v>77</v>
      </c>
      <c r="S47" t="s">
        <v>59</v>
      </c>
      <c r="W47">
        <f>Cancer_doubles_final2[[#This Row],[mlp_params]]</f>
        <v>14214</v>
      </c>
      <c r="X47">
        <f>Cancer_doubles_final2[[#This Row],[kan_test_acc]]</f>
        <v>0.97756410886844003</v>
      </c>
      <c r="Y47">
        <f>Cancer_doubles_final2[[#This Row],[mlp_test_acc]]</f>
        <v>0.95279720279720281</v>
      </c>
      <c r="Z47">
        <f>Cancer_doubles_final2[[#This Row],[mlp_test_acc2]]</f>
        <v>0.94551282051282048</v>
      </c>
    </row>
    <row r="48" spans="1:26" hidden="1" x14ac:dyDescent="0.25">
      <c r="A48" t="s">
        <v>19</v>
      </c>
      <c r="B48">
        <v>3</v>
      </c>
      <c r="C48">
        <v>4</v>
      </c>
      <c r="D48">
        <v>0</v>
      </c>
      <c r="E48" t="s">
        <v>34</v>
      </c>
      <c r="F48">
        <v>9632</v>
      </c>
      <c r="G48">
        <v>16396254.208333334</v>
      </c>
      <c r="H48">
        <v>0.97086246808369958</v>
      </c>
      <c r="I48">
        <v>0.93851981351981362</v>
      </c>
      <c r="J48">
        <v>2639925.8333333335</v>
      </c>
      <c r="K48">
        <v>18185</v>
      </c>
      <c r="L48">
        <v>2</v>
      </c>
      <c r="M48">
        <v>87</v>
      </c>
      <c r="N48">
        <v>0.93123543123543118</v>
      </c>
      <c r="O48">
        <v>2914321.7916666665</v>
      </c>
      <c r="P48">
        <v>18570</v>
      </c>
      <c r="Q48">
        <v>2</v>
      </c>
      <c r="R48">
        <v>88</v>
      </c>
      <c r="S48" t="s">
        <v>58</v>
      </c>
      <c r="W48">
        <f>Cancer_doubles_final2[[#This Row],[mlp_params]]</f>
        <v>18185</v>
      </c>
      <c r="X48">
        <f>Cancer_doubles_final2[[#This Row],[kan_test_acc]]</f>
        <v>0.97086246808369958</v>
      </c>
      <c r="Y48">
        <f>Cancer_doubles_final2[[#This Row],[mlp_test_acc]]</f>
        <v>0.93851981351981362</v>
      </c>
      <c r="Z48">
        <f>Cancer_doubles_final2[[#This Row],[mlp_test_acc2]]</f>
        <v>0.93123543123543118</v>
      </c>
    </row>
    <row r="49" spans="1:26" hidden="1" x14ac:dyDescent="0.25">
      <c r="A49" t="s">
        <v>19</v>
      </c>
      <c r="B49">
        <v>5</v>
      </c>
      <c r="C49">
        <v>2</v>
      </c>
      <c r="D49">
        <v>0</v>
      </c>
      <c r="E49" t="s">
        <v>34</v>
      </c>
      <c r="F49">
        <v>9632</v>
      </c>
      <c r="G49">
        <v>14848876.166666666</v>
      </c>
      <c r="H49">
        <v>0.96882283687591553</v>
      </c>
      <c r="I49">
        <v>0.93385780885780889</v>
      </c>
      <c r="J49">
        <v>4361739.916666666</v>
      </c>
      <c r="K49">
        <v>14214</v>
      </c>
      <c r="L49">
        <v>2</v>
      </c>
      <c r="M49">
        <v>76</v>
      </c>
      <c r="N49">
        <v>0.93269230769230771</v>
      </c>
      <c r="O49">
        <v>4950765.791666667</v>
      </c>
      <c r="P49">
        <v>14555</v>
      </c>
      <c r="Q49">
        <v>2</v>
      </c>
      <c r="R49">
        <v>77</v>
      </c>
      <c r="S49" t="s">
        <v>59</v>
      </c>
      <c r="W49">
        <f>Cancer_doubles_final2[[#This Row],[mlp_params]]</f>
        <v>14214</v>
      </c>
      <c r="X49">
        <f>Cancer_doubles_final2[[#This Row],[kan_test_acc]]</f>
        <v>0.96882283687591553</v>
      </c>
      <c r="Y49">
        <f>Cancer_doubles_final2[[#This Row],[mlp_test_acc]]</f>
        <v>0.93385780885780889</v>
      </c>
      <c r="Z49">
        <f>Cancer_doubles_final2[[#This Row],[mlp_test_acc2]]</f>
        <v>0.93269230769230771</v>
      </c>
    </row>
    <row r="50" spans="1:26" hidden="1" x14ac:dyDescent="0.25">
      <c r="A50" t="s">
        <v>19</v>
      </c>
      <c r="B50">
        <v>3</v>
      </c>
      <c r="C50">
        <v>2</v>
      </c>
      <c r="D50">
        <v>0</v>
      </c>
      <c r="E50" t="s">
        <v>60</v>
      </c>
      <c r="F50">
        <v>9768</v>
      </c>
      <c r="G50">
        <v>16092035.25</v>
      </c>
      <c r="H50">
        <v>0.96998833616574598</v>
      </c>
      <c r="I50">
        <v>0.94638694638694632</v>
      </c>
      <c r="J50">
        <v>3047293.0416666665</v>
      </c>
      <c r="K50">
        <v>15602</v>
      </c>
      <c r="L50">
        <v>2</v>
      </c>
      <c r="M50">
        <v>80</v>
      </c>
      <c r="N50">
        <v>0.9475524475524475</v>
      </c>
      <c r="O50">
        <v>2912353.0000000005</v>
      </c>
      <c r="P50">
        <v>15959</v>
      </c>
      <c r="Q50">
        <v>2</v>
      </c>
      <c r="R50">
        <v>81</v>
      </c>
      <c r="S50" t="s">
        <v>61</v>
      </c>
      <c r="W50">
        <f>Cancer_doubles_final2[[#This Row],[mlp_params]]</f>
        <v>15602</v>
      </c>
      <c r="X50">
        <f>Cancer_doubles_final2[[#This Row],[kan_test_acc]]</f>
        <v>0.96998833616574598</v>
      </c>
      <c r="Y50">
        <f>Cancer_doubles_final2[[#This Row],[mlp_test_acc]]</f>
        <v>0.94638694638694632</v>
      </c>
      <c r="Z50">
        <f>Cancer_doubles_final2[[#This Row],[mlp_test_acc2]]</f>
        <v>0.9475524475524475</v>
      </c>
    </row>
    <row r="51" spans="1:26" hidden="1" x14ac:dyDescent="0.25">
      <c r="A51" t="s">
        <v>19</v>
      </c>
      <c r="B51">
        <v>3</v>
      </c>
      <c r="C51">
        <v>3</v>
      </c>
      <c r="D51">
        <v>0</v>
      </c>
      <c r="E51" t="s">
        <v>47</v>
      </c>
      <c r="F51">
        <v>9828</v>
      </c>
      <c r="G51">
        <v>14362431.944444446</v>
      </c>
      <c r="H51">
        <v>0.96658896240923131</v>
      </c>
      <c r="I51">
        <v>0.94755244755244761</v>
      </c>
      <c r="J51">
        <v>2432017.111111111</v>
      </c>
      <c r="K51">
        <v>17427</v>
      </c>
      <c r="L51">
        <v>2</v>
      </c>
      <c r="M51">
        <v>85</v>
      </c>
      <c r="N51">
        <v>0.94852369852369844</v>
      </c>
      <c r="O51">
        <v>2240407.75</v>
      </c>
      <c r="P51">
        <v>17804</v>
      </c>
      <c r="Q51">
        <v>2</v>
      </c>
      <c r="R51">
        <v>86</v>
      </c>
      <c r="S51" t="s">
        <v>62</v>
      </c>
      <c r="W51">
        <f>Cancer_doubles_final2[[#This Row],[mlp_params]]</f>
        <v>17427</v>
      </c>
      <c r="X51">
        <f>Cancer_doubles_final2[[#This Row],[kan_test_acc]]</f>
        <v>0.96658896240923131</v>
      </c>
      <c r="Y51">
        <f>Cancer_doubles_final2[[#This Row],[mlp_test_acc]]</f>
        <v>0.94755244755244761</v>
      </c>
      <c r="Z51">
        <f>Cancer_doubles_final2[[#This Row],[mlp_test_acc2]]</f>
        <v>0.94852369852369844</v>
      </c>
    </row>
    <row r="52" spans="1:26" hidden="1" x14ac:dyDescent="0.25">
      <c r="A52" t="s">
        <v>19</v>
      </c>
      <c r="B52">
        <v>9</v>
      </c>
      <c r="C52">
        <v>2</v>
      </c>
      <c r="D52">
        <v>0</v>
      </c>
      <c r="E52" t="s">
        <v>22</v>
      </c>
      <c r="F52">
        <v>9880</v>
      </c>
      <c r="G52">
        <v>32852288.361111112</v>
      </c>
      <c r="H52">
        <v>0.94055944350030685</v>
      </c>
      <c r="I52">
        <v>0.93550893550893555</v>
      </c>
      <c r="J52">
        <v>6288781.944444444</v>
      </c>
      <c r="K52">
        <v>13215</v>
      </c>
      <c r="L52">
        <v>2</v>
      </c>
      <c r="M52">
        <v>73</v>
      </c>
      <c r="N52">
        <v>0.93667443667443662</v>
      </c>
      <c r="O52">
        <v>6243549.333333333</v>
      </c>
      <c r="P52">
        <v>13544</v>
      </c>
      <c r="Q52">
        <v>2</v>
      </c>
      <c r="R52">
        <v>74</v>
      </c>
      <c r="S52" t="s">
        <v>63</v>
      </c>
      <c r="W52">
        <f>Cancer_doubles_final2[[#This Row],[mlp_params]]</f>
        <v>13215</v>
      </c>
      <c r="X52">
        <f>Cancer_doubles_final2[[#This Row],[kan_test_acc]]</f>
        <v>0.94055944350030685</v>
      </c>
      <c r="Y52">
        <f>Cancer_doubles_final2[[#This Row],[mlp_test_acc]]</f>
        <v>0.93550893550893555</v>
      </c>
      <c r="Z52">
        <f>Cancer_doubles_final2[[#This Row],[mlp_test_acc2]]</f>
        <v>0.93667443667443662</v>
      </c>
    </row>
    <row r="53" spans="1:26" x14ac:dyDescent="0.25">
      <c r="A53" t="s">
        <v>19</v>
      </c>
      <c r="B53">
        <v>3</v>
      </c>
      <c r="C53">
        <v>5</v>
      </c>
      <c r="D53">
        <v>0</v>
      </c>
      <c r="E53" t="s">
        <v>29</v>
      </c>
      <c r="F53">
        <v>9886</v>
      </c>
      <c r="G53">
        <v>46446085.361111112</v>
      </c>
      <c r="H53">
        <v>0.91996891631020439</v>
      </c>
      <c r="I53">
        <v>0.92637917637917644</v>
      </c>
      <c r="J53">
        <v>10887122.638888888</v>
      </c>
      <c r="K53">
        <v>19352</v>
      </c>
      <c r="L53">
        <v>2</v>
      </c>
      <c r="M53">
        <v>90</v>
      </c>
      <c r="N53">
        <v>0.92307692307692302</v>
      </c>
      <c r="O53">
        <v>10934812.777777776</v>
      </c>
      <c r="P53">
        <v>19749</v>
      </c>
      <c r="Q53">
        <v>2</v>
      </c>
      <c r="R53">
        <v>91</v>
      </c>
      <c r="S53" t="s">
        <v>64</v>
      </c>
      <c r="W53">
        <f>Cancer_doubles_final2[[#This Row],[mlp_params]]</f>
        <v>19352</v>
      </c>
      <c r="X53">
        <f>Cancer_doubles_final2[[#This Row],[kan_test_acc]]</f>
        <v>0.91996891631020439</v>
      </c>
      <c r="Y53">
        <f>Cancer_doubles_final2[[#This Row],[mlp_test_acc]]</f>
        <v>0.92637917637917644</v>
      </c>
      <c r="Z53">
        <f>Cancer_doubles_final2[[#This Row],[mlp_test_acc2]]</f>
        <v>0.92307692307692302</v>
      </c>
    </row>
    <row r="54" spans="1:26" hidden="1" x14ac:dyDescent="0.25">
      <c r="A54" t="s">
        <v>19</v>
      </c>
      <c r="B54">
        <v>5</v>
      </c>
      <c r="C54">
        <v>3</v>
      </c>
      <c r="D54">
        <v>0</v>
      </c>
      <c r="E54" t="s">
        <v>29</v>
      </c>
      <c r="F54">
        <v>9886</v>
      </c>
      <c r="G54">
        <v>15672585.833333332</v>
      </c>
      <c r="H54">
        <v>0.9720279723405838</v>
      </c>
      <c r="I54">
        <v>0.94289044289044288</v>
      </c>
      <c r="J54">
        <v>3631430.875</v>
      </c>
      <c r="K54">
        <v>15959</v>
      </c>
      <c r="L54">
        <v>2</v>
      </c>
      <c r="M54">
        <v>81</v>
      </c>
      <c r="N54">
        <v>0.94289044289044299</v>
      </c>
      <c r="O54">
        <v>2813998.25</v>
      </c>
      <c r="P54">
        <v>16320</v>
      </c>
      <c r="Q54">
        <v>2</v>
      </c>
      <c r="R54">
        <v>82</v>
      </c>
      <c r="S54" t="s">
        <v>65</v>
      </c>
      <c r="W54">
        <f>Cancer_doubles_final2[[#This Row],[mlp_params]]</f>
        <v>15959</v>
      </c>
      <c r="X54">
        <f>Cancer_doubles_final2[[#This Row],[kan_test_acc]]</f>
        <v>0.9720279723405838</v>
      </c>
      <c r="Y54">
        <f>Cancer_doubles_final2[[#This Row],[mlp_test_acc]]</f>
        <v>0.94289044289044288</v>
      </c>
      <c r="Z54">
        <f>Cancer_doubles_final2[[#This Row],[mlp_test_acc2]]</f>
        <v>0.94289044289044299</v>
      </c>
    </row>
    <row r="55" spans="1:26" x14ac:dyDescent="0.25">
      <c r="A55" t="s">
        <v>19</v>
      </c>
      <c r="B55">
        <v>3</v>
      </c>
      <c r="C55">
        <v>5</v>
      </c>
      <c r="D55">
        <v>0</v>
      </c>
      <c r="E55" t="s">
        <v>29</v>
      </c>
      <c r="F55">
        <v>9886</v>
      </c>
      <c r="G55">
        <v>16015021.124999998</v>
      </c>
      <c r="H55">
        <v>0.96882284184296918</v>
      </c>
      <c r="I55">
        <v>0.92890442890442892</v>
      </c>
      <c r="J55">
        <v>4371423.666666667</v>
      </c>
      <c r="K55">
        <v>19352</v>
      </c>
      <c r="L55">
        <v>2</v>
      </c>
      <c r="M55">
        <v>90</v>
      </c>
      <c r="N55">
        <v>0.9306526806526807</v>
      </c>
      <c r="O55">
        <v>3240528.3333333335</v>
      </c>
      <c r="P55">
        <v>19749</v>
      </c>
      <c r="Q55">
        <v>2</v>
      </c>
      <c r="R55">
        <v>91</v>
      </c>
      <c r="S55" t="s">
        <v>64</v>
      </c>
      <c r="W55">
        <f>Cancer_doubles_final2[[#This Row],[mlp_params]]</f>
        <v>19352</v>
      </c>
      <c r="X55">
        <f>Cancer_doubles_final2[[#This Row],[kan_test_acc]]</f>
        <v>0.96882284184296918</v>
      </c>
      <c r="Y55">
        <f>Cancer_doubles_final2[[#This Row],[mlp_test_acc]]</f>
        <v>0.92890442890442892</v>
      </c>
      <c r="Z55">
        <f>Cancer_doubles_final2[[#This Row],[mlp_test_acc2]]</f>
        <v>0.9306526806526807</v>
      </c>
    </row>
    <row r="56" spans="1:26" hidden="1" x14ac:dyDescent="0.25">
      <c r="A56" t="s">
        <v>19</v>
      </c>
      <c r="B56">
        <v>5</v>
      </c>
      <c r="C56">
        <v>3</v>
      </c>
      <c r="D56">
        <v>0</v>
      </c>
      <c r="E56" t="s">
        <v>29</v>
      </c>
      <c r="F56">
        <v>9886</v>
      </c>
      <c r="G56">
        <v>14549887.291666666</v>
      </c>
      <c r="H56">
        <v>0.95454544822374976</v>
      </c>
      <c r="I56">
        <v>0.91258741258741261</v>
      </c>
      <c r="J56">
        <v>5504075.375</v>
      </c>
      <c r="K56">
        <v>15959</v>
      </c>
      <c r="L56">
        <v>2</v>
      </c>
      <c r="M56">
        <v>81</v>
      </c>
      <c r="N56">
        <v>0.90909090909090917</v>
      </c>
      <c r="O56">
        <v>4563817.583333333</v>
      </c>
      <c r="P56">
        <v>16320</v>
      </c>
      <c r="Q56">
        <v>2</v>
      </c>
      <c r="R56">
        <v>82</v>
      </c>
      <c r="S56" t="s">
        <v>65</v>
      </c>
      <c r="W56">
        <f>Cancer_doubles_final2[[#This Row],[mlp_params]]</f>
        <v>15959</v>
      </c>
      <c r="X56">
        <f>Cancer_doubles_final2[[#This Row],[kan_test_acc]]</f>
        <v>0.95454544822374976</v>
      </c>
      <c r="Y56">
        <f>Cancer_doubles_final2[[#This Row],[mlp_test_acc]]</f>
        <v>0.91258741258741261</v>
      </c>
      <c r="Z56">
        <f>Cancer_doubles_final2[[#This Row],[mlp_test_acc2]]</f>
        <v>0.90909090909090917</v>
      </c>
    </row>
    <row r="57" spans="1:26" hidden="1" x14ac:dyDescent="0.25">
      <c r="A57" t="s">
        <v>19</v>
      </c>
      <c r="B57">
        <v>5</v>
      </c>
      <c r="C57">
        <v>5</v>
      </c>
      <c r="D57">
        <v>0</v>
      </c>
      <c r="E57" t="s">
        <v>20</v>
      </c>
      <c r="F57">
        <v>10010</v>
      </c>
      <c r="G57">
        <v>20228689.041666664</v>
      </c>
      <c r="H57">
        <v>0.93706292907396949</v>
      </c>
      <c r="I57">
        <v>0.91928904428904423</v>
      </c>
      <c r="J57">
        <v>4841831.708333334</v>
      </c>
      <c r="K57">
        <v>18185</v>
      </c>
      <c r="L57">
        <v>2</v>
      </c>
      <c r="M57">
        <v>87</v>
      </c>
      <c r="N57">
        <v>0.90967365967365965</v>
      </c>
      <c r="O57">
        <v>5135633.916666667</v>
      </c>
      <c r="P57">
        <v>18570</v>
      </c>
      <c r="Q57">
        <v>2</v>
      </c>
      <c r="R57">
        <v>88</v>
      </c>
      <c r="S57" t="s">
        <v>66</v>
      </c>
      <c r="W57">
        <f>Cancer_doubles_final2[[#This Row],[mlp_params]]</f>
        <v>18185</v>
      </c>
      <c r="X57">
        <f>Cancer_doubles_final2[[#This Row],[kan_test_acc]]</f>
        <v>0.93706292907396949</v>
      </c>
      <c r="Y57">
        <f>Cancer_doubles_final2[[#This Row],[mlp_test_acc]]</f>
        <v>0.91928904428904423</v>
      </c>
      <c r="Z57">
        <f>Cancer_doubles_final2[[#This Row],[mlp_test_acc2]]</f>
        <v>0.90967365967365965</v>
      </c>
    </row>
    <row r="58" spans="1:26" hidden="1" x14ac:dyDescent="0.25">
      <c r="A58" t="s">
        <v>19</v>
      </c>
      <c r="B58">
        <v>5</v>
      </c>
      <c r="C58">
        <v>4</v>
      </c>
      <c r="D58">
        <v>0</v>
      </c>
      <c r="E58" t="s">
        <v>24</v>
      </c>
      <c r="F58">
        <v>10012</v>
      </c>
      <c r="G58">
        <v>23537245.5</v>
      </c>
      <c r="H58">
        <v>0.95240869952572715</v>
      </c>
      <c r="I58">
        <v>0.94871794871794868</v>
      </c>
      <c r="J58">
        <v>4543602.111111111</v>
      </c>
      <c r="K58">
        <v>17427</v>
      </c>
      <c r="L58">
        <v>2</v>
      </c>
      <c r="M58">
        <v>85</v>
      </c>
      <c r="N58">
        <v>0.94017094017094016</v>
      </c>
      <c r="O58">
        <v>5381189.527777778</v>
      </c>
      <c r="P58">
        <v>17804</v>
      </c>
      <c r="Q58">
        <v>2</v>
      </c>
      <c r="R58">
        <v>86</v>
      </c>
      <c r="S58" t="s">
        <v>67</v>
      </c>
      <c r="W58">
        <f>Cancer_doubles_final2[[#This Row],[mlp_params]]</f>
        <v>17427</v>
      </c>
      <c r="X58">
        <f>Cancer_doubles_final2[[#This Row],[kan_test_acc]]</f>
        <v>0.95240869952572715</v>
      </c>
      <c r="Y58">
        <f>Cancer_doubles_final2[[#This Row],[mlp_test_acc]]</f>
        <v>0.94871794871794868</v>
      </c>
      <c r="Z58">
        <f>Cancer_doubles_final2[[#This Row],[mlp_test_acc2]]</f>
        <v>0.94017094017094016</v>
      </c>
    </row>
    <row r="59" spans="1:26" hidden="1" x14ac:dyDescent="0.25">
      <c r="A59" t="s">
        <v>19</v>
      </c>
      <c r="B59">
        <v>3</v>
      </c>
      <c r="C59">
        <v>4</v>
      </c>
      <c r="D59">
        <v>0</v>
      </c>
      <c r="E59" t="s">
        <v>39</v>
      </c>
      <c r="F59">
        <v>10274</v>
      </c>
      <c r="G59">
        <v>15176478.125</v>
      </c>
      <c r="H59">
        <v>0.9616841500004133</v>
      </c>
      <c r="I59">
        <v>0.93516899766899764</v>
      </c>
      <c r="J59">
        <v>3271335.9791666665</v>
      </c>
      <c r="K59">
        <v>19352</v>
      </c>
      <c r="L59">
        <v>2</v>
      </c>
      <c r="M59">
        <v>90</v>
      </c>
      <c r="N59">
        <v>0.93604312354312358</v>
      </c>
      <c r="O59">
        <v>3205353.4166666665</v>
      </c>
      <c r="P59">
        <v>19749</v>
      </c>
      <c r="Q59">
        <v>2</v>
      </c>
      <c r="R59">
        <v>91</v>
      </c>
      <c r="S59" t="s">
        <v>68</v>
      </c>
      <c r="W59">
        <f>Cancer_doubles_final2[[#This Row],[mlp_params]]</f>
        <v>19352</v>
      </c>
      <c r="X59">
        <f>Cancer_doubles_final2[[#This Row],[kan_test_acc]]</f>
        <v>0.9616841500004133</v>
      </c>
      <c r="Y59">
        <f>Cancer_doubles_final2[[#This Row],[mlp_test_acc]]</f>
        <v>0.93516899766899764</v>
      </c>
      <c r="Z59">
        <f>Cancer_doubles_final2[[#This Row],[mlp_test_acc2]]</f>
        <v>0.93604312354312358</v>
      </c>
    </row>
    <row r="60" spans="1:26" hidden="1" x14ac:dyDescent="0.25">
      <c r="A60" t="s">
        <v>19</v>
      </c>
      <c r="B60">
        <v>5</v>
      </c>
      <c r="C60">
        <v>2</v>
      </c>
      <c r="D60">
        <v>0</v>
      </c>
      <c r="E60" t="s">
        <v>39</v>
      </c>
      <c r="F60">
        <v>10274</v>
      </c>
      <c r="G60">
        <v>14250117.666666668</v>
      </c>
      <c r="H60">
        <v>0.97843823581933975</v>
      </c>
      <c r="I60">
        <v>0.95046620046620045</v>
      </c>
      <c r="J60">
        <v>3145847.583333333</v>
      </c>
      <c r="K60">
        <v>15249</v>
      </c>
      <c r="L60">
        <v>2</v>
      </c>
      <c r="M60">
        <v>79</v>
      </c>
      <c r="N60">
        <v>0.94347319347319347</v>
      </c>
      <c r="O60">
        <v>2834701.5416666665</v>
      </c>
      <c r="P60">
        <v>15602</v>
      </c>
      <c r="Q60">
        <v>2</v>
      </c>
      <c r="R60">
        <v>80</v>
      </c>
      <c r="S60" t="s">
        <v>69</v>
      </c>
      <c r="W60">
        <f>Cancer_doubles_final2[[#This Row],[mlp_params]]</f>
        <v>15249</v>
      </c>
      <c r="X60">
        <f>Cancer_doubles_final2[[#This Row],[kan_test_acc]]</f>
        <v>0.97843823581933975</v>
      </c>
      <c r="Y60">
        <f>Cancer_doubles_final2[[#This Row],[mlp_test_acc]]</f>
        <v>0.95046620046620045</v>
      </c>
      <c r="Z60">
        <f>Cancer_doubles_final2[[#This Row],[mlp_test_acc2]]</f>
        <v>0.94347319347319347</v>
      </c>
    </row>
    <row r="61" spans="1:26" hidden="1" x14ac:dyDescent="0.25">
      <c r="A61" t="s">
        <v>19</v>
      </c>
      <c r="B61">
        <v>3</v>
      </c>
      <c r="C61">
        <v>4</v>
      </c>
      <c r="D61">
        <v>0</v>
      </c>
      <c r="E61" t="s">
        <v>39</v>
      </c>
      <c r="F61">
        <v>10274</v>
      </c>
      <c r="G61">
        <v>15322695.666666668</v>
      </c>
      <c r="H61">
        <v>0.97173659751812624</v>
      </c>
      <c r="I61">
        <v>0.9391025641025641</v>
      </c>
      <c r="J61">
        <v>4014328.375</v>
      </c>
      <c r="K61">
        <v>19352</v>
      </c>
      <c r="L61">
        <v>2</v>
      </c>
      <c r="M61">
        <v>90</v>
      </c>
      <c r="N61">
        <v>0.93152680652680653</v>
      </c>
      <c r="O61">
        <v>3778022.958333333</v>
      </c>
      <c r="P61">
        <v>19749</v>
      </c>
      <c r="Q61">
        <v>2</v>
      </c>
      <c r="R61">
        <v>91</v>
      </c>
      <c r="S61" t="s">
        <v>68</v>
      </c>
      <c r="W61">
        <f>Cancer_doubles_final2[[#This Row],[mlp_params]]</f>
        <v>19352</v>
      </c>
      <c r="X61">
        <f>Cancer_doubles_final2[[#This Row],[kan_test_acc]]</f>
        <v>0.97173659751812624</v>
      </c>
      <c r="Y61">
        <f>Cancer_doubles_final2[[#This Row],[mlp_test_acc]]</f>
        <v>0.9391025641025641</v>
      </c>
      <c r="Z61">
        <f>Cancer_doubles_final2[[#This Row],[mlp_test_acc2]]</f>
        <v>0.93152680652680653</v>
      </c>
    </row>
    <row r="62" spans="1:26" hidden="1" x14ac:dyDescent="0.25">
      <c r="A62" t="s">
        <v>19</v>
      </c>
      <c r="B62">
        <v>5</v>
      </c>
      <c r="C62">
        <v>2</v>
      </c>
      <c r="D62">
        <v>0</v>
      </c>
      <c r="E62" t="s">
        <v>39</v>
      </c>
      <c r="F62">
        <v>10274</v>
      </c>
      <c r="G62">
        <v>15111793.541666666</v>
      </c>
      <c r="H62">
        <v>0.97027971347173048</v>
      </c>
      <c r="I62">
        <v>0.93240093240093236</v>
      </c>
      <c r="J62">
        <v>5692927.75</v>
      </c>
      <c r="K62">
        <v>15249</v>
      </c>
      <c r="L62">
        <v>2</v>
      </c>
      <c r="M62">
        <v>79</v>
      </c>
      <c r="N62">
        <v>0.93531468531468542</v>
      </c>
      <c r="O62">
        <v>5190729.083333333</v>
      </c>
      <c r="P62">
        <v>15602</v>
      </c>
      <c r="Q62">
        <v>2</v>
      </c>
      <c r="R62">
        <v>80</v>
      </c>
      <c r="S62" t="s">
        <v>69</v>
      </c>
      <c r="W62">
        <f>Cancer_doubles_final2[[#This Row],[mlp_params]]</f>
        <v>15249</v>
      </c>
      <c r="X62">
        <f>Cancer_doubles_final2[[#This Row],[kan_test_acc]]</f>
        <v>0.97027971347173048</v>
      </c>
      <c r="Y62">
        <f>Cancer_doubles_final2[[#This Row],[mlp_test_acc]]</f>
        <v>0.93240093240093236</v>
      </c>
      <c r="Z62">
        <f>Cancer_doubles_final2[[#This Row],[mlp_test_acc2]]</f>
        <v>0.93531468531468542</v>
      </c>
    </row>
    <row r="63" spans="1:26" hidden="1" x14ac:dyDescent="0.25">
      <c r="A63" t="s">
        <v>19</v>
      </c>
      <c r="B63">
        <v>3</v>
      </c>
      <c r="C63">
        <v>2</v>
      </c>
      <c r="D63">
        <v>0</v>
      </c>
      <c r="E63" t="s">
        <v>70</v>
      </c>
      <c r="F63">
        <v>10282</v>
      </c>
      <c r="G63">
        <v>15143801.833333332</v>
      </c>
      <c r="H63">
        <v>0.97173658758401871</v>
      </c>
      <c r="I63">
        <v>0.94347319347319347</v>
      </c>
      <c r="J63">
        <v>3662385.458333333</v>
      </c>
      <c r="K63">
        <v>16320</v>
      </c>
      <c r="L63">
        <v>2</v>
      </c>
      <c r="M63">
        <v>82</v>
      </c>
      <c r="N63">
        <v>0.95046620046620045</v>
      </c>
      <c r="O63">
        <v>2379917.2083333335</v>
      </c>
      <c r="P63">
        <v>16685</v>
      </c>
      <c r="Q63">
        <v>2</v>
      </c>
      <c r="R63">
        <v>83</v>
      </c>
      <c r="S63" t="s">
        <v>71</v>
      </c>
      <c r="W63">
        <f>Cancer_doubles_final2[[#This Row],[mlp_params]]</f>
        <v>16320</v>
      </c>
      <c r="X63">
        <f>Cancer_doubles_final2[[#This Row],[kan_test_acc]]</f>
        <v>0.97173658758401871</v>
      </c>
      <c r="Y63">
        <f>Cancer_doubles_final2[[#This Row],[mlp_test_acc]]</f>
        <v>0.94347319347319347</v>
      </c>
      <c r="Z63">
        <f>Cancer_doubles_final2[[#This Row],[mlp_test_acc2]]</f>
        <v>0.95046620046620045</v>
      </c>
    </row>
    <row r="64" spans="1:26" hidden="1" x14ac:dyDescent="0.25">
      <c r="A64" t="s">
        <v>19</v>
      </c>
      <c r="B64">
        <v>3</v>
      </c>
      <c r="C64">
        <v>3</v>
      </c>
      <c r="D64">
        <v>0</v>
      </c>
      <c r="E64" t="s">
        <v>56</v>
      </c>
      <c r="F64">
        <v>10406</v>
      </c>
      <c r="G64">
        <v>14206415.25</v>
      </c>
      <c r="H64">
        <v>0.9603729529513253</v>
      </c>
      <c r="I64">
        <v>0.94658119658119655</v>
      </c>
      <c r="J64">
        <v>3868849.944444444</v>
      </c>
      <c r="K64">
        <v>18185</v>
      </c>
      <c r="L64">
        <v>2</v>
      </c>
      <c r="M64">
        <v>87</v>
      </c>
      <c r="N64">
        <v>0.94696969696969691</v>
      </c>
      <c r="O64">
        <v>3509484.388888889</v>
      </c>
      <c r="P64">
        <v>18570</v>
      </c>
      <c r="Q64">
        <v>2</v>
      </c>
      <c r="R64">
        <v>88</v>
      </c>
      <c r="S64" t="s">
        <v>72</v>
      </c>
      <c r="W64">
        <f>Cancer_doubles_final2[[#This Row],[mlp_params]]</f>
        <v>18185</v>
      </c>
      <c r="X64">
        <f>Cancer_doubles_final2[[#This Row],[kan_test_acc]]</f>
        <v>0.9603729529513253</v>
      </c>
      <c r="Y64">
        <f>Cancer_doubles_final2[[#This Row],[mlp_test_acc]]</f>
        <v>0.94658119658119655</v>
      </c>
      <c r="Z64">
        <f>Cancer_doubles_final2[[#This Row],[mlp_test_acc2]]</f>
        <v>0.94696969696969691</v>
      </c>
    </row>
    <row r="65" spans="1:26" hidden="1" x14ac:dyDescent="0.25">
      <c r="A65" t="s">
        <v>19</v>
      </c>
      <c r="B65">
        <v>9</v>
      </c>
      <c r="C65">
        <v>3</v>
      </c>
      <c r="D65">
        <v>0</v>
      </c>
      <c r="E65" t="s">
        <v>22</v>
      </c>
      <c r="F65">
        <v>10584</v>
      </c>
      <c r="G65">
        <v>22629168.944444444</v>
      </c>
      <c r="H65">
        <v>0.9564879553185569</v>
      </c>
      <c r="I65">
        <v>0.93123543123543118</v>
      </c>
      <c r="J65">
        <v>6495916.722222222</v>
      </c>
      <c r="K65">
        <v>15249</v>
      </c>
      <c r="L65">
        <v>2</v>
      </c>
      <c r="M65">
        <v>79</v>
      </c>
      <c r="N65">
        <v>0.93298368298368295</v>
      </c>
      <c r="O65">
        <v>7712455.0277777771</v>
      </c>
      <c r="P65">
        <v>15602</v>
      </c>
      <c r="Q65">
        <v>2</v>
      </c>
      <c r="R65">
        <v>80</v>
      </c>
      <c r="S65" t="s">
        <v>73</v>
      </c>
      <c r="W65">
        <f>Cancer_doubles_final2[[#This Row],[mlp_params]]</f>
        <v>15249</v>
      </c>
      <c r="X65">
        <f>Cancer_doubles_final2[[#This Row],[kan_test_acc]]</f>
        <v>0.9564879553185569</v>
      </c>
      <c r="Y65">
        <f>Cancer_doubles_final2[[#This Row],[mlp_test_acc]]</f>
        <v>0.93123543123543118</v>
      </c>
      <c r="Z65">
        <f>Cancer_doubles_final2[[#This Row],[mlp_test_acc2]]</f>
        <v>0.93298368298368295</v>
      </c>
    </row>
    <row r="66" spans="1:26" x14ac:dyDescent="0.25">
      <c r="A66" t="s">
        <v>19</v>
      </c>
      <c r="B66">
        <v>3</v>
      </c>
      <c r="C66">
        <v>5</v>
      </c>
      <c r="D66">
        <v>0</v>
      </c>
      <c r="E66" t="s">
        <v>34</v>
      </c>
      <c r="F66">
        <v>10592</v>
      </c>
      <c r="G66">
        <v>33702286.388888888</v>
      </c>
      <c r="H66">
        <v>0.9520202047295041</v>
      </c>
      <c r="I66">
        <v>0.92404817404817396</v>
      </c>
      <c r="J66">
        <v>8909671.1388888899</v>
      </c>
      <c r="K66">
        <v>20964</v>
      </c>
      <c r="L66">
        <v>2</v>
      </c>
      <c r="M66">
        <v>94</v>
      </c>
      <c r="N66">
        <v>0.92074592074592077</v>
      </c>
      <c r="O66">
        <v>9647550.305555556</v>
      </c>
      <c r="P66">
        <v>21377</v>
      </c>
      <c r="Q66">
        <v>2</v>
      </c>
      <c r="R66">
        <v>95</v>
      </c>
      <c r="S66" t="s">
        <v>74</v>
      </c>
      <c r="W66">
        <f>Cancer_doubles_final2[[#This Row],[mlp_params]]</f>
        <v>20964</v>
      </c>
      <c r="X66">
        <f>Cancer_doubles_final2[[#This Row],[kan_test_acc]]</f>
        <v>0.9520202047295041</v>
      </c>
      <c r="Y66">
        <f>Cancer_doubles_final2[[#This Row],[mlp_test_acc]]</f>
        <v>0.92404817404817396</v>
      </c>
      <c r="Z66">
        <f>Cancer_doubles_final2[[#This Row],[mlp_test_acc2]]</f>
        <v>0.92074592074592077</v>
      </c>
    </row>
    <row r="67" spans="1:26" hidden="1" x14ac:dyDescent="0.25">
      <c r="A67" t="s">
        <v>19</v>
      </c>
      <c r="B67">
        <v>5</v>
      </c>
      <c r="C67">
        <v>3</v>
      </c>
      <c r="D67">
        <v>0</v>
      </c>
      <c r="E67" t="s">
        <v>34</v>
      </c>
      <c r="F67">
        <v>10592</v>
      </c>
      <c r="G67">
        <v>15434850.041666668</v>
      </c>
      <c r="H67">
        <v>0.97523310283819842</v>
      </c>
      <c r="I67">
        <v>0.94784382284382285</v>
      </c>
      <c r="J67">
        <v>5629820.541666667</v>
      </c>
      <c r="K67">
        <v>17054</v>
      </c>
      <c r="L67">
        <v>2</v>
      </c>
      <c r="M67">
        <v>84</v>
      </c>
      <c r="N67">
        <v>0.94318181818181823</v>
      </c>
      <c r="O67">
        <v>4408987.458333334</v>
      </c>
      <c r="P67">
        <v>17427</v>
      </c>
      <c r="Q67">
        <v>2</v>
      </c>
      <c r="R67">
        <v>85</v>
      </c>
      <c r="S67" t="s">
        <v>75</v>
      </c>
      <c r="W67">
        <f>Cancer_doubles_final2[[#This Row],[mlp_params]]</f>
        <v>17054</v>
      </c>
      <c r="X67">
        <f>Cancer_doubles_final2[[#This Row],[kan_test_acc]]</f>
        <v>0.97523310283819842</v>
      </c>
      <c r="Y67">
        <f>Cancer_doubles_final2[[#This Row],[mlp_test_acc]]</f>
        <v>0.94784382284382285</v>
      </c>
      <c r="Z67">
        <f>Cancer_doubles_final2[[#This Row],[mlp_test_acc2]]</f>
        <v>0.94318181818181823</v>
      </c>
    </row>
    <row r="68" spans="1:26" x14ac:dyDescent="0.25">
      <c r="A68" t="s">
        <v>19</v>
      </c>
      <c r="B68">
        <v>3</v>
      </c>
      <c r="C68">
        <v>5</v>
      </c>
      <c r="D68">
        <v>0</v>
      </c>
      <c r="E68" t="s">
        <v>34</v>
      </c>
      <c r="F68">
        <v>10592</v>
      </c>
      <c r="G68">
        <v>16318280.083333332</v>
      </c>
      <c r="H68">
        <v>0.96649183829625451</v>
      </c>
      <c r="I68">
        <v>0.93269230769230771</v>
      </c>
      <c r="J68">
        <v>5287717.583333333</v>
      </c>
      <c r="K68">
        <v>20964</v>
      </c>
      <c r="L68">
        <v>2</v>
      </c>
      <c r="M68">
        <v>94</v>
      </c>
      <c r="N68">
        <v>0.93414918414918424</v>
      </c>
      <c r="O68">
        <v>4468500.416666667</v>
      </c>
      <c r="P68">
        <v>21377</v>
      </c>
      <c r="Q68">
        <v>2</v>
      </c>
      <c r="R68">
        <v>95</v>
      </c>
      <c r="S68" t="s">
        <v>74</v>
      </c>
      <c r="W68">
        <f>Cancer_doubles_final2[[#This Row],[mlp_params]]</f>
        <v>20964</v>
      </c>
      <c r="X68">
        <f>Cancer_doubles_final2[[#This Row],[kan_test_acc]]</f>
        <v>0.96649183829625451</v>
      </c>
      <c r="Y68">
        <f>Cancer_doubles_final2[[#This Row],[mlp_test_acc]]</f>
        <v>0.93269230769230771</v>
      </c>
      <c r="Z68">
        <f>Cancer_doubles_final2[[#This Row],[mlp_test_acc2]]</f>
        <v>0.93414918414918424</v>
      </c>
    </row>
    <row r="69" spans="1:26" hidden="1" x14ac:dyDescent="0.25">
      <c r="A69" t="s">
        <v>19</v>
      </c>
      <c r="B69">
        <v>5</v>
      </c>
      <c r="C69">
        <v>3</v>
      </c>
      <c r="D69">
        <v>0</v>
      </c>
      <c r="E69" t="s">
        <v>34</v>
      </c>
      <c r="F69">
        <v>10592</v>
      </c>
      <c r="G69">
        <v>15051692.041666666</v>
      </c>
      <c r="H69">
        <v>0.95745920389890671</v>
      </c>
      <c r="I69">
        <v>0.91083916083916083</v>
      </c>
      <c r="J69">
        <v>5920210.875</v>
      </c>
      <c r="K69">
        <v>17054</v>
      </c>
      <c r="L69">
        <v>2</v>
      </c>
      <c r="M69">
        <v>84</v>
      </c>
      <c r="N69">
        <v>0.91491841491841486</v>
      </c>
      <c r="O69">
        <v>6000086.75</v>
      </c>
      <c r="P69">
        <v>17427</v>
      </c>
      <c r="Q69">
        <v>2</v>
      </c>
      <c r="R69">
        <v>85</v>
      </c>
      <c r="S69" t="s">
        <v>75</v>
      </c>
      <c r="W69">
        <f>Cancer_doubles_final2[[#This Row],[mlp_params]]</f>
        <v>17054</v>
      </c>
      <c r="X69">
        <f>Cancer_doubles_final2[[#This Row],[kan_test_acc]]</f>
        <v>0.95745920389890671</v>
      </c>
      <c r="Y69">
        <f>Cancer_doubles_final2[[#This Row],[mlp_test_acc]]</f>
        <v>0.91083916083916083</v>
      </c>
      <c r="Z69">
        <f>Cancer_doubles_final2[[#This Row],[mlp_test_acc2]]</f>
        <v>0.91491841491841486</v>
      </c>
    </row>
    <row r="70" spans="1:26" hidden="1" x14ac:dyDescent="0.25">
      <c r="A70" t="s">
        <v>19</v>
      </c>
      <c r="B70">
        <v>9</v>
      </c>
      <c r="C70">
        <v>2</v>
      </c>
      <c r="D70">
        <v>0</v>
      </c>
      <c r="E70" t="s">
        <v>20</v>
      </c>
      <c r="F70">
        <v>10778</v>
      </c>
      <c r="G70">
        <v>20327778.791666664</v>
      </c>
      <c r="H70">
        <v>0.93385780602693558</v>
      </c>
      <c r="I70">
        <v>0.90734265734265729</v>
      </c>
      <c r="J70">
        <v>5810193.166666666</v>
      </c>
      <c r="K70">
        <v>14555</v>
      </c>
      <c r="L70">
        <v>2</v>
      </c>
      <c r="M70">
        <v>77</v>
      </c>
      <c r="N70">
        <v>0.90879953379953371</v>
      </c>
      <c r="O70">
        <v>6363533.291666666</v>
      </c>
      <c r="P70">
        <v>14900</v>
      </c>
      <c r="Q70">
        <v>2</v>
      </c>
      <c r="R70">
        <v>78</v>
      </c>
      <c r="S70" t="s">
        <v>76</v>
      </c>
      <c r="W70">
        <f>Cancer_doubles_final2[[#This Row],[mlp_params]]</f>
        <v>14555</v>
      </c>
      <c r="X70">
        <f>Cancer_doubles_final2[[#This Row],[kan_test_acc]]</f>
        <v>0.93385780602693558</v>
      </c>
      <c r="Y70">
        <f>Cancer_doubles_final2[[#This Row],[mlp_test_acc]]</f>
        <v>0.90734265734265729</v>
      </c>
      <c r="Z70">
        <f>Cancer_doubles_final2[[#This Row],[mlp_test_acc2]]</f>
        <v>0.90879953379953371</v>
      </c>
    </row>
    <row r="71" spans="1:26" hidden="1" x14ac:dyDescent="0.25">
      <c r="A71" t="s">
        <v>19</v>
      </c>
      <c r="B71">
        <v>5</v>
      </c>
      <c r="C71">
        <v>4</v>
      </c>
      <c r="D71">
        <v>0</v>
      </c>
      <c r="E71" t="s">
        <v>29</v>
      </c>
      <c r="F71">
        <v>10782</v>
      </c>
      <c r="G71">
        <v>25584045.527777776</v>
      </c>
      <c r="H71">
        <v>0.93181818392541671</v>
      </c>
      <c r="I71">
        <v>0.92560217560217561</v>
      </c>
      <c r="J71">
        <v>7837252.3611111101</v>
      </c>
      <c r="K71">
        <v>18570</v>
      </c>
      <c r="L71">
        <v>2</v>
      </c>
      <c r="M71">
        <v>88</v>
      </c>
      <c r="N71">
        <v>0.92191142191142184</v>
      </c>
      <c r="O71">
        <v>7501941.25</v>
      </c>
      <c r="P71">
        <v>18959</v>
      </c>
      <c r="Q71">
        <v>2</v>
      </c>
      <c r="R71">
        <v>89</v>
      </c>
      <c r="S71" t="s">
        <v>77</v>
      </c>
      <c r="W71">
        <f>Cancer_doubles_final2[[#This Row],[mlp_params]]</f>
        <v>18570</v>
      </c>
      <c r="X71">
        <f>Cancer_doubles_final2[[#This Row],[kan_test_acc]]</f>
        <v>0.93181818392541671</v>
      </c>
      <c r="Y71">
        <f>Cancer_doubles_final2[[#This Row],[mlp_test_acc]]</f>
        <v>0.92560217560217561</v>
      </c>
      <c r="Z71">
        <f>Cancer_doubles_final2[[#This Row],[mlp_test_acc2]]</f>
        <v>0.92191142191142184</v>
      </c>
    </row>
    <row r="72" spans="1:26" hidden="1" x14ac:dyDescent="0.25">
      <c r="A72" t="s">
        <v>19</v>
      </c>
      <c r="B72">
        <v>3</v>
      </c>
      <c r="C72">
        <v>2</v>
      </c>
      <c r="D72">
        <v>0</v>
      </c>
      <c r="E72" t="s">
        <v>78</v>
      </c>
      <c r="F72">
        <v>10796</v>
      </c>
      <c r="G72">
        <v>16054463.145833332</v>
      </c>
      <c r="H72">
        <v>0.95367132499814034</v>
      </c>
      <c r="I72">
        <v>0.93283799533799527</v>
      </c>
      <c r="J72">
        <v>5386799.291666667</v>
      </c>
      <c r="K72">
        <v>17427</v>
      </c>
      <c r="L72">
        <v>2</v>
      </c>
      <c r="M72">
        <v>85</v>
      </c>
      <c r="N72">
        <v>0.93502331002330996</v>
      </c>
      <c r="O72">
        <v>4760428.604166667</v>
      </c>
      <c r="P72">
        <v>17804</v>
      </c>
      <c r="Q72">
        <v>2</v>
      </c>
      <c r="R72">
        <v>86</v>
      </c>
      <c r="S72" t="s">
        <v>79</v>
      </c>
      <c r="W72">
        <f>Cancer_doubles_final2[[#This Row],[mlp_params]]</f>
        <v>17427</v>
      </c>
      <c r="X72">
        <f>Cancer_doubles_final2[[#This Row],[kan_test_acc]]</f>
        <v>0.95367132499814034</v>
      </c>
      <c r="Y72">
        <f>Cancer_doubles_final2[[#This Row],[mlp_test_acc]]</f>
        <v>0.93283799533799527</v>
      </c>
      <c r="Z72">
        <f>Cancer_doubles_final2[[#This Row],[mlp_test_acc2]]</f>
        <v>0.93502331002330996</v>
      </c>
    </row>
    <row r="73" spans="1:26" hidden="1" x14ac:dyDescent="0.25">
      <c r="A73" t="s">
        <v>19</v>
      </c>
      <c r="B73">
        <v>5</v>
      </c>
      <c r="C73">
        <v>5</v>
      </c>
      <c r="D73">
        <v>0</v>
      </c>
      <c r="E73" t="s">
        <v>24</v>
      </c>
      <c r="F73">
        <v>10844</v>
      </c>
      <c r="G73">
        <v>13301263.222222222</v>
      </c>
      <c r="H73">
        <v>0.95532244278324974</v>
      </c>
      <c r="I73">
        <v>0.9403651903651904</v>
      </c>
      <c r="J73">
        <v>4833046.333333333</v>
      </c>
      <c r="K73">
        <v>19749</v>
      </c>
      <c r="L73">
        <v>2</v>
      </c>
      <c r="M73">
        <v>91</v>
      </c>
      <c r="N73">
        <v>0.93803418803418803</v>
      </c>
      <c r="O73">
        <v>3913186.222222222</v>
      </c>
      <c r="P73">
        <v>20150</v>
      </c>
      <c r="Q73">
        <v>2</v>
      </c>
      <c r="R73">
        <v>92</v>
      </c>
      <c r="S73" t="s">
        <v>80</v>
      </c>
      <c r="W73">
        <f>Cancer_doubles_final2[[#This Row],[mlp_params]]</f>
        <v>19749</v>
      </c>
      <c r="X73">
        <f>Cancer_doubles_final2[[#This Row],[kan_test_acc]]</f>
        <v>0.95532244278324974</v>
      </c>
      <c r="Y73">
        <f>Cancer_doubles_final2[[#This Row],[mlp_test_acc]]</f>
        <v>0.9403651903651904</v>
      </c>
      <c r="Z73">
        <f>Cancer_doubles_final2[[#This Row],[mlp_test_acc2]]</f>
        <v>0.93803418803418803</v>
      </c>
    </row>
    <row r="74" spans="1:26" hidden="1" x14ac:dyDescent="0.25">
      <c r="A74" t="s">
        <v>19</v>
      </c>
      <c r="B74">
        <v>3</v>
      </c>
      <c r="C74">
        <v>4</v>
      </c>
      <c r="D74">
        <v>0</v>
      </c>
      <c r="E74" t="s">
        <v>47</v>
      </c>
      <c r="F74">
        <v>10916</v>
      </c>
      <c r="G74">
        <v>13638527.555555556</v>
      </c>
      <c r="H74">
        <v>0.96522920661502409</v>
      </c>
      <c r="I74">
        <v>0.94405594405594406</v>
      </c>
      <c r="J74">
        <v>7113599.833333333</v>
      </c>
      <c r="K74">
        <v>20555</v>
      </c>
      <c r="L74">
        <v>2</v>
      </c>
      <c r="M74">
        <v>93</v>
      </c>
      <c r="N74">
        <v>0.93803418803418803</v>
      </c>
      <c r="O74">
        <v>6663389.916666667</v>
      </c>
      <c r="P74">
        <v>20964</v>
      </c>
      <c r="Q74">
        <v>2</v>
      </c>
      <c r="R74">
        <v>94</v>
      </c>
      <c r="S74" t="s">
        <v>81</v>
      </c>
      <c r="W74">
        <f>Cancer_doubles_final2[[#This Row],[mlp_params]]</f>
        <v>20555</v>
      </c>
      <c r="X74">
        <f>Cancer_doubles_final2[[#This Row],[kan_test_acc]]</f>
        <v>0.96522920661502409</v>
      </c>
      <c r="Y74">
        <f>Cancer_doubles_final2[[#This Row],[mlp_test_acc]]</f>
        <v>0.94405594405594406</v>
      </c>
      <c r="Z74">
        <f>Cancer_doubles_final2[[#This Row],[mlp_test_acc2]]</f>
        <v>0.93803418803418803</v>
      </c>
    </row>
    <row r="75" spans="1:26" hidden="1" x14ac:dyDescent="0.25">
      <c r="A75" t="s">
        <v>19</v>
      </c>
      <c r="B75">
        <v>5</v>
      </c>
      <c r="C75">
        <v>2</v>
      </c>
      <c r="D75">
        <v>0</v>
      </c>
      <c r="E75" t="s">
        <v>47</v>
      </c>
      <c r="F75">
        <v>10916</v>
      </c>
      <c r="G75">
        <v>14447851.875</v>
      </c>
      <c r="H75">
        <v>0.98193472623825073</v>
      </c>
      <c r="I75">
        <v>0.9475524475524475</v>
      </c>
      <c r="J75">
        <v>4893331.291666666</v>
      </c>
      <c r="K75">
        <v>16320</v>
      </c>
      <c r="L75">
        <v>2</v>
      </c>
      <c r="M75">
        <v>82</v>
      </c>
      <c r="N75">
        <v>0.9417249417249417</v>
      </c>
      <c r="O75">
        <v>4500011.041666667</v>
      </c>
      <c r="P75">
        <v>16685</v>
      </c>
      <c r="Q75">
        <v>2</v>
      </c>
      <c r="R75">
        <v>83</v>
      </c>
      <c r="S75" t="s">
        <v>82</v>
      </c>
      <c r="W75">
        <f>Cancer_doubles_final2[[#This Row],[mlp_params]]</f>
        <v>16320</v>
      </c>
      <c r="X75">
        <f>Cancer_doubles_final2[[#This Row],[kan_test_acc]]</f>
        <v>0.98193472623825073</v>
      </c>
      <c r="Y75">
        <f>Cancer_doubles_final2[[#This Row],[mlp_test_acc]]</f>
        <v>0.9475524475524475</v>
      </c>
      <c r="Z75">
        <f>Cancer_doubles_final2[[#This Row],[mlp_test_acc2]]</f>
        <v>0.9417249417249417</v>
      </c>
    </row>
    <row r="76" spans="1:26" hidden="1" x14ac:dyDescent="0.25">
      <c r="A76" t="s">
        <v>19</v>
      </c>
      <c r="B76">
        <v>3</v>
      </c>
      <c r="C76">
        <v>4</v>
      </c>
      <c r="D76">
        <v>0</v>
      </c>
      <c r="E76" t="s">
        <v>47</v>
      </c>
      <c r="F76">
        <v>10916</v>
      </c>
      <c r="G76">
        <v>16006710.958333332</v>
      </c>
      <c r="H76">
        <v>0.98047785212596261</v>
      </c>
      <c r="I76">
        <v>0.93618881118881114</v>
      </c>
      <c r="J76">
        <v>5148104.333333333</v>
      </c>
      <c r="K76">
        <v>20555</v>
      </c>
      <c r="L76">
        <v>2</v>
      </c>
      <c r="M76">
        <v>93</v>
      </c>
      <c r="N76">
        <v>0.93298368298368306</v>
      </c>
      <c r="O76">
        <v>4697532.416666667</v>
      </c>
      <c r="P76">
        <v>20964</v>
      </c>
      <c r="Q76">
        <v>2</v>
      </c>
      <c r="R76">
        <v>94</v>
      </c>
      <c r="S76" t="s">
        <v>81</v>
      </c>
      <c r="W76">
        <f>Cancer_doubles_final2[[#This Row],[mlp_params]]</f>
        <v>20555</v>
      </c>
      <c r="X76">
        <f>Cancer_doubles_final2[[#This Row],[kan_test_acc]]</f>
        <v>0.98047785212596261</v>
      </c>
      <c r="Y76">
        <f>Cancer_doubles_final2[[#This Row],[mlp_test_acc]]</f>
        <v>0.93618881118881114</v>
      </c>
      <c r="Z76">
        <f>Cancer_doubles_final2[[#This Row],[mlp_test_acc2]]</f>
        <v>0.93298368298368306</v>
      </c>
    </row>
    <row r="77" spans="1:26" hidden="1" x14ac:dyDescent="0.25">
      <c r="A77" t="s">
        <v>19</v>
      </c>
      <c r="B77">
        <v>5</v>
      </c>
      <c r="C77">
        <v>2</v>
      </c>
      <c r="D77">
        <v>0</v>
      </c>
      <c r="E77" t="s">
        <v>47</v>
      </c>
      <c r="F77">
        <v>10916</v>
      </c>
      <c r="G77">
        <v>16888041.333333332</v>
      </c>
      <c r="H77">
        <v>0.97523309290409088</v>
      </c>
      <c r="I77">
        <v>0.93240093240093236</v>
      </c>
      <c r="J77">
        <v>6331781.791666666</v>
      </c>
      <c r="K77">
        <v>16320</v>
      </c>
      <c r="L77">
        <v>2</v>
      </c>
      <c r="M77">
        <v>82</v>
      </c>
      <c r="N77">
        <v>0.93502331002331007</v>
      </c>
      <c r="O77">
        <v>5947020.416666666</v>
      </c>
      <c r="P77">
        <v>16685</v>
      </c>
      <c r="Q77">
        <v>2</v>
      </c>
      <c r="R77">
        <v>83</v>
      </c>
      <c r="S77" t="s">
        <v>82</v>
      </c>
      <c r="W77">
        <f>Cancer_doubles_final2[[#This Row],[mlp_params]]</f>
        <v>16320</v>
      </c>
      <c r="X77">
        <f>Cancer_doubles_final2[[#This Row],[kan_test_acc]]</f>
        <v>0.97523309290409088</v>
      </c>
      <c r="Y77">
        <f>Cancer_doubles_final2[[#This Row],[mlp_test_acc]]</f>
        <v>0.93240093240093236</v>
      </c>
      <c r="Z77">
        <f>Cancer_doubles_final2[[#This Row],[mlp_test_acc2]]</f>
        <v>0.93502331002331007</v>
      </c>
    </row>
    <row r="78" spans="1:26" hidden="1" x14ac:dyDescent="0.25">
      <c r="A78" t="s">
        <v>19</v>
      </c>
      <c r="B78">
        <v>3</v>
      </c>
      <c r="C78">
        <v>3</v>
      </c>
      <c r="D78">
        <v>0</v>
      </c>
      <c r="E78" t="s">
        <v>60</v>
      </c>
      <c r="F78">
        <v>10984</v>
      </c>
      <c r="G78">
        <v>15970885.125</v>
      </c>
      <c r="H78">
        <v>0.96940558652083075</v>
      </c>
      <c r="I78">
        <v>0.94114219114219111</v>
      </c>
      <c r="J78">
        <v>6212653.041666666</v>
      </c>
      <c r="K78">
        <v>19352</v>
      </c>
      <c r="L78">
        <v>2</v>
      </c>
      <c r="M78">
        <v>90</v>
      </c>
      <c r="N78">
        <v>0.94551282051282048</v>
      </c>
      <c r="O78">
        <v>5887819.166666666</v>
      </c>
      <c r="P78">
        <v>19749</v>
      </c>
      <c r="Q78">
        <v>2</v>
      </c>
      <c r="R78">
        <v>91</v>
      </c>
      <c r="S78" t="s">
        <v>83</v>
      </c>
      <c r="W78">
        <f>Cancer_doubles_final2[[#This Row],[mlp_params]]</f>
        <v>19352</v>
      </c>
      <c r="X78">
        <f>Cancer_doubles_final2[[#This Row],[kan_test_acc]]</f>
        <v>0.96940558652083075</v>
      </c>
      <c r="Y78">
        <f>Cancer_doubles_final2[[#This Row],[mlp_test_acc]]</f>
        <v>0.94114219114219111</v>
      </c>
      <c r="Z78">
        <f>Cancer_doubles_final2[[#This Row],[mlp_test_acc2]]</f>
        <v>0.94551282051282048</v>
      </c>
    </row>
    <row r="79" spans="1:26" hidden="1" x14ac:dyDescent="0.25">
      <c r="A79" t="s">
        <v>19</v>
      </c>
      <c r="B79">
        <v>9</v>
      </c>
      <c r="C79">
        <v>4</v>
      </c>
      <c r="D79">
        <v>0</v>
      </c>
      <c r="E79" t="s">
        <v>22</v>
      </c>
      <c r="F79">
        <v>11288</v>
      </c>
      <c r="G79">
        <v>26608141.583333332</v>
      </c>
      <c r="H79">
        <v>0.95862471063931787</v>
      </c>
      <c r="I79">
        <v>0.94794094794094796</v>
      </c>
      <c r="J79">
        <v>9863104.6666666679</v>
      </c>
      <c r="K79">
        <v>17427</v>
      </c>
      <c r="L79">
        <v>2</v>
      </c>
      <c r="M79">
        <v>85</v>
      </c>
      <c r="N79">
        <v>0.95066045066045068</v>
      </c>
      <c r="O79">
        <v>10499509.555555554</v>
      </c>
      <c r="P79">
        <v>17804</v>
      </c>
      <c r="Q79">
        <v>2</v>
      </c>
      <c r="R79">
        <v>86</v>
      </c>
      <c r="S79" t="s">
        <v>84</v>
      </c>
      <c r="W79">
        <f>Cancer_doubles_final2[[#This Row],[mlp_params]]</f>
        <v>17427</v>
      </c>
      <c r="X79">
        <f>Cancer_doubles_final2[[#This Row],[kan_test_acc]]</f>
        <v>0.95862471063931787</v>
      </c>
      <c r="Y79">
        <f>Cancer_doubles_final2[[#This Row],[mlp_test_acc]]</f>
        <v>0.94794094794094796</v>
      </c>
      <c r="Z79">
        <f>Cancer_doubles_final2[[#This Row],[mlp_test_acc2]]</f>
        <v>0.95066045066045068</v>
      </c>
    </row>
    <row r="80" spans="1:26" x14ac:dyDescent="0.25">
      <c r="A80" t="s">
        <v>19</v>
      </c>
      <c r="B80">
        <v>3</v>
      </c>
      <c r="C80">
        <v>5</v>
      </c>
      <c r="D80">
        <v>0</v>
      </c>
      <c r="E80" t="s">
        <v>39</v>
      </c>
      <c r="F80">
        <v>11298</v>
      </c>
      <c r="G80">
        <v>34152333.833333328</v>
      </c>
      <c r="H80">
        <v>0.97086247801780701</v>
      </c>
      <c r="I80">
        <v>0.95804195804195791</v>
      </c>
      <c r="J80">
        <v>11206631.541666668</v>
      </c>
      <c r="K80">
        <v>22215</v>
      </c>
      <c r="L80">
        <v>2</v>
      </c>
      <c r="M80">
        <v>97</v>
      </c>
      <c r="N80">
        <v>0.95425407925407923</v>
      </c>
      <c r="O80">
        <v>11088610.166666666</v>
      </c>
      <c r="P80">
        <v>22640</v>
      </c>
      <c r="Q80">
        <v>2</v>
      </c>
      <c r="R80">
        <v>98</v>
      </c>
      <c r="S80" t="s">
        <v>85</v>
      </c>
      <c r="W80">
        <f>Cancer_doubles_final2[[#This Row],[mlp_params]]</f>
        <v>22215</v>
      </c>
      <c r="X80">
        <f>Cancer_doubles_final2[[#This Row],[kan_test_acc]]</f>
        <v>0.97086247801780701</v>
      </c>
      <c r="Y80">
        <f>Cancer_doubles_final2[[#This Row],[mlp_test_acc]]</f>
        <v>0.95804195804195791</v>
      </c>
      <c r="Z80">
        <f>Cancer_doubles_final2[[#This Row],[mlp_test_acc2]]</f>
        <v>0.95425407925407923</v>
      </c>
    </row>
    <row r="81" spans="1:26" hidden="1" x14ac:dyDescent="0.25">
      <c r="A81" t="s">
        <v>19</v>
      </c>
      <c r="B81">
        <v>5</v>
      </c>
      <c r="C81">
        <v>3</v>
      </c>
      <c r="D81">
        <v>0</v>
      </c>
      <c r="E81" t="s">
        <v>39</v>
      </c>
      <c r="F81">
        <v>11298</v>
      </c>
      <c r="G81">
        <v>16518398.75</v>
      </c>
      <c r="H81">
        <v>0.97231935213009524</v>
      </c>
      <c r="I81">
        <v>0.94726107226107226</v>
      </c>
      <c r="J81">
        <v>5891726.75</v>
      </c>
      <c r="K81">
        <v>18185</v>
      </c>
      <c r="L81">
        <v>2</v>
      </c>
      <c r="M81">
        <v>87</v>
      </c>
      <c r="N81">
        <v>0.93968531468531469</v>
      </c>
      <c r="O81">
        <v>6136978.916666666</v>
      </c>
      <c r="P81">
        <v>18570</v>
      </c>
      <c r="Q81">
        <v>2</v>
      </c>
      <c r="R81">
        <v>88</v>
      </c>
      <c r="S81" t="s">
        <v>86</v>
      </c>
      <c r="W81">
        <f>Cancer_doubles_final2[[#This Row],[mlp_params]]</f>
        <v>18185</v>
      </c>
      <c r="X81">
        <f>Cancer_doubles_final2[[#This Row],[kan_test_acc]]</f>
        <v>0.97231935213009524</v>
      </c>
      <c r="Y81">
        <f>Cancer_doubles_final2[[#This Row],[mlp_test_acc]]</f>
        <v>0.94726107226107226</v>
      </c>
      <c r="Z81">
        <f>Cancer_doubles_final2[[#This Row],[mlp_test_acc2]]</f>
        <v>0.93968531468531469</v>
      </c>
    </row>
    <row r="82" spans="1:26" x14ac:dyDescent="0.25">
      <c r="A82" t="s">
        <v>19</v>
      </c>
      <c r="B82">
        <v>3</v>
      </c>
      <c r="C82">
        <v>5</v>
      </c>
      <c r="D82">
        <v>0</v>
      </c>
      <c r="E82" t="s">
        <v>39</v>
      </c>
      <c r="F82">
        <v>11298</v>
      </c>
      <c r="G82">
        <v>16815661.25</v>
      </c>
      <c r="H82">
        <v>0.96299533297618234</v>
      </c>
      <c r="I82">
        <v>0.93240093240093247</v>
      </c>
      <c r="J82">
        <v>5387794.583333333</v>
      </c>
      <c r="K82">
        <v>22215</v>
      </c>
      <c r="L82">
        <v>2</v>
      </c>
      <c r="M82">
        <v>97</v>
      </c>
      <c r="N82">
        <v>0.93298368298368295</v>
      </c>
      <c r="O82">
        <v>6486614.208333334</v>
      </c>
      <c r="P82">
        <v>22640</v>
      </c>
      <c r="Q82">
        <v>2</v>
      </c>
      <c r="R82">
        <v>98</v>
      </c>
      <c r="S82" t="s">
        <v>85</v>
      </c>
      <c r="W82">
        <f>Cancer_doubles_final2[[#This Row],[mlp_params]]</f>
        <v>22215</v>
      </c>
      <c r="X82">
        <f>Cancer_doubles_final2[[#This Row],[kan_test_acc]]</f>
        <v>0.96299533297618234</v>
      </c>
      <c r="Y82">
        <f>Cancer_doubles_final2[[#This Row],[mlp_test_acc]]</f>
        <v>0.93240093240093247</v>
      </c>
      <c r="Z82">
        <f>Cancer_doubles_final2[[#This Row],[mlp_test_acc2]]</f>
        <v>0.93298368298368295</v>
      </c>
    </row>
    <row r="83" spans="1:26" hidden="1" x14ac:dyDescent="0.25">
      <c r="A83" t="s">
        <v>19</v>
      </c>
      <c r="B83">
        <v>5</v>
      </c>
      <c r="C83">
        <v>3</v>
      </c>
      <c r="D83">
        <v>0</v>
      </c>
      <c r="E83" t="s">
        <v>39</v>
      </c>
      <c r="F83">
        <v>11298</v>
      </c>
      <c r="G83">
        <v>14410023.375</v>
      </c>
      <c r="H83">
        <v>0.96561771134535479</v>
      </c>
      <c r="I83">
        <v>0.91083916083916083</v>
      </c>
      <c r="J83">
        <v>5993744.25</v>
      </c>
      <c r="K83">
        <v>18185</v>
      </c>
      <c r="L83">
        <v>2</v>
      </c>
      <c r="M83">
        <v>87</v>
      </c>
      <c r="N83">
        <v>0.91754079254079257</v>
      </c>
      <c r="O83">
        <v>7706197.458333334</v>
      </c>
      <c r="P83">
        <v>18570</v>
      </c>
      <c r="Q83">
        <v>2</v>
      </c>
      <c r="R83">
        <v>88</v>
      </c>
      <c r="S83" t="s">
        <v>86</v>
      </c>
      <c r="W83">
        <f>Cancer_doubles_final2[[#This Row],[mlp_params]]</f>
        <v>18185</v>
      </c>
      <c r="X83">
        <f>Cancer_doubles_final2[[#This Row],[kan_test_acc]]</f>
        <v>0.96561771134535479</v>
      </c>
      <c r="Y83">
        <f>Cancer_doubles_final2[[#This Row],[mlp_test_acc]]</f>
        <v>0.91083916083916083</v>
      </c>
      <c r="Z83">
        <f>Cancer_doubles_final2[[#This Row],[mlp_test_acc2]]</f>
        <v>0.91754079254079257</v>
      </c>
    </row>
    <row r="84" spans="1:26" hidden="1" x14ac:dyDescent="0.25">
      <c r="A84" t="s">
        <v>19</v>
      </c>
      <c r="B84">
        <v>3</v>
      </c>
      <c r="C84">
        <v>2</v>
      </c>
      <c r="D84">
        <v>0</v>
      </c>
      <c r="E84" t="s">
        <v>87</v>
      </c>
      <c r="F84">
        <v>11310</v>
      </c>
      <c r="G84">
        <v>12703804.833333334</v>
      </c>
      <c r="H84">
        <v>0.96561770886182785</v>
      </c>
      <c r="I84">
        <v>0.92453379953379944</v>
      </c>
      <c r="J84">
        <v>4819516.041666667</v>
      </c>
      <c r="K84">
        <v>18185</v>
      </c>
      <c r="L84">
        <v>2</v>
      </c>
      <c r="M84">
        <v>87</v>
      </c>
      <c r="N84">
        <v>0.92977855477855487</v>
      </c>
      <c r="O84">
        <v>5935488.958333334</v>
      </c>
      <c r="P84">
        <v>18570</v>
      </c>
      <c r="Q84">
        <v>2</v>
      </c>
      <c r="R84">
        <v>88</v>
      </c>
      <c r="S84" t="s">
        <v>88</v>
      </c>
      <c r="W84">
        <f>Cancer_doubles_final2[[#This Row],[mlp_params]]</f>
        <v>18185</v>
      </c>
      <c r="X84">
        <f>Cancer_doubles_final2[[#This Row],[kan_test_acc]]</f>
        <v>0.96561770886182785</v>
      </c>
      <c r="Y84">
        <f>Cancer_doubles_final2[[#This Row],[mlp_test_acc]]</f>
        <v>0.92453379953379944</v>
      </c>
      <c r="Z84">
        <f>Cancer_doubles_final2[[#This Row],[mlp_test_acc2]]</f>
        <v>0.92977855477855487</v>
      </c>
    </row>
    <row r="85" spans="1:26" hidden="1" x14ac:dyDescent="0.25">
      <c r="A85" t="s">
        <v>19</v>
      </c>
      <c r="B85">
        <v>9</v>
      </c>
      <c r="C85">
        <v>3</v>
      </c>
      <c r="D85">
        <v>0</v>
      </c>
      <c r="E85" t="s">
        <v>20</v>
      </c>
      <c r="F85">
        <v>11546</v>
      </c>
      <c r="G85">
        <v>18342154.944444444</v>
      </c>
      <c r="H85">
        <v>0.94638693994945944</v>
      </c>
      <c r="I85">
        <v>0.93181818181818188</v>
      </c>
      <c r="J85">
        <v>6590429.055555556</v>
      </c>
      <c r="K85">
        <v>16685</v>
      </c>
      <c r="L85">
        <v>2</v>
      </c>
      <c r="M85">
        <v>83</v>
      </c>
      <c r="N85">
        <v>0.93550893550893555</v>
      </c>
      <c r="O85">
        <v>5914595.277777778</v>
      </c>
      <c r="P85">
        <v>17054</v>
      </c>
      <c r="Q85">
        <v>2</v>
      </c>
      <c r="R85">
        <v>84</v>
      </c>
      <c r="S85" t="s">
        <v>89</v>
      </c>
      <c r="W85">
        <f>Cancer_doubles_final2[[#This Row],[mlp_params]]</f>
        <v>16685</v>
      </c>
      <c r="X85">
        <f>Cancer_doubles_final2[[#This Row],[kan_test_acc]]</f>
        <v>0.94638693994945944</v>
      </c>
      <c r="Y85">
        <f>Cancer_doubles_final2[[#This Row],[mlp_test_acc]]</f>
        <v>0.93181818181818188</v>
      </c>
      <c r="Z85">
        <f>Cancer_doubles_final2[[#This Row],[mlp_test_acc2]]</f>
        <v>0.93550893550893555</v>
      </c>
    </row>
    <row r="86" spans="1:26" hidden="1" x14ac:dyDescent="0.25">
      <c r="A86" t="s">
        <v>19</v>
      </c>
      <c r="B86">
        <v>5</v>
      </c>
      <c r="C86">
        <v>4</v>
      </c>
      <c r="D86">
        <v>0</v>
      </c>
      <c r="E86" t="s">
        <v>34</v>
      </c>
      <c r="F86">
        <v>11552</v>
      </c>
      <c r="G86">
        <v>22055453.083333332</v>
      </c>
      <c r="H86">
        <v>0.93686869574917686</v>
      </c>
      <c r="I86">
        <v>0.92171717171717171</v>
      </c>
      <c r="J86">
        <v>7060675.861111111</v>
      </c>
      <c r="K86">
        <v>20150</v>
      </c>
      <c r="L86">
        <v>2</v>
      </c>
      <c r="M86">
        <v>92</v>
      </c>
      <c r="N86">
        <v>0.92365967365967361</v>
      </c>
      <c r="O86">
        <v>7656707.527777778</v>
      </c>
      <c r="P86">
        <v>20555</v>
      </c>
      <c r="Q86">
        <v>2</v>
      </c>
      <c r="R86">
        <v>93</v>
      </c>
      <c r="S86" t="s">
        <v>90</v>
      </c>
      <c r="W86">
        <f>Cancer_doubles_final2[[#This Row],[mlp_params]]</f>
        <v>20150</v>
      </c>
      <c r="X86">
        <f>Cancer_doubles_final2[[#This Row],[kan_test_acc]]</f>
        <v>0.93686869574917686</v>
      </c>
      <c r="Y86">
        <f>Cancer_doubles_final2[[#This Row],[mlp_test_acc]]</f>
        <v>0.92171717171717171</v>
      </c>
      <c r="Z86">
        <f>Cancer_doubles_final2[[#This Row],[mlp_test_acc2]]</f>
        <v>0.92365967365967361</v>
      </c>
    </row>
    <row r="87" spans="1:26" hidden="1" x14ac:dyDescent="0.25">
      <c r="A87" t="s">
        <v>19</v>
      </c>
      <c r="B87">
        <v>3</v>
      </c>
      <c r="C87">
        <v>4</v>
      </c>
      <c r="D87">
        <v>0</v>
      </c>
      <c r="E87" t="s">
        <v>56</v>
      </c>
      <c r="F87">
        <v>11558</v>
      </c>
      <c r="G87">
        <v>16340153.916666666</v>
      </c>
      <c r="H87">
        <v>0.96270396312077833</v>
      </c>
      <c r="I87">
        <v>0.93254662004662003</v>
      </c>
      <c r="J87">
        <v>8650927.354166666</v>
      </c>
      <c r="K87">
        <v>21794</v>
      </c>
      <c r="L87">
        <v>2</v>
      </c>
      <c r="M87">
        <v>96</v>
      </c>
      <c r="N87">
        <v>0.92715617715617715</v>
      </c>
      <c r="O87">
        <v>8626942.7708333321</v>
      </c>
      <c r="P87">
        <v>22215</v>
      </c>
      <c r="Q87">
        <v>2</v>
      </c>
      <c r="R87">
        <v>97</v>
      </c>
      <c r="S87" t="s">
        <v>91</v>
      </c>
      <c r="W87">
        <f>Cancer_doubles_final2[[#This Row],[mlp_params]]</f>
        <v>21794</v>
      </c>
      <c r="X87">
        <f>Cancer_doubles_final2[[#This Row],[kan_test_acc]]</f>
        <v>0.96270396312077833</v>
      </c>
      <c r="Y87">
        <f>Cancer_doubles_final2[[#This Row],[mlp_test_acc]]</f>
        <v>0.93254662004662003</v>
      </c>
      <c r="Z87">
        <f>Cancer_doubles_final2[[#This Row],[mlp_test_acc2]]</f>
        <v>0.92715617715617715</v>
      </c>
    </row>
    <row r="88" spans="1:26" hidden="1" x14ac:dyDescent="0.25">
      <c r="A88" t="s">
        <v>19</v>
      </c>
      <c r="B88">
        <v>5</v>
      </c>
      <c r="C88">
        <v>2</v>
      </c>
      <c r="D88">
        <v>0</v>
      </c>
      <c r="E88" t="s">
        <v>56</v>
      </c>
      <c r="F88">
        <v>11558</v>
      </c>
      <c r="G88">
        <v>15782342.458333334</v>
      </c>
      <c r="H88">
        <v>0.98280885318915046</v>
      </c>
      <c r="I88">
        <v>0.94463869463869465</v>
      </c>
      <c r="J88">
        <v>4674873.666666667</v>
      </c>
      <c r="K88">
        <v>17054</v>
      </c>
      <c r="L88">
        <v>2</v>
      </c>
      <c r="M88">
        <v>84</v>
      </c>
      <c r="N88">
        <v>0.94201631701631694</v>
      </c>
      <c r="O88">
        <v>5200969.875</v>
      </c>
      <c r="P88">
        <v>17427</v>
      </c>
      <c r="Q88">
        <v>2</v>
      </c>
      <c r="R88">
        <v>85</v>
      </c>
      <c r="S88" t="s">
        <v>92</v>
      </c>
      <c r="W88">
        <f>Cancer_doubles_final2[[#This Row],[mlp_params]]</f>
        <v>17054</v>
      </c>
      <c r="X88">
        <f>Cancer_doubles_final2[[#This Row],[kan_test_acc]]</f>
        <v>0.98280885318915046</v>
      </c>
      <c r="Y88">
        <f>Cancer_doubles_final2[[#This Row],[mlp_test_acc]]</f>
        <v>0.94463869463869465</v>
      </c>
      <c r="Z88">
        <f>Cancer_doubles_final2[[#This Row],[mlp_test_acc2]]</f>
        <v>0.94201631701631694</v>
      </c>
    </row>
    <row r="89" spans="1:26" hidden="1" x14ac:dyDescent="0.25">
      <c r="A89" t="s">
        <v>19</v>
      </c>
      <c r="B89">
        <v>3</v>
      </c>
      <c r="C89">
        <v>4</v>
      </c>
      <c r="D89">
        <v>0</v>
      </c>
      <c r="E89" t="s">
        <v>56</v>
      </c>
      <c r="F89">
        <v>11558</v>
      </c>
      <c r="G89">
        <v>16779014.958333336</v>
      </c>
      <c r="H89">
        <v>0.9813519765933354</v>
      </c>
      <c r="I89">
        <v>0.93152680652680653</v>
      </c>
      <c r="J89">
        <v>5025643.791666667</v>
      </c>
      <c r="K89">
        <v>21794</v>
      </c>
      <c r="L89">
        <v>2</v>
      </c>
      <c r="M89">
        <v>96</v>
      </c>
      <c r="N89">
        <v>0.93269230769230771</v>
      </c>
      <c r="O89">
        <v>5286208.25</v>
      </c>
      <c r="P89">
        <v>22215</v>
      </c>
      <c r="Q89">
        <v>2</v>
      </c>
      <c r="R89">
        <v>97</v>
      </c>
      <c r="S89" t="s">
        <v>91</v>
      </c>
      <c r="W89">
        <f>Cancer_doubles_final2[[#This Row],[mlp_params]]</f>
        <v>21794</v>
      </c>
      <c r="X89">
        <f>Cancer_doubles_final2[[#This Row],[kan_test_acc]]</f>
        <v>0.9813519765933354</v>
      </c>
      <c r="Y89">
        <f>Cancer_doubles_final2[[#This Row],[mlp_test_acc]]</f>
        <v>0.93152680652680653</v>
      </c>
      <c r="Z89">
        <f>Cancer_doubles_final2[[#This Row],[mlp_test_acc2]]</f>
        <v>0.93269230769230771</v>
      </c>
    </row>
    <row r="90" spans="1:26" hidden="1" x14ac:dyDescent="0.25">
      <c r="A90" t="s">
        <v>19</v>
      </c>
      <c r="B90">
        <v>5</v>
      </c>
      <c r="C90">
        <v>2</v>
      </c>
      <c r="D90">
        <v>0</v>
      </c>
      <c r="E90" t="s">
        <v>56</v>
      </c>
      <c r="F90">
        <v>11558</v>
      </c>
      <c r="G90">
        <v>19033153.666666668</v>
      </c>
      <c r="H90">
        <v>0.97465033829212189</v>
      </c>
      <c r="I90">
        <v>0.9332750582750583</v>
      </c>
      <c r="J90">
        <v>6295196.166666666</v>
      </c>
      <c r="K90">
        <v>17054</v>
      </c>
      <c r="L90">
        <v>2</v>
      </c>
      <c r="M90">
        <v>84</v>
      </c>
      <c r="N90">
        <v>0.93444055944055948</v>
      </c>
      <c r="O90">
        <v>6533797.583333334</v>
      </c>
      <c r="P90">
        <v>17427</v>
      </c>
      <c r="Q90">
        <v>2</v>
      </c>
      <c r="R90">
        <v>85</v>
      </c>
      <c r="S90" t="s">
        <v>92</v>
      </c>
      <c r="W90">
        <f>Cancer_doubles_final2[[#This Row],[mlp_params]]</f>
        <v>17054</v>
      </c>
      <c r="X90">
        <f>Cancer_doubles_final2[[#This Row],[kan_test_acc]]</f>
        <v>0.97465033829212189</v>
      </c>
      <c r="Y90">
        <f>Cancer_doubles_final2[[#This Row],[mlp_test_acc]]</f>
        <v>0.9332750582750583</v>
      </c>
      <c r="Z90">
        <f>Cancer_doubles_final2[[#This Row],[mlp_test_acc2]]</f>
        <v>0.93444055944055948</v>
      </c>
    </row>
    <row r="91" spans="1:26" hidden="1" x14ac:dyDescent="0.25">
      <c r="A91" t="s">
        <v>19</v>
      </c>
      <c r="B91">
        <v>3</v>
      </c>
      <c r="C91">
        <v>3</v>
      </c>
      <c r="D91">
        <v>0</v>
      </c>
      <c r="E91" t="s">
        <v>70</v>
      </c>
      <c r="F91">
        <v>11562</v>
      </c>
      <c r="G91">
        <v>18626299.291666668</v>
      </c>
      <c r="H91">
        <v>0.97231933722893404</v>
      </c>
      <c r="I91">
        <v>0.94493006993007</v>
      </c>
      <c r="J91">
        <v>6336784.458333334</v>
      </c>
      <c r="K91">
        <v>20150</v>
      </c>
      <c r="L91">
        <v>2</v>
      </c>
      <c r="M91">
        <v>92</v>
      </c>
      <c r="N91">
        <v>0.94551282051282048</v>
      </c>
      <c r="O91">
        <v>5755643.333333334</v>
      </c>
      <c r="P91">
        <v>20555</v>
      </c>
      <c r="Q91">
        <v>2</v>
      </c>
      <c r="R91">
        <v>93</v>
      </c>
      <c r="S91" t="s">
        <v>93</v>
      </c>
      <c r="W91">
        <f>Cancer_doubles_final2[[#This Row],[mlp_params]]</f>
        <v>20150</v>
      </c>
      <c r="X91">
        <f>Cancer_doubles_final2[[#This Row],[kan_test_acc]]</f>
        <v>0.97231933722893404</v>
      </c>
      <c r="Y91">
        <f>Cancer_doubles_final2[[#This Row],[mlp_test_acc]]</f>
        <v>0.94493006993007</v>
      </c>
      <c r="Z91">
        <f>Cancer_doubles_final2[[#This Row],[mlp_test_acc2]]</f>
        <v>0.94551282051282048</v>
      </c>
    </row>
    <row r="92" spans="1:26" hidden="1" x14ac:dyDescent="0.25">
      <c r="A92" t="s">
        <v>19</v>
      </c>
      <c r="B92">
        <v>9</v>
      </c>
      <c r="C92">
        <v>2</v>
      </c>
      <c r="D92">
        <v>0</v>
      </c>
      <c r="E92" t="s">
        <v>24</v>
      </c>
      <c r="F92">
        <v>11676</v>
      </c>
      <c r="G92">
        <v>13949875.583333334</v>
      </c>
      <c r="H92">
        <v>0.95512820118003428</v>
      </c>
      <c r="I92">
        <v>0.93531468531468531</v>
      </c>
      <c r="J92">
        <v>7252247.944444444</v>
      </c>
      <c r="K92">
        <v>15602</v>
      </c>
      <c r="L92">
        <v>2</v>
      </c>
      <c r="M92">
        <v>80</v>
      </c>
      <c r="N92">
        <v>0.93337218337218342</v>
      </c>
      <c r="O92">
        <v>6486691.277777778</v>
      </c>
      <c r="P92">
        <v>15959</v>
      </c>
      <c r="Q92">
        <v>2</v>
      </c>
      <c r="R92">
        <v>81</v>
      </c>
      <c r="S92" t="s">
        <v>94</v>
      </c>
      <c r="W92">
        <f>Cancer_doubles_final2[[#This Row],[mlp_params]]</f>
        <v>15602</v>
      </c>
      <c r="X92">
        <f>Cancer_doubles_final2[[#This Row],[kan_test_acc]]</f>
        <v>0.95512820118003428</v>
      </c>
      <c r="Y92">
        <f>Cancer_doubles_final2[[#This Row],[mlp_test_acc]]</f>
        <v>0.93531468531468531</v>
      </c>
      <c r="Z92">
        <f>Cancer_doubles_final2[[#This Row],[mlp_test_acc2]]</f>
        <v>0.93337218337218342</v>
      </c>
    </row>
    <row r="93" spans="1:26" hidden="1" x14ac:dyDescent="0.25">
      <c r="A93" t="s">
        <v>19</v>
      </c>
      <c r="B93">
        <v>5</v>
      </c>
      <c r="C93">
        <v>5</v>
      </c>
      <c r="D93">
        <v>0</v>
      </c>
      <c r="E93" t="s">
        <v>29</v>
      </c>
      <c r="F93">
        <v>11678</v>
      </c>
      <c r="G93">
        <v>11900564.027777778</v>
      </c>
      <c r="H93">
        <v>0.93861693143844604</v>
      </c>
      <c r="I93">
        <v>0.91666666666666674</v>
      </c>
      <c r="J93">
        <v>5417954.083333333</v>
      </c>
      <c r="K93">
        <v>21377</v>
      </c>
      <c r="L93">
        <v>2</v>
      </c>
      <c r="M93">
        <v>95</v>
      </c>
      <c r="N93">
        <v>0.91452991452991461</v>
      </c>
      <c r="O93">
        <v>4916384.138888889</v>
      </c>
      <c r="P93">
        <v>21794</v>
      </c>
      <c r="Q93">
        <v>2</v>
      </c>
      <c r="R93">
        <v>96</v>
      </c>
      <c r="S93" t="s">
        <v>95</v>
      </c>
      <c r="W93">
        <f>Cancer_doubles_final2[[#This Row],[mlp_params]]</f>
        <v>21377</v>
      </c>
      <c r="X93">
        <f>Cancer_doubles_final2[[#This Row],[kan_test_acc]]</f>
        <v>0.93861693143844604</v>
      </c>
      <c r="Y93">
        <f>Cancer_doubles_final2[[#This Row],[mlp_test_acc]]</f>
        <v>0.91666666666666674</v>
      </c>
      <c r="Z93">
        <f>Cancer_doubles_final2[[#This Row],[mlp_test_acc2]]</f>
        <v>0.91452991452991461</v>
      </c>
    </row>
    <row r="94" spans="1:26" hidden="1" x14ac:dyDescent="0.25">
      <c r="A94" t="s">
        <v>19</v>
      </c>
      <c r="B94">
        <v>3</v>
      </c>
      <c r="C94">
        <v>2</v>
      </c>
      <c r="D94">
        <v>0</v>
      </c>
      <c r="E94" t="s">
        <v>96</v>
      </c>
      <c r="F94">
        <v>11824</v>
      </c>
      <c r="G94">
        <v>17900477.361111112</v>
      </c>
      <c r="H94">
        <v>0.9597901983393563</v>
      </c>
      <c r="I94">
        <v>0.94405594405594406</v>
      </c>
      <c r="J94">
        <v>8669802.972222222</v>
      </c>
      <c r="K94">
        <v>18959</v>
      </c>
      <c r="L94">
        <v>2</v>
      </c>
      <c r="M94">
        <v>89</v>
      </c>
      <c r="N94">
        <v>0.93919968919968921</v>
      </c>
      <c r="O94">
        <v>7762696.194444445</v>
      </c>
      <c r="P94">
        <v>19352</v>
      </c>
      <c r="Q94">
        <v>2</v>
      </c>
      <c r="R94">
        <v>90</v>
      </c>
      <c r="S94" t="s">
        <v>97</v>
      </c>
      <c r="W94">
        <f>Cancer_doubles_final2[[#This Row],[mlp_params]]</f>
        <v>18959</v>
      </c>
      <c r="X94">
        <f>Cancer_doubles_final2[[#This Row],[kan_test_acc]]</f>
        <v>0.9597901983393563</v>
      </c>
      <c r="Y94">
        <f>Cancer_doubles_final2[[#This Row],[mlp_test_acc]]</f>
        <v>0.94405594405594406</v>
      </c>
      <c r="Z94">
        <f>Cancer_doubles_final2[[#This Row],[mlp_test_acc2]]</f>
        <v>0.93919968919968921</v>
      </c>
    </row>
    <row r="95" spans="1:26" hidden="1" x14ac:dyDescent="0.25">
      <c r="A95" t="s">
        <v>19</v>
      </c>
      <c r="B95">
        <v>9</v>
      </c>
      <c r="C95">
        <v>5</v>
      </c>
      <c r="D95">
        <v>0</v>
      </c>
      <c r="E95" t="s">
        <v>22</v>
      </c>
      <c r="F95">
        <v>11992</v>
      </c>
      <c r="G95">
        <v>31046096.472222224</v>
      </c>
      <c r="H95">
        <v>0.94677543971273637</v>
      </c>
      <c r="I95">
        <v>0.94580419580419584</v>
      </c>
      <c r="J95">
        <v>11829292.722222222</v>
      </c>
      <c r="K95">
        <v>19352</v>
      </c>
      <c r="L95">
        <v>2</v>
      </c>
      <c r="M95">
        <v>90</v>
      </c>
      <c r="N95">
        <v>0.94522144522144524</v>
      </c>
      <c r="O95">
        <v>10655418.583333332</v>
      </c>
      <c r="P95">
        <v>19749</v>
      </c>
      <c r="Q95">
        <v>2</v>
      </c>
      <c r="R95">
        <v>91</v>
      </c>
      <c r="S95" t="s">
        <v>98</v>
      </c>
      <c r="W95">
        <f>Cancer_doubles_final2[[#This Row],[mlp_params]]</f>
        <v>19352</v>
      </c>
      <c r="X95">
        <f>Cancer_doubles_final2[[#This Row],[kan_test_acc]]</f>
        <v>0.94677543971273637</v>
      </c>
      <c r="Y95">
        <f>Cancer_doubles_final2[[#This Row],[mlp_test_acc]]</f>
        <v>0.94580419580419584</v>
      </c>
      <c r="Z95">
        <f>Cancer_doubles_final2[[#This Row],[mlp_test_acc2]]</f>
        <v>0.94522144522144524</v>
      </c>
    </row>
    <row r="96" spans="1:26" x14ac:dyDescent="0.25">
      <c r="A96" t="s">
        <v>19</v>
      </c>
      <c r="B96">
        <v>3</v>
      </c>
      <c r="C96">
        <v>5</v>
      </c>
      <c r="D96">
        <v>0</v>
      </c>
      <c r="E96" t="s">
        <v>47</v>
      </c>
      <c r="F96">
        <v>12004</v>
      </c>
      <c r="G96">
        <v>39692286.666666664</v>
      </c>
      <c r="H96">
        <v>0.95629370957612991</v>
      </c>
      <c r="I96">
        <v>0.9481351981351982</v>
      </c>
      <c r="J96">
        <v>12337624.125</v>
      </c>
      <c r="K96">
        <v>23939</v>
      </c>
      <c r="L96">
        <v>2</v>
      </c>
      <c r="M96">
        <v>101</v>
      </c>
      <c r="N96">
        <v>0.94318181818181812</v>
      </c>
      <c r="O96">
        <v>12316609.5</v>
      </c>
      <c r="P96">
        <v>24380</v>
      </c>
      <c r="Q96">
        <v>2</v>
      </c>
      <c r="R96">
        <v>102</v>
      </c>
      <c r="S96" t="s">
        <v>99</v>
      </c>
      <c r="W96">
        <f>Cancer_doubles_final2[[#This Row],[mlp_params]]</f>
        <v>23939</v>
      </c>
      <c r="X96">
        <f>Cancer_doubles_final2[[#This Row],[kan_test_acc]]</f>
        <v>0.95629370957612991</v>
      </c>
      <c r="Y96">
        <f>Cancer_doubles_final2[[#This Row],[mlp_test_acc]]</f>
        <v>0.9481351981351982</v>
      </c>
      <c r="Z96">
        <f>Cancer_doubles_final2[[#This Row],[mlp_test_acc2]]</f>
        <v>0.94318181818181812</v>
      </c>
    </row>
    <row r="97" spans="1:26" hidden="1" x14ac:dyDescent="0.25">
      <c r="A97" t="s">
        <v>19</v>
      </c>
      <c r="B97">
        <v>5</v>
      </c>
      <c r="C97">
        <v>3</v>
      </c>
      <c r="D97">
        <v>0</v>
      </c>
      <c r="E97" t="s">
        <v>47</v>
      </c>
      <c r="F97">
        <v>12004</v>
      </c>
      <c r="G97">
        <v>17890635.125</v>
      </c>
      <c r="H97">
        <v>0.97144522766272234</v>
      </c>
      <c r="I97">
        <v>0.94230769230769229</v>
      </c>
      <c r="J97">
        <v>6841299.791666666</v>
      </c>
      <c r="K97">
        <v>19352</v>
      </c>
      <c r="L97">
        <v>2</v>
      </c>
      <c r="M97">
        <v>90</v>
      </c>
      <c r="N97">
        <v>0.93618881118881125</v>
      </c>
      <c r="O97">
        <v>7688039.5</v>
      </c>
      <c r="P97">
        <v>19749</v>
      </c>
      <c r="Q97">
        <v>2</v>
      </c>
      <c r="R97">
        <v>91</v>
      </c>
      <c r="S97" t="s">
        <v>100</v>
      </c>
      <c r="W97">
        <f>Cancer_doubles_final2[[#This Row],[mlp_params]]</f>
        <v>19352</v>
      </c>
      <c r="X97">
        <f>Cancer_doubles_final2[[#This Row],[kan_test_acc]]</f>
        <v>0.97144522766272234</v>
      </c>
      <c r="Y97">
        <f>Cancer_doubles_final2[[#This Row],[mlp_test_acc]]</f>
        <v>0.94230769230769229</v>
      </c>
      <c r="Z97">
        <f>Cancer_doubles_final2[[#This Row],[mlp_test_acc2]]</f>
        <v>0.93618881118881125</v>
      </c>
    </row>
    <row r="98" spans="1:26" x14ac:dyDescent="0.25">
      <c r="A98" t="s">
        <v>19</v>
      </c>
      <c r="B98">
        <v>3</v>
      </c>
      <c r="C98">
        <v>5</v>
      </c>
      <c r="D98">
        <v>0</v>
      </c>
      <c r="E98" t="s">
        <v>47</v>
      </c>
      <c r="F98">
        <v>12004</v>
      </c>
      <c r="G98">
        <v>17588641.791666664</v>
      </c>
      <c r="H98">
        <v>0.96532633403937029</v>
      </c>
      <c r="I98">
        <v>0.93210955710955723</v>
      </c>
      <c r="J98">
        <v>7036003.125</v>
      </c>
      <c r="K98">
        <v>23939</v>
      </c>
      <c r="L98">
        <v>2</v>
      </c>
      <c r="M98">
        <v>101</v>
      </c>
      <c r="N98">
        <v>0.9306526806526807</v>
      </c>
      <c r="O98">
        <v>8022159.6250000009</v>
      </c>
      <c r="P98">
        <v>24380</v>
      </c>
      <c r="Q98">
        <v>2</v>
      </c>
      <c r="R98">
        <v>102</v>
      </c>
      <c r="S98" t="s">
        <v>99</v>
      </c>
      <c r="W98">
        <f>Cancer_doubles_final2[[#This Row],[mlp_params]]</f>
        <v>23939</v>
      </c>
      <c r="X98">
        <f>Cancer_doubles_final2[[#This Row],[kan_test_acc]]</f>
        <v>0.96532633403937029</v>
      </c>
      <c r="Y98">
        <f>Cancer_doubles_final2[[#This Row],[mlp_test_acc]]</f>
        <v>0.93210955710955723</v>
      </c>
      <c r="Z98">
        <f>Cancer_doubles_final2[[#This Row],[mlp_test_acc2]]</f>
        <v>0.9306526806526807</v>
      </c>
    </row>
    <row r="99" spans="1:26" hidden="1" x14ac:dyDescent="0.25">
      <c r="A99" t="s">
        <v>19</v>
      </c>
      <c r="B99">
        <v>5</v>
      </c>
      <c r="C99">
        <v>3</v>
      </c>
      <c r="D99">
        <v>0</v>
      </c>
      <c r="E99" t="s">
        <v>47</v>
      </c>
      <c r="F99">
        <v>12004</v>
      </c>
      <c r="G99">
        <v>15288032.875</v>
      </c>
      <c r="H99">
        <v>0.96182982623577118</v>
      </c>
      <c r="I99">
        <v>0.91200466200466201</v>
      </c>
      <c r="J99">
        <v>6937173.666666666</v>
      </c>
      <c r="K99">
        <v>19352</v>
      </c>
      <c r="L99">
        <v>2</v>
      </c>
      <c r="M99">
        <v>90</v>
      </c>
      <c r="N99">
        <v>0.91083916083916083</v>
      </c>
      <c r="O99">
        <v>8787994.333333334</v>
      </c>
      <c r="P99">
        <v>19749</v>
      </c>
      <c r="Q99">
        <v>2</v>
      </c>
      <c r="R99">
        <v>91</v>
      </c>
      <c r="S99" t="s">
        <v>100</v>
      </c>
      <c r="W99">
        <f>Cancer_doubles_final2[[#This Row],[mlp_params]]</f>
        <v>19352</v>
      </c>
      <c r="X99">
        <f>Cancer_doubles_final2[[#This Row],[kan_test_acc]]</f>
        <v>0.96182982623577118</v>
      </c>
      <c r="Y99">
        <f>Cancer_doubles_final2[[#This Row],[mlp_test_acc]]</f>
        <v>0.91200466200466201</v>
      </c>
      <c r="Z99">
        <f>Cancer_doubles_final2[[#This Row],[mlp_test_acc2]]</f>
        <v>0.91083916083916083</v>
      </c>
    </row>
    <row r="100" spans="1:26" hidden="1" x14ac:dyDescent="0.25">
      <c r="A100" t="s">
        <v>19</v>
      </c>
      <c r="B100">
        <v>3</v>
      </c>
      <c r="C100">
        <v>3</v>
      </c>
      <c r="D100">
        <v>0</v>
      </c>
      <c r="E100" t="s">
        <v>78</v>
      </c>
      <c r="F100">
        <v>12140</v>
      </c>
      <c r="G100">
        <v>14461341.5</v>
      </c>
      <c r="H100">
        <v>0.95833332588275277</v>
      </c>
      <c r="I100">
        <v>0.92511655011655014</v>
      </c>
      <c r="J100">
        <v>7009634.5</v>
      </c>
      <c r="K100">
        <v>21377</v>
      </c>
      <c r="L100">
        <v>2</v>
      </c>
      <c r="M100">
        <v>95</v>
      </c>
      <c r="N100">
        <v>0.92191142191142195</v>
      </c>
      <c r="O100">
        <v>8504798.916666666</v>
      </c>
      <c r="P100">
        <v>21794</v>
      </c>
      <c r="Q100">
        <v>2</v>
      </c>
      <c r="R100">
        <v>96</v>
      </c>
      <c r="S100" t="s">
        <v>101</v>
      </c>
      <c r="W100">
        <f>Cancer_doubles_final2[[#This Row],[mlp_params]]</f>
        <v>21377</v>
      </c>
      <c r="X100">
        <f>Cancer_doubles_final2[[#This Row],[kan_test_acc]]</f>
        <v>0.95833332588275277</v>
      </c>
      <c r="Y100">
        <f>Cancer_doubles_final2[[#This Row],[mlp_test_acc]]</f>
        <v>0.92511655011655014</v>
      </c>
      <c r="Z100">
        <f>Cancer_doubles_final2[[#This Row],[mlp_test_acc2]]</f>
        <v>0.92191142191142195</v>
      </c>
    </row>
    <row r="101" spans="1:26" hidden="1" x14ac:dyDescent="0.25">
      <c r="A101" t="s">
        <v>19</v>
      </c>
      <c r="B101">
        <v>3</v>
      </c>
      <c r="C101">
        <v>4</v>
      </c>
      <c r="D101">
        <v>0</v>
      </c>
      <c r="E101" t="s">
        <v>60</v>
      </c>
      <c r="F101">
        <v>12200</v>
      </c>
      <c r="G101">
        <v>17152884.305555556</v>
      </c>
      <c r="H101">
        <v>0.96756021512879264</v>
      </c>
      <c r="I101">
        <v>0.94794094794094796</v>
      </c>
      <c r="J101">
        <v>8138255.388888889</v>
      </c>
      <c r="K101">
        <v>23069</v>
      </c>
      <c r="L101">
        <v>2</v>
      </c>
      <c r="M101">
        <v>99</v>
      </c>
      <c r="N101">
        <v>0.94619269619269619</v>
      </c>
      <c r="O101">
        <v>8464758.583333334</v>
      </c>
      <c r="P101">
        <v>23502</v>
      </c>
      <c r="Q101">
        <v>2</v>
      </c>
      <c r="R101">
        <v>100</v>
      </c>
      <c r="S101" t="s">
        <v>102</v>
      </c>
      <c r="W101">
        <f>Cancer_doubles_final2[[#This Row],[mlp_params]]</f>
        <v>23069</v>
      </c>
      <c r="X101">
        <f>Cancer_doubles_final2[[#This Row],[kan_test_acc]]</f>
        <v>0.96756021512879264</v>
      </c>
      <c r="Y101">
        <f>Cancer_doubles_final2[[#This Row],[mlp_test_acc]]</f>
        <v>0.94794094794094796</v>
      </c>
      <c r="Z101">
        <f>Cancer_doubles_final2[[#This Row],[mlp_test_acc2]]</f>
        <v>0.94619269619269619</v>
      </c>
    </row>
    <row r="102" spans="1:26" hidden="1" x14ac:dyDescent="0.25">
      <c r="A102" t="s">
        <v>19</v>
      </c>
      <c r="B102">
        <v>5</v>
      </c>
      <c r="C102">
        <v>2</v>
      </c>
      <c r="D102">
        <v>0</v>
      </c>
      <c r="E102" t="s">
        <v>60</v>
      </c>
      <c r="F102">
        <v>12200</v>
      </c>
      <c r="G102">
        <v>17020653.5</v>
      </c>
      <c r="H102">
        <v>0.97785548369089759</v>
      </c>
      <c r="I102">
        <v>0.94551282051282048</v>
      </c>
      <c r="J102">
        <v>4712581.958333333</v>
      </c>
      <c r="K102">
        <v>18185</v>
      </c>
      <c r="L102">
        <v>2</v>
      </c>
      <c r="M102">
        <v>87</v>
      </c>
      <c r="N102">
        <v>0.94405594405594406</v>
      </c>
      <c r="O102">
        <v>6634770.583333334</v>
      </c>
      <c r="P102">
        <v>18570</v>
      </c>
      <c r="Q102">
        <v>2</v>
      </c>
      <c r="R102">
        <v>88</v>
      </c>
      <c r="S102" t="s">
        <v>103</v>
      </c>
      <c r="W102">
        <f>Cancer_doubles_final2[[#This Row],[mlp_params]]</f>
        <v>18185</v>
      </c>
      <c r="X102">
        <f>Cancer_doubles_final2[[#This Row],[kan_test_acc]]</f>
        <v>0.97785548369089759</v>
      </c>
      <c r="Y102">
        <f>Cancer_doubles_final2[[#This Row],[mlp_test_acc]]</f>
        <v>0.94551282051282048</v>
      </c>
      <c r="Z102">
        <f>Cancer_doubles_final2[[#This Row],[mlp_test_acc2]]</f>
        <v>0.94405594405594406</v>
      </c>
    </row>
    <row r="103" spans="1:26" hidden="1" x14ac:dyDescent="0.25">
      <c r="A103" t="s">
        <v>19</v>
      </c>
      <c r="B103">
        <v>3</v>
      </c>
      <c r="C103">
        <v>4</v>
      </c>
      <c r="D103">
        <v>0</v>
      </c>
      <c r="E103" t="s">
        <v>60</v>
      </c>
      <c r="F103">
        <v>12200</v>
      </c>
      <c r="G103">
        <v>16947648.916666664</v>
      </c>
      <c r="H103">
        <v>0.9781468535463016</v>
      </c>
      <c r="I103">
        <v>0.92948717948717952</v>
      </c>
      <c r="J103">
        <v>5229344.166666667</v>
      </c>
      <c r="K103">
        <v>23069</v>
      </c>
      <c r="L103">
        <v>2</v>
      </c>
      <c r="M103">
        <v>99</v>
      </c>
      <c r="N103">
        <v>0.92919580419580416</v>
      </c>
      <c r="O103">
        <v>6551126.125</v>
      </c>
      <c r="P103">
        <v>23502</v>
      </c>
      <c r="Q103">
        <v>2</v>
      </c>
      <c r="R103">
        <v>100</v>
      </c>
      <c r="S103" t="s">
        <v>102</v>
      </c>
      <c r="W103">
        <f>Cancer_doubles_final2[[#This Row],[mlp_params]]</f>
        <v>23069</v>
      </c>
      <c r="X103">
        <f>Cancer_doubles_final2[[#This Row],[kan_test_acc]]</f>
        <v>0.9781468535463016</v>
      </c>
      <c r="Y103">
        <f>Cancer_doubles_final2[[#This Row],[mlp_test_acc]]</f>
        <v>0.92948717948717952</v>
      </c>
      <c r="Z103">
        <f>Cancer_doubles_final2[[#This Row],[mlp_test_acc2]]</f>
        <v>0.92919580419580416</v>
      </c>
    </row>
    <row r="104" spans="1:26" hidden="1" x14ac:dyDescent="0.25">
      <c r="A104" t="s">
        <v>19</v>
      </c>
      <c r="B104">
        <v>5</v>
      </c>
      <c r="C104">
        <v>2</v>
      </c>
      <c r="D104">
        <v>0</v>
      </c>
      <c r="E104" t="s">
        <v>60</v>
      </c>
      <c r="F104">
        <v>12200</v>
      </c>
      <c r="G104">
        <v>17967963.791666664</v>
      </c>
      <c r="H104">
        <v>0.97173658510049177</v>
      </c>
      <c r="I104">
        <v>0.93123543123543118</v>
      </c>
      <c r="J104">
        <v>6454118.625</v>
      </c>
      <c r="K104">
        <v>18185</v>
      </c>
      <c r="L104">
        <v>2</v>
      </c>
      <c r="M104">
        <v>87</v>
      </c>
      <c r="N104">
        <v>0.93152680652680653</v>
      </c>
      <c r="O104">
        <v>7347209.083333334</v>
      </c>
      <c r="P104">
        <v>18570</v>
      </c>
      <c r="Q104">
        <v>2</v>
      </c>
      <c r="R104">
        <v>88</v>
      </c>
      <c r="S104" t="s">
        <v>103</v>
      </c>
      <c r="W104">
        <f>Cancer_doubles_final2[[#This Row],[mlp_params]]</f>
        <v>18185</v>
      </c>
      <c r="X104">
        <f>Cancer_doubles_final2[[#This Row],[kan_test_acc]]</f>
        <v>0.97173658510049177</v>
      </c>
      <c r="Y104">
        <f>Cancer_doubles_final2[[#This Row],[mlp_test_acc]]</f>
        <v>0.93123543123543118</v>
      </c>
      <c r="Z104">
        <f>Cancer_doubles_final2[[#This Row],[mlp_test_acc2]]</f>
        <v>0.93152680652680653</v>
      </c>
    </row>
    <row r="105" spans="1:26" hidden="1" x14ac:dyDescent="0.25">
      <c r="A105" t="s">
        <v>19</v>
      </c>
      <c r="B105">
        <v>9</v>
      </c>
      <c r="C105">
        <v>4</v>
      </c>
      <c r="D105">
        <v>0</v>
      </c>
      <c r="E105" t="s">
        <v>20</v>
      </c>
      <c r="F105">
        <v>12314</v>
      </c>
      <c r="G105">
        <v>26449679.208333332</v>
      </c>
      <c r="H105">
        <v>0.9621212060252825</v>
      </c>
      <c r="I105">
        <v>0.95104895104895104</v>
      </c>
      <c r="J105">
        <v>6961824.458333334</v>
      </c>
      <c r="K105">
        <v>18959</v>
      </c>
      <c r="L105">
        <v>2</v>
      </c>
      <c r="M105">
        <v>89</v>
      </c>
      <c r="N105">
        <v>0.95862470862470861</v>
      </c>
      <c r="O105">
        <v>8910730.3333333321</v>
      </c>
      <c r="P105">
        <v>19352</v>
      </c>
      <c r="Q105">
        <v>2</v>
      </c>
      <c r="R105">
        <v>90</v>
      </c>
      <c r="S105" t="s">
        <v>104</v>
      </c>
      <c r="W105">
        <f>Cancer_doubles_final2[[#This Row],[mlp_params]]</f>
        <v>18959</v>
      </c>
      <c r="X105">
        <f>Cancer_doubles_final2[[#This Row],[kan_test_acc]]</f>
        <v>0.9621212060252825</v>
      </c>
      <c r="Y105">
        <f>Cancer_doubles_final2[[#This Row],[mlp_test_acc]]</f>
        <v>0.95104895104895104</v>
      </c>
      <c r="Z105">
        <f>Cancer_doubles_final2[[#This Row],[mlp_test_acc2]]</f>
        <v>0.95862470862470861</v>
      </c>
    </row>
    <row r="106" spans="1:26" hidden="1" x14ac:dyDescent="0.25">
      <c r="A106" t="s">
        <v>19</v>
      </c>
      <c r="B106">
        <v>5</v>
      </c>
      <c r="C106">
        <v>4</v>
      </c>
      <c r="D106">
        <v>0</v>
      </c>
      <c r="E106" t="s">
        <v>39</v>
      </c>
      <c r="F106">
        <v>12322</v>
      </c>
      <c r="G106">
        <v>24676726.375</v>
      </c>
      <c r="H106">
        <v>0.9670746003588041</v>
      </c>
      <c r="I106">
        <v>0.95104895104895104</v>
      </c>
      <c r="J106">
        <v>8822195.75</v>
      </c>
      <c r="K106">
        <v>21377</v>
      </c>
      <c r="L106">
        <v>2</v>
      </c>
      <c r="M106">
        <v>95</v>
      </c>
      <c r="N106">
        <v>0.96037296037296038</v>
      </c>
      <c r="O106">
        <v>10441162.416666668</v>
      </c>
      <c r="P106">
        <v>21794</v>
      </c>
      <c r="Q106">
        <v>2</v>
      </c>
      <c r="R106">
        <v>96</v>
      </c>
      <c r="S106" t="s">
        <v>105</v>
      </c>
      <c r="W106">
        <f>Cancer_doubles_final2[[#This Row],[mlp_params]]</f>
        <v>21377</v>
      </c>
      <c r="X106">
        <f>Cancer_doubles_final2[[#This Row],[kan_test_acc]]</f>
        <v>0.9670746003588041</v>
      </c>
      <c r="Y106">
        <f>Cancer_doubles_final2[[#This Row],[mlp_test_acc]]</f>
        <v>0.95104895104895104</v>
      </c>
      <c r="Z106">
        <f>Cancer_doubles_final2[[#This Row],[mlp_test_acc2]]</f>
        <v>0.96037296037296038</v>
      </c>
    </row>
    <row r="107" spans="1:26" hidden="1" x14ac:dyDescent="0.25">
      <c r="A107" t="s">
        <v>19</v>
      </c>
      <c r="B107">
        <v>3</v>
      </c>
      <c r="C107">
        <v>2</v>
      </c>
      <c r="D107">
        <v>0</v>
      </c>
      <c r="E107" t="s">
        <v>106</v>
      </c>
      <c r="F107">
        <v>12338</v>
      </c>
      <c r="G107">
        <v>17216794.770833332</v>
      </c>
      <c r="H107">
        <v>0.96518065283695853</v>
      </c>
      <c r="I107">
        <v>0.93327505827505819</v>
      </c>
      <c r="J107">
        <v>8699113.145833334</v>
      </c>
      <c r="K107">
        <v>19749</v>
      </c>
      <c r="L107">
        <v>2</v>
      </c>
      <c r="M107">
        <v>91</v>
      </c>
      <c r="N107">
        <v>0.9306526806526807</v>
      </c>
      <c r="O107">
        <v>8725926.9791666679</v>
      </c>
      <c r="P107">
        <v>20150</v>
      </c>
      <c r="Q107">
        <v>2</v>
      </c>
      <c r="R107">
        <v>92</v>
      </c>
      <c r="S107" t="s">
        <v>107</v>
      </c>
      <c r="W107">
        <f>Cancer_doubles_final2[[#This Row],[mlp_params]]</f>
        <v>19749</v>
      </c>
      <c r="X107">
        <f>Cancer_doubles_final2[[#This Row],[kan_test_acc]]</f>
        <v>0.96518065283695853</v>
      </c>
      <c r="Y107">
        <f>Cancer_doubles_final2[[#This Row],[mlp_test_acc]]</f>
        <v>0.93327505827505819</v>
      </c>
      <c r="Z107">
        <f>Cancer_doubles_final2[[#This Row],[mlp_test_acc2]]</f>
        <v>0.9306526806526807</v>
      </c>
    </row>
    <row r="108" spans="1:26" hidden="1" x14ac:dyDescent="0.25">
      <c r="A108" t="s">
        <v>19</v>
      </c>
      <c r="B108">
        <v>9</v>
      </c>
      <c r="C108">
        <v>3</v>
      </c>
      <c r="D108">
        <v>0</v>
      </c>
      <c r="E108" t="s">
        <v>24</v>
      </c>
      <c r="F108">
        <v>12508</v>
      </c>
      <c r="G108">
        <v>15639374.166666666</v>
      </c>
      <c r="H108">
        <v>0.94696969621711313</v>
      </c>
      <c r="I108">
        <v>0.93881118881118886</v>
      </c>
      <c r="J108">
        <v>7303863.444444444</v>
      </c>
      <c r="K108">
        <v>18185</v>
      </c>
      <c r="L108">
        <v>2</v>
      </c>
      <c r="M108">
        <v>87</v>
      </c>
      <c r="N108">
        <v>0.93492618492618496</v>
      </c>
      <c r="O108">
        <v>7030909.333333334</v>
      </c>
      <c r="P108">
        <v>18570</v>
      </c>
      <c r="Q108">
        <v>2</v>
      </c>
      <c r="R108">
        <v>88</v>
      </c>
      <c r="S108" t="s">
        <v>108</v>
      </c>
      <c r="W108">
        <f>Cancer_doubles_final2[[#This Row],[mlp_params]]</f>
        <v>18185</v>
      </c>
      <c r="X108">
        <f>Cancer_doubles_final2[[#This Row],[kan_test_acc]]</f>
        <v>0.94696969621711313</v>
      </c>
      <c r="Y108">
        <f>Cancer_doubles_final2[[#This Row],[mlp_test_acc]]</f>
        <v>0.93881118881118886</v>
      </c>
      <c r="Z108">
        <f>Cancer_doubles_final2[[#This Row],[mlp_test_acc2]]</f>
        <v>0.93492618492618496</v>
      </c>
    </row>
    <row r="109" spans="1:26" hidden="1" x14ac:dyDescent="0.25">
      <c r="A109" t="s">
        <v>19</v>
      </c>
      <c r="B109">
        <v>5</v>
      </c>
      <c r="C109">
        <v>5</v>
      </c>
      <c r="D109">
        <v>0</v>
      </c>
      <c r="E109" t="s">
        <v>34</v>
      </c>
      <c r="F109">
        <v>12512</v>
      </c>
      <c r="G109">
        <v>14583774.277777778</v>
      </c>
      <c r="H109">
        <v>0.92890442907810211</v>
      </c>
      <c r="I109">
        <v>0.91899766899766899</v>
      </c>
      <c r="J109">
        <v>5751087.444444444</v>
      </c>
      <c r="K109">
        <v>23069</v>
      </c>
      <c r="L109">
        <v>2</v>
      </c>
      <c r="M109">
        <v>99</v>
      </c>
      <c r="N109">
        <v>0.92171717171717171</v>
      </c>
      <c r="O109">
        <v>5577624.277777778</v>
      </c>
      <c r="P109">
        <v>23502</v>
      </c>
      <c r="Q109">
        <v>2</v>
      </c>
      <c r="R109">
        <v>100</v>
      </c>
      <c r="S109" t="s">
        <v>109</v>
      </c>
      <c r="W109">
        <f>Cancer_doubles_final2[[#This Row],[mlp_params]]</f>
        <v>23069</v>
      </c>
      <c r="X109">
        <f>Cancer_doubles_final2[[#This Row],[kan_test_acc]]</f>
        <v>0.92890442907810211</v>
      </c>
      <c r="Y109">
        <f>Cancer_doubles_final2[[#This Row],[mlp_test_acc]]</f>
        <v>0.91899766899766899</v>
      </c>
      <c r="Z109">
        <f>Cancer_doubles_final2[[#This Row],[mlp_test_acc2]]</f>
        <v>0.92171717171717171</v>
      </c>
    </row>
    <row r="110" spans="1:26" hidden="1" x14ac:dyDescent="0.25">
      <c r="A110" t="s">
        <v>19</v>
      </c>
      <c r="B110">
        <v>9</v>
      </c>
      <c r="C110">
        <v>2</v>
      </c>
      <c r="D110">
        <v>0</v>
      </c>
      <c r="E110" t="s">
        <v>29</v>
      </c>
      <c r="F110">
        <v>12574</v>
      </c>
      <c r="G110">
        <v>15307708.888888888</v>
      </c>
      <c r="H110">
        <v>0.9428904371129142</v>
      </c>
      <c r="I110">
        <v>0.93278943278943283</v>
      </c>
      <c r="J110">
        <v>6832394.972222222</v>
      </c>
      <c r="K110">
        <v>16685</v>
      </c>
      <c r="L110">
        <v>2</v>
      </c>
      <c r="M110">
        <v>83</v>
      </c>
      <c r="N110">
        <v>0.92832167832167833</v>
      </c>
      <c r="O110">
        <v>6247666.416666666</v>
      </c>
      <c r="P110">
        <v>17054</v>
      </c>
      <c r="Q110">
        <v>2</v>
      </c>
      <c r="R110">
        <v>84</v>
      </c>
      <c r="S110" t="s">
        <v>110</v>
      </c>
      <c r="W110">
        <f>Cancer_doubles_final2[[#This Row],[mlp_params]]</f>
        <v>16685</v>
      </c>
      <c r="X110">
        <f>Cancer_doubles_final2[[#This Row],[kan_test_acc]]</f>
        <v>0.9428904371129142</v>
      </c>
      <c r="Y110">
        <f>Cancer_doubles_final2[[#This Row],[mlp_test_acc]]</f>
        <v>0.93278943278943283</v>
      </c>
      <c r="Z110">
        <f>Cancer_doubles_final2[[#This Row],[mlp_test_acc2]]</f>
        <v>0.92832167832167833</v>
      </c>
    </row>
    <row r="111" spans="1:26" x14ac:dyDescent="0.25">
      <c r="A111" t="s">
        <v>19</v>
      </c>
      <c r="B111">
        <v>3</v>
      </c>
      <c r="C111">
        <v>5</v>
      </c>
      <c r="D111">
        <v>0</v>
      </c>
      <c r="E111" t="s">
        <v>56</v>
      </c>
      <c r="F111">
        <v>12710</v>
      </c>
      <c r="G111">
        <v>14889546.36111111</v>
      </c>
      <c r="H111">
        <v>0.94658119148678244</v>
      </c>
      <c r="I111">
        <v>0.92191142191142195</v>
      </c>
      <c r="J111">
        <v>5233831.444444445</v>
      </c>
      <c r="K111">
        <v>25274</v>
      </c>
      <c r="L111">
        <v>2</v>
      </c>
      <c r="M111">
        <v>104</v>
      </c>
      <c r="N111">
        <v>0.91996891996891994</v>
      </c>
      <c r="O111">
        <v>4856044.861111111</v>
      </c>
      <c r="P111">
        <v>25727</v>
      </c>
      <c r="Q111">
        <v>2</v>
      </c>
      <c r="R111">
        <v>105</v>
      </c>
      <c r="S111" t="s">
        <v>111</v>
      </c>
      <c r="W111">
        <f>Cancer_doubles_final2[[#This Row],[mlp_params]]</f>
        <v>25274</v>
      </c>
      <c r="X111">
        <f>Cancer_doubles_final2[[#This Row],[kan_test_acc]]</f>
        <v>0.94658119148678244</v>
      </c>
      <c r="Y111">
        <f>Cancer_doubles_final2[[#This Row],[mlp_test_acc]]</f>
        <v>0.92191142191142195</v>
      </c>
      <c r="Z111">
        <f>Cancer_doubles_final2[[#This Row],[mlp_test_acc2]]</f>
        <v>0.91996891996891994</v>
      </c>
    </row>
    <row r="112" spans="1:26" hidden="1" x14ac:dyDescent="0.25">
      <c r="A112" t="s">
        <v>19</v>
      </c>
      <c r="B112">
        <v>5</v>
      </c>
      <c r="C112">
        <v>3</v>
      </c>
      <c r="D112">
        <v>0</v>
      </c>
      <c r="E112" t="s">
        <v>56</v>
      </c>
      <c r="F112">
        <v>12710</v>
      </c>
      <c r="G112">
        <v>19909544.625</v>
      </c>
      <c r="H112">
        <v>0.97086247305075335</v>
      </c>
      <c r="I112">
        <v>0.93939393939393945</v>
      </c>
      <c r="J112">
        <v>8354770.458333334</v>
      </c>
      <c r="K112">
        <v>20555</v>
      </c>
      <c r="L112">
        <v>2</v>
      </c>
      <c r="M112">
        <v>93</v>
      </c>
      <c r="N112">
        <v>0.93851981351981362</v>
      </c>
      <c r="O112">
        <v>8421960.416666666</v>
      </c>
      <c r="P112">
        <v>20964</v>
      </c>
      <c r="Q112">
        <v>2</v>
      </c>
      <c r="R112">
        <v>94</v>
      </c>
      <c r="S112" t="s">
        <v>112</v>
      </c>
      <c r="W112">
        <f>Cancer_doubles_final2[[#This Row],[mlp_params]]</f>
        <v>20555</v>
      </c>
      <c r="X112">
        <f>Cancer_doubles_final2[[#This Row],[kan_test_acc]]</f>
        <v>0.97086247305075335</v>
      </c>
      <c r="Y112">
        <f>Cancer_doubles_final2[[#This Row],[mlp_test_acc]]</f>
        <v>0.93939393939393945</v>
      </c>
      <c r="Z112">
        <f>Cancer_doubles_final2[[#This Row],[mlp_test_acc2]]</f>
        <v>0.93851981351981362</v>
      </c>
    </row>
    <row r="113" spans="1:26" x14ac:dyDescent="0.25">
      <c r="A113" t="s">
        <v>19</v>
      </c>
      <c r="B113">
        <v>3</v>
      </c>
      <c r="C113">
        <v>5</v>
      </c>
      <c r="D113">
        <v>0</v>
      </c>
      <c r="E113" t="s">
        <v>56</v>
      </c>
      <c r="F113">
        <v>12710</v>
      </c>
      <c r="G113">
        <v>19409648.375</v>
      </c>
      <c r="H113">
        <v>0.96503495921691262</v>
      </c>
      <c r="I113">
        <v>0.93152680652680653</v>
      </c>
      <c r="J113">
        <v>8586697.625</v>
      </c>
      <c r="K113">
        <v>25274</v>
      </c>
      <c r="L113">
        <v>2</v>
      </c>
      <c r="M113">
        <v>104</v>
      </c>
      <c r="N113">
        <v>0.92861305361305368</v>
      </c>
      <c r="O113">
        <v>8718891.9583333321</v>
      </c>
      <c r="P113">
        <v>25727</v>
      </c>
      <c r="Q113">
        <v>2</v>
      </c>
      <c r="R113">
        <v>105</v>
      </c>
      <c r="S113" t="s">
        <v>111</v>
      </c>
      <c r="W113">
        <f>Cancer_doubles_final2[[#This Row],[mlp_params]]</f>
        <v>25274</v>
      </c>
      <c r="X113">
        <f>Cancer_doubles_final2[[#This Row],[kan_test_acc]]</f>
        <v>0.96503495921691262</v>
      </c>
      <c r="Y113">
        <f>Cancer_doubles_final2[[#This Row],[mlp_test_acc]]</f>
        <v>0.93152680652680653</v>
      </c>
      <c r="Z113">
        <f>Cancer_doubles_final2[[#This Row],[mlp_test_acc2]]</f>
        <v>0.92861305361305368</v>
      </c>
    </row>
    <row r="114" spans="1:26" hidden="1" x14ac:dyDescent="0.25">
      <c r="A114" t="s">
        <v>19</v>
      </c>
      <c r="B114">
        <v>5</v>
      </c>
      <c r="C114">
        <v>3</v>
      </c>
      <c r="D114">
        <v>0</v>
      </c>
      <c r="E114" t="s">
        <v>56</v>
      </c>
      <c r="F114">
        <v>12710</v>
      </c>
      <c r="G114">
        <v>17747305.125</v>
      </c>
      <c r="H114">
        <v>0.95221444219350815</v>
      </c>
      <c r="I114">
        <v>0.91404428904428903</v>
      </c>
      <c r="J114">
        <v>8096459.958333333</v>
      </c>
      <c r="K114">
        <v>20555</v>
      </c>
      <c r="L114">
        <v>2</v>
      </c>
      <c r="M114">
        <v>93</v>
      </c>
      <c r="N114">
        <v>0.90821678321678323</v>
      </c>
      <c r="O114">
        <v>8701039.666666666</v>
      </c>
      <c r="P114">
        <v>20964</v>
      </c>
      <c r="Q114">
        <v>2</v>
      </c>
      <c r="R114">
        <v>94</v>
      </c>
      <c r="S114" t="s">
        <v>112</v>
      </c>
      <c r="W114">
        <f>Cancer_doubles_final2[[#This Row],[mlp_params]]</f>
        <v>20555</v>
      </c>
      <c r="X114">
        <f>Cancer_doubles_final2[[#This Row],[kan_test_acc]]</f>
        <v>0.95221444219350815</v>
      </c>
      <c r="Y114">
        <f>Cancer_doubles_final2[[#This Row],[mlp_test_acc]]</f>
        <v>0.91404428904428903</v>
      </c>
      <c r="Z114">
        <f>Cancer_doubles_final2[[#This Row],[mlp_test_acc2]]</f>
        <v>0.90821678321678323</v>
      </c>
    </row>
    <row r="115" spans="1:26" hidden="1" x14ac:dyDescent="0.25">
      <c r="A115" t="s">
        <v>19</v>
      </c>
      <c r="B115">
        <v>3</v>
      </c>
      <c r="C115">
        <v>3</v>
      </c>
      <c r="D115">
        <v>0</v>
      </c>
      <c r="E115" t="s">
        <v>87</v>
      </c>
      <c r="F115">
        <v>12718</v>
      </c>
      <c r="G115">
        <v>16053442.75</v>
      </c>
      <c r="H115">
        <v>0.95279718935489655</v>
      </c>
      <c r="I115">
        <v>0.92628205128205132</v>
      </c>
      <c r="J115">
        <v>7547359.083333334</v>
      </c>
      <c r="K115">
        <v>22215</v>
      </c>
      <c r="L115">
        <v>2</v>
      </c>
      <c r="M115">
        <v>97</v>
      </c>
      <c r="N115">
        <v>0.92016317016317017</v>
      </c>
      <c r="O115">
        <v>8676092.2083333321</v>
      </c>
      <c r="P115">
        <v>22640</v>
      </c>
      <c r="Q115">
        <v>2</v>
      </c>
      <c r="R115">
        <v>98</v>
      </c>
      <c r="S115" t="s">
        <v>113</v>
      </c>
      <c r="W115">
        <f>Cancer_doubles_final2[[#This Row],[mlp_params]]</f>
        <v>22215</v>
      </c>
      <c r="X115">
        <f>Cancer_doubles_final2[[#This Row],[kan_test_acc]]</f>
        <v>0.95279718935489655</v>
      </c>
      <c r="Y115">
        <f>Cancer_doubles_final2[[#This Row],[mlp_test_acc]]</f>
        <v>0.92628205128205132</v>
      </c>
      <c r="Z115">
        <f>Cancer_doubles_final2[[#This Row],[mlp_test_acc2]]</f>
        <v>0.92016317016317017</v>
      </c>
    </row>
    <row r="116" spans="1:26" hidden="1" x14ac:dyDescent="0.25">
      <c r="A116" t="s">
        <v>19</v>
      </c>
      <c r="B116">
        <v>3</v>
      </c>
      <c r="C116">
        <v>4</v>
      </c>
      <c r="D116">
        <v>0</v>
      </c>
      <c r="E116" t="s">
        <v>70</v>
      </c>
      <c r="F116">
        <v>12842</v>
      </c>
      <c r="G116">
        <v>17429302.333333336</v>
      </c>
      <c r="H116">
        <v>0.96794871489206946</v>
      </c>
      <c r="I116">
        <v>0.94930069930069927</v>
      </c>
      <c r="J116">
        <v>7685227.138888889</v>
      </c>
      <c r="K116">
        <v>23939</v>
      </c>
      <c r="L116">
        <v>2</v>
      </c>
      <c r="M116">
        <v>101</v>
      </c>
      <c r="N116">
        <v>0.94619269619269619</v>
      </c>
      <c r="O116">
        <v>8222606.972222222</v>
      </c>
      <c r="P116">
        <v>24380</v>
      </c>
      <c r="Q116">
        <v>2</v>
      </c>
      <c r="R116">
        <v>102</v>
      </c>
      <c r="S116" t="s">
        <v>114</v>
      </c>
      <c r="W116">
        <f>Cancer_doubles_final2[[#This Row],[mlp_params]]</f>
        <v>23939</v>
      </c>
      <c r="X116">
        <f>Cancer_doubles_final2[[#This Row],[kan_test_acc]]</f>
        <v>0.96794871489206946</v>
      </c>
      <c r="Y116">
        <f>Cancer_doubles_final2[[#This Row],[mlp_test_acc]]</f>
        <v>0.94930069930069927</v>
      </c>
      <c r="Z116">
        <f>Cancer_doubles_final2[[#This Row],[mlp_test_acc2]]</f>
        <v>0.94619269619269619</v>
      </c>
    </row>
    <row r="117" spans="1:26" hidden="1" x14ac:dyDescent="0.25">
      <c r="A117" t="s">
        <v>19</v>
      </c>
      <c r="B117">
        <v>5</v>
      </c>
      <c r="C117">
        <v>2</v>
      </c>
      <c r="D117">
        <v>0</v>
      </c>
      <c r="E117" t="s">
        <v>70</v>
      </c>
      <c r="F117">
        <v>12842</v>
      </c>
      <c r="G117">
        <v>16980159.541666664</v>
      </c>
      <c r="H117">
        <v>0.97406760106484103</v>
      </c>
      <c r="I117">
        <v>0.9481351981351982</v>
      </c>
      <c r="J117">
        <v>5892104.625</v>
      </c>
      <c r="K117">
        <v>18959</v>
      </c>
      <c r="L117">
        <v>2</v>
      </c>
      <c r="M117">
        <v>89</v>
      </c>
      <c r="N117">
        <v>0.94609557109557108</v>
      </c>
      <c r="O117">
        <v>7810484.25</v>
      </c>
      <c r="P117">
        <v>19352</v>
      </c>
      <c r="Q117">
        <v>2</v>
      </c>
      <c r="R117">
        <v>90</v>
      </c>
      <c r="S117" t="s">
        <v>115</v>
      </c>
      <c r="W117">
        <f>Cancer_doubles_final2[[#This Row],[mlp_params]]</f>
        <v>18959</v>
      </c>
      <c r="X117">
        <f>Cancer_doubles_final2[[#This Row],[kan_test_acc]]</f>
        <v>0.97406760106484103</v>
      </c>
      <c r="Y117">
        <f>Cancer_doubles_final2[[#This Row],[mlp_test_acc]]</f>
        <v>0.9481351981351982</v>
      </c>
      <c r="Z117">
        <f>Cancer_doubles_final2[[#This Row],[mlp_test_acc2]]</f>
        <v>0.94609557109557108</v>
      </c>
    </row>
    <row r="118" spans="1:26" hidden="1" x14ac:dyDescent="0.25">
      <c r="A118" t="s">
        <v>19</v>
      </c>
      <c r="B118">
        <v>3</v>
      </c>
      <c r="C118">
        <v>4</v>
      </c>
      <c r="D118">
        <v>0</v>
      </c>
      <c r="E118" t="s">
        <v>70</v>
      </c>
      <c r="F118">
        <v>12842</v>
      </c>
      <c r="G118">
        <v>17272901.833333332</v>
      </c>
      <c r="H118">
        <v>0.97406759361426043</v>
      </c>
      <c r="I118">
        <v>0.93210955710955712</v>
      </c>
      <c r="J118">
        <v>6567997.083333334</v>
      </c>
      <c r="K118">
        <v>23939</v>
      </c>
      <c r="L118">
        <v>2</v>
      </c>
      <c r="M118">
        <v>101</v>
      </c>
      <c r="N118">
        <v>0.9274475524475525</v>
      </c>
      <c r="O118">
        <v>7684781.666666667</v>
      </c>
      <c r="P118">
        <v>24380</v>
      </c>
      <c r="Q118">
        <v>2</v>
      </c>
      <c r="R118">
        <v>102</v>
      </c>
      <c r="S118" t="s">
        <v>114</v>
      </c>
      <c r="W118">
        <f>Cancer_doubles_final2[[#This Row],[mlp_params]]</f>
        <v>23939</v>
      </c>
      <c r="X118">
        <f>Cancer_doubles_final2[[#This Row],[kan_test_acc]]</f>
        <v>0.97406759361426043</v>
      </c>
      <c r="Y118">
        <f>Cancer_doubles_final2[[#This Row],[mlp_test_acc]]</f>
        <v>0.93210955710955712</v>
      </c>
      <c r="Z118">
        <f>Cancer_doubles_final2[[#This Row],[mlp_test_acc2]]</f>
        <v>0.9274475524475525</v>
      </c>
    </row>
    <row r="119" spans="1:26" hidden="1" x14ac:dyDescent="0.25">
      <c r="A119" t="s">
        <v>19</v>
      </c>
      <c r="B119">
        <v>5</v>
      </c>
      <c r="C119">
        <v>2</v>
      </c>
      <c r="D119">
        <v>0</v>
      </c>
      <c r="E119" t="s">
        <v>70</v>
      </c>
      <c r="F119">
        <v>12842</v>
      </c>
      <c r="G119">
        <v>16969042.291666664</v>
      </c>
      <c r="H119">
        <v>0.97115383545557665</v>
      </c>
      <c r="I119">
        <v>0.92977855477855487</v>
      </c>
      <c r="J119">
        <v>7150592.25</v>
      </c>
      <c r="K119">
        <v>18959</v>
      </c>
      <c r="L119">
        <v>2</v>
      </c>
      <c r="M119">
        <v>89</v>
      </c>
      <c r="N119">
        <v>0.92977855477855487</v>
      </c>
      <c r="O119">
        <v>8605121.9583333321</v>
      </c>
      <c r="P119">
        <v>19352</v>
      </c>
      <c r="Q119">
        <v>2</v>
      </c>
      <c r="R119">
        <v>90</v>
      </c>
      <c r="S119" t="s">
        <v>115</v>
      </c>
      <c r="W119">
        <f>Cancer_doubles_final2[[#This Row],[mlp_params]]</f>
        <v>18959</v>
      </c>
      <c r="X119">
        <f>Cancer_doubles_final2[[#This Row],[kan_test_acc]]</f>
        <v>0.97115383545557665</v>
      </c>
      <c r="Y119">
        <f>Cancer_doubles_final2[[#This Row],[mlp_test_acc]]</f>
        <v>0.92977855477855487</v>
      </c>
      <c r="Z119">
        <f>Cancer_doubles_final2[[#This Row],[mlp_test_acc2]]</f>
        <v>0.92977855477855487</v>
      </c>
    </row>
    <row r="120" spans="1:26" hidden="1" x14ac:dyDescent="0.25">
      <c r="A120" t="s">
        <v>19</v>
      </c>
      <c r="B120">
        <v>3</v>
      </c>
      <c r="C120">
        <v>2</v>
      </c>
      <c r="D120">
        <v>0</v>
      </c>
      <c r="E120" t="s">
        <v>116</v>
      </c>
      <c r="F120">
        <v>12852</v>
      </c>
      <c r="G120">
        <v>15946630.833333334</v>
      </c>
      <c r="H120">
        <v>0.97086245814959204</v>
      </c>
      <c r="I120">
        <v>0.94347319347319347</v>
      </c>
      <c r="J120">
        <v>7195258</v>
      </c>
      <c r="K120">
        <v>20555</v>
      </c>
      <c r="L120">
        <v>2</v>
      </c>
      <c r="M120">
        <v>93</v>
      </c>
      <c r="N120">
        <v>0.94667832167832167</v>
      </c>
      <c r="O120">
        <v>8880651.625</v>
      </c>
      <c r="P120">
        <v>20964</v>
      </c>
      <c r="Q120">
        <v>2</v>
      </c>
      <c r="R120">
        <v>94</v>
      </c>
      <c r="S120" t="s">
        <v>117</v>
      </c>
      <c r="W120">
        <f>Cancer_doubles_final2[[#This Row],[mlp_params]]</f>
        <v>20555</v>
      </c>
      <c r="X120">
        <f>Cancer_doubles_final2[[#This Row],[kan_test_acc]]</f>
        <v>0.97086245814959204</v>
      </c>
      <c r="Y120">
        <f>Cancer_doubles_final2[[#This Row],[mlp_test_acc]]</f>
        <v>0.94347319347319347</v>
      </c>
      <c r="Z120">
        <f>Cancer_doubles_final2[[#This Row],[mlp_test_acc2]]</f>
        <v>0.94667832167832167</v>
      </c>
    </row>
    <row r="121" spans="1:26" hidden="1" x14ac:dyDescent="0.25">
      <c r="A121" t="s">
        <v>19</v>
      </c>
      <c r="B121">
        <v>9</v>
      </c>
      <c r="C121">
        <v>5</v>
      </c>
      <c r="D121">
        <v>0</v>
      </c>
      <c r="E121" t="s">
        <v>20</v>
      </c>
      <c r="F121">
        <v>13082</v>
      </c>
      <c r="G121">
        <v>21745899.333333332</v>
      </c>
      <c r="H121">
        <v>0.95260294775168097</v>
      </c>
      <c r="I121">
        <v>0.95007770007770009</v>
      </c>
      <c r="J121">
        <v>9570967</v>
      </c>
      <c r="K121">
        <v>21377</v>
      </c>
      <c r="L121">
        <v>2</v>
      </c>
      <c r="M121">
        <v>95</v>
      </c>
      <c r="N121">
        <v>0.94522144522144524</v>
      </c>
      <c r="O121">
        <v>9884046.194444444</v>
      </c>
      <c r="P121">
        <v>21794</v>
      </c>
      <c r="Q121">
        <v>2</v>
      </c>
      <c r="R121">
        <v>96</v>
      </c>
      <c r="S121" t="s">
        <v>118</v>
      </c>
      <c r="W121">
        <f>Cancer_doubles_final2[[#This Row],[mlp_params]]</f>
        <v>21377</v>
      </c>
      <c r="X121">
        <f>Cancer_doubles_final2[[#This Row],[kan_test_acc]]</f>
        <v>0.95260294775168097</v>
      </c>
      <c r="Y121">
        <f>Cancer_doubles_final2[[#This Row],[mlp_test_acc]]</f>
        <v>0.95007770007770009</v>
      </c>
      <c r="Z121">
        <f>Cancer_doubles_final2[[#This Row],[mlp_test_acc2]]</f>
        <v>0.94522144522144524</v>
      </c>
    </row>
    <row r="122" spans="1:26" hidden="1" x14ac:dyDescent="0.25">
      <c r="A122" t="s">
        <v>19</v>
      </c>
      <c r="B122">
        <v>5</v>
      </c>
      <c r="C122">
        <v>4</v>
      </c>
      <c r="D122">
        <v>0</v>
      </c>
      <c r="E122" t="s">
        <v>47</v>
      </c>
      <c r="F122">
        <v>13092</v>
      </c>
      <c r="G122">
        <v>25292457.375</v>
      </c>
      <c r="H122">
        <v>0.95658507446448016</v>
      </c>
      <c r="I122">
        <v>0.95017482517482521</v>
      </c>
      <c r="J122">
        <v>10192943.75</v>
      </c>
      <c r="K122">
        <v>22640</v>
      </c>
      <c r="L122">
        <v>2</v>
      </c>
      <c r="M122">
        <v>98</v>
      </c>
      <c r="N122">
        <v>0.94696969696969702</v>
      </c>
      <c r="O122">
        <v>9921373</v>
      </c>
      <c r="P122">
        <v>23069</v>
      </c>
      <c r="Q122">
        <v>2</v>
      </c>
      <c r="R122">
        <v>99</v>
      </c>
      <c r="S122" t="s">
        <v>119</v>
      </c>
      <c r="W122">
        <f>Cancer_doubles_final2[[#This Row],[mlp_params]]</f>
        <v>22640</v>
      </c>
      <c r="X122">
        <f>Cancer_doubles_final2[[#This Row],[kan_test_acc]]</f>
        <v>0.95658507446448016</v>
      </c>
      <c r="Y122">
        <f>Cancer_doubles_final2[[#This Row],[mlp_test_acc]]</f>
        <v>0.95017482517482521</v>
      </c>
      <c r="Z122">
        <f>Cancer_doubles_final2[[#This Row],[mlp_test_acc2]]</f>
        <v>0.94696969696969702</v>
      </c>
    </row>
    <row r="123" spans="1:26" hidden="1" x14ac:dyDescent="0.25">
      <c r="A123" t="s">
        <v>19</v>
      </c>
      <c r="B123">
        <v>3</v>
      </c>
      <c r="C123">
        <v>3</v>
      </c>
      <c r="D123">
        <v>0</v>
      </c>
      <c r="E123" t="s">
        <v>96</v>
      </c>
      <c r="F123">
        <v>13296</v>
      </c>
      <c r="G123">
        <v>17475892.958333336</v>
      </c>
      <c r="H123">
        <v>0.96139277393619227</v>
      </c>
      <c r="I123">
        <v>0.93473193473193472</v>
      </c>
      <c r="J123">
        <v>8034003.833333333</v>
      </c>
      <c r="K123">
        <v>23502</v>
      </c>
      <c r="L123">
        <v>2</v>
      </c>
      <c r="M123">
        <v>100</v>
      </c>
      <c r="N123">
        <v>0.93225524475524479</v>
      </c>
      <c r="O123">
        <v>7465153.104166667</v>
      </c>
      <c r="P123">
        <v>23939</v>
      </c>
      <c r="Q123">
        <v>2</v>
      </c>
      <c r="R123">
        <v>101</v>
      </c>
      <c r="S123" t="s">
        <v>120</v>
      </c>
      <c r="W123">
        <f>Cancer_doubles_final2[[#This Row],[mlp_params]]</f>
        <v>23502</v>
      </c>
      <c r="X123">
        <f>Cancer_doubles_final2[[#This Row],[kan_test_acc]]</f>
        <v>0.96139277393619227</v>
      </c>
      <c r="Y123">
        <f>Cancer_doubles_final2[[#This Row],[mlp_test_acc]]</f>
        <v>0.93473193473193472</v>
      </c>
      <c r="Z123">
        <f>Cancer_doubles_final2[[#This Row],[mlp_test_acc2]]</f>
        <v>0.93225524475524479</v>
      </c>
    </row>
    <row r="124" spans="1:26" hidden="1" x14ac:dyDescent="0.25">
      <c r="A124" t="s">
        <v>19</v>
      </c>
      <c r="B124">
        <v>9</v>
      </c>
      <c r="C124">
        <v>4</v>
      </c>
      <c r="D124">
        <v>0</v>
      </c>
      <c r="E124" t="s">
        <v>24</v>
      </c>
      <c r="F124">
        <v>13340</v>
      </c>
      <c r="G124">
        <v>18040491.694444444</v>
      </c>
      <c r="H124">
        <v>0.96134420898225581</v>
      </c>
      <c r="I124">
        <v>0.95279720279720281</v>
      </c>
      <c r="J124">
        <v>7771267.444444444</v>
      </c>
      <c r="K124">
        <v>20555</v>
      </c>
      <c r="L124">
        <v>2</v>
      </c>
      <c r="M124">
        <v>93</v>
      </c>
      <c r="N124">
        <v>0.95279720279720281</v>
      </c>
      <c r="O124">
        <v>7743673.416666667</v>
      </c>
      <c r="P124">
        <v>20964</v>
      </c>
      <c r="Q124">
        <v>2</v>
      </c>
      <c r="R124">
        <v>94</v>
      </c>
      <c r="S124" t="s">
        <v>121</v>
      </c>
      <c r="W124">
        <f>Cancer_doubles_final2[[#This Row],[mlp_params]]</f>
        <v>20555</v>
      </c>
      <c r="X124">
        <f>Cancer_doubles_final2[[#This Row],[kan_test_acc]]</f>
        <v>0.96134420898225581</v>
      </c>
      <c r="Y124">
        <f>Cancer_doubles_final2[[#This Row],[mlp_test_acc]]</f>
        <v>0.95279720279720281</v>
      </c>
      <c r="Z124">
        <f>Cancer_doubles_final2[[#This Row],[mlp_test_acc2]]</f>
        <v>0.95279720279720281</v>
      </c>
    </row>
    <row r="125" spans="1:26" hidden="1" x14ac:dyDescent="0.25">
      <c r="A125" t="s">
        <v>19</v>
      </c>
      <c r="B125">
        <v>5</v>
      </c>
      <c r="C125">
        <v>5</v>
      </c>
      <c r="D125">
        <v>0</v>
      </c>
      <c r="E125" t="s">
        <v>39</v>
      </c>
      <c r="F125">
        <v>13346</v>
      </c>
      <c r="G125">
        <v>16087657.458333334</v>
      </c>
      <c r="H125">
        <v>0.95192307482163108</v>
      </c>
      <c r="I125">
        <v>0.94784382284382285</v>
      </c>
      <c r="J125">
        <v>8261972.208333333</v>
      </c>
      <c r="K125">
        <v>24380</v>
      </c>
      <c r="L125">
        <v>2</v>
      </c>
      <c r="M125">
        <v>102</v>
      </c>
      <c r="N125">
        <v>0.95279720279720281</v>
      </c>
      <c r="O125">
        <v>8090035.958333333</v>
      </c>
      <c r="P125">
        <v>24825</v>
      </c>
      <c r="Q125">
        <v>2</v>
      </c>
      <c r="R125">
        <v>103</v>
      </c>
      <c r="S125" t="s">
        <v>122</v>
      </c>
      <c r="W125">
        <f>Cancer_doubles_final2[[#This Row],[mlp_params]]</f>
        <v>24380</v>
      </c>
      <c r="X125">
        <f>Cancer_doubles_final2[[#This Row],[kan_test_acc]]</f>
        <v>0.95192307482163108</v>
      </c>
      <c r="Y125">
        <f>Cancer_doubles_final2[[#This Row],[mlp_test_acc]]</f>
        <v>0.94784382284382285</v>
      </c>
      <c r="Z125">
        <f>Cancer_doubles_final2[[#This Row],[mlp_test_acc2]]</f>
        <v>0.95279720279720281</v>
      </c>
    </row>
    <row r="126" spans="1:26" hidden="1" x14ac:dyDescent="0.25">
      <c r="A126" t="s">
        <v>19</v>
      </c>
      <c r="B126">
        <v>3</v>
      </c>
      <c r="C126">
        <v>2</v>
      </c>
      <c r="D126">
        <v>0</v>
      </c>
      <c r="E126" t="s">
        <v>123</v>
      </c>
      <c r="F126">
        <v>13366</v>
      </c>
      <c r="G126">
        <v>17532048.47222222</v>
      </c>
      <c r="H126">
        <v>0.9578477011786567</v>
      </c>
      <c r="I126">
        <v>0.94191919191919193</v>
      </c>
      <c r="J126">
        <v>8564695.75</v>
      </c>
      <c r="K126">
        <v>21377</v>
      </c>
      <c r="L126">
        <v>2</v>
      </c>
      <c r="M126">
        <v>95</v>
      </c>
      <c r="N126">
        <v>0.94347319347319347</v>
      </c>
      <c r="O126">
        <v>8207326.416666667</v>
      </c>
      <c r="P126">
        <v>21794</v>
      </c>
      <c r="Q126">
        <v>2</v>
      </c>
      <c r="R126">
        <v>96</v>
      </c>
      <c r="S126" t="s">
        <v>124</v>
      </c>
      <c r="W126">
        <f>Cancer_doubles_final2[[#This Row],[mlp_params]]</f>
        <v>21377</v>
      </c>
      <c r="X126">
        <f>Cancer_doubles_final2[[#This Row],[kan_test_acc]]</f>
        <v>0.9578477011786567</v>
      </c>
      <c r="Y126">
        <f>Cancer_doubles_final2[[#This Row],[mlp_test_acc]]</f>
        <v>0.94191919191919193</v>
      </c>
      <c r="Z126">
        <f>Cancer_doubles_final2[[#This Row],[mlp_test_acc2]]</f>
        <v>0.94347319347319347</v>
      </c>
    </row>
    <row r="127" spans="1:26" x14ac:dyDescent="0.25">
      <c r="A127" t="s">
        <v>19</v>
      </c>
      <c r="B127">
        <v>3</v>
      </c>
      <c r="C127">
        <v>5</v>
      </c>
      <c r="D127">
        <v>0</v>
      </c>
      <c r="E127" t="s">
        <v>60</v>
      </c>
      <c r="F127">
        <v>13416</v>
      </c>
      <c r="G127">
        <v>19571082.416666664</v>
      </c>
      <c r="H127">
        <v>0.96620045767890084</v>
      </c>
      <c r="I127">
        <v>0.94852369852369856</v>
      </c>
      <c r="J127">
        <v>8490802.75</v>
      </c>
      <c r="K127">
        <v>26645</v>
      </c>
      <c r="L127">
        <v>2</v>
      </c>
      <c r="M127">
        <v>107</v>
      </c>
      <c r="N127">
        <v>0.94522144522144524</v>
      </c>
      <c r="O127">
        <v>8316623.7222222229</v>
      </c>
      <c r="P127">
        <v>27110</v>
      </c>
      <c r="Q127">
        <v>2</v>
      </c>
      <c r="R127">
        <v>108</v>
      </c>
      <c r="S127" t="s">
        <v>125</v>
      </c>
      <c r="W127">
        <f>Cancer_doubles_final2[[#This Row],[mlp_params]]</f>
        <v>26645</v>
      </c>
      <c r="X127">
        <f>Cancer_doubles_final2[[#This Row],[kan_test_acc]]</f>
        <v>0.96620045767890084</v>
      </c>
      <c r="Y127">
        <f>Cancer_doubles_final2[[#This Row],[mlp_test_acc]]</f>
        <v>0.94852369852369856</v>
      </c>
      <c r="Z127">
        <f>Cancer_doubles_final2[[#This Row],[mlp_test_acc2]]</f>
        <v>0.94522144522144524</v>
      </c>
    </row>
    <row r="128" spans="1:26" hidden="1" x14ac:dyDescent="0.25">
      <c r="A128" t="s">
        <v>19</v>
      </c>
      <c r="B128">
        <v>5</v>
      </c>
      <c r="C128">
        <v>3</v>
      </c>
      <c r="D128">
        <v>0</v>
      </c>
      <c r="E128" t="s">
        <v>60</v>
      </c>
      <c r="F128">
        <v>13416</v>
      </c>
      <c r="G128">
        <v>21677915.458333332</v>
      </c>
      <c r="H128">
        <v>0.97319346914688742</v>
      </c>
      <c r="I128">
        <v>0.94201631701631705</v>
      </c>
      <c r="J128">
        <v>8387284.625</v>
      </c>
      <c r="K128">
        <v>21794</v>
      </c>
      <c r="L128">
        <v>2</v>
      </c>
      <c r="M128">
        <v>96</v>
      </c>
      <c r="N128">
        <v>0.94289044289044288</v>
      </c>
      <c r="O128">
        <v>8789016.25</v>
      </c>
      <c r="P128">
        <v>22215</v>
      </c>
      <c r="Q128">
        <v>2</v>
      </c>
      <c r="R128">
        <v>97</v>
      </c>
      <c r="S128" t="s">
        <v>126</v>
      </c>
      <c r="W128">
        <f>Cancer_doubles_final2[[#This Row],[mlp_params]]</f>
        <v>21794</v>
      </c>
      <c r="X128">
        <f>Cancer_doubles_final2[[#This Row],[kan_test_acc]]</f>
        <v>0.97319346914688742</v>
      </c>
      <c r="Y128">
        <f>Cancer_doubles_final2[[#This Row],[mlp_test_acc]]</f>
        <v>0.94201631701631705</v>
      </c>
      <c r="Z128">
        <f>Cancer_doubles_final2[[#This Row],[mlp_test_acc2]]</f>
        <v>0.94289044289044288</v>
      </c>
    </row>
    <row r="129" spans="1:26" x14ac:dyDescent="0.25">
      <c r="A129" t="s">
        <v>19</v>
      </c>
      <c r="B129">
        <v>3</v>
      </c>
      <c r="C129">
        <v>5</v>
      </c>
      <c r="D129">
        <v>0</v>
      </c>
      <c r="E129" t="s">
        <v>60</v>
      </c>
      <c r="F129">
        <v>13416</v>
      </c>
      <c r="G129">
        <v>20535654.875</v>
      </c>
      <c r="H129">
        <v>0.96736595779657364</v>
      </c>
      <c r="I129">
        <v>0.93036130536130535</v>
      </c>
      <c r="J129">
        <v>8301802.166666667</v>
      </c>
      <c r="K129">
        <v>26645</v>
      </c>
      <c r="L129">
        <v>2</v>
      </c>
      <c r="M129">
        <v>107</v>
      </c>
      <c r="N129">
        <v>0.92832167832167833</v>
      </c>
      <c r="O129">
        <v>8764026.625</v>
      </c>
      <c r="P129">
        <v>27110</v>
      </c>
      <c r="Q129">
        <v>2</v>
      </c>
      <c r="R129">
        <v>108</v>
      </c>
      <c r="S129" t="s">
        <v>125</v>
      </c>
      <c r="W129">
        <f>Cancer_doubles_final2[[#This Row],[mlp_params]]</f>
        <v>26645</v>
      </c>
      <c r="X129">
        <f>Cancer_doubles_final2[[#This Row],[kan_test_acc]]</f>
        <v>0.96736595779657364</v>
      </c>
      <c r="Y129">
        <f>Cancer_doubles_final2[[#This Row],[mlp_test_acc]]</f>
        <v>0.93036130536130535</v>
      </c>
      <c r="Z129">
        <f>Cancer_doubles_final2[[#This Row],[mlp_test_acc2]]</f>
        <v>0.92832167832167833</v>
      </c>
    </row>
    <row r="130" spans="1:26" hidden="1" x14ac:dyDescent="0.25">
      <c r="A130" t="s">
        <v>19</v>
      </c>
      <c r="B130">
        <v>5</v>
      </c>
      <c r="C130">
        <v>3</v>
      </c>
      <c r="D130">
        <v>0</v>
      </c>
      <c r="E130" t="s">
        <v>60</v>
      </c>
      <c r="F130">
        <v>13416</v>
      </c>
      <c r="G130">
        <v>18784235</v>
      </c>
      <c r="H130">
        <v>0.94930069148540497</v>
      </c>
      <c r="I130">
        <v>0.91433566433566438</v>
      </c>
      <c r="J130">
        <v>8416315.25</v>
      </c>
      <c r="K130">
        <v>21794</v>
      </c>
      <c r="L130">
        <v>2</v>
      </c>
      <c r="M130">
        <v>96</v>
      </c>
      <c r="N130">
        <v>0.90821678321678323</v>
      </c>
      <c r="O130">
        <v>8248288.041666666</v>
      </c>
      <c r="P130">
        <v>22215</v>
      </c>
      <c r="Q130">
        <v>2</v>
      </c>
      <c r="R130">
        <v>97</v>
      </c>
      <c r="S130" t="s">
        <v>126</v>
      </c>
      <c r="W130">
        <f>Cancer_doubles_final2[[#This Row],[mlp_params]]</f>
        <v>21794</v>
      </c>
      <c r="X130">
        <f>Cancer_doubles_final2[[#This Row],[kan_test_acc]]</f>
        <v>0.94930069148540497</v>
      </c>
      <c r="Y130">
        <f>Cancer_doubles_final2[[#This Row],[mlp_test_acc]]</f>
        <v>0.91433566433566438</v>
      </c>
      <c r="Z130">
        <f>Cancer_doubles_final2[[#This Row],[mlp_test_acc2]]</f>
        <v>0.90821678321678323</v>
      </c>
    </row>
    <row r="131" spans="1:26" hidden="1" x14ac:dyDescent="0.25">
      <c r="A131" t="s">
        <v>19</v>
      </c>
      <c r="B131">
        <v>9</v>
      </c>
      <c r="C131">
        <v>3</v>
      </c>
      <c r="D131">
        <v>0</v>
      </c>
      <c r="E131" t="s">
        <v>29</v>
      </c>
      <c r="F131">
        <v>13470</v>
      </c>
      <c r="G131">
        <v>13224649.291666666</v>
      </c>
      <c r="H131">
        <v>0.91928904006878542</v>
      </c>
      <c r="I131">
        <v>0.91346153846153844</v>
      </c>
      <c r="J131">
        <v>7294408.875</v>
      </c>
      <c r="K131">
        <v>19352</v>
      </c>
      <c r="L131">
        <v>2</v>
      </c>
      <c r="M131">
        <v>90</v>
      </c>
      <c r="N131">
        <v>0.90675990675990681</v>
      </c>
      <c r="O131">
        <v>6822949.208333333</v>
      </c>
      <c r="P131">
        <v>19749</v>
      </c>
      <c r="Q131">
        <v>2</v>
      </c>
      <c r="R131">
        <v>91</v>
      </c>
      <c r="S131" t="s">
        <v>127</v>
      </c>
      <c r="W131">
        <f>Cancer_doubles_final2[[#This Row],[mlp_params]]</f>
        <v>19352</v>
      </c>
      <c r="X131">
        <f>Cancer_doubles_final2[[#This Row],[kan_test_acc]]</f>
        <v>0.91928904006878542</v>
      </c>
      <c r="Y131">
        <f>Cancer_doubles_final2[[#This Row],[mlp_test_acc]]</f>
        <v>0.91346153846153844</v>
      </c>
      <c r="Z131">
        <f>Cancer_doubles_final2[[#This Row],[mlp_test_acc2]]</f>
        <v>0.90675990675990681</v>
      </c>
    </row>
    <row r="132" spans="1:26" hidden="1" x14ac:dyDescent="0.25">
      <c r="A132" t="s">
        <v>19</v>
      </c>
      <c r="B132">
        <v>9</v>
      </c>
      <c r="C132">
        <v>2</v>
      </c>
      <c r="D132">
        <v>0</v>
      </c>
      <c r="E132" t="s">
        <v>34</v>
      </c>
      <c r="F132">
        <v>13472</v>
      </c>
      <c r="G132">
        <v>12781220.444444444</v>
      </c>
      <c r="H132">
        <v>0.92132866713735795</v>
      </c>
      <c r="I132">
        <v>0.91375291375291379</v>
      </c>
      <c r="J132">
        <v>5780775.722222222</v>
      </c>
      <c r="K132">
        <v>18185</v>
      </c>
      <c r="L132">
        <v>2</v>
      </c>
      <c r="M132">
        <v>87</v>
      </c>
      <c r="N132">
        <v>0.91647241647241651</v>
      </c>
      <c r="O132">
        <v>4990831.472222222</v>
      </c>
      <c r="P132">
        <v>18570</v>
      </c>
      <c r="Q132">
        <v>2</v>
      </c>
      <c r="R132">
        <v>88</v>
      </c>
      <c r="S132" t="s">
        <v>128</v>
      </c>
      <c r="W132">
        <f>Cancer_doubles_final2[[#This Row],[mlp_params]]</f>
        <v>18185</v>
      </c>
      <c r="X132">
        <f>Cancer_doubles_final2[[#This Row],[kan_test_acc]]</f>
        <v>0.92132866713735795</v>
      </c>
      <c r="Y132">
        <f>Cancer_doubles_final2[[#This Row],[mlp_test_acc]]</f>
        <v>0.91375291375291379</v>
      </c>
      <c r="Z132">
        <f>Cancer_doubles_final2[[#This Row],[mlp_test_acc2]]</f>
        <v>0.91647241647241651</v>
      </c>
    </row>
    <row r="133" spans="1:26" hidden="1" x14ac:dyDescent="0.25">
      <c r="A133" t="s">
        <v>19</v>
      </c>
      <c r="B133">
        <v>3</v>
      </c>
      <c r="C133">
        <v>4</v>
      </c>
      <c r="D133">
        <v>0</v>
      </c>
      <c r="E133" t="s">
        <v>78</v>
      </c>
      <c r="F133">
        <v>13484</v>
      </c>
      <c r="G133">
        <v>13557394</v>
      </c>
      <c r="H133">
        <v>0.94755244255065918</v>
      </c>
      <c r="I133">
        <v>0.92327117327117325</v>
      </c>
      <c r="J133">
        <v>5398248.472222222</v>
      </c>
      <c r="K133">
        <v>25274</v>
      </c>
      <c r="L133">
        <v>2</v>
      </c>
      <c r="M133">
        <v>104</v>
      </c>
      <c r="N133">
        <v>0.92288267288267289</v>
      </c>
      <c r="O133">
        <v>5481575.111111111</v>
      </c>
      <c r="P133">
        <v>25727</v>
      </c>
      <c r="Q133">
        <v>2</v>
      </c>
      <c r="R133">
        <v>105</v>
      </c>
      <c r="S133" t="s">
        <v>129</v>
      </c>
      <c r="W133">
        <f>Cancer_doubles_final2[[#This Row],[mlp_params]]</f>
        <v>25274</v>
      </c>
      <c r="X133">
        <f>Cancer_doubles_final2[[#This Row],[kan_test_acc]]</f>
        <v>0.94755244255065918</v>
      </c>
      <c r="Y133">
        <f>Cancer_doubles_final2[[#This Row],[mlp_test_acc]]</f>
        <v>0.92327117327117325</v>
      </c>
      <c r="Z133">
        <f>Cancer_doubles_final2[[#This Row],[mlp_test_acc2]]</f>
        <v>0.92288267288267289</v>
      </c>
    </row>
    <row r="134" spans="1:26" hidden="1" x14ac:dyDescent="0.25">
      <c r="A134" t="s">
        <v>19</v>
      </c>
      <c r="B134">
        <v>5</v>
      </c>
      <c r="C134">
        <v>2</v>
      </c>
      <c r="D134">
        <v>0</v>
      </c>
      <c r="E134" t="s">
        <v>78</v>
      </c>
      <c r="F134">
        <v>13484</v>
      </c>
      <c r="G134">
        <v>20036852</v>
      </c>
      <c r="H134">
        <v>0.98251748333374656</v>
      </c>
      <c r="I134">
        <v>0.94259906759906764</v>
      </c>
      <c r="J134">
        <v>7602396.041666667</v>
      </c>
      <c r="K134">
        <v>20150</v>
      </c>
      <c r="L134">
        <v>2</v>
      </c>
      <c r="M134">
        <v>92</v>
      </c>
      <c r="N134">
        <v>0.9481351981351982</v>
      </c>
      <c r="O134">
        <v>7893646.958333334</v>
      </c>
      <c r="P134">
        <v>20555</v>
      </c>
      <c r="Q134">
        <v>2</v>
      </c>
      <c r="R134">
        <v>93</v>
      </c>
      <c r="S134" t="s">
        <v>130</v>
      </c>
      <c r="W134">
        <f>Cancer_doubles_final2[[#This Row],[mlp_params]]</f>
        <v>20150</v>
      </c>
      <c r="X134">
        <f>Cancer_doubles_final2[[#This Row],[kan_test_acc]]</f>
        <v>0.98251748333374656</v>
      </c>
      <c r="Y134">
        <f>Cancer_doubles_final2[[#This Row],[mlp_test_acc]]</f>
        <v>0.94259906759906764</v>
      </c>
      <c r="Z134">
        <f>Cancer_doubles_final2[[#This Row],[mlp_test_acc2]]</f>
        <v>0.9481351981351982</v>
      </c>
    </row>
    <row r="135" spans="1:26" hidden="1" x14ac:dyDescent="0.25">
      <c r="A135" t="s">
        <v>19</v>
      </c>
      <c r="B135">
        <v>3</v>
      </c>
      <c r="C135">
        <v>4</v>
      </c>
      <c r="D135">
        <v>0</v>
      </c>
      <c r="E135" t="s">
        <v>78</v>
      </c>
      <c r="F135">
        <v>13484</v>
      </c>
      <c r="G135">
        <v>20637819.75</v>
      </c>
      <c r="H135">
        <v>0.97727271666129423</v>
      </c>
      <c r="I135">
        <v>0.93036130536130535</v>
      </c>
      <c r="J135">
        <v>8098248.375</v>
      </c>
      <c r="K135">
        <v>25274</v>
      </c>
      <c r="L135">
        <v>2</v>
      </c>
      <c r="M135">
        <v>104</v>
      </c>
      <c r="N135">
        <v>0.93152680652680653</v>
      </c>
      <c r="O135">
        <v>8229686.0416666679</v>
      </c>
      <c r="P135">
        <v>25727</v>
      </c>
      <c r="Q135">
        <v>2</v>
      </c>
      <c r="R135">
        <v>105</v>
      </c>
      <c r="S135" t="s">
        <v>129</v>
      </c>
      <c r="W135">
        <f>Cancer_doubles_final2[[#This Row],[mlp_params]]</f>
        <v>25274</v>
      </c>
      <c r="X135">
        <f>Cancer_doubles_final2[[#This Row],[kan_test_acc]]</f>
        <v>0.97727271666129423</v>
      </c>
      <c r="Y135">
        <f>Cancer_doubles_final2[[#This Row],[mlp_test_acc]]</f>
        <v>0.93036130536130535</v>
      </c>
      <c r="Z135">
        <f>Cancer_doubles_final2[[#This Row],[mlp_test_acc2]]</f>
        <v>0.93152680652680653</v>
      </c>
    </row>
    <row r="136" spans="1:26" hidden="1" x14ac:dyDescent="0.25">
      <c r="A136" t="s">
        <v>19</v>
      </c>
      <c r="B136">
        <v>5</v>
      </c>
      <c r="C136">
        <v>2</v>
      </c>
      <c r="D136">
        <v>0</v>
      </c>
      <c r="E136" t="s">
        <v>78</v>
      </c>
      <c r="F136">
        <v>13484</v>
      </c>
      <c r="G136">
        <v>17671636.083333332</v>
      </c>
      <c r="H136">
        <v>0.97348483155171073</v>
      </c>
      <c r="I136">
        <v>0.93036130536130535</v>
      </c>
      <c r="J136">
        <v>8133384.833333334</v>
      </c>
      <c r="K136">
        <v>20150</v>
      </c>
      <c r="L136">
        <v>2</v>
      </c>
      <c r="M136">
        <v>92</v>
      </c>
      <c r="N136">
        <v>0.92977855477855487</v>
      </c>
      <c r="O136">
        <v>9141281.583333334</v>
      </c>
      <c r="P136">
        <v>20555</v>
      </c>
      <c r="Q136">
        <v>2</v>
      </c>
      <c r="R136">
        <v>93</v>
      </c>
      <c r="S136" t="s">
        <v>130</v>
      </c>
      <c r="W136">
        <f>Cancer_doubles_final2[[#This Row],[mlp_params]]</f>
        <v>20150</v>
      </c>
      <c r="X136">
        <f>Cancer_doubles_final2[[#This Row],[kan_test_acc]]</f>
        <v>0.97348483155171073</v>
      </c>
      <c r="Y136">
        <f>Cancer_doubles_final2[[#This Row],[mlp_test_acc]]</f>
        <v>0.93036130536130535</v>
      </c>
      <c r="Z136">
        <f>Cancer_doubles_final2[[#This Row],[mlp_test_acc2]]</f>
        <v>0.92977855477855487</v>
      </c>
    </row>
    <row r="137" spans="1:26" hidden="1" x14ac:dyDescent="0.25">
      <c r="A137" t="s">
        <v>19</v>
      </c>
      <c r="B137">
        <v>5</v>
      </c>
      <c r="C137">
        <v>4</v>
      </c>
      <c r="D137">
        <v>0</v>
      </c>
      <c r="E137" t="s">
        <v>56</v>
      </c>
      <c r="F137">
        <v>13862</v>
      </c>
      <c r="G137">
        <v>16625829.208333332</v>
      </c>
      <c r="H137">
        <v>0.9594988226890564</v>
      </c>
      <c r="I137">
        <v>0.95163170163170163</v>
      </c>
      <c r="J137">
        <v>8338189.708333334</v>
      </c>
      <c r="K137">
        <v>23939</v>
      </c>
      <c r="L137">
        <v>2</v>
      </c>
      <c r="M137">
        <v>101</v>
      </c>
      <c r="N137">
        <v>0.93997668997669004</v>
      </c>
      <c r="O137">
        <v>8645129.875</v>
      </c>
      <c r="P137">
        <v>24380</v>
      </c>
      <c r="Q137">
        <v>2</v>
      </c>
      <c r="R137">
        <v>102</v>
      </c>
      <c r="S137" t="s">
        <v>131</v>
      </c>
      <c r="W137">
        <f>Cancer_doubles_final2[[#This Row],[mlp_params]]</f>
        <v>23939</v>
      </c>
      <c r="X137">
        <f>Cancer_doubles_final2[[#This Row],[kan_test_acc]]</f>
        <v>0.9594988226890564</v>
      </c>
      <c r="Y137">
        <f>Cancer_doubles_final2[[#This Row],[mlp_test_acc]]</f>
        <v>0.95163170163170163</v>
      </c>
      <c r="Z137">
        <f>Cancer_doubles_final2[[#This Row],[mlp_test_acc2]]</f>
        <v>0.93997668997669004</v>
      </c>
    </row>
    <row r="138" spans="1:26" hidden="1" x14ac:dyDescent="0.25">
      <c r="A138" t="s">
        <v>19</v>
      </c>
      <c r="B138">
        <v>3</v>
      </c>
      <c r="C138">
        <v>3</v>
      </c>
      <c r="D138">
        <v>0</v>
      </c>
      <c r="E138" t="s">
        <v>106</v>
      </c>
      <c r="F138">
        <v>13874</v>
      </c>
      <c r="G138">
        <v>18065776.0625</v>
      </c>
      <c r="H138">
        <v>0.95673076808452606</v>
      </c>
      <c r="I138">
        <v>0.93764568764568756</v>
      </c>
      <c r="J138">
        <v>8256797.520833334</v>
      </c>
      <c r="K138">
        <v>24380</v>
      </c>
      <c r="L138">
        <v>2</v>
      </c>
      <c r="M138">
        <v>102</v>
      </c>
      <c r="N138">
        <v>0.9306526806526807</v>
      </c>
      <c r="O138">
        <v>7423484.875</v>
      </c>
      <c r="P138">
        <v>24825</v>
      </c>
      <c r="Q138">
        <v>2</v>
      </c>
      <c r="R138">
        <v>103</v>
      </c>
      <c r="S138" t="s">
        <v>132</v>
      </c>
      <c r="W138">
        <f>Cancer_doubles_final2[[#This Row],[mlp_params]]</f>
        <v>24380</v>
      </c>
      <c r="X138">
        <f>Cancer_doubles_final2[[#This Row],[kan_test_acc]]</f>
        <v>0.95673076808452606</v>
      </c>
      <c r="Y138">
        <f>Cancer_doubles_final2[[#This Row],[mlp_test_acc]]</f>
        <v>0.93764568764568756</v>
      </c>
      <c r="Z138">
        <f>Cancer_doubles_final2[[#This Row],[mlp_test_acc2]]</f>
        <v>0.9306526806526807</v>
      </c>
    </row>
    <row r="139" spans="1:26" hidden="1" x14ac:dyDescent="0.25">
      <c r="A139" t="s">
        <v>19</v>
      </c>
      <c r="B139">
        <v>3</v>
      </c>
      <c r="C139">
        <v>2</v>
      </c>
      <c r="D139">
        <v>0</v>
      </c>
      <c r="E139" t="s">
        <v>133</v>
      </c>
      <c r="F139">
        <v>13880</v>
      </c>
      <c r="G139">
        <v>18587576.638888888</v>
      </c>
      <c r="H139">
        <v>0.96911421418190014</v>
      </c>
      <c r="I139">
        <v>0.94425019425019419</v>
      </c>
      <c r="J139">
        <v>7751027.833333334</v>
      </c>
      <c r="K139">
        <v>22215</v>
      </c>
      <c r="L139">
        <v>2</v>
      </c>
      <c r="M139">
        <v>97</v>
      </c>
      <c r="N139">
        <v>0.9442501942501943</v>
      </c>
      <c r="O139">
        <v>7798132.055555556</v>
      </c>
      <c r="P139">
        <v>22640</v>
      </c>
      <c r="Q139">
        <v>2</v>
      </c>
      <c r="R139">
        <v>98</v>
      </c>
      <c r="S139" t="s">
        <v>134</v>
      </c>
      <c r="W139">
        <f>Cancer_doubles_final2[[#This Row],[mlp_params]]</f>
        <v>22215</v>
      </c>
      <c r="X139">
        <f>Cancer_doubles_final2[[#This Row],[kan_test_acc]]</f>
        <v>0.96911421418190014</v>
      </c>
      <c r="Y139">
        <f>Cancer_doubles_final2[[#This Row],[mlp_test_acc]]</f>
        <v>0.94425019425019419</v>
      </c>
      <c r="Z139">
        <f>Cancer_doubles_final2[[#This Row],[mlp_test_acc2]]</f>
        <v>0.9442501942501943</v>
      </c>
    </row>
    <row r="140" spans="1:26" x14ac:dyDescent="0.25">
      <c r="A140" t="s">
        <v>19</v>
      </c>
      <c r="B140">
        <v>3</v>
      </c>
      <c r="C140">
        <v>5</v>
      </c>
      <c r="D140">
        <v>0</v>
      </c>
      <c r="E140" t="s">
        <v>70</v>
      </c>
      <c r="F140">
        <v>14122</v>
      </c>
      <c r="G140">
        <v>18576278.333333332</v>
      </c>
      <c r="H140">
        <v>0.96833720803260803</v>
      </c>
      <c r="I140">
        <v>0.94774669774669773</v>
      </c>
      <c r="J140">
        <v>8288667.2500000009</v>
      </c>
      <c r="K140">
        <v>28052</v>
      </c>
      <c r="L140">
        <v>2</v>
      </c>
      <c r="M140">
        <v>110</v>
      </c>
      <c r="N140">
        <v>0.9456099456099456</v>
      </c>
      <c r="O140">
        <v>8301035.416666666</v>
      </c>
      <c r="P140">
        <v>28529</v>
      </c>
      <c r="Q140">
        <v>2</v>
      </c>
      <c r="R140">
        <v>111</v>
      </c>
      <c r="S140" t="s">
        <v>135</v>
      </c>
      <c r="W140">
        <f>Cancer_doubles_final2[[#This Row],[mlp_params]]</f>
        <v>28052</v>
      </c>
      <c r="X140">
        <f>Cancer_doubles_final2[[#This Row],[kan_test_acc]]</f>
        <v>0.96833720803260803</v>
      </c>
      <c r="Y140">
        <f>Cancer_doubles_final2[[#This Row],[mlp_test_acc]]</f>
        <v>0.94774669774669773</v>
      </c>
      <c r="Z140">
        <f>Cancer_doubles_final2[[#This Row],[mlp_test_acc2]]</f>
        <v>0.9456099456099456</v>
      </c>
    </row>
    <row r="141" spans="1:26" hidden="1" x14ac:dyDescent="0.25">
      <c r="A141" t="s">
        <v>19</v>
      </c>
      <c r="B141">
        <v>5</v>
      </c>
      <c r="C141">
        <v>3</v>
      </c>
      <c r="D141">
        <v>0</v>
      </c>
      <c r="E141" t="s">
        <v>70</v>
      </c>
      <c r="F141">
        <v>14122</v>
      </c>
      <c r="G141">
        <v>20103254.958333332</v>
      </c>
      <c r="H141">
        <v>0.97756409645080566</v>
      </c>
      <c r="I141">
        <v>0.94696969696969702</v>
      </c>
      <c r="J141">
        <v>7638680.416666667</v>
      </c>
      <c r="K141">
        <v>23069</v>
      </c>
      <c r="L141">
        <v>2</v>
      </c>
      <c r="M141">
        <v>99</v>
      </c>
      <c r="N141">
        <v>0.94114219114219111</v>
      </c>
      <c r="O141">
        <v>8373693.166666666</v>
      </c>
      <c r="P141">
        <v>23502</v>
      </c>
      <c r="Q141">
        <v>2</v>
      </c>
      <c r="R141">
        <v>100</v>
      </c>
      <c r="S141" t="s">
        <v>136</v>
      </c>
      <c r="W141">
        <f>Cancer_doubles_final2[[#This Row],[mlp_params]]</f>
        <v>23069</v>
      </c>
      <c r="X141">
        <f>Cancer_doubles_final2[[#This Row],[kan_test_acc]]</f>
        <v>0.97756409645080566</v>
      </c>
      <c r="Y141">
        <f>Cancer_doubles_final2[[#This Row],[mlp_test_acc]]</f>
        <v>0.94696969696969702</v>
      </c>
      <c r="Z141">
        <f>Cancer_doubles_final2[[#This Row],[mlp_test_acc2]]</f>
        <v>0.94114219114219111</v>
      </c>
    </row>
    <row r="142" spans="1:26" x14ac:dyDescent="0.25">
      <c r="A142" t="s">
        <v>19</v>
      </c>
      <c r="B142">
        <v>3</v>
      </c>
      <c r="C142">
        <v>5</v>
      </c>
      <c r="D142">
        <v>0</v>
      </c>
      <c r="E142" t="s">
        <v>70</v>
      </c>
      <c r="F142">
        <v>14122</v>
      </c>
      <c r="G142">
        <v>20744524.916666668</v>
      </c>
      <c r="H142">
        <v>0.97173658261696494</v>
      </c>
      <c r="I142">
        <v>0.93385780885780889</v>
      </c>
      <c r="J142">
        <v>7286999.541666666</v>
      </c>
      <c r="K142">
        <v>28052</v>
      </c>
      <c r="L142">
        <v>2</v>
      </c>
      <c r="M142">
        <v>110</v>
      </c>
      <c r="N142">
        <v>0.92569930069930073</v>
      </c>
      <c r="O142">
        <v>8289982.375</v>
      </c>
      <c r="P142">
        <v>28529</v>
      </c>
      <c r="Q142">
        <v>2</v>
      </c>
      <c r="R142">
        <v>111</v>
      </c>
      <c r="S142" t="s">
        <v>135</v>
      </c>
      <c r="W142">
        <f>Cancer_doubles_final2[[#This Row],[mlp_params]]</f>
        <v>28052</v>
      </c>
      <c r="X142">
        <f>Cancer_doubles_final2[[#This Row],[kan_test_acc]]</f>
        <v>0.97173658261696494</v>
      </c>
      <c r="Y142">
        <f>Cancer_doubles_final2[[#This Row],[mlp_test_acc]]</f>
        <v>0.93385780885780889</v>
      </c>
      <c r="Z142">
        <f>Cancer_doubles_final2[[#This Row],[mlp_test_acc2]]</f>
        <v>0.92569930069930073</v>
      </c>
    </row>
    <row r="143" spans="1:26" hidden="1" x14ac:dyDescent="0.25">
      <c r="A143" t="s">
        <v>19</v>
      </c>
      <c r="B143">
        <v>5</v>
      </c>
      <c r="C143">
        <v>3</v>
      </c>
      <c r="D143">
        <v>0</v>
      </c>
      <c r="E143" t="s">
        <v>70</v>
      </c>
      <c r="F143">
        <v>14122</v>
      </c>
      <c r="G143">
        <v>19389228.458333336</v>
      </c>
      <c r="H143">
        <v>0.95250581701596582</v>
      </c>
      <c r="I143">
        <v>0.91433566433566438</v>
      </c>
      <c r="J143">
        <v>8213247.125</v>
      </c>
      <c r="K143">
        <v>23069</v>
      </c>
      <c r="L143">
        <v>2</v>
      </c>
      <c r="M143">
        <v>99</v>
      </c>
      <c r="N143">
        <v>0.90705128205128205</v>
      </c>
      <c r="O143">
        <v>7656573.041666666</v>
      </c>
      <c r="P143">
        <v>23502</v>
      </c>
      <c r="Q143">
        <v>2</v>
      </c>
      <c r="R143">
        <v>100</v>
      </c>
      <c r="S143" t="s">
        <v>136</v>
      </c>
      <c r="W143">
        <f>Cancer_doubles_final2[[#This Row],[mlp_params]]</f>
        <v>23069</v>
      </c>
      <c r="X143">
        <f>Cancer_doubles_final2[[#This Row],[kan_test_acc]]</f>
        <v>0.95250581701596582</v>
      </c>
      <c r="Y143">
        <f>Cancer_doubles_final2[[#This Row],[mlp_test_acc]]</f>
        <v>0.91433566433566438</v>
      </c>
      <c r="Z143">
        <f>Cancer_doubles_final2[[#This Row],[mlp_test_acc2]]</f>
        <v>0.90705128205128205</v>
      </c>
    </row>
    <row r="144" spans="1:26" hidden="1" x14ac:dyDescent="0.25">
      <c r="A144" t="s">
        <v>19</v>
      </c>
      <c r="B144">
        <v>3</v>
      </c>
      <c r="C144">
        <v>4</v>
      </c>
      <c r="D144">
        <v>0</v>
      </c>
      <c r="E144" t="s">
        <v>87</v>
      </c>
      <c r="F144">
        <v>14126</v>
      </c>
      <c r="G144">
        <v>15737307.249999998</v>
      </c>
      <c r="H144">
        <v>0.96037296205759048</v>
      </c>
      <c r="I144">
        <v>0.92540792540792538</v>
      </c>
      <c r="J144">
        <v>8040123.791666667</v>
      </c>
      <c r="K144">
        <v>26645</v>
      </c>
      <c r="L144">
        <v>2</v>
      </c>
      <c r="M144">
        <v>107</v>
      </c>
      <c r="N144">
        <v>0.92453379953379955</v>
      </c>
      <c r="O144">
        <v>7878221.791666666</v>
      </c>
      <c r="P144">
        <v>27110</v>
      </c>
      <c r="Q144">
        <v>2</v>
      </c>
      <c r="R144">
        <v>108</v>
      </c>
      <c r="S144" t="s">
        <v>137</v>
      </c>
      <c r="W144">
        <f>Cancer_doubles_final2[[#This Row],[mlp_params]]</f>
        <v>26645</v>
      </c>
      <c r="X144">
        <f>Cancer_doubles_final2[[#This Row],[kan_test_acc]]</f>
        <v>0.96037296205759048</v>
      </c>
      <c r="Y144">
        <f>Cancer_doubles_final2[[#This Row],[mlp_test_acc]]</f>
        <v>0.92540792540792538</v>
      </c>
      <c r="Z144">
        <f>Cancer_doubles_final2[[#This Row],[mlp_test_acc2]]</f>
        <v>0.92453379953379955</v>
      </c>
    </row>
    <row r="145" spans="1:26" hidden="1" x14ac:dyDescent="0.25">
      <c r="A145" t="s">
        <v>19</v>
      </c>
      <c r="B145">
        <v>5</v>
      </c>
      <c r="C145">
        <v>2</v>
      </c>
      <c r="D145">
        <v>0</v>
      </c>
      <c r="E145" t="s">
        <v>87</v>
      </c>
      <c r="F145">
        <v>14126</v>
      </c>
      <c r="G145">
        <v>21553677.875</v>
      </c>
      <c r="H145">
        <v>0.9860139936208725</v>
      </c>
      <c r="I145">
        <v>0.94143356643356646</v>
      </c>
      <c r="J145">
        <v>7922222.125</v>
      </c>
      <c r="K145">
        <v>20964</v>
      </c>
      <c r="L145">
        <v>2</v>
      </c>
      <c r="M145">
        <v>94</v>
      </c>
      <c r="N145">
        <v>0.94871794871794868</v>
      </c>
      <c r="O145">
        <v>8357105.666666666</v>
      </c>
      <c r="P145">
        <v>21377</v>
      </c>
      <c r="Q145">
        <v>2</v>
      </c>
      <c r="R145">
        <v>95</v>
      </c>
      <c r="S145" t="s">
        <v>138</v>
      </c>
      <c r="W145">
        <f>Cancer_doubles_final2[[#This Row],[mlp_params]]</f>
        <v>20964</v>
      </c>
      <c r="X145">
        <f>Cancer_doubles_final2[[#This Row],[kan_test_acc]]</f>
        <v>0.9860139936208725</v>
      </c>
      <c r="Y145">
        <f>Cancer_doubles_final2[[#This Row],[mlp_test_acc]]</f>
        <v>0.94143356643356646</v>
      </c>
      <c r="Z145">
        <f>Cancer_doubles_final2[[#This Row],[mlp_test_acc2]]</f>
        <v>0.94871794871794868</v>
      </c>
    </row>
    <row r="146" spans="1:26" hidden="1" x14ac:dyDescent="0.25">
      <c r="A146" t="s">
        <v>19</v>
      </c>
      <c r="B146">
        <v>3</v>
      </c>
      <c r="C146">
        <v>4</v>
      </c>
      <c r="D146">
        <v>0</v>
      </c>
      <c r="E146" t="s">
        <v>87</v>
      </c>
      <c r="F146">
        <v>14126</v>
      </c>
      <c r="G146">
        <v>21831501.583333336</v>
      </c>
      <c r="H146">
        <v>0.97960372269153595</v>
      </c>
      <c r="I146">
        <v>0.92832167832167833</v>
      </c>
      <c r="J146">
        <v>8190219.083333333</v>
      </c>
      <c r="K146">
        <v>26645</v>
      </c>
      <c r="L146">
        <v>2</v>
      </c>
      <c r="M146">
        <v>107</v>
      </c>
      <c r="N146">
        <v>0.93414918414918424</v>
      </c>
      <c r="O146">
        <v>8645846.5</v>
      </c>
      <c r="P146">
        <v>27110</v>
      </c>
      <c r="Q146">
        <v>2</v>
      </c>
      <c r="R146">
        <v>108</v>
      </c>
      <c r="S146" t="s">
        <v>137</v>
      </c>
      <c r="W146">
        <f>Cancer_doubles_final2[[#This Row],[mlp_params]]</f>
        <v>26645</v>
      </c>
      <c r="X146">
        <f>Cancer_doubles_final2[[#This Row],[kan_test_acc]]</f>
        <v>0.97960372269153595</v>
      </c>
      <c r="Y146">
        <f>Cancer_doubles_final2[[#This Row],[mlp_test_acc]]</f>
        <v>0.92832167832167833</v>
      </c>
      <c r="Z146">
        <f>Cancer_doubles_final2[[#This Row],[mlp_test_acc2]]</f>
        <v>0.93414918414918424</v>
      </c>
    </row>
    <row r="147" spans="1:26" hidden="1" x14ac:dyDescent="0.25">
      <c r="A147" t="s">
        <v>19</v>
      </c>
      <c r="B147">
        <v>5</v>
      </c>
      <c r="C147">
        <v>2</v>
      </c>
      <c r="D147">
        <v>0</v>
      </c>
      <c r="E147" t="s">
        <v>87</v>
      </c>
      <c r="F147">
        <v>14126</v>
      </c>
      <c r="G147">
        <v>17219424.666666668</v>
      </c>
      <c r="H147">
        <v>0.97465033084154129</v>
      </c>
      <c r="I147">
        <v>0.93123543123543118</v>
      </c>
      <c r="J147">
        <v>8320749.708333333</v>
      </c>
      <c r="K147">
        <v>20964</v>
      </c>
      <c r="L147">
        <v>2</v>
      </c>
      <c r="M147">
        <v>94</v>
      </c>
      <c r="N147">
        <v>0.92948717948717952</v>
      </c>
      <c r="O147">
        <v>8852335.6666666679</v>
      </c>
      <c r="P147">
        <v>21377</v>
      </c>
      <c r="Q147">
        <v>2</v>
      </c>
      <c r="R147">
        <v>95</v>
      </c>
      <c r="S147" t="s">
        <v>138</v>
      </c>
      <c r="W147">
        <f>Cancer_doubles_final2[[#This Row],[mlp_params]]</f>
        <v>20964</v>
      </c>
      <c r="X147">
        <f>Cancer_doubles_final2[[#This Row],[kan_test_acc]]</f>
        <v>0.97465033084154129</v>
      </c>
      <c r="Y147">
        <f>Cancer_doubles_final2[[#This Row],[mlp_test_acc]]</f>
        <v>0.93123543123543118</v>
      </c>
      <c r="Z147">
        <f>Cancer_doubles_final2[[#This Row],[mlp_test_acc2]]</f>
        <v>0.92948717948717952</v>
      </c>
    </row>
    <row r="148" spans="1:26" hidden="1" x14ac:dyDescent="0.25">
      <c r="A148" t="s">
        <v>19</v>
      </c>
      <c r="B148">
        <v>9</v>
      </c>
      <c r="C148">
        <v>5</v>
      </c>
      <c r="D148">
        <v>0</v>
      </c>
      <c r="E148" t="s">
        <v>24</v>
      </c>
      <c r="F148">
        <v>14172</v>
      </c>
      <c r="G148">
        <v>17267843.958333332</v>
      </c>
      <c r="H148">
        <v>0.95337993899981188</v>
      </c>
      <c r="I148">
        <v>0.94347319347319347</v>
      </c>
      <c r="J148">
        <v>8760956.875</v>
      </c>
      <c r="K148">
        <v>23069</v>
      </c>
      <c r="L148">
        <v>2</v>
      </c>
      <c r="M148">
        <v>99</v>
      </c>
      <c r="N148">
        <v>0.94230769230769229</v>
      </c>
      <c r="O148">
        <v>8185271.458333334</v>
      </c>
      <c r="P148">
        <v>23502</v>
      </c>
      <c r="Q148">
        <v>2</v>
      </c>
      <c r="R148">
        <v>100</v>
      </c>
      <c r="S148" t="s">
        <v>139</v>
      </c>
      <c r="W148">
        <f>Cancer_doubles_final2[[#This Row],[mlp_params]]</f>
        <v>23069</v>
      </c>
      <c r="X148">
        <f>Cancer_doubles_final2[[#This Row],[kan_test_acc]]</f>
        <v>0.95337993899981188</v>
      </c>
      <c r="Y148">
        <f>Cancer_doubles_final2[[#This Row],[mlp_test_acc]]</f>
        <v>0.94347319347319347</v>
      </c>
      <c r="Z148">
        <f>Cancer_doubles_final2[[#This Row],[mlp_test_acc2]]</f>
        <v>0.94230769230769229</v>
      </c>
    </row>
    <row r="149" spans="1:26" hidden="1" x14ac:dyDescent="0.25">
      <c r="A149" t="s">
        <v>19</v>
      </c>
      <c r="B149">
        <v>5</v>
      </c>
      <c r="C149">
        <v>5</v>
      </c>
      <c r="D149">
        <v>0</v>
      </c>
      <c r="E149" t="s">
        <v>47</v>
      </c>
      <c r="F149">
        <v>14180</v>
      </c>
      <c r="G149">
        <v>17532246.083333332</v>
      </c>
      <c r="H149">
        <v>0.93881118297576904</v>
      </c>
      <c r="I149">
        <v>0.94085081585081587</v>
      </c>
      <c r="J149">
        <v>8750828.2083333321</v>
      </c>
      <c r="K149">
        <v>25727</v>
      </c>
      <c r="L149">
        <v>2</v>
      </c>
      <c r="M149">
        <v>105</v>
      </c>
      <c r="N149">
        <v>0.9391025641025641</v>
      </c>
      <c r="O149">
        <v>7949879.166666667</v>
      </c>
      <c r="P149">
        <v>26184</v>
      </c>
      <c r="Q149">
        <v>2</v>
      </c>
      <c r="R149">
        <v>106</v>
      </c>
      <c r="S149" t="s">
        <v>140</v>
      </c>
      <c r="W149">
        <f>Cancer_doubles_final2[[#This Row],[mlp_params]]</f>
        <v>25727</v>
      </c>
      <c r="X149">
        <f>Cancer_doubles_final2[[#This Row],[kan_test_acc]]</f>
        <v>0.93881118297576904</v>
      </c>
      <c r="Y149">
        <f>Cancer_doubles_final2[[#This Row],[mlp_test_acc]]</f>
        <v>0.94085081585081587</v>
      </c>
      <c r="Z149">
        <f>Cancer_doubles_final2[[#This Row],[mlp_test_acc2]]</f>
        <v>0.9391025641025641</v>
      </c>
    </row>
    <row r="150" spans="1:26" hidden="1" x14ac:dyDescent="0.25">
      <c r="A150" t="s">
        <v>19</v>
      </c>
      <c r="B150">
        <v>9</v>
      </c>
      <c r="C150">
        <v>4</v>
      </c>
      <c r="D150">
        <v>0</v>
      </c>
      <c r="E150" t="s">
        <v>29</v>
      </c>
      <c r="F150">
        <v>14366</v>
      </c>
      <c r="G150">
        <v>18871951.361111112</v>
      </c>
      <c r="H150">
        <v>0.9485236952702204</v>
      </c>
      <c r="I150">
        <v>0.94988344988344986</v>
      </c>
      <c r="J150">
        <v>8290968.25</v>
      </c>
      <c r="K150">
        <v>22215</v>
      </c>
      <c r="L150">
        <v>2</v>
      </c>
      <c r="M150">
        <v>97</v>
      </c>
      <c r="N150">
        <v>0.95337995337995329</v>
      </c>
      <c r="O150">
        <v>8307658.194444444</v>
      </c>
      <c r="P150">
        <v>22640</v>
      </c>
      <c r="Q150">
        <v>2</v>
      </c>
      <c r="R150">
        <v>98</v>
      </c>
      <c r="S150" t="s">
        <v>141</v>
      </c>
      <c r="W150">
        <f>Cancer_doubles_final2[[#This Row],[mlp_params]]</f>
        <v>22215</v>
      </c>
      <c r="X150">
        <f>Cancer_doubles_final2[[#This Row],[kan_test_acc]]</f>
        <v>0.9485236952702204</v>
      </c>
      <c r="Y150">
        <f>Cancer_doubles_final2[[#This Row],[mlp_test_acc]]</f>
        <v>0.94988344988344986</v>
      </c>
      <c r="Z150">
        <f>Cancer_doubles_final2[[#This Row],[mlp_test_acc2]]</f>
        <v>0.95337995337995329</v>
      </c>
    </row>
    <row r="151" spans="1:26" hidden="1" x14ac:dyDescent="0.25">
      <c r="A151" t="s">
        <v>19</v>
      </c>
      <c r="B151">
        <v>9</v>
      </c>
      <c r="C151">
        <v>2</v>
      </c>
      <c r="D151">
        <v>0</v>
      </c>
      <c r="E151" t="s">
        <v>39</v>
      </c>
      <c r="F151">
        <v>14370</v>
      </c>
      <c r="G151">
        <v>16339502.625</v>
      </c>
      <c r="H151">
        <v>0.94784381240606308</v>
      </c>
      <c r="I151">
        <v>0.94289044289044288</v>
      </c>
      <c r="J151">
        <v>7403845.75</v>
      </c>
      <c r="K151">
        <v>19352</v>
      </c>
      <c r="L151">
        <v>2</v>
      </c>
      <c r="M151">
        <v>90</v>
      </c>
      <c r="N151">
        <v>0.94493006993006989</v>
      </c>
      <c r="O151">
        <v>7022701.708333334</v>
      </c>
      <c r="P151">
        <v>19749</v>
      </c>
      <c r="Q151">
        <v>2</v>
      </c>
      <c r="R151">
        <v>91</v>
      </c>
      <c r="S151" t="s">
        <v>142</v>
      </c>
      <c r="W151">
        <f>Cancer_doubles_final2[[#This Row],[mlp_params]]</f>
        <v>19352</v>
      </c>
      <c r="X151">
        <f>Cancer_doubles_final2[[#This Row],[kan_test_acc]]</f>
        <v>0.94784381240606308</v>
      </c>
      <c r="Y151">
        <f>Cancer_doubles_final2[[#This Row],[mlp_test_acc]]</f>
        <v>0.94289044289044288</v>
      </c>
      <c r="Z151">
        <f>Cancer_doubles_final2[[#This Row],[mlp_test_acc2]]</f>
        <v>0.94493006993006989</v>
      </c>
    </row>
    <row r="152" spans="1:26" hidden="1" x14ac:dyDescent="0.25">
      <c r="A152" t="s">
        <v>19</v>
      </c>
      <c r="B152">
        <v>3</v>
      </c>
      <c r="C152">
        <v>2</v>
      </c>
      <c r="D152">
        <v>0</v>
      </c>
      <c r="E152" t="s">
        <v>143</v>
      </c>
      <c r="F152">
        <v>14394</v>
      </c>
      <c r="G152">
        <v>12390741.388888888</v>
      </c>
      <c r="H152">
        <v>0.94599843356344437</v>
      </c>
      <c r="I152">
        <v>0.91919191919191912</v>
      </c>
      <c r="J152">
        <v>7109824.333333333</v>
      </c>
      <c r="K152">
        <v>23069</v>
      </c>
      <c r="L152">
        <v>2</v>
      </c>
      <c r="M152">
        <v>99</v>
      </c>
      <c r="N152">
        <v>0.92288267288267289</v>
      </c>
      <c r="O152">
        <v>7081057.333333333</v>
      </c>
      <c r="P152">
        <v>23502</v>
      </c>
      <c r="Q152">
        <v>2</v>
      </c>
      <c r="R152">
        <v>100</v>
      </c>
      <c r="S152" t="s">
        <v>144</v>
      </c>
      <c r="W152">
        <f>Cancer_doubles_final2[[#This Row],[mlp_params]]</f>
        <v>23069</v>
      </c>
      <c r="X152">
        <f>Cancer_doubles_final2[[#This Row],[kan_test_acc]]</f>
        <v>0.94599843356344437</v>
      </c>
      <c r="Y152">
        <f>Cancer_doubles_final2[[#This Row],[mlp_test_acc]]</f>
        <v>0.91919191919191912</v>
      </c>
      <c r="Z152">
        <f>Cancer_doubles_final2[[#This Row],[mlp_test_acc2]]</f>
        <v>0.92288267288267289</v>
      </c>
    </row>
    <row r="153" spans="1:26" hidden="1" x14ac:dyDescent="0.25">
      <c r="A153" t="s">
        <v>19</v>
      </c>
      <c r="B153">
        <v>9</v>
      </c>
      <c r="C153">
        <v>3</v>
      </c>
      <c r="D153">
        <v>0</v>
      </c>
      <c r="E153" t="s">
        <v>34</v>
      </c>
      <c r="F153">
        <v>14432</v>
      </c>
      <c r="G153">
        <v>14799427.916666666</v>
      </c>
      <c r="H153">
        <v>0.94949494136704338</v>
      </c>
      <c r="I153">
        <v>0.93648018648018649</v>
      </c>
      <c r="J153">
        <v>7871155.305555555</v>
      </c>
      <c r="K153">
        <v>20964</v>
      </c>
      <c r="L153">
        <v>2</v>
      </c>
      <c r="M153">
        <v>94</v>
      </c>
      <c r="N153">
        <v>0.93628593628593626</v>
      </c>
      <c r="O153">
        <v>8581875.3888888881</v>
      </c>
      <c r="P153">
        <v>21377</v>
      </c>
      <c r="Q153">
        <v>2</v>
      </c>
      <c r="R153">
        <v>95</v>
      </c>
      <c r="S153" t="s">
        <v>145</v>
      </c>
      <c r="W153">
        <f>Cancer_doubles_final2[[#This Row],[mlp_params]]</f>
        <v>20964</v>
      </c>
      <c r="X153">
        <f>Cancer_doubles_final2[[#This Row],[kan_test_acc]]</f>
        <v>0.94949494136704338</v>
      </c>
      <c r="Y153">
        <f>Cancer_doubles_final2[[#This Row],[mlp_test_acc]]</f>
        <v>0.93648018648018649</v>
      </c>
      <c r="Z153">
        <f>Cancer_doubles_final2[[#This Row],[mlp_test_acc2]]</f>
        <v>0.93628593628593626</v>
      </c>
    </row>
    <row r="154" spans="1:26" hidden="1" x14ac:dyDescent="0.25">
      <c r="A154" t="s">
        <v>19</v>
      </c>
      <c r="B154">
        <v>3</v>
      </c>
      <c r="C154">
        <v>3</v>
      </c>
      <c r="D154">
        <v>0</v>
      </c>
      <c r="E154" t="s">
        <v>116</v>
      </c>
      <c r="F154">
        <v>14452</v>
      </c>
      <c r="G154">
        <v>16569771.63888889</v>
      </c>
      <c r="H154">
        <v>0.93939393593205356</v>
      </c>
      <c r="I154">
        <v>0.92346542346542349</v>
      </c>
      <c r="J154">
        <v>7965105.222222222</v>
      </c>
      <c r="K154">
        <v>25274</v>
      </c>
      <c r="L154">
        <v>2</v>
      </c>
      <c r="M154">
        <v>104</v>
      </c>
      <c r="N154">
        <v>0.92443667443667443</v>
      </c>
      <c r="O154">
        <v>7623620.222222222</v>
      </c>
      <c r="P154">
        <v>25727</v>
      </c>
      <c r="Q154">
        <v>2</v>
      </c>
      <c r="R154">
        <v>105</v>
      </c>
      <c r="S154" t="s">
        <v>146</v>
      </c>
      <c r="W154">
        <f>Cancer_doubles_final2[[#This Row],[mlp_params]]</f>
        <v>25274</v>
      </c>
      <c r="X154">
        <f>Cancer_doubles_final2[[#This Row],[kan_test_acc]]</f>
        <v>0.93939393593205356</v>
      </c>
      <c r="Y154">
        <f>Cancer_doubles_final2[[#This Row],[mlp_test_acc]]</f>
        <v>0.92346542346542349</v>
      </c>
      <c r="Z154">
        <f>Cancer_doubles_final2[[#This Row],[mlp_test_acc2]]</f>
        <v>0.92443667443667443</v>
      </c>
    </row>
    <row r="155" spans="1:26" hidden="1" x14ac:dyDescent="0.25">
      <c r="A155" t="s">
        <v>19</v>
      </c>
      <c r="B155">
        <v>5</v>
      </c>
      <c r="C155">
        <v>4</v>
      </c>
      <c r="D155">
        <v>0</v>
      </c>
      <c r="E155" t="s">
        <v>60</v>
      </c>
      <c r="F155">
        <v>14632</v>
      </c>
      <c r="G155">
        <v>18798064.861111112</v>
      </c>
      <c r="H155">
        <v>0.96173271205690181</v>
      </c>
      <c r="I155">
        <v>0.94658119658119655</v>
      </c>
      <c r="J155">
        <v>7694305.166666667</v>
      </c>
      <c r="K155">
        <v>25274</v>
      </c>
      <c r="L155">
        <v>2</v>
      </c>
      <c r="M155">
        <v>104</v>
      </c>
      <c r="N155">
        <v>0.9442501942501943</v>
      </c>
      <c r="O155">
        <v>8834187.6388888881</v>
      </c>
      <c r="P155">
        <v>25727</v>
      </c>
      <c r="Q155">
        <v>2</v>
      </c>
      <c r="R155">
        <v>105</v>
      </c>
      <c r="S155" t="s">
        <v>147</v>
      </c>
      <c r="W155">
        <f>Cancer_doubles_final2[[#This Row],[mlp_params]]</f>
        <v>25274</v>
      </c>
      <c r="X155">
        <f>Cancer_doubles_final2[[#This Row],[kan_test_acc]]</f>
        <v>0.96173271205690181</v>
      </c>
      <c r="Y155">
        <f>Cancer_doubles_final2[[#This Row],[mlp_test_acc]]</f>
        <v>0.94658119658119655</v>
      </c>
      <c r="Z155">
        <f>Cancer_doubles_final2[[#This Row],[mlp_test_acc2]]</f>
        <v>0.9442501942501943</v>
      </c>
    </row>
    <row r="156" spans="1:26" hidden="1" x14ac:dyDescent="0.25">
      <c r="A156" t="s">
        <v>19</v>
      </c>
      <c r="B156">
        <v>3</v>
      </c>
      <c r="C156">
        <v>4</v>
      </c>
      <c r="D156">
        <v>0</v>
      </c>
      <c r="E156" t="s">
        <v>96</v>
      </c>
      <c r="F156">
        <v>14768</v>
      </c>
      <c r="G156">
        <v>17722639.1875</v>
      </c>
      <c r="H156">
        <v>0.96153846010565758</v>
      </c>
      <c r="I156">
        <v>0.93575174825174823</v>
      </c>
      <c r="J156">
        <v>8519633.1458333321</v>
      </c>
      <c r="K156">
        <v>27579</v>
      </c>
      <c r="L156">
        <v>2</v>
      </c>
      <c r="M156">
        <v>109</v>
      </c>
      <c r="N156">
        <v>0.93240093240093236</v>
      </c>
      <c r="O156">
        <v>9009226.25</v>
      </c>
      <c r="P156">
        <v>28052</v>
      </c>
      <c r="Q156">
        <v>2</v>
      </c>
      <c r="R156">
        <v>110</v>
      </c>
      <c r="S156" t="s">
        <v>148</v>
      </c>
      <c r="W156">
        <f>Cancer_doubles_final2[[#This Row],[mlp_params]]</f>
        <v>27579</v>
      </c>
      <c r="X156">
        <f>Cancer_doubles_final2[[#This Row],[kan_test_acc]]</f>
        <v>0.96153846010565758</v>
      </c>
      <c r="Y156">
        <f>Cancer_doubles_final2[[#This Row],[mlp_test_acc]]</f>
        <v>0.93575174825174823</v>
      </c>
      <c r="Z156">
        <f>Cancer_doubles_final2[[#This Row],[mlp_test_acc2]]</f>
        <v>0.93240093240093236</v>
      </c>
    </row>
    <row r="157" spans="1:26" hidden="1" x14ac:dyDescent="0.25">
      <c r="A157" t="s">
        <v>19</v>
      </c>
      <c r="B157">
        <v>5</v>
      </c>
      <c r="C157">
        <v>2</v>
      </c>
      <c r="D157">
        <v>0</v>
      </c>
      <c r="E157" t="s">
        <v>96</v>
      </c>
      <c r="F157">
        <v>14768</v>
      </c>
      <c r="G157">
        <v>19472076.833333332</v>
      </c>
      <c r="H157">
        <v>0.98339160780111945</v>
      </c>
      <c r="I157">
        <v>0.94463869463869465</v>
      </c>
      <c r="J157">
        <v>7966270</v>
      </c>
      <c r="K157">
        <v>21794</v>
      </c>
      <c r="L157">
        <v>2</v>
      </c>
      <c r="M157">
        <v>96</v>
      </c>
      <c r="N157">
        <v>0.94638694638694632</v>
      </c>
      <c r="O157">
        <v>8542479.583333334</v>
      </c>
      <c r="P157">
        <v>22215</v>
      </c>
      <c r="Q157">
        <v>2</v>
      </c>
      <c r="R157">
        <v>97</v>
      </c>
      <c r="S157" t="s">
        <v>149</v>
      </c>
      <c r="W157">
        <f>Cancer_doubles_final2[[#This Row],[mlp_params]]</f>
        <v>21794</v>
      </c>
      <c r="X157">
        <f>Cancer_doubles_final2[[#This Row],[kan_test_acc]]</f>
        <v>0.98339160780111945</v>
      </c>
      <c r="Y157">
        <f>Cancer_doubles_final2[[#This Row],[mlp_test_acc]]</f>
        <v>0.94463869463869465</v>
      </c>
      <c r="Z157">
        <f>Cancer_doubles_final2[[#This Row],[mlp_test_acc2]]</f>
        <v>0.94638694638694632</v>
      </c>
    </row>
    <row r="158" spans="1:26" hidden="1" x14ac:dyDescent="0.25">
      <c r="A158" t="s">
        <v>19</v>
      </c>
      <c r="B158">
        <v>3</v>
      </c>
      <c r="C158">
        <v>4</v>
      </c>
      <c r="D158">
        <v>0</v>
      </c>
      <c r="E158" t="s">
        <v>96</v>
      </c>
      <c r="F158">
        <v>14768</v>
      </c>
      <c r="G158">
        <v>19377457.916666668</v>
      </c>
      <c r="H158">
        <v>0.97931234290202451</v>
      </c>
      <c r="I158">
        <v>0.9306526806526807</v>
      </c>
      <c r="J158">
        <v>7972286.916666667</v>
      </c>
      <c r="K158">
        <v>27579</v>
      </c>
      <c r="L158">
        <v>2</v>
      </c>
      <c r="M158">
        <v>109</v>
      </c>
      <c r="N158">
        <v>0.93240093240093236</v>
      </c>
      <c r="O158">
        <v>9106409.9583333321</v>
      </c>
      <c r="P158">
        <v>28052</v>
      </c>
      <c r="Q158">
        <v>2</v>
      </c>
      <c r="R158">
        <v>110</v>
      </c>
      <c r="S158" t="s">
        <v>148</v>
      </c>
      <c r="W158">
        <f>Cancer_doubles_final2[[#This Row],[mlp_params]]</f>
        <v>27579</v>
      </c>
      <c r="X158">
        <f>Cancer_doubles_final2[[#This Row],[kan_test_acc]]</f>
        <v>0.97931234290202451</v>
      </c>
      <c r="Y158">
        <f>Cancer_doubles_final2[[#This Row],[mlp_test_acc]]</f>
        <v>0.9306526806526807</v>
      </c>
      <c r="Z158">
        <f>Cancer_doubles_final2[[#This Row],[mlp_test_acc2]]</f>
        <v>0.93240093240093236</v>
      </c>
    </row>
    <row r="159" spans="1:26" hidden="1" x14ac:dyDescent="0.25">
      <c r="A159" t="s">
        <v>19</v>
      </c>
      <c r="B159">
        <v>5</v>
      </c>
      <c r="C159">
        <v>2</v>
      </c>
      <c r="D159">
        <v>0</v>
      </c>
      <c r="E159" t="s">
        <v>96</v>
      </c>
      <c r="F159">
        <v>14768</v>
      </c>
      <c r="G159">
        <v>17614617.375</v>
      </c>
      <c r="H159">
        <v>0.97639858225981391</v>
      </c>
      <c r="I159">
        <v>0.93240093240093247</v>
      </c>
      <c r="J159">
        <v>8452089.4583333321</v>
      </c>
      <c r="K159">
        <v>21794</v>
      </c>
      <c r="L159">
        <v>2</v>
      </c>
      <c r="M159">
        <v>96</v>
      </c>
      <c r="N159">
        <v>0.9306526806526807</v>
      </c>
      <c r="O159">
        <v>9045446.25</v>
      </c>
      <c r="P159">
        <v>22215</v>
      </c>
      <c r="Q159">
        <v>2</v>
      </c>
      <c r="R159">
        <v>97</v>
      </c>
      <c r="S159" t="s">
        <v>149</v>
      </c>
      <c r="W159">
        <f>Cancer_doubles_final2[[#This Row],[mlp_params]]</f>
        <v>21794</v>
      </c>
      <c r="X159">
        <f>Cancer_doubles_final2[[#This Row],[kan_test_acc]]</f>
        <v>0.97639858225981391</v>
      </c>
      <c r="Y159">
        <f>Cancer_doubles_final2[[#This Row],[mlp_test_acc]]</f>
        <v>0.93240093240093247</v>
      </c>
      <c r="Z159">
        <f>Cancer_doubles_final2[[#This Row],[mlp_test_acc2]]</f>
        <v>0.9306526806526807</v>
      </c>
    </row>
    <row r="160" spans="1:26" x14ac:dyDescent="0.25">
      <c r="A160" t="s">
        <v>19</v>
      </c>
      <c r="B160">
        <v>3</v>
      </c>
      <c r="C160">
        <v>5</v>
      </c>
      <c r="D160">
        <v>0</v>
      </c>
      <c r="E160" t="s">
        <v>78</v>
      </c>
      <c r="F160">
        <v>14828</v>
      </c>
      <c r="G160">
        <v>19638146.583333336</v>
      </c>
      <c r="H160">
        <v>0.9810605992873509</v>
      </c>
      <c r="I160">
        <v>0.94667832167832167</v>
      </c>
      <c r="J160">
        <v>9014353.125</v>
      </c>
      <c r="K160">
        <v>29495</v>
      </c>
      <c r="L160">
        <v>2</v>
      </c>
      <c r="M160">
        <v>113</v>
      </c>
      <c r="N160">
        <v>0.94463869463869465</v>
      </c>
      <c r="O160">
        <v>8802095.625</v>
      </c>
      <c r="P160">
        <v>29984</v>
      </c>
      <c r="Q160">
        <v>2</v>
      </c>
      <c r="R160">
        <v>114</v>
      </c>
      <c r="S160" t="s">
        <v>150</v>
      </c>
      <c r="W160">
        <f>Cancer_doubles_final2[[#This Row],[mlp_params]]</f>
        <v>29495</v>
      </c>
      <c r="X160">
        <f>Cancer_doubles_final2[[#This Row],[kan_test_acc]]</f>
        <v>0.9810605992873509</v>
      </c>
      <c r="Y160">
        <f>Cancer_doubles_final2[[#This Row],[mlp_test_acc]]</f>
        <v>0.94667832167832167</v>
      </c>
      <c r="Z160">
        <f>Cancer_doubles_final2[[#This Row],[mlp_test_acc2]]</f>
        <v>0.94463869463869465</v>
      </c>
    </row>
    <row r="161" spans="1:26" hidden="1" x14ac:dyDescent="0.25">
      <c r="A161" t="s">
        <v>19</v>
      </c>
      <c r="B161">
        <v>5</v>
      </c>
      <c r="C161">
        <v>3</v>
      </c>
      <c r="D161">
        <v>0</v>
      </c>
      <c r="E161" t="s">
        <v>78</v>
      </c>
      <c r="F161">
        <v>14828</v>
      </c>
      <c r="G161">
        <v>19028120.166666664</v>
      </c>
      <c r="H161">
        <v>0.97698134928941727</v>
      </c>
      <c r="I161">
        <v>0.94871794871794868</v>
      </c>
      <c r="J161">
        <v>8382485.333333334</v>
      </c>
      <c r="K161">
        <v>23939</v>
      </c>
      <c r="L161">
        <v>2</v>
      </c>
      <c r="M161">
        <v>101</v>
      </c>
      <c r="N161">
        <v>0.94376456876456871</v>
      </c>
      <c r="O161">
        <v>8843055.1666666679</v>
      </c>
      <c r="P161">
        <v>24380</v>
      </c>
      <c r="Q161">
        <v>2</v>
      </c>
      <c r="R161">
        <v>102</v>
      </c>
      <c r="S161" t="s">
        <v>151</v>
      </c>
      <c r="W161">
        <f>Cancer_doubles_final2[[#This Row],[mlp_params]]</f>
        <v>23939</v>
      </c>
      <c r="X161">
        <f>Cancer_doubles_final2[[#This Row],[kan_test_acc]]</f>
        <v>0.97698134928941727</v>
      </c>
      <c r="Y161">
        <f>Cancer_doubles_final2[[#This Row],[mlp_test_acc]]</f>
        <v>0.94871794871794868</v>
      </c>
      <c r="Z161">
        <f>Cancer_doubles_final2[[#This Row],[mlp_test_acc2]]</f>
        <v>0.94376456876456871</v>
      </c>
    </row>
    <row r="162" spans="1:26" x14ac:dyDescent="0.25">
      <c r="A162" t="s">
        <v>19</v>
      </c>
      <c r="B162">
        <v>3</v>
      </c>
      <c r="C162">
        <v>5</v>
      </c>
      <c r="D162">
        <v>0</v>
      </c>
      <c r="E162" t="s">
        <v>78</v>
      </c>
      <c r="F162">
        <v>14828</v>
      </c>
      <c r="G162">
        <v>20944294.041666664</v>
      </c>
      <c r="H162">
        <v>0.96969695885976148</v>
      </c>
      <c r="I162">
        <v>0.93531468531468531</v>
      </c>
      <c r="J162">
        <v>7465306.416666666</v>
      </c>
      <c r="K162">
        <v>29495</v>
      </c>
      <c r="L162">
        <v>2</v>
      </c>
      <c r="M162">
        <v>113</v>
      </c>
      <c r="N162">
        <v>0.92482517482517479</v>
      </c>
      <c r="O162">
        <v>8435964.708333334</v>
      </c>
      <c r="P162">
        <v>29984</v>
      </c>
      <c r="Q162">
        <v>2</v>
      </c>
      <c r="R162">
        <v>114</v>
      </c>
      <c r="S162" t="s">
        <v>150</v>
      </c>
      <c r="W162">
        <f>Cancer_doubles_final2[[#This Row],[mlp_params]]</f>
        <v>29495</v>
      </c>
      <c r="X162">
        <f>Cancer_doubles_final2[[#This Row],[kan_test_acc]]</f>
        <v>0.96969695885976148</v>
      </c>
      <c r="Y162">
        <f>Cancer_doubles_final2[[#This Row],[mlp_test_acc]]</f>
        <v>0.93531468531468531</v>
      </c>
      <c r="Z162">
        <f>Cancer_doubles_final2[[#This Row],[mlp_test_acc2]]</f>
        <v>0.92482517482517479</v>
      </c>
    </row>
    <row r="163" spans="1:26" hidden="1" x14ac:dyDescent="0.25">
      <c r="A163" t="s">
        <v>19</v>
      </c>
      <c r="B163">
        <v>5</v>
      </c>
      <c r="C163">
        <v>3</v>
      </c>
      <c r="D163">
        <v>0</v>
      </c>
      <c r="E163" t="s">
        <v>78</v>
      </c>
      <c r="F163">
        <v>14828</v>
      </c>
      <c r="G163">
        <v>20095831.458333336</v>
      </c>
      <c r="H163">
        <v>0.95367132375637698</v>
      </c>
      <c r="I163">
        <v>0.91025641025641024</v>
      </c>
      <c r="J163">
        <v>7823503.875</v>
      </c>
      <c r="K163">
        <v>23939</v>
      </c>
      <c r="L163">
        <v>2</v>
      </c>
      <c r="M163">
        <v>101</v>
      </c>
      <c r="N163">
        <v>0.90821678321678312</v>
      </c>
      <c r="O163">
        <v>7659729.708333334</v>
      </c>
      <c r="P163">
        <v>24380</v>
      </c>
      <c r="Q163">
        <v>2</v>
      </c>
      <c r="R163">
        <v>102</v>
      </c>
      <c r="S163" t="s">
        <v>151</v>
      </c>
      <c r="W163">
        <f>Cancer_doubles_final2[[#This Row],[mlp_params]]</f>
        <v>23939</v>
      </c>
      <c r="X163">
        <f>Cancer_doubles_final2[[#This Row],[kan_test_acc]]</f>
        <v>0.95367132375637698</v>
      </c>
      <c r="Y163">
        <f>Cancer_doubles_final2[[#This Row],[mlp_test_acc]]</f>
        <v>0.91025641025641024</v>
      </c>
      <c r="Z163">
        <f>Cancer_doubles_final2[[#This Row],[mlp_test_acc2]]</f>
        <v>0.90821678321678312</v>
      </c>
    </row>
    <row r="164" spans="1:26" hidden="1" x14ac:dyDescent="0.25">
      <c r="A164" t="s">
        <v>19</v>
      </c>
      <c r="B164">
        <v>3</v>
      </c>
      <c r="C164">
        <v>2</v>
      </c>
      <c r="D164">
        <v>0</v>
      </c>
      <c r="E164" t="s">
        <v>152</v>
      </c>
      <c r="F164">
        <v>14908</v>
      </c>
      <c r="G164">
        <v>14408875</v>
      </c>
      <c r="H164">
        <v>0.95396270106236136</v>
      </c>
      <c r="I164">
        <v>0.91637529137529139</v>
      </c>
      <c r="J164">
        <v>7951007.458333333</v>
      </c>
      <c r="K164">
        <v>23939</v>
      </c>
      <c r="L164">
        <v>2</v>
      </c>
      <c r="M164">
        <v>101</v>
      </c>
      <c r="N164">
        <v>0.9268648018648018</v>
      </c>
      <c r="O164">
        <v>7773689.333333333</v>
      </c>
      <c r="P164">
        <v>24380</v>
      </c>
      <c r="Q164">
        <v>2</v>
      </c>
      <c r="R164">
        <v>102</v>
      </c>
      <c r="S164" t="s">
        <v>153</v>
      </c>
      <c r="W164">
        <f>Cancer_doubles_final2[[#This Row],[mlp_params]]</f>
        <v>23939</v>
      </c>
      <c r="X164">
        <f>Cancer_doubles_final2[[#This Row],[kan_test_acc]]</f>
        <v>0.95396270106236136</v>
      </c>
      <c r="Y164">
        <f>Cancer_doubles_final2[[#This Row],[mlp_test_acc]]</f>
        <v>0.91637529137529139</v>
      </c>
      <c r="Z164">
        <f>Cancer_doubles_final2[[#This Row],[mlp_test_acc2]]</f>
        <v>0.9268648018648018</v>
      </c>
    </row>
    <row r="165" spans="1:26" hidden="1" x14ac:dyDescent="0.25">
      <c r="A165" t="s">
        <v>19</v>
      </c>
      <c r="B165">
        <v>3</v>
      </c>
      <c r="C165">
        <v>2</v>
      </c>
      <c r="D165">
        <v>0</v>
      </c>
      <c r="E165" t="s">
        <v>154</v>
      </c>
      <c r="F165">
        <v>14942</v>
      </c>
      <c r="G165">
        <v>17135954.305555556</v>
      </c>
      <c r="H165">
        <v>0.96775445673200811</v>
      </c>
      <c r="I165">
        <v>0.94327894327894335</v>
      </c>
      <c r="J165">
        <v>8087383.166666666</v>
      </c>
      <c r="K165">
        <v>23939</v>
      </c>
      <c r="L165">
        <v>2</v>
      </c>
      <c r="M165">
        <v>101</v>
      </c>
      <c r="N165">
        <v>0.94580419580419584</v>
      </c>
      <c r="O165">
        <v>8773798.194444444</v>
      </c>
      <c r="P165">
        <v>24380</v>
      </c>
      <c r="Q165">
        <v>2</v>
      </c>
      <c r="R165">
        <v>102</v>
      </c>
      <c r="S165" t="s">
        <v>155</v>
      </c>
      <c r="W165">
        <f>Cancer_doubles_final2[[#This Row],[mlp_params]]</f>
        <v>23939</v>
      </c>
      <c r="X165">
        <f>Cancer_doubles_final2[[#This Row],[kan_test_acc]]</f>
        <v>0.96775445673200811</v>
      </c>
      <c r="Y165">
        <f>Cancer_doubles_final2[[#This Row],[mlp_test_acc]]</f>
        <v>0.94327894327894335</v>
      </c>
      <c r="Z165">
        <f>Cancer_doubles_final2[[#This Row],[mlp_test_acc2]]</f>
        <v>0.94580419580419584</v>
      </c>
    </row>
    <row r="166" spans="1:26" hidden="1" x14ac:dyDescent="0.25">
      <c r="A166" t="s">
        <v>19</v>
      </c>
      <c r="B166">
        <v>5</v>
      </c>
      <c r="C166">
        <v>5</v>
      </c>
      <c r="D166">
        <v>0</v>
      </c>
      <c r="E166" t="s">
        <v>56</v>
      </c>
      <c r="F166">
        <v>15014</v>
      </c>
      <c r="G166">
        <v>18617944.583333332</v>
      </c>
      <c r="H166">
        <v>0.96037294963995612</v>
      </c>
      <c r="I166">
        <v>0.93822843822843827</v>
      </c>
      <c r="J166">
        <v>8155433.305555555</v>
      </c>
      <c r="K166">
        <v>27579</v>
      </c>
      <c r="L166">
        <v>2</v>
      </c>
      <c r="M166">
        <v>109</v>
      </c>
      <c r="N166">
        <v>0.93939393939393945</v>
      </c>
      <c r="O166">
        <v>8599424.6111111119</v>
      </c>
      <c r="P166">
        <v>28052</v>
      </c>
      <c r="Q166">
        <v>2</v>
      </c>
      <c r="R166">
        <v>110</v>
      </c>
      <c r="S166" t="s">
        <v>156</v>
      </c>
      <c r="W166">
        <f>Cancer_doubles_final2[[#This Row],[mlp_params]]</f>
        <v>27579</v>
      </c>
      <c r="X166">
        <f>Cancer_doubles_final2[[#This Row],[kan_test_acc]]</f>
        <v>0.96037294963995612</v>
      </c>
      <c r="Y166">
        <f>Cancer_doubles_final2[[#This Row],[mlp_test_acc]]</f>
        <v>0.93822843822843827</v>
      </c>
      <c r="Z166">
        <f>Cancer_doubles_final2[[#This Row],[mlp_test_acc2]]</f>
        <v>0.93939393939393945</v>
      </c>
    </row>
    <row r="167" spans="1:26" hidden="1" x14ac:dyDescent="0.25">
      <c r="A167" t="s">
        <v>19</v>
      </c>
      <c r="B167">
        <v>3</v>
      </c>
      <c r="C167">
        <v>3</v>
      </c>
      <c r="D167">
        <v>0</v>
      </c>
      <c r="E167" t="s">
        <v>123</v>
      </c>
      <c r="F167">
        <v>15030</v>
      </c>
      <c r="G167">
        <v>19622329.611111112</v>
      </c>
      <c r="H167">
        <v>0.96134420567088652</v>
      </c>
      <c r="I167">
        <v>0.93939393939393945</v>
      </c>
      <c r="J167">
        <v>8034795.8611111119</v>
      </c>
      <c r="K167">
        <v>26645</v>
      </c>
      <c r="L167">
        <v>2</v>
      </c>
      <c r="M167">
        <v>107</v>
      </c>
      <c r="N167">
        <v>0.94522144522144524</v>
      </c>
      <c r="O167">
        <v>8303746.4722222229</v>
      </c>
      <c r="P167">
        <v>27110</v>
      </c>
      <c r="Q167">
        <v>2</v>
      </c>
      <c r="R167">
        <v>108</v>
      </c>
      <c r="S167" t="s">
        <v>157</v>
      </c>
      <c r="W167">
        <f>Cancer_doubles_final2[[#This Row],[mlp_params]]</f>
        <v>26645</v>
      </c>
      <c r="X167">
        <f>Cancer_doubles_final2[[#This Row],[kan_test_acc]]</f>
        <v>0.96134420567088652</v>
      </c>
      <c r="Y167">
        <f>Cancer_doubles_final2[[#This Row],[mlp_test_acc]]</f>
        <v>0.93939393939393945</v>
      </c>
      <c r="Z167">
        <f>Cancer_doubles_final2[[#This Row],[mlp_test_acc2]]</f>
        <v>0.94522144522144524</v>
      </c>
    </row>
    <row r="168" spans="1:26" hidden="1" x14ac:dyDescent="0.25">
      <c r="A168" t="s">
        <v>19</v>
      </c>
      <c r="B168">
        <v>9</v>
      </c>
      <c r="C168">
        <v>5</v>
      </c>
      <c r="D168">
        <v>0</v>
      </c>
      <c r="E168" t="s">
        <v>29</v>
      </c>
      <c r="F168">
        <v>15262</v>
      </c>
      <c r="G168">
        <v>21178819.527777776</v>
      </c>
      <c r="H168">
        <v>0.94483294586340594</v>
      </c>
      <c r="I168">
        <v>0.94502719502719501</v>
      </c>
      <c r="J168">
        <v>8705125.75</v>
      </c>
      <c r="K168">
        <v>24825</v>
      </c>
      <c r="L168">
        <v>2</v>
      </c>
      <c r="M168">
        <v>103</v>
      </c>
      <c r="N168">
        <v>0.94696969696969702</v>
      </c>
      <c r="O168">
        <v>7243027.055555556</v>
      </c>
      <c r="P168">
        <v>25274</v>
      </c>
      <c r="Q168">
        <v>2</v>
      </c>
      <c r="R168">
        <v>104</v>
      </c>
      <c r="S168" t="s">
        <v>158</v>
      </c>
      <c r="W168">
        <f>Cancer_doubles_final2[[#This Row],[mlp_params]]</f>
        <v>24825</v>
      </c>
      <c r="X168">
        <f>Cancer_doubles_final2[[#This Row],[kan_test_acc]]</f>
        <v>0.94483294586340594</v>
      </c>
      <c r="Y168">
        <f>Cancer_doubles_final2[[#This Row],[mlp_test_acc]]</f>
        <v>0.94502719502719501</v>
      </c>
      <c r="Z168">
        <f>Cancer_doubles_final2[[#This Row],[mlp_test_acc2]]</f>
        <v>0.94696969696969702</v>
      </c>
    </row>
    <row r="169" spans="1:26" hidden="1" x14ac:dyDescent="0.25">
      <c r="A169" t="s">
        <v>19</v>
      </c>
      <c r="B169">
        <v>9</v>
      </c>
      <c r="C169">
        <v>2</v>
      </c>
      <c r="D169">
        <v>0</v>
      </c>
      <c r="E169" t="s">
        <v>47</v>
      </c>
      <c r="F169">
        <v>15268</v>
      </c>
      <c r="G169">
        <v>18884776.25</v>
      </c>
      <c r="H169">
        <v>0.92249415814876556</v>
      </c>
      <c r="I169">
        <v>0.93356643356643354</v>
      </c>
      <c r="J169">
        <v>9005044.916666666</v>
      </c>
      <c r="K169">
        <v>20555</v>
      </c>
      <c r="L169">
        <v>2</v>
      </c>
      <c r="M169">
        <v>93</v>
      </c>
      <c r="N169">
        <v>0.93648018648018649</v>
      </c>
      <c r="O169">
        <v>8186962.958333333</v>
      </c>
      <c r="P169">
        <v>20964</v>
      </c>
      <c r="Q169">
        <v>2</v>
      </c>
      <c r="R169">
        <v>94</v>
      </c>
      <c r="S169" t="s">
        <v>159</v>
      </c>
      <c r="W169">
        <f>Cancer_doubles_final2[[#This Row],[mlp_params]]</f>
        <v>20555</v>
      </c>
      <c r="X169">
        <f>Cancer_doubles_final2[[#This Row],[kan_test_acc]]</f>
        <v>0.92249415814876556</v>
      </c>
      <c r="Y169">
        <f>Cancer_doubles_final2[[#This Row],[mlp_test_acc]]</f>
        <v>0.93356643356643354</v>
      </c>
      <c r="Z169">
        <f>Cancer_doubles_final2[[#This Row],[mlp_test_acc2]]</f>
        <v>0.93648018648018649</v>
      </c>
    </row>
    <row r="170" spans="1:26" hidden="1" x14ac:dyDescent="0.25">
      <c r="A170" t="s">
        <v>19</v>
      </c>
      <c r="B170">
        <v>9</v>
      </c>
      <c r="C170">
        <v>4</v>
      </c>
      <c r="D170">
        <v>0</v>
      </c>
      <c r="E170" t="s">
        <v>34</v>
      </c>
      <c r="F170">
        <v>15392</v>
      </c>
      <c r="G170">
        <v>17376329.416666668</v>
      </c>
      <c r="H170">
        <v>0.94114218486679924</v>
      </c>
      <c r="I170">
        <v>0.93045843045843046</v>
      </c>
      <c r="J170">
        <v>8329455.833333333</v>
      </c>
      <c r="K170">
        <v>23939</v>
      </c>
      <c r="L170">
        <v>2</v>
      </c>
      <c r="M170">
        <v>101</v>
      </c>
      <c r="N170">
        <v>0.93142968142968141</v>
      </c>
      <c r="O170">
        <v>8050808.888888889</v>
      </c>
      <c r="P170">
        <v>24380</v>
      </c>
      <c r="Q170">
        <v>2</v>
      </c>
      <c r="R170">
        <v>102</v>
      </c>
      <c r="S170" t="s">
        <v>160</v>
      </c>
      <c r="W170">
        <f>Cancer_doubles_final2[[#This Row],[mlp_params]]</f>
        <v>23939</v>
      </c>
      <c r="X170">
        <f>Cancer_doubles_final2[[#This Row],[kan_test_acc]]</f>
        <v>0.94114218486679924</v>
      </c>
      <c r="Y170">
        <f>Cancer_doubles_final2[[#This Row],[mlp_test_acc]]</f>
        <v>0.93045843045843046</v>
      </c>
      <c r="Z170">
        <f>Cancer_doubles_final2[[#This Row],[mlp_test_acc2]]</f>
        <v>0.93142968142968141</v>
      </c>
    </row>
    <row r="171" spans="1:26" hidden="1" x14ac:dyDescent="0.25">
      <c r="A171" t="s">
        <v>19</v>
      </c>
      <c r="B171">
        <v>9</v>
      </c>
      <c r="C171">
        <v>3</v>
      </c>
      <c r="D171">
        <v>0</v>
      </c>
      <c r="E171" t="s">
        <v>39</v>
      </c>
      <c r="F171">
        <v>15394</v>
      </c>
      <c r="G171">
        <v>19438397.25</v>
      </c>
      <c r="H171">
        <v>0.94755244503418612</v>
      </c>
      <c r="I171">
        <v>0.9443473193473193</v>
      </c>
      <c r="J171">
        <v>7640473.583333334</v>
      </c>
      <c r="K171">
        <v>22215</v>
      </c>
      <c r="L171">
        <v>2</v>
      </c>
      <c r="M171">
        <v>97</v>
      </c>
      <c r="N171">
        <v>0.94347319347319347</v>
      </c>
      <c r="O171">
        <v>9001821</v>
      </c>
      <c r="P171">
        <v>22640</v>
      </c>
      <c r="Q171">
        <v>2</v>
      </c>
      <c r="R171">
        <v>98</v>
      </c>
      <c r="S171" t="s">
        <v>161</v>
      </c>
      <c r="W171">
        <f>Cancer_doubles_final2[[#This Row],[mlp_params]]</f>
        <v>22215</v>
      </c>
      <c r="X171">
        <f>Cancer_doubles_final2[[#This Row],[kan_test_acc]]</f>
        <v>0.94755244503418612</v>
      </c>
      <c r="Y171">
        <f>Cancer_doubles_final2[[#This Row],[mlp_test_acc]]</f>
        <v>0.9443473193473193</v>
      </c>
      <c r="Z171">
        <f>Cancer_doubles_final2[[#This Row],[mlp_test_acc2]]</f>
        <v>0.94347319347319347</v>
      </c>
    </row>
    <row r="172" spans="1:26" hidden="1" x14ac:dyDescent="0.25">
      <c r="A172" t="s">
        <v>19</v>
      </c>
      <c r="B172">
        <v>5</v>
      </c>
      <c r="C172">
        <v>4</v>
      </c>
      <c r="D172">
        <v>0</v>
      </c>
      <c r="E172" t="s">
        <v>70</v>
      </c>
      <c r="F172">
        <v>15402</v>
      </c>
      <c r="G172">
        <v>17636311.833333336</v>
      </c>
      <c r="H172">
        <v>0.94619269337919021</v>
      </c>
      <c r="I172">
        <v>0.92443667443667443</v>
      </c>
      <c r="J172">
        <v>8545212.305555556</v>
      </c>
      <c r="K172">
        <v>26645</v>
      </c>
      <c r="L172">
        <v>2</v>
      </c>
      <c r="M172">
        <v>107</v>
      </c>
      <c r="N172">
        <v>0.92851592851592846</v>
      </c>
      <c r="O172">
        <v>9365531.472222222</v>
      </c>
      <c r="P172">
        <v>27110</v>
      </c>
      <c r="Q172">
        <v>2</v>
      </c>
      <c r="R172">
        <v>108</v>
      </c>
      <c r="S172" t="s">
        <v>162</v>
      </c>
      <c r="W172">
        <f>Cancer_doubles_final2[[#This Row],[mlp_params]]</f>
        <v>26645</v>
      </c>
      <c r="X172">
        <f>Cancer_doubles_final2[[#This Row],[kan_test_acc]]</f>
        <v>0.94619269337919021</v>
      </c>
      <c r="Y172">
        <f>Cancer_doubles_final2[[#This Row],[mlp_test_acc]]</f>
        <v>0.92443667443667443</v>
      </c>
      <c r="Z172">
        <f>Cancer_doubles_final2[[#This Row],[mlp_test_acc2]]</f>
        <v>0.92851592851592846</v>
      </c>
    </row>
    <row r="173" spans="1:26" hidden="1" x14ac:dyDescent="0.25">
      <c r="A173" t="s">
        <v>19</v>
      </c>
      <c r="B173">
        <v>3</v>
      </c>
      <c r="C173">
        <v>4</v>
      </c>
      <c r="D173">
        <v>0</v>
      </c>
      <c r="E173" t="s">
        <v>106</v>
      </c>
      <c r="F173">
        <v>15410</v>
      </c>
      <c r="G173">
        <v>16764373.104166668</v>
      </c>
      <c r="H173">
        <v>0.96765734379490209</v>
      </c>
      <c r="I173">
        <v>0.93050699300699302</v>
      </c>
      <c r="J173">
        <v>8501473.104166666</v>
      </c>
      <c r="K173">
        <v>29010</v>
      </c>
      <c r="L173">
        <v>2</v>
      </c>
      <c r="M173">
        <v>112</v>
      </c>
      <c r="N173">
        <v>0.93458624708624705</v>
      </c>
      <c r="O173">
        <v>8658291.6875</v>
      </c>
      <c r="P173">
        <v>29495</v>
      </c>
      <c r="Q173">
        <v>2</v>
      </c>
      <c r="R173">
        <v>113</v>
      </c>
      <c r="S173" t="s">
        <v>163</v>
      </c>
      <c r="W173">
        <f>Cancer_doubles_final2[[#This Row],[mlp_params]]</f>
        <v>29010</v>
      </c>
      <c r="X173">
        <f>Cancer_doubles_final2[[#This Row],[kan_test_acc]]</f>
        <v>0.96765734379490209</v>
      </c>
      <c r="Y173">
        <f>Cancer_doubles_final2[[#This Row],[mlp_test_acc]]</f>
        <v>0.93050699300699302</v>
      </c>
      <c r="Z173">
        <f>Cancer_doubles_final2[[#This Row],[mlp_test_acc2]]</f>
        <v>0.93458624708624705</v>
      </c>
    </row>
    <row r="174" spans="1:26" hidden="1" x14ac:dyDescent="0.25">
      <c r="A174" t="s">
        <v>19</v>
      </c>
      <c r="B174">
        <v>5</v>
      </c>
      <c r="C174">
        <v>2</v>
      </c>
      <c r="D174">
        <v>0</v>
      </c>
      <c r="E174" t="s">
        <v>106</v>
      </c>
      <c r="F174">
        <v>15410</v>
      </c>
      <c r="G174">
        <v>19768970.791666668</v>
      </c>
      <c r="H174">
        <v>0.98339160780111945</v>
      </c>
      <c r="I174">
        <v>0.94230769230769229</v>
      </c>
      <c r="J174">
        <v>8276763.333333333</v>
      </c>
      <c r="K174">
        <v>23069</v>
      </c>
      <c r="L174">
        <v>2</v>
      </c>
      <c r="M174">
        <v>99</v>
      </c>
      <c r="N174">
        <v>0.94230769230769229</v>
      </c>
      <c r="O174">
        <v>8001326.208333334</v>
      </c>
      <c r="P174">
        <v>23502</v>
      </c>
      <c r="Q174">
        <v>2</v>
      </c>
      <c r="R174">
        <v>100</v>
      </c>
      <c r="S174" t="s">
        <v>164</v>
      </c>
      <c r="W174">
        <f>Cancer_doubles_final2[[#This Row],[mlp_params]]</f>
        <v>23069</v>
      </c>
      <c r="X174">
        <f>Cancer_doubles_final2[[#This Row],[kan_test_acc]]</f>
        <v>0.98339160780111945</v>
      </c>
      <c r="Y174">
        <f>Cancer_doubles_final2[[#This Row],[mlp_test_acc]]</f>
        <v>0.94230769230769229</v>
      </c>
      <c r="Z174">
        <f>Cancer_doubles_final2[[#This Row],[mlp_test_acc2]]</f>
        <v>0.94230769230769229</v>
      </c>
    </row>
    <row r="175" spans="1:26" hidden="1" x14ac:dyDescent="0.25">
      <c r="A175" t="s">
        <v>19</v>
      </c>
      <c r="B175">
        <v>3</v>
      </c>
      <c r="C175">
        <v>4</v>
      </c>
      <c r="D175">
        <v>0</v>
      </c>
      <c r="E175" t="s">
        <v>106</v>
      </c>
      <c r="F175">
        <v>15410</v>
      </c>
      <c r="G175">
        <v>19965867.833333336</v>
      </c>
      <c r="H175">
        <v>0.97931234041849768</v>
      </c>
      <c r="I175">
        <v>0.93123543123543129</v>
      </c>
      <c r="J175">
        <v>8503408.625</v>
      </c>
      <c r="K175">
        <v>29010</v>
      </c>
      <c r="L175">
        <v>2</v>
      </c>
      <c r="M175">
        <v>112</v>
      </c>
      <c r="N175">
        <v>0.93298368298368306</v>
      </c>
      <c r="O175">
        <v>8514490.583333334</v>
      </c>
      <c r="P175">
        <v>29495</v>
      </c>
      <c r="Q175">
        <v>2</v>
      </c>
      <c r="R175">
        <v>113</v>
      </c>
      <c r="S175" t="s">
        <v>163</v>
      </c>
      <c r="W175">
        <f>Cancer_doubles_final2[[#This Row],[mlp_params]]</f>
        <v>29010</v>
      </c>
      <c r="X175">
        <f>Cancer_doubles_final2[[#This Row],[kan_test_acc]]</f>
        <v>0.97931234041849768</v>
      </c>
      <c r="Y175">
        <f>Cancer_doubles_final2[[#This Row],[mlp_test_acc]]</f>
        <v>0.93123543123543129</v>
      </c>
      <c r="Z175">
        <f>Cancer_doubles_final2[[#This Row],[mlp_test_acc2]]</f>
        <v>0.93298368298368306</v>
      </c>
    </row>
    <row r="176" spans="1:26" hidden="1" x14ac:dyDescent="0.25">
      <c r="A176" t="s">
        <v>19</v>
      </c>
      <c r="B176">
        <v>5</v>
      </c>
      <c r="C176">
        <v>2</v>
      </c>
      <c r="D176">
        <v>0</v>
      </c>
      <c r="E176" t="s">
        <v>106</v>
      </c>
      <c r="F176">
        <v>15410</v>
      </c>
      <c r="G176">
        <v>19192239</v>
      </c>
      <c r="H176">
        <v>0.97552445779244101</v>
      </c>
      <c r="I176">
        <v>0.93240093240093247</v>
      </c>
      <c r="J176">
        <v>9014570.583333334</v>
      </c>
      <c r="K176">
        <v>23069</v>
      </c>
      <c r="L176">
        <v>2</v>
      </c>
      <c r="M176">
        <v>99</v>
      </c>
      <c r="N176">
        <v>0.93210955710955723</v>
      </c>
      <c r="O176">
        <v>9016320.791666666</v>
      </c>
      <c r="P176">
        <v>23502</v>
      </c>
      <c r="Q176">
        <v>2</v>
      </c>
      <c r="R176">
        <v>100</v>
      </c>
      <c r="S176" t="s">
        <v>164</v>
      </c>
      <c r="W176">
        <f>Cancer_doubles_final2[[#This Row],[mlp_params]]</f>
        <v>23069</v>
      </c>
      <c r="X176">
        <f>Cancer_doubles_final2[[#This Row],[kan_test_acc]]</f>
        <v>0.97552445779244101</v>
      </c>
      <c r="Y176">
        <f>Cancer_doubles_final2[[#This Row],[mlp_test_acc]]</f>
        <v>0.93240093240093247</v>
      </c>
      <c r="Z176">
        <f>Cancer_doubles_final2[[#This Row],[mlp_test_acc2]]</f>
        <v>0.93210955710955723</v>
      </c>
    </row>
    <row r="177" spans="1:26" hidden="1" x14ac:dyDescent="0.25">
      <c r="A177" t="s">
        <v>19</v>
      </c>
      <c r="B177">
        <v>3</v>
      </c>
      <c r="C177">
        <v>2</v>
      </c>
      <c r="D177">
        <v>0</v>
      </c>
      <c r="E177" t="s">
        <v>165</v>
      </c>
      <c r="F177">
        <v>15422</v>
      </c>
      <c r="G177">
        <v>17219973.916666664</v>
      </c>
      <c r="H177">
        <v>0.97202796240647638</v>
      </c>
      <c r="I177">
        <v>0.94318181818181823</v>
      </c>
      <c r="J177">
        <v>8291341.541666666</v>
      </c>
      <c r="K177">
        <v>24825</v>
      </c>
      <c r="L177">
        <v>2</v>
      </c>
      <c r="M177">
        <v>103</v>
      </c>
      <c r="N177">
        <v>0.94522144522144524</v>
      </c>
      <c r="O177">
        <v>9387287.5833333321</v>
      </c>
      <c r="P177">
        <v>25274</v>
      </c>
      <c r="Q177">
        <v>2</v>
      </c>
      <c r="R177">
        <v>104</v>
      </c>
      <c r="S177" t="s">
        <v>166</v>
      </c>
      <c r="W177">
        <f>Cancer_doubles_final2[[#This Row],[mlp_params]]</f>
        <v>24825</v>
      </c>
      <c r="X177">
        <f>Cancer_doubles_final2[[#This Row],[kan_test_acc]]</f>
        <v>0.97202796240647638</v>
      </c>
      <c r="Y177">
        <f>Cancer_doubles_final2[[#This Row],[mlp_test_acc]]</f>
        <v>0.94318181818181823</v>
      </c>
      <c r="Z177">
        <f>Cancer_doubles_final2[[#This Row],[mlp_test_acc2]]</f>
        <v>0.94522144522144524</v>
      </c>
    </row>
    <row r="178" spans="1:26" hidden="1" x14ac:dyDescent="0.25">
      <c r="A178" t="s">
        <v>19</v>
      </c>
      <c r="B178">
        <v>3</v>
      </c>
      <c r="C178">
        <v>2</v>
      </c>
      <c r="D178">
        <v>0</v>
      </c>
      <c r="E178" t="s">
        <v>167</v>
      </c>
      <c r="F178">
        <v>15456</v>
      </c>
      <c r="G178">
        <v>17984975</v>
      </c>
      <c r="H178">
        <v>0.96270394821961724</v>
      </c>
      <c r="I178">
        <v>0.94153069153069158</v>
      </c>
      <c r="J178">
        <v>8038531.388888889</v>
      </c>
      <c r="K178">
        <v>24825</v>
      </c>
      <c r="L178">
        <v>2</v>
      </c>
      <c r="M178">
        <v>103</v>
      </c>
      <c r="N178">
        <v>0.9456099456099456</v>
      </c>
      <c r="O178">
        <v>9422104.333333334</v>
      </c>
      <c r="P178">
        <v>25274</v>
      </c>
      <c r="Q178">
        <v>2</v>
      </c>
      <c r="R178">
        <v>104</v>
      </c>
      <c r="S178" t="s">
        <v>168</v>
      </c>
      <c r="W178">
        <f>Cancer_doubles_final2[[#This Row],[mlp_params]]</f>
        <v>24825</v>
      </c>
      <c r="X178">
        <f>Cancer_doubles_final2[[#This Row],[kan_test_acc]]</f>
        <v>0.96270394821961724</v>
      </c>
      <c r="Y178">
        <f>Cancer_doubles_final2[[#This Row],[mlp_test_acc]]</f>
        <v>0.94153069153069158</v>
      </c>
      <c r="Z178">
        <f>Cancer_doubles_final2[[#This Row],[mlp_test_acc2]]</f>
        <v>0.9456099456099456</v>
      </c>
    </row>
    <row r="179" spans="1:26" x14ac:dyDescent="0.25">
      <c r="A179" t="s">
        <v>19</v>
      </c>
      <c r="B179">
        <v>3</v>
      </c>
      <c r="C179">
        <v>5</v>
      </c>
      <c r="D179">
        <v>0</v>
      </c>
      <c r="E179" t="s">
        <v>87</v>
      </c>
      <c r="F179">
        <v>15534</v>
      </c>
      <c r="G179">
        <v>21575810.944444444</v>
      </c>
      <c r="H179">
        <v>0.96484070519606269</v>
      </c>
      <c r="I179">
        <v>0.94813519813519809</v>
      </c>
      <c r="J179">
        <v>8432195.3888888899</v>
      </c>
      <c r="K179">
        <v>30974</v>
      </c>
      <c r="L179">
        <v>2</v>
      </c>
      <c r="M179">
        <v>116</v>
      </c>
      <c r="N179">
        <v>0.94813519813519809</v>
      </c>
      <c r="O179">
        <v>9080481.583333334</v>
      </c>
      <c r="P179">
        <v>31475</v>
      </c>
      <c r="Q179">
        <v>2</v>
      </c>
      <c r="R179">
        <v>117</v>
      </c>
      <c r="S179" t="s">
        <v>169</v>
      </c>
      <c r="W179">
        <f>Cancer_doubles_final2[[#This Row],[mlp_params]]</f>
        <v>30974</v>
      </c>
      <c r="X179">
        <f>Cancer_doubles_final2[[#This Row],[kan_test_acc]]</f>
        <v>0.96484070519606269</v>
      </c>
      <c r="Y179">
        <f>Cancer_doubles_final2[[#This Row],[mlp_test_acc]]</f>
        <v>0.94813519813519809</v>
      </c>
      <c r="Z179">
        <f>Cancer_doubles_final2[[#This Row],[mlp_test_acc2]]</f>
        <v>0.94813519813519809</v>
      </c>
    </row>
    <row r="180" spans="1:26" hidden="1" x14ac:dyDescent="0.25">
      <c r="A180" t="s">
        <v>19</v>
      </c>
      <c r="B180">
        <v>5</v>
      </c>
      <c r="C180">
        <v>3</v>
      </c>
      <c r="D180">
        <v>0</v>
      </c>
      <c r="E180" t="s">
        <v>87</v>
      </c>
      <c r="F180">
        <v>15534</v>
      </c>
      <c r="G180">
        <v>19514544.791666664</v>
      </c>
      <c r="H180">
        <v>0.97552447269360221</v>
      </c>
      <c r="I180">
        <v>0.95250582750582757</v>
      </c>
      <c r="J180">
        <v>8937312.0416666679</v>
      </c>
      <c r="K180">
        <v>25274</v>
      </c>
      <c r="L180">
        <v>2</v>
      </c>
      <c r="M180">
        <v>104</v>
      </c>
      <c r="N180">
        <v>0.94842657342657344</v>
      </c>
      <c r="O180">
        <v>8804803.2916666679</v>
      </c>
      <c r="P180">
        <v>25727</v>
      </c>
      <c r="Q180">
        <v>2</v>
      </c>
      <c r="R180">
        <v>105</v>
      </c>
      <c r="S180" t="s">
        <v>170</v>
      </c>
      <c r="W180">
        <f>Cancer_doubles_final2[[#This Row],[mlp_params]]</f>
        <v>25274</v>
      </c>
      <c r="X180">
        <f>Cancer_doubles_final2[[#This Row],[kan_test_acc]]</f>
        <v>0.97552447269360221</v>
      </c>
      <c r="Y180">
        <f>Cancer_doubles_final2[[#This Row],[mlp_test_acc]]</f>
        <v>0.95250582750582757</v>
      </c>
      <c r="Z180">
        <f>Cancer_doubles_final2[[#This Row],[mlp_test_acc2]]</f>
        <v>0.94842657342657344</v>
      </c>
    </row>
    <row r="181" spans="1:26" x14ac:dyDescent="0.25">
      <c r="A181" t="s">
        <v>19</v>
      </c>
      <c r="B181">
        <v>3</v>
      </c>
      <c r="C181">
        <v>5</v>
      </c>
      <c r="D181">
        <v>0</v>
      </c>
      <c r="E181" t="s">
        <v>87</v>
      </c>
      <c r="F181">
        <v>15534</v>
      </c>
      <c r="G181">
        <v>22609578.041666664</v>
      </c>
      <c r="H181">
        <v>0.96911420921484626</v>
      </c>
      <c r="I181">
        <v>0.93414918414918424</v>
      </c>
      <c r="J181">
        <v>8607457.25</v>
      </c>
      <c r="K181">
        <v>30974</v>
      </c>
      <c r="L181">
        <v>2</v>
      </c>
      <c r="M181">
        <v>116</v>
      </c>
      <c r="N181">
        <v>0.92977855477855487</v>
      </c>
      <c r="O181">
        <v>8016863.333333334</v>
      </c>
      <c r="P181">
        <v>31475</v>
      </c>
      <c r="Q181">
        <v>2</v>
      </c>
      <c r="R181">
        <v>117</v>
      </c>
      <c r="S181" t="s">
        <v>169</v>
      </c>
      <c r="W181">
        <f>Cancer_doubles_final2[[#This Row],[mlp_params]]</f>
        <v>30974</v>
      </c>
      <c r="X181">
        <f>Cancer_doubles_final2[[#This Row],[kan_test_acc]]</f>
        <v>0.96911420921484626</v>
      </c>
      <c r="Y181">
        <f>Cancer_doubles_final2[[#This Row],[mlp_test_acc]]</f>
        <v>0.93414918414918424</v>
      </c>
      <c r="Z181">
        <f>Cancer_doubles_final2[[#This Row],[mlp_test_acc2]]</f>
        <v>0.92977855477855487</v>
      </c>
    </row>
    <row r="182" spans="1:26" hidden="1" x14ac:dyDescent="0.25">
      <c r="A182" t="s">
        <v>19</v>
      </c>
      <c r="B182">
        <v>5</v>
      </c>
      <c r="C182">
        <v>3</v>
      </c>
      <c r="D182">
        <v>0</v>
      </c>
      <c r="E182" t="s">
        <v>87</v>
      </c>
      <c r="F182">
        <v>15534</v>
      </c>
      <c r="G182">
        <v>21646013.208333332</v>
      </c>
      <c r="H182">
        <v>0.95600232730309165</v>
      </c>
      <c r="I182">
        <v>0.90675990675990681</v>
      </c>
      <c r="J182">
        <v>7464093.583333334</v>
      </c>
      <c r="K182">
        <v>25274</v>
      </c>
      <c r="L182">
        <v>2</v>
      </c>
      <c r="M182">
        <v>104</v>
      </c>
      <c r="N182">
        <v>0.90909090909090917</v>
      </c>
      <c r="O182">
        <v>7661176.333333334</v>
      </c>
      <c r="P182">
        <v>25727</v>
      </c>
      <c r="Q182">
        <v>2</v>
      </c>
      <c r="R182">
        <v>105</v>
      </c>
      <c r="S182" t="s">
        <v>170</v>
      </c>
      <c r="W182">
        <f>Cancer_doubles_final2[[#This Row],[mlp_params]]</f>
        <v>25274</v>
      </c>
      <c r="X182">
        <f>Cancer_doubles_final2[[#This Row],[kan_test_acc]]</f>
        <v>0.95600232730309165</v>
      </c>
      <c r="Y182">
        <f>Cancer_doubles_final2[[#This Row],[mlp_test_acc]]</f>
        <v>0.90675990675990681</v>
      </c>
      <c r="Z182">
        <f>Cancer_doubles_final2[[#This Row],[mlp_test_acc2]]</f>
        <v>0.90909090909090917</v>
      </c>
    </row>
    <row r="183" spans="1:26" hidden="1" x14ac:dyDescent="0.25">
      <c r="A183" t="s">
        <v>19</v>
      </c>
      <c r="B183">
        <v>3</v>
      </c>
      <c r="C183">
        <v>3</v>
      </c>
      <c r="D183">
        <v>0</v>
      </c>
      <c r="E183" t="s">
        <v>133</v>
      </c>
      <c r="F183">
        <v>15608</v>
      </c>
      <c r="G183">
        <v>20260607.583333332</v>
      </c>
      <c r="H183">
        <v>0.9577505812048912</v>
      </c>
      <c r="I183">
        <v>0.9184149184149184</v>
      </c>
      <c r="J183">
        <v>7633153.5</v>
      </c>
      <c r="K183">
        <v>27579</v>
      </c>
      <c r="L183">
        <v>2</v>
      </c>
      <c r="M183">
        <v>109</v>
      </c>
      <c r="N183">
        <v>0.92511655011655014</v>
      </c>
      <c r="O183">
        <v>8358130.541666667</v>
      </c>
      <c r="P183">
        <v>28052</v>
      </c>
      <c r="Q183">
        <v>2</v>
      </c>
      <c r="R183">
        <v>110</v>
      </c>
      <c r="S183" t="s">
        <v>171</v>
      </c>
      <c r="W183">
        <f>Cancer_doubles_final2[[#This Row],[mlp_params]]</f>
        <v>27579</v>
      </c>
      <c r="X183">
        <f>Cancer_doubles_final2[[#This Row],[kan_test_acc]]</f>
        <v>0.9577505812048912</v>
      </c>
      <c r="Y183">
        <f>Cancer_doubles_final2[[#This Row],[mlp_test_acc]]</f>
        <v>0.9184149184149184</v>
      </c>
      <c r="Z183">
        <f>Cancer_doubles_final2[[#This Row],[mlp_test_acc2]]</f>
        <v>0.92511655011655014</v>
      </c>
    </row>
    <row r="184" spans="1:26" hidden="1" x14ac:dyDescent="0.25">
      <c r="A184" t="s">
        <v>19</v>
      </c>
      <c r="B184">
        <v>5</v>
      </c>
      <c r="C184">
        <v>5</v>
      </c>
      <c r="D184">
        <v>0</v>
      </c>
      <c r="E184" t="s">
        <v>60</v>
      </c>
      <c r="F184">
        <v>15848</v>
      </c>
      <c r="G184">
        <v>20944327.138888888</v>
      </c>
      <c r="H184">
        <v>0.96697746217250824</v>
      </c>
      <c r="I184">
        <v>0.93725718725718732</v>
      </c>
      <c r="J184">
        <v>8784459.805555556</v>
      </c>
      <c r="K184">
        <v>29010</v>
      </c>
      <c r="L184">
        <v>2</v>
      </c>
      <c r="M184">
        <v>112</v>
      </c>
      <c r="N184">
        <v>0.93783993783993791</v>
      </c>
      <c r="O184">
        <v>7979122.055555556</v>
      </c>
      <c r="P184">
        <v>29495</v>
      </c>
      <c r="Q184">
        <v>2</v>
      </c>
      <c r="R184">
        <v>113</v>
      </c>
      <c r="S184" t="s">
        <v>172</v>
      </c>
      <c r="W184">
        <f>Cancer_doubles_final2[[#This Row],[mlp_params]]</f>
        <v>29010</v>
      </c>
      <c r="X184">
        <f>Cancer_doubles_final2[[#This Row],[kan_test_acc]]</f>
        <v>0.96697746217250824</v>
      </c>
      <c r="Y184">
        <f>Cancer_doubles_final2[[#This Row],[mlp_test_acc]]</f>
        <v>0.93725718725718732</v>
      </c>
      <c r="Z184">
        <f>Cancer_doubles_final2[[#This Row],[mlp_test_acc2]]</f>
        <v>0.93783993783993791</v>
      </c>
    </row>
    <row r="185" spans="1:26" hidden="1" x14ac:dyDescent="0.25">
      <c r="A185" t="s">
        <v>19</v>
      </c>
      <c r="B185">
        <v>3</v>
      </c>
      <c r="C185">
        <v>2</v>
      </c>
      <c r="D185">
        <v>0</v>
      </c>
      <c r="E185" t="s">
        <v>173</v>
      </c>
      <c r="F185">
        <v>15904</v>
      </c>
      <c r="G185">
        <v>24869771.166666668</v>
      </c>
      <c r="H185">
        <v>0.97513597044679845</v>
      </c>
      <c r="I185">
        <v>0.93881118881118886</v>
      </c>
      <c r="J185">
        <v>8471010.527777778</v>
      </c>
      <c r="K185">
        <v>25727</v>
      </c>
      <c r="L185">
        <v>2</v>
      </c>
      <c r="M185">
        <v>105</v>
      </c>
      <c r="N185">
        <v>0.93997668997668993</v>
      </c>
      <c r="O185">
        <v>8760288.25</v>
      </c>
      <c r="P185">
        <v>26184</v>
      </c>
      <c r="Q185">
        <v>2</v>
      </c>
      <c r="R185">
        <v>106</v>
      </c>
      <c r="S185" t="s">
        <v>174</v>
      </c>
      <c r="W185">
        <f>Cancer_doubles_final2[[#This Row],[mlp_params]]</f>
        <v>25727</v>
      </c>
      <c r="X185">
        <f>Cancer_doubles_final2[[#This Row],[kan_test_acc]]</f>
        <v>0.97513597044679845</v>
      </c>
      <c r="Y185">
        <f>Cancer_doubles_final2[[#This Row],[mlp_test_acc]]</f>
        <v>0.93881118881118886</v>
      </c>
      <c r="Z185">
        <f>Cancer_doubles_final2[[#This Row],[mlp_test_acc2]]</f>
        <v>0.93997668997668993</v>
      </c>
    </row>
    <row r="186" spans="1:26" hidden="1" x14ac:dyDescent="0.25">
      <c r="A186" t="s">
        <v>19</v>
      </c>
      <c r="B186">
        <v>3</v>
      </c>
      <c r="C186">
        <v>2</v>
      </c>
      <c r="D186">
        <v>0</v>
      </c>
      <c r="E186" t="s">
        <v>175</v>
      </c>
      <c r="F186">
        <v>15936</v>
      </c>
      <c r="G186">
        <v>29118702.083333336</v>
      </c>
      <c r="H186">
        <v>0.96056720283296371</v>
      </c>
      <c r="I186">
        <v>0.94405594405594406</v>
      </c>
      <c r="J186">
        <v>8714947.833333334</v>
      </c>
      <c r="K186">
        <v>25727</v>
      </c>
      <c r="L186">
        <v>2</v>
      </c>
      <c r="M186">
        <v>105</v>
      </c>
      <c r="N186">
        <v>0.94289044289044288</v>
      </c>
      <c r="O186">
        <v>9339824.8611111119</v>
      </c>
      <c r="P186">
        <v>26184</v>
      </c>
      <c r="Q186">
        <v>2</v>
      </c>
      <c r="R186">
        <v>106</v>
      </c>
      <c r="S186" t="s">
        <v>176</v>
      </c>
      <c r="W186">
        <f>Cancer_doubles_final2[[#This Row],[mlp_params]]</f>
        <v>25727</v>
      </c>
      <c r="X186">
        <f>Cancer_doubles_final2[[#This Row],[kan_test_acc]]</f>
        <v>0.96056720283296371</v>
      </c>
      <c r="Y186">
        <f>Cancer_doubles_final2[[#This Row],[mlp_test_acc]]</f>
        <v>0.94405594405594406</v>
      </c>
      <c r="Z186">
        <f>Cancer_doubles_final2[[#This Row],[mlp_test_acc2]]</f>
        <v>0.94289044289044288</v>
      </c>
    </row>
    <row r="187" spans="1:26" hidden="1" x14ac:dyDescent="0.25">
      <c r="A187" t="s">
        <v>19</v>
      </c>
      <c r="B187">
        <v>3</v>
      </c>
      <c r="C187">
        <v>2</v>
      </c>
      <c r="D187">
        <v>0</v>
      </c>
      <c r="E187" t="s">
        <v>177</v>
      </c>
      <c r="F187">
        <v>15970</v>
      </c>
      <c r="G187">
        <v>21330222.111111112</v>
      </c>
      <c r="H187">
        <v>0.9619269486930635</v>
      </c>
      <c r="I187">
        <v>0.94444444444444442</v>
      </c>
      <c r="J187">
        <v>8456122.583333334</v>
      </c>
      <c r="K187">
        <v>25727</v>
      </c>
      <c r="L187">
        <v>2</v>
      </c>
      <c r="M187">
        <v>105</v>
      </c>
      <c r="N187">
        <v>0.94444444444444442</v>
      </c>
      <c r="O187">
        <v>9233539.277777778</v>
      </c>
      <c r="P187">
        <v>26184</v>
      </c>
      <c r="Q187">
        <v>2</v>
      </c>
      <c r="R187">
        <v>106</v>
      </c>
      <c r="S187" t="s">
        <v>178</v>
      </c>
      <c r="W187">
        <f>Cancer_doubles_final2[[#This Row],[mlp_params]]</f>
        <v>25727</v>
      </c>
      <c r="X187">
        <f>Cancer_doubles_final2[[#This Row],[kan_test_acc]]</f>
        <v>0.9619269486930635</v>
      </c>
      <c r="Y187">
        <f>Cancer_doubles_final2[[#This Row],[mlp_test_acc]]</f>
        <v>0.94444444444444442</v>
      </c>
      <c r="Z187">
        <f>Cancer_doubles_final2[[#This Row],[mlp_test_acc2]]</f>
        <v>0.94444444444444442</v>
      </c>
    </row>
    <row r="188" spans="1:26" hidden="1" x14ac:dyDescent="0.25">
      <c r="A188" t="s">
        <v>19</v>
      </c>
      <c r="B188">
        <v>3</v>
      </c>
      <c r="C188">
        <v>4</v>
      </c>
      <c r="D188">
        <v>0</v>
      </c>
      <c r="E188" t="s">
        <v>116</v>
      </c>
      <c r="F188">
        <v>16052</v>
      </c>
      <c r="G188">
        <v>25207824.75</v>
      </c>
      <c r="H188">
        <v>0.96367521252897048</v>
      </c>
      <c r="I188">
        <v>0.94522144522144524</v>
      </c>
      <c r="J188">
        <v>8553907.472222222</v>
      </c>
      <c r="K188">
        <v>29984</v>
      </c>
      <c r="L188">
        <v>2</v>
      </c>
      <c r="M188">
        <v>114</v>
      </c>
      <c r="N188">
        <v>0.94308469308469312</v>
      </c>
      <c r="O188">
        <v>8728274.75</v>
      </c>
      <c r="P188">
        <v>30477</v>
      </c>
      <c r="Q188">
        <v>2</v>
      </c>
      <c r="R188">
        <v>115</v>
      </c>
      <c r="S188" t="s">
        <v>179</v>
      </c>
      <c r="W188">
        <f>Cancer_doubles_final2[[#This Row],[mlp_params]]</f>
        <v>29984</v>
      </c>
      <c r="X188">
        <f>Cancer_doubles_final2[[#This Row],[kan_test_acc]]</f>
        <v>0.96367521252897048</v>
      </c>
      <c r="Y188">
        <f>Cancer_doubles_final2[[#This Row],[mlp_test_acc]]</f>
        <v>0.94522144522144524</v>
      </c>
      <c r="Z188">
        <f>Cancer_doubles_final2[[#This Row],[mlp_test_acc2]]</f>
        <v>0.94308469308469312</v>
      </c>
    </row>
    <row r="189" spans="1:26" hidden="1" x14ac:dyDescent="0.25">
      <c r="A189" t="s">
        <v>19</v>
      </c>
      <c r="B189">
        <v>5</v>
      </c>
      <c r="C189">
        <v>2</v>
      </c>
      <c r="D189">
        <v>0</v>
      </c>
      <c r="E189" t="s">
        <v>116</v>
      </c>
      <c r="F189">
        <v>16052</v>
      </c>
      <c r="G189">
        <v>22017353.291666668</v>
      </c>
      <c r="H189">
        <v>0.98280886063973116</v>
      </c>
      <c r="I189">
        <v>0.94376456876456871</v>
      </c>
      <c r="J189">
        <v>8247021.708333334</v>
      </c>
      <c r="K189">
        <v>23939</v>
      </c>
      <c r="L189">
        <v>2</v>
      </c>
      <c r="M189">
        <v>101</v>
      </c>
      <c r="N189">
        <v>0.94405594405594406</v>
      </c>
      <c r="O189">
        <v>7709052.25</v>
      </c>
      <c r="P189">
        <v>24380</v>
      </c>
      <c r="Q189">
        <v>2</v>
      </c>
      <c r="R189">
        <v>102</v>
      </c>
      <c r="S189" t="s">
        <v>180</v>
      </c>
      <c r="W189">
        <f>Cancer_doubles_final2[[#This Row],[mlp_params]]</f>
        <v>23939</v>
      </c>
      <c r="X189">
        <f>Cancer_doubles_final2[[#This Row],[kan_test_acc]]</f>
        <v>0.98280886063973116</v>
      </c>
      <c r="Y189">
        <f>Cancer_doubles_final2[[#This Row],[mlp_test_acc]]</f>
        <v>0.94376456876456871</v>
      </c>
      <c r="Z189">
        <f>Cancer_doubles_final2[[#This Row],[mlp_test_acc2]]</f>
        <v>0.94405594405594406</v>
      </c>
    </row>
    <row r="190" spans="1:26" hidden="1" x14ac:dyDescent="0.25">
      <c r="A190" t="s">
        <v>19</v>
      </c>
      <c r="B190">
        <v>3</v>
      </c>
      <c r="C190">
        <v>4</v>
      </c>
      <c r="D190">
        <v>0</v>
      </c>
      <c r="E190" t="s">
        <v>116</v>
      </c>
      <c r="F190">
        <v>16052</v>
      </c>
      <c r="G190">
        <v>20930808.625</v>
      </c>
      <c r="H190">
        <v>0.97756408900022507</v>
      </c>
      <c r="I190">
        <v>0.9306526806526807</v>
      </c>
      <c r="J190">
        <v>8662095.125</v>
      </c>
      <c r="K190">
        <v>29984</v>
      </c>
      <c r="L190">
        <v>2</v>
      </c>
      <c r="M190">
        <v>114</v>
      </c>
      <c r="N190">
        <v>0.9332750582750583</v>
      </c>
      <c r="O190">
        <v>8121112.166666667</v>
      </c>
      <c r="P190">
        <v>30477</v>
      </c>
      <c r="Q190">
        <v>2</v>
      </c>
      <c r="R190">
        <v>115</v>
      </c>
      <c r="S190" t="s">
        <v>179</v>
      </c>
      <c r="W190">
        <f>Cancer_doubles_final2[[#This Row],[mlp_params]]</f>
        <v>29984</v>
      </c>
      <c r="X190">
        <f>Cancer_doubles_final2[[#This Row],[kan_test_acc]]</f>
        <v>0.97756408900022507</v>
      </c>
      <c r="Y190">
        <f>Cancer_doubles_final2[[#This Row],[mlp_test_acc]]</f>
        <v>0.9306526806526807</v>
      </c>
      <c r="Z190">
        <f>Cancer_doubles_final2[[#This Row],[mlp_test_acc2]]</f>
        <v>0.9332750582750583</v>
      </c>
    </row>
    <row r="191" spans="1:26" hidden="1" x14ac:dyDescent="0.25">
      <c r="A191" t="s">
        <v>19</v>
      </c>
      <c r="B191">
        <v>5</v>
      </c>
      <c r="C191">
        <v>2</v>
      </c>
      <c r="D191">
        <v>0</v>
      </c>
      <c r="E191" t="s">
        <v>116</v>
      </c>
      <c r="F191">
        <v>16052</v>
      </c>
      <c r="G191">
        <v>19275423.625</v>
      </c>
      <c r="H191">
        <v>0.97465033084154129</v>
      </c>
      <c r="I191">
        <v>0.92977855477855487</v>
      </c>
      <c r="J191">
        <v>9049257.375</v>
      </c>
      <c r="K191">
        <v>23939</v>
      </c>
      <c r="L191">
        <v>2</v>
      </c>
      <c r="M191">
        <v>101</v>
      </c>
      <c r="N191">
        <v>0.93356643356643354</v>
      </c>
      <c r="O191">
        <v>8455554.083333334</v>
      </c>
      <c r="P191">
        <v>24380</v>
      </c>
      <c r="Q191">
        <v>2</v>
      </c>
      <c r="R191">
        <v>102</v>
      </c>
      <c r="S191" t="s">
        <v>180</v>
      </c>
      <c r="W191">
        <f>Cancer_doubles_final2[[#This Row],[mlp_params]]</f>
        <v>23939</v>
      </c>
      <c r="X191">
        <f>Cancer_doubles_final2[[#This Row],[kan_test_acc]]</f>
        <v>0.97465033084154129</v>
      </c>
      <c r="Y191">
        <f>Cancer_doubles_final2[[#This Row],[mlp_test_acc]]</f>
        <v>0.92977855477855487</v>
      </c>
      <c r="Z191">
        <f>Cancer_doubles_final2[[#This Row],[mlp_test_acc2]]</f>
        <v>0.93356643356643354</v>
      </c>
    </row>
    <row r="192" spans="1:26" hidden="1" x14ac:dyDescent="0.25">
      <c r="A192" t="s">
        <v>19</v>
      </c>
      <c r="B192">
        <v>9</v>
      </c>
      <c r="C192">
        <v>2</v>
      </c>
      <c r="D192">
        <v>0</v>
      </c>
      <c r="E192" t="s">
        <v>56</v>
      </c>
      <c r="F192">
        <v>16166</v>
      </c>
      <c r="G192">
        <v>17299823.25</v>
      </c>
      <c r="H192">
        <v>0.95629368722438812</v>
      </c>
      <c r="I192">
        <v>0.92890442890442892</v>
      </c>
      <c r="J192">
        <v>8023974.041666666</v>
      </c>
      <c r="K192">
        <v>21794</v>
      </c>
      <c r="L192">
        <v>2</v>
      </c>
      <c r="M192">
        <v>96</v>
      </c>
      <c r="N192">
        <v>0.93123543123543118</v>
      </c>
      <c r="O192">
        <v>8766974.75</v>
      </c>
      <c r="P192">
        <v>22215</v>
      </c>
      <c r="Q192">
        <v>2</v>
      </c>
      <c r="R192">
        <v>97</v>
      </c>
      <c r="S192" t="s">
        <v>181</v>
      </c>
      <c r="W192">
        <f>Cancer_doubles_final2[[#This Row],[mlp_params]]</f>
        <v>21794</v>
      </c>
      <c r="X192">
        <f>Cancer_doubles_final2[[#This Row],[kan_test_acc]]</f>
        <v>0.95629368722438812</v>
      </c>
      <c r="Y192">
        <f>Cancer_doubles_final2[[#This Row],[mlp_test_acc]]</f>
        <v>0.92890442890442892</v>
      </c>
      <c r="Z192">
        <f>Cancer_doubles_final2[[#This Row],[mlp_test_acc2]]</f>
        <v>0.93123543123543118</v>
      </c>
    </row>
    <row r="193" spans="1:26" hidden="1" x14ac:dyDescent="0.25">
      <c r="A193" t="s">
        <v>19</v>
      </c>
      <c r="B193">
        <v>5</v>
      </c>
      <c r="C193">
        <v>4</v>
      </c>
      <c r="D193">
        <v>0</v>
      </c>
      <c r="E193" t="s">
        <v>78</v>
      </c>
      <c r="F193">
        <v>16172</v>
      </c>
      <c r="G193">
        <v>17844991.361111108</v>
      </c>
      <c r="H193">
        <v>0.94891219006644356</v>
      </c>
      <c r="I193">
        <v>0.92307692307692313</v>
      </c>
      <c r="J193">
        <v>8177466.388888889</v>
      </c>
      <c r="K193">
        <v>28052</v>
      </c>
      <c r="L193">
        <v>2</v>
      </c>
      <c r="M193">
        <v>110</v>
      </c>
      <c r="N193">
        <v>0.92773892773892774</v>
      </c>
      <c r="O193">
        <v>8935253.083333334</v>
      </c>
      <c r="P193">
        <v>28529</v>
      </c>
      <c r="Q193">
        <v>2</v>
      </c>
      <c r="R193">
        <v>111</v>
      </c>
      <c r="S193" t="s">
        <v>182</v>
      </c>
      <c r="W193">
        <f>Cancer_doubles_final2[[#This Row],[mlp_params]]</f>
        <v>28052</v>
      </c>
      <c r="X193">
        <f>Cancer_doubles_final2[[#This Row],[kan_test_acc]]</f>
        <v>0.94891219006644356</v>
      </c>
      <c r="Y193">
        <f>Cancer_doubles_final2[[#This Row],[mlp_test_acc]]</f>
        <v>0.92307692307692313</v>
      </c>
      <c r="Z193">
        <f>Cancer_doubles_final2[[#This Row],[mlp_test_acc2]]</f>
        <v>0.92773892773892774</v>
      </c>
    </row>
    <row r="194" spans="1:26" hidden="1" x14ac:dyDescent="0.25">
      <c r="A194" t="s">
        <v>19</v>
      </c>
      <c r="B194">
        <v>3</v>
      </c>
      <c r="C194">
        <v>3</v>
      </c>
      <c r="D194">
        <v>0</v>
      </c>
      <c r="E194" t="s">
        <v>143</v>
      </c>
      <c r="F194">
        <v>16186</v>
      </c>
      <c r="G194">
        <v>18458993.0625</v>
      </c>
      <c r="H194">
        <v>0.96474358563621843</v>
      </c>
      <c r="I194">
        <v>0.92861305361305368</v>
      </c>
      <c r="J194">
        <v>8795206.208333334</v>
      </c>
      <c r="K194">
        <v>28529</v>
      </c>
      <c r="L194">
        <v>2</v>
      </c>
      <c r="M194">
        <v>111</v>
      </c>
      <c r="N194">
        <v>0.93444055944055948</v>
      </c>
      <c r="O194">
        <v>8995427.9166666679</v>
      </c>
      <c r="P194">
        <v>29010</v>
      </c>
      <c r="Q194">
        <v>2</v>
      </c>
      <c r="R194">
        <v>112</v>
      </c>
      <c r="S194" t="s">
        <v>183</v>
      </c>
      <c r="W194">
        <f>Cancer_doubles_final2[[#This Row],[mlp_params]]</f>
        <v>28529</v>
      </c>
      <c r="X194">
        <f>Cancer_doubles_final2[[#This Row],[kan_test_acc]]</f>
        <v>0.96474358563621843</v>
      </c>
      <c r="Y194">
        <f>Cancer_doubles_final2[[#This Row],[mlp_test_acc]]</f>
        <v>0.92861305361305368</v>
      </c>
      <c r="Z194">
        <f>Cancer_doubles_final2[[#This Row],[mlp_test_acc2]]</f>
        <v>0.93444055944055948</v>
      </c>
    </row>
    <row r="195" spans="1:26" x14ac:dyDescent="0.25">
      <c r="A195" t="s">
        <v>19</v>
      </c>
      <c r="B195">
        <v>3</v>
      </c>
      <c r="C195">
        <v>5</v>
      </c>
      <c r="D195">
        <v>0</v>
      </c>
      <c r="E195" t="s">
        <v>96</v>
      </c>
      <c r="F195">
        <v>16240</v>
      </c>
      <c r="G195">
        <v>24068166.194444444</v>
      </c>
      <c r="H195">
        <v>0.97416472434997559</v>
      </c>
      <c r="I195">
        <v>0.94930069930069927</v>
      </c>
      <c r="J195">
        <v>8547987.472222222</v>
      </c>
      <c r="K195">
        <v>31980</v>
      </c>
      <c r="L195">
        <v>2</v>
      </c>
      <c r="M195">
        <v>118</v>
      </c>
      <c r="N195">
        <v>0.94871794871794868</v>
      </c>
      <c r="O195">
        <v>9002661.75</v>
      </c>
      <c r="P195">
        <v>32489</v>
      </c>
      <c r="Q195">
        <v>2</v>
      </c>
      <c r="R195">
        <v>119</v>
      </c>
      <c r="S195" t="s">
        <v>184</v>
      </c>
      <c r="W195">
        <f>Cancer_doubles_final2[[#This Row],[mlp_params]]</f>
        <v>31980</v>
      </c>
      <c r="X195">
        <f>Cancer_doubles_final2[[#This Row],[kan_test_acc]]</f>
        <v>0.97416472434997559</v>
      </c>
      <c r="Y195">
        <f>Cancer_doubles_final2[[#This Row],[mlp_test_acc]]</f>
        <v>0.94930069930069927</v>
      </c>
      <c r="Z195">
        <f>Cancer_doubles_final2[[#This Row],[mlp_test_acc2]]</f>
        <v>0.94871794871794868</v>
      </c>
    </row>
    <row r="196" spans="1:26" hidden="1" x14ac:dyDescent="0.25">
      <c r="A196" t="s">
        <v>19</v>
      </c>
      <c r="B196">
        <v>5</v>
      </c>
      <c r="C196">
        <v>3</v>
      </c>
      <c r="D196">
        <v>0</v>
      </c>
      <c r="E196" t="s">
        <v>96</v>
      </c>
      <c r="F196">
        <v>16240</v>
      </c>
      <c r="G196">
        <v>23142025.541666668</v>
      </c>
      <c r="H196">
        <v>0.97552447766065598</v>
      </c>
      <c r="I196">
        <v>0.95046620046620045</v>
      </c>
      <c r="J196">
        <v>8497572.041666666</v>
      </c>
      <c r="K196">
        <v>26184</v>
      </c>
      <c r="L196">
        <v>2</v>
      </c>
      <c r="M196">
        <v>106</v>
      </c>
      <c r="N196">
        <v>0.94667832167832167</v>
      </c>
      <c r="O196">
        <v>8331094.291666666</v>
      </c>
      <c r="P196">
        <v>26645</v>
      </c>
      <c r="Q196">
        <v>2</v>
      </c>
      <c r="R196">
        <v>107</v>
      </c>
      <c r="S196" t="s">
        <v>185</v>
      </c>
      <c r="W196">
        <f>Cancer_doubles_final2[[#This Row],[mlp_params]]</f>
        <v>26184</v>
      </c>
      <c r="X196">
        <f>Cancer_doubles_final2[[#This Row],[kan_test_acc]]</f>
        <v>0.97552447766065598</v>
      </c>
      <c r="Y196">
        <f>Cancer_doubles_final2[[#This Row],[mlp_test_acc]]</f>
        <v>0.95046620046620045</v>
      </c>
      <c r="Z196">
        <f>Cancer_doubles_final2[[#This Row],[mlp_test_acc2]]</f>
        <v>0.94667832167832167</v>
      </c>
    </row>
    <row r="197" spans="1:26" x14ac:dyDescent="0.25">
      <c r="A197" t="s">
        <v>19</v>
      </c>
      <c r="B197">
        <v>3</v>
      </c>
      <c r="C197">
        <v>5</v>
      </c>
      <c r="D197">
        <v>0</v>
      </c>
      <c r="E197" t="s">
        <v>96</v>
      </c>
      <c r="F197">
        <v>16240</v>
      </c>
      <c r="G197">
        <v>24954168.625</v>
      </c>
      <c r="H197">
        <v>0.96882283935944236</v>
      </c>
      <c r="I197">
        <v>0.93123543123543129</v>
      </c>
      <c r="J197">
        <v>8834992.7083333321</v>
      </c>
      <c r="K197">
        <v>31980</v>
      </c>
      <c r="L197">
        <v>2</v>
      </c>
      <c r="M197">
        <v>118</v>
      </c>
      <c r="N197">
        <v>0.93210955710955723</v>
      </c>
      <c r="O197">
        <v>7805800.166666666</v>
      </c>
      <c r="P197">
        <v>32489</v>
      </c>
      <c r="Q197">
        <v>2</v>
      </c>
      <c r="R197">
        <v>119</v>
      </c>
      <c r="S197" t="s">
        <v>184</v>
      </c>
      <c r="W197">
        <f>Cancer_doubles_final2[[#This Row],[mlp_params]]</f>
        <v>31980</v>
      </c>
      <c r="X197">
        <f>Cancer_doubles_final2[[#This Row],[kan_test_acc]]</f>
        <v>0.96882283935944236</v>
      </c>
      <c r="Y197">
        <f>Cancer_doubles_final2[[#This Row],[mlp_test_acc]]</f>
        <v>0.93123543123543129</v>
      </c>
      <c r="Z197">
        <f>Cancer_doubles_final2[[#This Row],[mlp_test_acc2]]</f>
        <v>0.93210955710955723</v>
      </c>
    </row>
    <row r="198" spans="1:26" hidden="1" x14ac:dyDescent="0.25">
      <c r="A198" t="s">
        <v>19</v>
      </c>
      <c r="B198">
        <v>5</v>
      </c>
      <c r="C198">
        <v>3</v>
      </c>
      <c r="D198">
        <v>0</v>
      </c>
      <c r="E198" t="s">
        <v>96</v>
      </c>
      <c r="F198">
        <v>16240</v>
      </c>
      <c r="G198">
        <v>23899016</v>
      </c>
      <c r="H198">
        <v>0.95600232481956482</v>
      </c>
      <c r="I198">
        <v>0.90879953379953382</v>
      </c>
      <c r="J198">
        <v>7913431.083333333</v>
      </c>
      <c r="K198">
        <v>26184</v>
      </c>
      <c r="L198">
        <v>2</v>
      </c>
      <c r="M198">
        <v>106</v>
      </c>
      <c r="N198">
        <v>0.91142191142191153</v>
      </c>
      <c r="O198">
        <v>7623931.416666667</v>
      </c>
      <c r="P198">
        <v>26645</v>
      </c>
      <c r="Q198">
        <v>2</v>
      </c>
      <c r="R198">
        <v>107</v>
      </c>
      <c r="S198" t="s">
        <v>185</v>
      </c>
      <c r="W198">
        <f>Cancer_doubles_final2[[#This Row],[mlp_params]]</f>
        <v>26184</v>
      </c>
      <c r="X198">
        <f>Cancer_doubles_final2[[#This Row],[kan_test_acc]]</f>
        <v>0.95600232481956482</v>
      </c>
      <c r="Y198">
        <f>Cancer_doubles_final2[[#This Row],[mlp_test_acc]]</f>
        <v>0.90879953379953382</v>
      </c>
      <c r="Z198">
        <f>Cancer_doubles_final2[[#This Row],[mlp_test_acc2]]</f>
        <v>0.91142191142191153</v>
      </c>
    </row>
    <row r="199" spans="1:26" hidden="1" x14ac:dyDescent="0.25">
      <c r="A199" t="s">
        <v>19</v>
      </c>
      <c r="B199">
        <v>9</v>
      </c>
      <c r="C199">
        <v>5</v>
      </c>
      <c r="D199">
        <v>0</v>
      </c>
      <c r="E199" t="s">
        <v>34</v>
      </c>
      <c r="F199">
        <v>16352</v>
      </c>
      <c r="G199">
        <v>20570810.791666664</v>
      </c>
      <c r="H199">
        <v>0.93006992588440585</v>
      </c>
      <c r="I199">
        <v>0.92016317016317017</v>
      </c>
      <c r="J199">
        <v>8123524.291666667</v>
      </c>
      <c r="K199">
        <v>26645</v>
      </c>
      <c r="L199">
        <v>2</v>
      </c>
      <c r="M199">
        <v>107</v>
      </c>
      <c r="N199">
        <v>0.92628205128205132</v>
      </c>
      <c r="O199">
        <v>8877846.0416666679</v>
      </c>
      <c r="P199">
        <v>27110</v>
      </c>
      <c r="Q199">
        <v>2</v>
      </c>
      <c r="R199">
        <v>108</v>
      </c>
      <c r="S199" t="s">
        <v>186</v>
      </c>
      <c r="W199">
        <f>Cancer_doubles_final2[[#This Row],[mlp_params]]</f>
        <v>26645</v>
      </c>
      <c r="X199">
        <f>Cancer_doubles_final2[[#This Row],[kan_test_acc]]</f>
        <v>0.93006992588440585</v>
      </c>
      <c r="Y199">
        <f>Cancer_doubles_final2[[#This Row],[mlp_test_acc]]</f>
        <v>0.92016317016317017</v>
      </c>
      <c r="Z199">
        <f>Cancer_doubles_final2[[#This Row],[mlp_test_acc2]]</f>
        <v>0.92628205128205132</v>
      </c>
    </row>
    <row r="200" spans="1:26" hidden="1" x14ac:dyDescent="0.25">
      <c r="A200" t="s">
        <v>19</v>
      </c>
      <c r="B200">
        <v>9</v>
      </c>
      <c r="C200">
        <v>3</v>
      </c>
      <c r="D200">
        <v>0</v>
      </c>
      <c r="E200" t="s">
        <v>47</v>
      </c>
      <c r="F200">
        <v>16356</v>
      </c>
      <c r="G200">
        <v>23062419.541666664</v>
      </c>
      <c r="H200">
        <v>0.92657342056433367</v>
      </c>
      <c r="I200">
        <v>0.9306526806526807</v>
      </c>
      <c r="J200">
        <v>8875406.208333334</v>
      </c>
      <c r="K200">
        <v>23939</v>
      </c>
      <c r="L200">
        <v>2</v>
      </c>
      <c r="M200">
        <v>101</v>
      </c>
      <c r="N200">
        <v>0.93473193473193472</v>
      </c>
      <c r="O200">
        <v>9516811.1666666679</v>
      </c>
      <c r="P200">
        <v>24380</v>
      </c>
      <c r="Q200">
        <v>2</v>
      </c>
      <c r="R200">
        <v>102</v>
      </c>
      <c r="S200" t="s">
        <v>187</v>
      </c>
      <c r="W200">
        <f>Cancer_doubles_final2[[#This Row],[mlp_params]]</f>
        <v>23939</v>
      </c>
      <c r="X200">
        <f>Cancer_doubles_final2[[#This Row],[kan_test_acc]]</f>
        <v>0.92657342056433367</v>
      </c>
      <c r="Y200">
        <f>Cancer_doubles_final2[[#This Row],[mlp_test_acc]]</f>
        <v>0.9306526806526807</v>
      </c>
      <c r="Z200">
        <f>Cancer_doubles_final2[[#This Row],[mlp_test_acc2]]</f>
        <v>0.93473193473193472</v>
      </c>
    </row>
    <row r="201" spans="1:26" hidden="1" x14ac:dyDescent="0.25">
      <c r="A201" t="s">
        <v>19</v>
      </c>
      <c r="B201">
        <v>9</v>
      </c>
      <c r="C201">
        <v>4</v>
      </c>
      <c r="D201">
        <v>0</v>
      </c>
      <c r="E201" t="s">
        <v>39</v>
      </c>
      <c r="F201">
        <v>16418</v>
      </c>
      <c r="G201">
        <v>22921358.388888888</v>
      </c>
      <c r="H201">
        <v>0.93978243735101485</v>
      </c>
      <c r="I201">
        <v>0.93006993006993011</v>
      </c>
      <c r="J201">
        <v>8767689.055555556</v>
      </c>
      <c r="K201">
        <v>25274</v>
      </c>
      <c r="L201">
        <v>2</v>
      </c>
      <c r="M201">
        <v>104</v>
      </c>
      <c r="N201">
        <v>0.93240093240093236</v>
      </c>
      <c r="O201">
        <v>8720190.722222222</v>
      </c>
      <c r="P201">
        <v>25727</v>
      </c>
      <c r="Q201">
        <v>2</v>
      </c>
      <c r="R201">
        <v>105</v>
      </c>
      <c r="S201" t="s">
        <v>188</v>
      </c>
      <c r="W201">
        <f>Cancer_doubles_final2[[#This Row],[mlp_params]]</f>
        <v>25274</v>
      </c>
      <c r="X201">
        <f>Cancer_doubles_final2[[#This Row],[kan_test_acc]]</f>
        <v>0.93978243735101485</v>
      </c>
      <c r="Y201">
        <f>Cancer_doubles_final2[[#This Row],[mlp_test_acc]]</f>
        <v>0.93006993006993011</v>
      </c>
      <c r="Z201">
        <f>Cancer_doubles_final2[[#This Row],[mlp_test_acc2]]</f>
        <v>0.93240093240093236</v>
      </c>
    </row>
    <row r="202" spans="1:26" hidden="1" x14ac:dyDescent="0.25">
      <c r="A202" t="s">
        <v>19</v>
      </c>
      <c r="B202">
        <v>3</v>
      </c>
      <c r="C202">
        <v>2</v>
      </c>
      <c r="D202">
        <v>0</v>
      </c>
      <c r="E202" t="s">
        <v>189</v>
      </c>
      <c r="F202">
        <v>16450</v>
      </c>
      <c r="G202">
        <v>26191027</v>
      </c>
      <c r="H202">
        <v>0.96969696879386902</v>
      </c>
      <c r="I202">
        <v>0.95804195804195813</v>
      </c>
      <c r="J202">
        <v>7928613.291666667</v>
      </c>
      <c r="K202">
        <v>26645</v>
      </c>
      <c r="L202">
        <v>2</v>
      </c>
      <c r="M202">
        <v>107</v>
      </c>
      <c r="N202">
        <v>0.96095571095571097</v>
      </c>
      <c r="O202">
        <v>8857676.083333334</v>
      </c>
      <c r="P202">
        <v>27110</v>
      </c>
      <c r="Q202">
        <v>2</v>
      </c>
      <c r="R202">
        <v>108</v>
      </c>
      <c r="S202" t="s">
        <v>190</v>
      </c>
      <c r="W202">
        <f>Cancer_doubles_final2[[#This Row],[mlp_params]]</f>
        <v>26645</v>
      </c>
      <c r="X202">
        <f>Cancer_doubles_final2[[#This Row],[kan_test_acc]]</f>
        <v>0.96969696879386902</v>
      </c>
      <c r="Y202">
        <f>Cancer_doubles_final2[[#This Row],[mlp_test_acc]]</f>
        <v>0.95804195804195813</v>
      </c>
      <c r="Z202">
        <f>Cancer_doubles_final2[[#This Row],[mlp_test_acc2]]</f>
        <v>0.96095571095571097</v>
      </c>
    </row>
    <row r="203" spans="1:26" hidden="1" x14ac:dyDescent="0.25">
      <c r="A203" t="s">
        <v>19</v>
      </c>
      <c r="B203">
        <v>3</v>
      </c>
      <c r="C203">
        <v>2</v>
      </c>
      <c r="D203">
        <v>0</v>
      </c>
      <c r="E203" t="s">
        <v>191</v>
      </c>
      <c r="F203">
        <v>16484</v>
      </c>
      <c r="G203">
        <v>34699159.916666672</v>
      </c>
      <c r="H203">
        <v>0.96134420732657111</v>
      </c>
      <c r="I203">
        <v>0.9442501942501943</v>
      </c>
      <c r="J203">
        <v>8323765.694444445</v>
      </c>
      <c r="K203">
        <v>26645</v>
      </c>
      <c r="L203">
        <v>2</v>
      </c>
      <c r="M203">
        <v>107</v>
      </c>
      <c r="N203">
        <v>0.94580419580419584</v>
      </c>
      <c r="O203">
        <v>8540358.777777778</v>
      </c>
      <c r="P203">
        <v>27110</v>
      </c>
      <c r="Q203">
        <v>2</v>
      </c>
      <c r="R203">
        <v>108</v>
      </c>
      <c r="S203" t="s">
        <v>192</v>
      </c>
      <c r="W203">
        <f>Cancer_doubles_final2[[#This Row],[mlp_params]]</f>
        <v>26645</v>
      </c>
      <c r="X203">
        <f>Cancer_doubles_final2[[#This Row],[kan_test_acc]]</f>
        <v>0.96134420732657111</v>
      </c>
      <c r="Y203">
        <f>Cancer_doubles_final2[[#This Row],[mlp_test_acc]]</f>
        <v>0.9442501942501943</v>
      </c>
      <c r="Z203">
        <f>Cancer_doubles_final2[[#This Row],[mlp_test_acc2]]</f>
        <v>0.94580419580419584</v>
      </c>
    </row>
    <row r="204" spans="1:26" hidden="1" x14ac:dyDescent="0.25">
      <c r="A204" t="s">
        <v>19</v>
      </c>
      <c r="B204">
        <v>5</v>
      </c>
      <c r="C204">
        <v>5</v>
      </c>
      <c r="D204">
        <v>0</v>
      </c>
      <c r="E204" t="s">
        <v>70</v>
      </c>
      <c r="F204">
        <v>16682</v>
      </c>
      <c r="G204">
        <v>26801820.861111116</v>
      </c>
      <c r="H204">
        <v>0.95843045413494099</v>
      </c>
      <c r="I204">
        <v>0.93628593628593626</v>
      </c>
      <c r="J204">
        <v>8469205.277777778</v>
      </c>
      <c r="K204">
        <v>30477</v>
      </c>
      <c r="L204">
        <v>2</v>
      </c>
      <c r="M204">
        <v>115</v>
      </c>
      <c r="N204">
        <v>0.93861693861693862</v>
      </c>
      <c r="O204">
        <v>8573995.3333333321</v>
      </c>
      <c r="P204">
        <v>30974</v>
      </c>
      <c r="Q204">
        <v>2</v>
      </c>
      <c r="R204">
        <v>116</v>
      </c>
      <c r="S204" t="s">
        <v>193</v>
      </c>
      <c r="W204">
        <f>Cancer_doubles_final2[[#This Row],[mlp_params]]</f>
        <v>30477</v>
      </c>
      <c r="X204">
        <f>Cancer_doubles_final2[[#This Row],[kan_test_acc]]</f>
        <v>0.95843045413494099</v>
      </c>
      <c r="Y204">
        <f>Cancer_doubles_final2[[#This Row],[mlp_test_acc]]</f>
        <v>0.93628593628593626</v>
      </c>
      <c r="Z204">
        <f>Cancer_doubles_final2[[#This Row],[mlp_test_acc2]]</f>
        <v>0.93861693861693862</v>
      </c>
    </row>
    <row r="205" spans="1:26" hidden="1" x14ac:dyDescent="0.25">
      <c r="A205" t="s">
        <v>19</v>
      </c>
      <c r="B205">
        <v>3</v>
      </c>
      <c r="C205">
        <v>4</v>
      </c>
      <c r="D205">
        <v>0</v>
      </c>
      <c r="E205" t="s">
        <v>123</v>
      </c>
      <c r="F205">
        <v>16694</v>
      </c>
      <c r="G205">
        <v>21822636.444444444</v>
      </c>
      <c r="H205">
        <v>0.97668997612264419</v>
      </c>
      <c r="I205">
        <v>0.94289044289044288</v>
      </c>
      <c r="J205">
        <v>7964455.611111111</v>
      </c>
      <c r="K205">
        <v>31475</v>
      </c>
      <c r="L205">
        <v>2</v>
      </c>
      <c r="M205">
        <v>117</v>
      </c>
      <c r="N205">
        <v>0.94153069153069158</v>
      </c>
      <c r="O205">
        <v>8508851.083333334</v>
      </c>
      <c r="P205">
        <v>31980</v>
      </c>
      <c r="Q205">
        <v>2</v>
      </c>
      <c r="R205">
        <v>118</v>
      </c>
      <c r="S205" t="s">
        <v>194</v>
      </c>
      <c r="W205">
        <f>Cancer_doubles_final2[[#This Row],[mlp_params]]</f>
        <v>31475</v>
      </c>
      <c r="X205">
        <f>Cancer_doubles_final2[[#This Row],[kan_test_acc]]</f>
        <v>0.97668997612264419</v>
      </c>
      <c r="Y205">
        <f>Cancer_doubles_final2[[#This Row],[mlp_test_acc]]</f>
        <v>0.94289044289044288</v>
      </c>
      <c r="Z205">
        <f>Cancer_doubles_final2[[#This Row],[mlp_test_acc2]]</f>
        <v>0.94153069153069158</v>
      </c>
    </row>
    <row r="206" spans="1:26" hidden="1" x14ac:dyDescent="0.25">
      <c r="A206" t="s">
        <v>19</v>
      </c>
      <c r="B206">
        <v>5</v>
      </c>
      <c r="C206">
        <v>2</v>
      </c>
      <c r="D206">
        <v>0</v>
      </c>
      <c r="E206" t="s">
        <v>123</v>
      </c>
      <c r="F206">
        <v>16694</v>
      </c>
      <c r="G206">
        <v>23665640.541666664</v>
      </c>
      <c r="H206">
        <v>0.98076922446489334</v>
      </c>
      <c r="I206">
        <v>0.94900932400932403</v>
      </c>
      <c r="J206">
        <v>8514661.833333334</v>
      </c>
      <c r="K206">
        <v>24825</v>
      </c>
      <c r="L206">
        <v>2</v>
      </c>
      <c r="M206">
        <v>103</v>
      </c>
      <c r="N206">
        <v>0.94667832167832167</v>
      </c>
      <c r="O206">
        <v>8079782.291666667</v>
      </c>
      <c r="P206">
        <v>25274</v>
      </c>
      <c r="Q206">
        <v>2</v>
      </c>
      <c r="R206">
        <v>104</v>
      </c>
      <c r="S206" t="s">
        <v>195</v>
      </c>
      <c r="W206">
        <f>Cancer_doubles_final2[[#This Row],[mlp_params]]</f>
        <v>24825</v>
      </c>
      <c r="X206">
        <f>Cancer_doubles_final2[[#This Row],[kan_test_acc]]</f>
        <v>0.98076922446489334</v>
      </c>
      <c r="Y206">
        <f>Cancer_doubles_final2[[#This Row],[mlp_test_acc]]</f>
        <v>0.94900932400932403</v>
      </c>
      <c r="Z206">
        <f>Cancer_doubles_final2[[#This Row],[mlp_test_acc2]]</f>
        <v>0.94667832167832167</v>
      </c>
    </row>
    <row r="207" spans="1:26" hidden="1" x14ac:dyDescent="0.25">
      <c r="A207" t="s">
        <v>19</v>
      </c>
      <c r="B207">
        <v>3</v>
      </c>
      <c r="C207">
        <v>4</v>
      </c>
      <c r="D207">
        <v>0</v>
      </c>
      <c r="E207" t="s">
        <v>123</v>
      </c>
      <c r="F207">
        <v>16694</v>
      </c>
      <c r="G207">
        <v>21809782.291666664</v>
      </c>
      <c r="H207">
        <v>0.9781468386451404</v>
      </c>
      <c r="I207">
        <v>0.93385780885780889</v>
      </c>
      <c r="J207">
        <v>8394783.25</v>
      </c>
      <c r="K207">
        <v>31475</v>
      </c>
      <c r="L207">
        <v>2</v>
      </c>
      <c r="M207">
        <v>117</v>
      </c>
      <c r="N207">
        <v>0.93356643356643354</v>
      </c>
      <c r="O207">
        <v>8412028.5416666679</v>
      </c>
      <c r="P207">
        <v>31980</v>
      </c>
      <c r="Q207">
        <v>2</v>
      </c>
      <c r="R207">
        <v>118</v>
      </c>
      <c r="S207" t="s">
        <v>194</v>
      </c>
      <c r="W207">
        <f>Cancer_doubles_final2[[#This Row],[mlp_params]]</f>
        <v>31475</v>
      </c>
      <c r="X207">
        <f>Cancer_doubles_final2[[#This Row],[kan_test_acc]]</f>
        <v>0.9781468386451404</v>
      </c>
      <c r="Y207">
        <f>Cancer_doubles_final2[[#This Row],[mlp_test_acc]]</f>
        <v>0.93385780885780889</v>
      </c>
      <c r="Z207">
        <f>Cancer_doubles_final2[[#This Row],[mlp_test_acc2]]</f>
        <v>0.93356643356643354</v>
      </c>
    </row>
    <row r="208" spans="1:26" hidden="1" x14ac:dyDescent="0.25">
      <c r="A208" t="s">
        <v>19</v>
      </c>
      <c r="B208">
        <v>5</v>
      </c>
      <c r="C208">
        <v>2</v>
      </c>
      <c r="D208">
        <v>0</v>
      </c>
      <c r="E208" t="s">
        <v>123</v>
      </c>
      <c r="F208">
        <v>16694</v>
      </c>
      <c r="G208">
        <v>20557885.5</v>
      </c>
      <c r="H208">
        <v>0.97581583261489868</v>
      </c>
      <c r="I208">
        <v>0.92861305361305368</v>
      </c>
      <c r="J208">
        <v>8354623.416666666</v>
      </c>
      <c r="K208">
        <v>24825</v>
      </c>
      <c r="L208">
        <v>2</v>
      </c>
      <c r="M208">
        <v>103</v>
      </c>
      <c r="N208">
        <v>0.93444055944055937</v>
      </c>
      <c r="O208">
        <v>8627847.583333334</v>
      </c>
      <c r="P208">
        <v>25274</v>
      </c>
      <c r="Q208">
        <v>2</v>
      </c>
      <c r="R208">
        <v>104</v>
      </c>
      <c r="S208" t="s">
        <v>195</v>
      </c>
      <c r="W208">
        <f>Cancer_doubles_final2[[#This Row],[mlp_params]]</f>
        <v>24825</v>
      </c>
      <c r="X208">
        <f>Cancer_doubles_final2[[#This Row],[kan_test_acc]]</f>
        <v>0.97581583261489868</v>
      </c>
      <c r="Y208">
        <f>Cancer_doubles_final2[[#This Row],[mlp_test_acc]]</f>
        <v>0.92861305361305368</v>
      </c>
      <c r="Z208">
        <f>Cancer_doubles_final2[[#This Row],[mlp_test_acc2]]</f>
        <v>0.93444055944055937</v>
      </c>
    </row>
    <row r="209" spans="1:26" hidden="1" x14ac:dyDescent="0.25">
      <c r="A209" t="s">
        <v>19</v>
      </c>
      <c r="B209">
        <v>3</v>
      </c>
      <c r="C209">
        <v>3</v>
      </c>
      <c r="D209">
        <v>0</v>
      </c>
      <c r="E209" t="s">
        <v>152</v>
      </c>
      <c r="F209">
        <v>16764</v>
      </c>
      <c r="G209">
        <v>20038546.458333332</v>
      </c>
      <c r="H209">
        <v>0.97231933971246087</v>
      </c>
      <c r="I209">
        <v>0.94055944055944063</v>
      </c>
      <c r="J209">
        <v>8409081</v>
      </c>
      <c r="K209">
        <v>29495</v>
      </c>
      <c r="L209">
        <v>2</v>
      </c>
      <c r="M209">
        <v>113</v>
      </c>
      <c r="N209">
        <v>0.94638694638694632</v>
      </c>
      <c r="O209">
        <v>8673465.541666666</v>
      </c>
      <c r="P209">
        <v>29984</v>
      </c>
      <c r="Q209">
        <v>2</v>
      </c>
      <c r="R209">
        <v>114</v>
      </c>
      <c r="S209" t="s">
        <v>196</v>
      </c>
      <c r="W209">
        <f>Cancer_doubles_final2[[#This Row],[mlp_params]]</f>
        <v>29495</v>
      </c>
      <c r="X209">
        <f>Cancer_doubles_final2[[#This Row],[kan_test_acc]]</f>
        <v>0.97231933971246087</v>
      </c>
      <c r="Y209">
        <f>Cancer_doubles_final2[[#This Row],[mlp_test_acc]]</f>
        <v>0.94055944055944063</v>
      </c>
      <c r="Z209">
        <f>Cancer_doubles_final2[[#This Row],[mlp_test_acc2]]</f>
        <v>0.94638694638694632</v>
      </c>
    </row>
    <row r="210" spans="1:26" hidden="1" x14ac:dyDescent="0.25">
      <c r="A210" t="s">
        <v>19</v>
      </c>
      <c r="B210">
        <v>3</v>
      </c>
      <c r="C210">
        <v>3</v>
      </c>
      <c r="D210">
        <v>0</v>
      </c>
      <c r="E210" t="s">
        <v>154</v>
      </c>
      <c r="F210">
        <v>16802</v>
      </c>
      <c r="G210">
        <v>22818568.22222222</v>
      </c>
      <c r="H210">
        <v>0.96581196619404686</v>
      </c>
      <c r="I210">
        <v>0.94541569541569548</v>
      </c>
      <c r="J210">
        <v>8638296.055555556</v>
      </c>
      <c r="K210">
        <v>29495</v>
      </c>
      <c r="L210">
        <v>2</v>
      </c>
      <c r="M210">
        <v>113</v>
      </c>
      <c r="N210">
        <v>0.94735819735819737</v>
      </c>
      <c r="O210">
        <v>9235386.055555556</v>
      </c>
      <c r="P210">
        <v>29984</v>
      </c>
      <c r="Q210">
        <v>2</v>
      </c>
      <c r="R210">
        <v>114</v>
      </c>
      <c r="S210" t="s">
        <v>197</v>
      </c>
      <c r="W210">
        <f>Cancer_doubles_final2[[#This Row],[mlp_params]]</f>
        <v>29495</v>
      </c>
      <c r="X210">
        <f>Cancer_doubles_final2[[#This Row],[kan_test_acc]]</f>
        <v>0.96581196619404686</v>
      </c>
      <c r="Y210">
        <f>Cancer_doubles_final2[[#This Row],[mlp_test_acc]]</f>
        <v>0.94541569541569548</v>
      </c>
      <c r="Z210">
        <f>Cancer_doubles_final2[[#This Row],[mlp_test_acc2]]</f>
        <v>0.94735819735819737</v>
      </c>
    </row>
    <row r="211" spans="1:26" hidden="1" x14ac:dyDescent="0.25">
      <c r="A211" t="s">
        <v>19</v>
      </c>
      <c r="B211">
        <v>3</v>
      </c>
      <c r="C211">
        <v>2</v>
      </c>
      <c r="D211">
        <v>0</v>
      </c>
      <c r="E211" t="s">
        <v>198</v>
      </c>
      <c r="F211">
        <v>16866</v>
      </c>
      <c r="G211">
        <v>34135785.333333336</v>
      </c>
      <c r="H211">
        <v>0.97066822151343024</v>
      </c>
      <c r="I211">
        <v>0.94444444444444442</v>
      </c>
      <c r="J211">
        <v>8429388.472222222</v>
      </c>
      <c r="K211">
        <v>27110</v>
      </c>
      <c r="L211">
        <v>2</v>
      </c>
      <c r="M211">
        <v>108</v>
      </c>
      <c r="N211">
        <v>0.94599844599844607</v>
      </c>
      <c r="O211">
        <v>7948211.888888889</v>
      </c>
      <c r="P211">
        <v>27579</v>
      </c>
      <c r="Q211">
        <v>2</v>
      </c>
      <c r="R211">
        <v>109</v>
      </c>
      <c r="S211" t="s">
        <v>199</v>
      </c>
      <c r="W211">
        <f>Cancer_doubles_final2[[#This Row],[mlp_params]]</f>
        <v>27110</v>
      </c>
      <c r="X211">
        <f>Cancer_doubles_final2[[#This Row],[kan_test_acc]]</f>
        <v>0.97066822151343024</v>
      </c>
      <c r="Y211">
        <f>Cancer_doubles_final2[[#This Row],[mlp_test_acc]]</f>
        <v>0.94444444444444442</v>
      </c>
      <c r="Z211">
        <f>Cancer_doubles_final2[[#This Row],[mlp_test_acc2]]</f>
        <v>0.94599844599844607</v>
      </c>
    </row>
    <row r="212" spans="1:26" hidden="1" x14ac:dyDescent="0.25">
      <c r="A212" t="s">
        <v>19</v>
      </c>
      <c r="B212">
        <v>5</v>
      </c>
      <c r="C212">
        <v>4</v>
      </c>
      <c r="D212">
        <v>0</v>
      </c>
      <c r="E212" t="s">
        <v>87</v>
      </c>
      <c r="F212">
        <v>16942</v>
      </c>
      <c r="G212">
        <v>36839728.027777776</v>
      </c>
      <c r="H212">
        <v>0.97299922009309137</v>
      </c>
      <c r="I212">
        <v>0.9417249417249417</v>
      </c>
      <c r="J212">
        <v>8924984.1388888899</v>
      </c>
      <c r="K212">
        <v>29495</v>
      </c>
      <c r="L212">
        <v>2</v>
      </c>
      <c r="M212">
        <v>113</v>
      </c>
      <c r="N212">
        <v>0.94366744366744371</v>
      </c>
      <c r="O212">
        <v>8790383.694444444</v>
      </c>
      <c r="P212">
        <v>29984</v>
      </c>
      <c r="Q212">
        <v>2</v>
      </c>
      <c r="R212">
        <v>114</v>
      </c>
      <c r="S212" t="s">
        <v>200</v>
      </c>
      <c r="W212">
        <f>Cancer_doubles_final2[[#This Row],[mlp_params]]</f>
        <v>29495</v>
      </c>
      <c r="X212">
        <f>Cancer_doubles_final2[[#This Row],[kan_test_acc]]</f>
        <v>0.97299922009309137</v>
      </c>
      <c r="Y212">
        <f>Cancer_doubles_final2[[#This Row],[mlp_test_acc]]</f>
        <v>0.9417249417249417</v>
      </c>
      <c r="Z212">
        <f>Cancer_doubles_final2[[#This Row],[mlp_test_acc2]]</f>
        <v>0.94366744366744371</v>
      </c>
    </row>
    <row r="213" spans="1:26" x14ac:dyDescent="0.25">
      <c r="A213" t="s">
        <v>19</v>
      </c>
      <c r="B213">
        <v>3</v>
      </c>
      <c r="C213">
        <v>5</v>
      </c>
      <c r="D213">
        <v>0</v>
      </c>
      <c r="E213" t="s">
        <v>106</v>
      </c>
      <c r="F213">
        <v>16946</v>
      </c>
      <c r="G213">
        <v>21786328.604166668</v>
      </c>
      <c r="H213">
        <v>0.96780302748084068</v>
      </c>
      <c r="I213">
        <v>0.93079836829836826</v>
      </c>
      <c r="J213">
        <v>9004748.3958333321</v>
      </c>
      <c r="K213">
        <v>33519</v>
      </c>
      <c r="L213">
        <v>2</v>
      </c>
      <c r="M213">
        <v>121</v>
      </c>
      <c r="N213">
        <v>0.92992424242424243</v>
      </c>
      <c r="O213">
        <v>8636587.145833334</v>
      </c>
      <c r="P213">
        <v>34040</v>
      </c>
      <c r="Q213">
        <v>2</v>
      </c>
      <c r="R213">
        <v>122</v>
      </c>
      <c r="S213" t="s">
        <v>201</v>
      </c>
      <c r="W213">
        <f>Cancer_doubles_final2[[#This Row],[mlp_params]]</f>
        <v>33519</v>
      </c>
      <c r="X213">
        <f>Cancer_doubles_final2[[#This Row],[kan_test_acc]]</f>
        <v>0.96780302748084068</v>
      </c>
      <c r="Y213">
        <f>Cancer_doubles_final2[[#This Row],[mlp_test_acc]]</f>
        <v>0.93079836829836826</v>
      </c>
      <c r="Z213">
        <f>Cancer_doubles_final2[[#This Row],[mlp_test_acc2]]</f>
        <v>0.92992424242424243</v>
      </c>
    </row>
    <row r="214" spans="1:26" hidden="1" x14ac:dyDescent="0.25">
      <c r="A214" t="s">
        <v>19</v>
      </c>
      <c r="B214">
        <v>5</v>
      </c>
      <c r="C214">
        <v>3</v>
      </c>
      <c r="D214">
        <v>0</v>
      </c>
      <c r="E214" t="s">
        <v>106</v>
      </c>
      <c r="F214">
        <v>16946</v>
      </c>
      <c r="G214">
        <v>25059981.458333336</v>
      </c>
      <c r="H214">
        <v>0.97465035070975614</v>
      </c>
      <c r="I214">
        <v>0.9417249417249417</v>
      </c>
      <c r="J214">
        <v>8707510.8333333321</v>
      </c>
      <c r="K214">
        <v>27579</v>
      </c>
      <c r="L214">
        <v>2</v>
      </c>
      <c r="M214">
        <v>109</v>
      </c>
      <c r="N214">
        <v>0.94667832167832167</v>
      </c>
      <c r="O214">
        <v>8396294.2083333321</v>
      </c>
      <c r="P214">
        <v>28052</v>
      </c>
      <c r="Q214">
        <v>2</v>
      </c>
      <c r="R214">
        <v>110</v>
      </c>
      <c r="S214" t="s">
        <v>202</v>
      </c>
      <c r="W214">
        <f>Cancer_doubles_final2[[#This Row],[mlp_params]]</f>
        <v>27579</v>
      </c>
      <c r="X214">
        <f>Cancer_doubles_final2[[#This Row],[kan_test_acc]]</f>
        <v>0.97465035070975614</v>
      </c>
      <c r="Y214">
        <f>Cancer_doubles_final2[[#This Row],[mlp_test_acc]]</f>
        <v>0.9417249417249417</v>
      </c>
      <c r="Z214">
        <f>Cancer_doubles_final2[[#This Row],[mlp_test_acc2]]</f>
        <v>0.94667832167832167</v>
      </c>
    </row>
    <row r="215" spans="1:26" x14ac:dyDescent="0.25">
      <c r="A215" t="s">
        <v>19</v>
      </c>
      <c r="B215">
        <v>3</v>
      </c>
      <c r="C215">
        <v>5</v>
      </c>
      <c r="D215">
        <v>0</v>
      </c>
      <c r="E215" t="s">
        <v>106</v>
      </c>
      <c r="F215">
        <v>16946</v>
      </c>
      <c r="G215">
        <v>25735100.791666668</v>
      </c>
      <c r="H215">
        <v>0.97086247056722641</v>
      </c>
      <c r="I215">
        <v>0.92919580419580416</v>
      </c>
      <c r="J215">
        <v>9036806.25</v>
      </c>
      <c r="K215">
        <v>33519</v>
      </c>
      <c r="L215">
        <v>2</v>
      </c>
      <c r="M215">
        <v>121</v>
      </c>
      <c r="N215">
        <v>0.93210955710955712</v>
      </c>
      <c r="O215">
        <v>8431792</v>
      </c>
      <c r="P215">
        <v>34040</v>
      </c>
      <c r="Q215">
        <v>2</v>
      </c>
      <c r="R215">
        <v>122</v>
      </c>
      <c r="S215" t="s">
        <v>201</v>
      </c>
      <c r="W215">
        <f>Cancer_doubles_final2[[#This Row],[mlp_params]]</f>
        <v>33519</v>
      </c>
      <c r="X215">
        <f>Cancer_doubles_final2[[#This Row],[kan_test_acc]]</f>
        <v>0.97086247056722641</v>
      </c>
      <c r="Y215">
        <f>Cancer_doubles_final2[[#This Row],[mlp_test_acc]]</f>
        <v>0.92919580419580416</v>
      </c>
      <c r="Z215">
        <f>Cancer_doubles_final2[[#This Row],[mlp_test_acc2]]</f>
        <v>0.93210955710955712</v>
      </c>
    </row>
    <row r="216" spans="1:26" hidden="1" x14ac:dyDescent="0.25">
      <c r="A216" t="s">
        <v>19</v>
      </c>
      <c r="B216">
        <v>5</v>
      </c>
      <c r="C216">
        <v>3</v>
      </c>
      <c r="D216">
        <v>0</v>
      </c>
      <c r="E216" t="s">
        <v>106</v>
      </c>
      <c r="F216">
        <v>16946</v>
      </c>
      <c r="G216">
        <v>24581510.041666668</v>
      </c>
      <c r="H216">
        <v>0.95483682552973437</v>
      </c>
      <c r="I216">
        <v>0.90938228438228441</v>
      </c>
      <c r="J216">
        <v>8471132.5416666679</v>
      </c>
      <c r="K216">
        <v>27579</v>
      </c>
      <c r="L216">
        <v>2</v>
      </c>
      <c r="M216">
        <v>109</v>
      </c>
      <c r="N216">
        <v>0.9131701631701632</v>
      </c>
      <c r="O216">
        <v>8054165.125</v>
      </c>
      <c r="P216">
        <v>28052</v>
      </c>
      <c r="Q216">
        <v>2</v>
      </c>
      <c r="R216">
        <v>110</v>
      </c>
      <c r="S216" t="s">
        <v>202</v>
      </c>
      <c r="W216">
        <f>Cancer_doubles_final2[[#This Row],[mlp_params]]</f>
        <v>27579</v>
      </c>
      <c r="X216">
        <f>Cancer_doubles_final2[[#This Row],[kan_test_acc]]</f>
        <v>0.95483682552973437</v>
      </c>
      <c r="Y216">
        <f>Cancer_doubles_final2[[#This Row],[mlp_test_acc]]</f>
        <v>0.90938228438228441</v>
      </c>
      <c r="Z216">
        <f>Cancer_doubles_final2[[#This Row],[mlp_test_acc2]]</f>
        <v>0.9131701631701632</v>
      </c>
    </row>
    <row r="217" spans="1:26" hidden="1" x14ac:dyDescent="0.25">
      <c r="A217" t="s">
        <v>19</v>
      </c>
      <c r="B217">
        <v>3</v>
      </c>
      <c r="C217">
        <v>2</v>
      </c>
      <c r="D217">
        <v>0</v>
      </c>
      <c r="E217" t="s">
        <v>203</v>
      </c>
      <c r="F217">
        <v>16996</v>
      </c>
      <c r="G217">
        <v>24407648.875</v>
      </c>
      <c r="H217">
        <v>0.95512820035219193</v>
      </c>
      <c r="I217">
        <v>0.92249417249417243</v>
      </c>
      <c r="J217">
        <v>7943367.708333334</v>
      </c>
      <c r="K217">
        <v>27110</v>
      </c>
      <c r="L217">
        <v>2</v>
      </c>
      <c r="M217">
        <v>108</v>
      </c>
      <c r="N217">
        <v>0.92628205128205132</v>
      </c>
      <c r="O217">
        <v>8465961.0416666679</v>
      </c>
      <c r="P217">
        <v>27579</v>
      </c>
      <c r="Q217">
        <v>2</v>
      </c>
      <c r="R217">
        <v>109</v>
      </c>
      <c r="S217" t="s">
        <v>204</v>
      </c>
      <c r="W217">
        <f>Cancer_doubles_final2[[#This Row],[mlp_params]]</f>
        <v>27110</v>
      </c>
      <c r="X217">
        <f>Cancer_doubles_final2[[#This Row],[kan_test_acc]]</f>
        <v>0.95512820035219193</v>
      </c>
      <c r="Y217">
        <f>Cancer_doubles_final2[[#This Row],[mlp_test_acc]]</f>
        <v>0.92249417249417243</v>
      </c>
      <c r="Z217">
        <f>Cancer_doubles_final2[[#This Row],[mlp_test_acc2]]</f>
        <v>0.92628205128205132</v>
      </c>
    </row>
    <row r="218" spans="1:26" hidden="1" x14ac:dyDescent="0.25">
      <c r="A218" t="s">
        <v>19</v>
      </c>
      <c r="B218">
        <v>3</v>
      </c>
      <c r="C218">
        <v>2</v>
      </c>
      <c r="D218">
        <v>0</v>
      </c>
      <c r="E218" t="s">
        <v>205</v>
      </c>
      <c r="F218">
        <v>16998</v>
      </c>
      <c r="G218">
        <v>31464304.611111112</v>
      </c>
      <c r="H218">
        <v>0.96717171536551583</v>
      </c>
      <c r="I218">
        <v>0.94386169386169383</v>
      </c>
      <c r="J218">
        <v>8261218.805555555</v>
      </c>
      <c r="K218">
        <v>27110</v>
      </c>
      <c r="L218">
        <v>2</v>
      </c>
      <c r="M218">
        <v>108</v>
      </c>
      <c r="N218">
        <v>0.94658119658119655</v>
      </c>
      <c r="O218">
        <v>8378215.888888889</v>
      </c>
      <c r="P218">
        <v>27579</v>
      </c>
      <c r="Q218">
        <v>2</v>
      </c>
      <c r="R218">
        <v>109</v>
      </c>
      <c r="S218" t="s">
        <v>206</v>
      </c>
      <c r="W218">
        <f>Cancer_doubles_final2[[#This Row],[mlp_params]]</f>
        <v>27110</v>
      </c>
      <c r="X218">
        <f>Cancer_doubles_final2[[#This Row],[kan_test_acc]]</f>
        <v>0.96717171536551583</v>
      </c>
      <c r="Y218">
        <f>Cancer_doubles_final2[[#This Row],[mlp_test_acc]]</f>
        <v>0.94386169386169383</v>
      </c>
      <c r="Z218">
        <f>Cancer_doubles_final2[[#This Row],[mlp_test_acc2]]</f>
        <v>0.94658119658119655</v>
      </c>
    </row>
    <row r="219" spans="1:26" hidden="1" x14ac:dyDescent="0.25">
      <c r="A219" t="s">
        <v>19</v>
      </c>
      <c r="B219">
        <v>9</v>
      </c>
      <c r="C219">
        <v>2</v>
      </c>
      <c r="D219">
        <v>0</v>
      </c>
      <c r="E219" t="s">
        <v>60</v>
      </c>
      <c r="F219">
        <v>17064</v>
      </c>
      <c r="G219">
        <v>24782798.194444448</v>
      </c>
      <c r="H219">
        <v>0.9504661940866046</v>
      </c>
      <c r="I219">
        <v>0.93337218337218342</v>
      </c>
      <c r="J219">
        <v>8465609.75</v>
      </c>
      <c r="K219">
        <v>23069</v>
      </c>
      <c r="L219">
        <v>2</v>
      </c>
      <c r="M219">
        <v>99</v>
      </c>
      <c r="N219">
        <v>0.93706293706293708</v>
      </c>
      <c r="O219">
        <v>8341492.555555556</v>
      </c>
      <c r="P219">
        <v>23502</v>
      </c>
      <c r="Q219">
        <v>2</v>
      </c>
      <c r="R219">
        <v>100</v>
      </c>
      <c r="S219" t="s">
        <v>207</v>
      </c>
      <c r="W219">
        <f>Cancer_doubles_final2[[#This Row],[mlp_params]]</f>
        <v>23069</v>
      </c>
      <c r="X219">
        <f>Cancer_doubles_final2[[#This Row],[kan_test_acc]]</f>
        <v>0.9504661940866046</v>
      </c>
      <c r="Y219">
        <f>Cancer_doubles_final2[[#This Row],[mlp_test_acc]]</f>
        <v>0.93337218337218342</v>
      </c>
      <c r="Z219">
        <f>Cancer_doubles_final2[[#This Row],[mlp_test_acc2]]</f>
        <v>0.93706293706293708</v>
      </c>
    </row>
    <row r="220" spans="1:26" hidden="1" x14ac:dyDescent="0.25">
      <c r="A220" t="s">
        <v>19</v>
      </c>
      <c r="B220">
        <v>9</v>
      </c>
      <c r="C220">
        <v>3</v>
      </c>
      <c r="D220">
        <v>0</v>
      </c>
      <c r="E220" t="s">
        <v>56</v>
      </c>
      <c r="F220">
        <v>17318</v>
      </c>
      <c r="G220">
        <v>20721069.583333332</v>
      </c>
      <c r="H220">
        <v>0.92851592434777153</v>
      </c>
      <c r="I220">
        <v>0.91355866355866355</v>
      </c>
      <c r="J220">
        <v>8226362.583333334</v>
      </c>
      <c r="K220">
        <v>25274</v>
      </c>
      <c r="L220">
        <v>2</v>
      </c>
      <c r="M220">
        <v>104</v>
      </c>
      <c r="N220">
        <v>0.9145299145299145</v>
      </c>
      <c r="O220">
        <v>8763759.6111111119</v>
      </c>
      <c r="P220">
        <v>25727</v>
      </c>
      <c r="Q220">
        <v>2</v>
      </c>
      <c r="R220">
        <v>105</v>
      </c>
      <c r="S220" t="s">
        <v>208</v>
      </c>
      <c r="W220">
        <f>Cancer_doubles_final2[[#This Row],[mlp_params]]</f>
        <v>25274</v>
      </c>
      <c r="X220">
        <f>Cancer_doubles_final2[[#This Row],[kan_test_acc]]</f>
        <v>0.92851592434777153</v>
      </c>
      <c r="Y220">
        <f>Cancer_doubles_final2[[#This Row],[mlp_test_acc]]</f>
        <v>0.91355866355866355</v>
      </c>
      <c r="Z220">
        <f>Cancer_doubles_final2[[#This Row],[mlp_test_acc2]]</f>
        <v>0.9145299145299145</v>
      </c>
    </row>
    <row r="221" spans="1:26" hidden="1" x14ac:dyDescent="0.25">
      <c r="A221" t="s">
        <v>19</v>
      </c>
      <c r="B221">
        <v>3</v>
      </c>
      <c r="C221">
        <v>4</v>
      </c>
      <c r="D221">
        <v>0</v>
      </c>
      <c r="E221" t="s">
        <v>133</v>
      </c>
      <c r="F221">
        <v>17336</v>
      </c>
      <c r="G221">
        <v>25911986</v>
      </c>
      <c r="H221">
        <v>0.94716393450895942</v>
      </c>
      <c r="I221">
        <v>0.92754467754467751</v>
      </c>
      <c r="J221">
        <v>8715254.75</v>
      </c>
      <c r="K221">
        <v>32489</v>
      </c>
      <c r="L221">
        <v>2</v>
      </c>
      <c r="M221">
        <v>119</v>
      </c>
      <c r="N221">
        <v>0.92365967365967361</v>
      </c>
      <c r="O221">
        <v>8580048.444444444</v>
      </c>
      <c r="P221">
        <v>33002</v>
      </c>
      <c r="Q221">
        <v>2</v>
      </c>
      <c r="R221">
        <v>120</v>
      </c>
      <c r="S221" t="s">
        <v>209</v>
      </c>
      <c r="W221">
        <f>Cancer_doubles_final2[[#This Row],[mlp_params]]</f>
        <v>32489</v>
      </c>
      <c r="X221">
        <f>Cancer_doubles_final2[[#This Row],[kan_test_acc]]</f>
        <v>0.94716393450895942</v>
      </c>
      <c r="Y221">
        <f>Cancer_doubles_final2[[#This Row],[mlp_test_acc]]</f>
        <v>0.92754467754467751</v>
      </c>
      <c r="Z221">
        <f>Cancer_doubles_final2[[#This Row],[mlp_test_acc2]]</f>
        <v>0.92365967365967361</v>
      </c>
    </row>
    <row r="222" spans="1:26" hidden="1" x14ac:dyDescent="0.25">
      <c r="A222" t="s">
        <v>19</v>
      </c>
      <c r="B222">
        <v>5</v>
      </c>
      <c r="C222">
        <v>2</v>
      </c>
      <c r="D222">
        <v>0</v>
      </c>
      <c r="E222" t="s">
        <v>133</v>
      </c>
      <c r="F222">
        <v>17336</v>
      </c>
      <c r="G222">
        <v>23453715.041666664</v>
      </c>
      <c r="H222">
        <v>0.97989509254693985</v>
      </c>
      <c r="I222">
        <v>0.94930069930069927</v>
      </c>
      <c r="J222">
        <v>8798124.041666666</v>
      </c>
      <c r="K222">
        <v>25727</v>
      </c>
      <c r="L222">
        <v>2</v>
      </c>
      <c r="M222">
        <v>105</v>
      </c>
      <c r="N222">
        <v>0.94638694638694632</v>
      </c>
      <c r="O222">
        <v>8180130.791666667</v>
      </c>
      <c r="P222">
        <v>26184</v>
      </c>
      <c r="Q222">
        <v>2</v>
      </c>
      <c r="R222">
        <v>106</v>
      </c>
      <c r="S222" t="s">
        <v>210</v>
      </c>
      <c r="W222">
        <f>Cancer_doubles_final2[[#This Row],[mlp_params]]</f>
        <v>25727</v>
      </c>
      <c r="X222">
        <f>Cancer_doubles_final2[[#This Row],[kan_test_acc]]</f>
        <v>0.97989509254693985</v>
      </c>
      <c r="Y222">
        <f>Cancer_doubles_final2[[#This Row],[mlp_test_acc]]</f>
        <v>0.94930069930069927</v>
      </c>
      <c r="Z222">
        <f>Cancer_doubles_final2[[#This Row],[mlp_test_acc2]]</f>
        <v>0.94638694638694632</v>
      </c>
    </row>
    <row r="223" spans="1:26" hidden="1" x14ac:dyDescent="0.25">
      <c r="A223" t="s">
        <v>19</v>
      </c>
      <c r="B223">
        <v>3</v>
      </c>
      <c r="C223">
        <v>4</v>
      </c>
      <c r="D223">
        <v>0</v>
      </c>
      <c r="E223" t="s">
        <v>133</v>
      </c>
      <c r="F223">
        <v>17336</v>
      </c>
      <c r="G223">
        <v>23070171.458333336</v>
      </c>
      <c r="H223">
        <v>0.97989509254693985</v>
      </c>
      <c r="I223">
        <v>0.93618881118881125</v>
      </c>
      <c r="J223">
        <v>8600620.041666666</v>
      </c>
      <c r="K223">
        <v>32489</v>
      </c>
      <c r="L223">
        <v>2</v>
      </c>
      <c r="M223">
        <v>119</v>
      </c>
      <c r="N223">
        <v>0.93327505827505819</v>
      </c>
      <c r="O223">
        <v>8336038.3750000009</v>
      </c>
      <c r="P223">
        <v>33002</v>
      </c>
      <c r="Q223">
        <v>2</v>
      </c>
      <c r="R223">
        <v>120</v>
      </c>
      <c r="S223" t="s">
        <v>209</v>
      </c>
      <c r="W223">
        <f>Cancer_doubles_final2[[#This Row],[mlp_params]]</f>
        <v>32489</v>
      </c>
      <c r="X223">
        <f>Cancer_doubles_final2[[#This Row],[kan_test_acc]]</f>
        <v>0.97989509254693985</v>
      </c>
      <c r="Y223">
        <f>Cancer_doubles_final2[[#This Row],[mlp_test_acc]]</f>
        <v>0.93618881118881125</v>
      </c>
      <c r="Z223">
        <f>Cancer_doubles_final2[[#This Row],[mlp_test_acc2]]</f>
        <v>0.93327505827505819</v>
      </c>
    </row>
    <row r="224" spans="1:26" hidden="1" x14ac:dyDescent="0.25">
      <c r="A224" t="s">
        <v>19</v>
      </c>
      <c r="B224">
        <v>5</v>
      </c>
      <c r="C224">
        <v>2</v>
      </c>
      <c r="D224">
        <v>0</v>
      </c>
      <c r="E224" t="s">
        <v>133</v>
      </c>
      <c r="F224">
        <v>17336</v>
      </c>
      <c r="G224">
        <v>22951762.208333336</v>
      </c>
      <c r="H224">
        <v>0.97668996204932523</v>
      </c>
      <c r="I224">
        <v>0.9332750582750583</v>
      </c>
      <c r="J224">
        <v>7675691.041666666</v>
      </c>
      <c r="K224">
        <v>25727</v>
      </c>
      <c r="L224">
        <v>2</v>
      </c>
      <c r="M224">
        <v>105</v>
      </c>
      <c r="N224">
        <v>0.93356643356643354</v>
      </c>
      <c r="O224">
        <v>9551934.75</v>
      </c>
      <c r="P224">
        <v>26184</v>
      </c>
      <c r="Q224">
        <v>2</v>
      </c>
      <c r="R224">
        <v>106</v>
      </c>
      <c r="S224" t="s">
        <v>210</v>
      </c>
      <c r="W224">
        <f>Cancer_doubles_final2[[#This Row],[mlp_params]]</f>
        <v>25727</v>
      </c>
      <c r="X224">
        <f>Cancer_doubles_final2[[#This Row],[kan_test_acc]]</f>
        <v>0.97668996204932523</v>
      </c>
      <c r="Y224">
        <f>Cancer_doubles_final2[[#This Row],[mlp_test_acc]]</f>
        <v>0.9332750582750583</v>
      </c>
      <c r="Z224">
        <f>Cancer_doubles_final2[[#This Row],[mlp_test_acc2]]</f>
        <v>0.93356643356643354</v>
      </c>
    </row>
    <row r="225" spans="1:26" hidden="1" x14ac:dyDescent="0.25">
      <c r="A225" t="s">
        <v>19</v>
      </c>
      <c r="B225">
        <v>3</v>
      </c>
      <c r="C225">
        <v>3</v>
      </c>
      <c r="D225">
        <v>0</v>
      </c>
      <c r="E225" t="s">
        <v>165</v>
      </c>
      <c r="F225">
        <v>17342</v>
      </c>
      <c r="G225">
        <v>22119824.666666664</v>
      </c>
      <c r="H225">
        <v>0.97086246063311898</v>
      </c>
      <c r="I225">
        <v>0.94463869463869465</v>
      </c>
      <c r="J225">
        <v>7710289.708333334</v>
      </c>
      <c r="K225">
        <v>30477</v>
      </c>
      <c r="L225">
        <v>2</v>
      </c>
      <c r="M225">
        <v>115</v>
      </c>
      <c r="N225">
        <v>0.94580419580419584</v>
      </c>
      <c r="O225">
        <v>9703000.3333333321</v>
      </c>
      <c r="P225">
        <v>30974</v>
      </c>
      <c r="Q225">
        <v>2</v>
      </c>
      <c r="R225">
        <v>116</v>
      </c>
      <c r="S225" t="s">
        <v>211</v>
      </c>
      <c r="W225">
        <f>Cancer_doubles_final2[[#This Row],[mlp_params]]</f>
        <v>30477</v>
      </c>
      <c r="X225">
        <f>Cancer_doubles_final2[[#This Row],[kan_test_acc]]</f>
        <v>0.97086246063311898</v>
      </c>
      <c r="Y225">
        <f>Cancer_doubles_final2[[#This Row],[mlp_test_acc]]</f>
        <v>0.94463869463869465</v>
      </c>
      <c r="Z225">
        <f>Cancer_doubles_final2[[#This Row],[mlp_test_acc2]]</f>
        <v>0.94580419580419584</v>
      </c>
    </row>
    <row r="226" spans="1:26" hidden="1" x14ac:dyDescent="0.25">
      <c r="A226" t="s">
        <v>19</v>
      </c>
      <c r="B226">
        <v>3</v>
      </c>
      <c r="C226">
        <v>3</v>
      </c>
      <c r="D226">
        <v>0</v>
      </c>
      <c r="E226" t="s">
        <v>167</v>
      </c>
      <c r="F226">
        <v>17380</v>
      </c>
      <c r="G226">
        <v>25606796.444444444</v>
      </c>
      <c r="H226">
        <v>0.96872572104136145</v>
      </c>
      <c r="I226">
        <v>0.94425019425019419</v>
      </c>
      <c r="J226">
        <v>8449111.1388888899</v>
      </c>
      <c r="K226">
        <v>30477</v>
      </c>
      <c r="L226">
        <v>2</v>
      </c>
      <c r="M226">
        <v>115</v>
      </c>
      <c r="N226">
        <v>0.94502719502719501</v>
      </c>
      <c r="O226">
        <v>8715270.416666666</v>
      </c>
      <c r="P226">
        <v>30974</v>
      </c>
      <c r="Q226">
        <v>2</v>
      </c>
      <c r="R226">
        <v>116</v>
      </c>
      <c r="S226" t="s">
        <v>212</v>
      </c>
      <c r="W226">
        <f>Cancer_doubles_final2[[#This Row],[mlp_params]]</f>
        <v>30477</v>
      </c>
      <c r="X226">
        <f>Cancer_doubles_final2[[#This Row],[kan_test_acc]]</f>
        <v>0.96872572104136145</v>
      </c>
      <c r="Y226">
        <f>Cancer_doubles_final2[[#This Row],[mlp_test_acc]]</f>
        <v>0.94425019425019419</v>
      </c>
      <c r="Z226">
        <f>Cancer_doubles_final2[[#This Row],[mlp_test_acc2]]</f>
        <v>0.94502719502719501</v>
      </c>
    </row>
    <row r="227" spans="1:26" hidden="1" x14ac:dyDescent="0.25">
      <c r="A227" t="s">
        <v>19</v>
      </c>
      <c r="B227">
        <v>9</v>
      </c>
      <c r="C227">
        <v>5</v>
      </c>
      <c r="D227">
        <v>0</v>
      </c>
      <c r="E227" t="s">
        <v>39</v>
      </c>
      <c r="F227">
        <v>17442</v>
      </c>
      <c r="G227">
        <v>29138453.194444444</v>
      </c>
      <c r="H227">
        <v>0.95881896052095628</v>
      </c>
      <c r="I227">
        <v>0.94386169386169383</v>
      </c>
      <c r="J227">
        <v>8463569.6388888881</v>
      </c>
      <c r="K227">
        <v>28529</v>
      </c>
      <c r="L227">
        <v>2</v>
      </c>
      <c r="M227">
        <v>111</v>
      </c>
      <c r="N227">
        <v>0.94774669774669773</v>
      </c>
      <c r="O227">
        <v>8779618.777777778</v>
      </c>
      <c r="P227">
        <v>29010</v>
      </c>
      <c r="Q227">
        <v>2</v>
      </c>
      <c r="R227">
        <v>112</v>
      </c>
      <c r="S227" t="s">
        <v>213</v>
      </c>
      <c r="W227">
        <f>Cancer_doubles_final2[[#This Row],[mlp_params]]</f>
        <v>28529</v>
      </c>
      <c r="X227">
        <f>Cancer_doubles_final2[[#This Row],[kan_test_acc]]</f>
        <v>0.95881896052095628</v>
      </c>
      <c r="Y227">
        <f>Cancer_doubles_final2[[#This Row],[mlp_test_acc]]</f>
        <v>0.94386169386169383</v>
      </c>
      <c r="Z227">
        <f>Cancer_doubles_final2[[#This Row],[mlp_test_acc2]]</f>
        <v>0.94774669774669773</v>
      </c>
    </row>
    <row r="228" spans="1:26" hidden="1" x14ac:dyDescent="0.25">
      <c r="A228" t="s">
        <v>19</v>
      </c>
      <c r="B228">
        <v>3</v>
      </c>
      <c r="C228">
        <v>2</v>
      </c>
      <c r="D228">
        <v>0</v>
      </c>
      <c r="E228" t="s">
        <v>214</v>
      </c>
      <c r="F228">
        <v>17444</v>
      </c>
      <c r="G228">
        <v>31562055.625</v>
      </c>
      <c r="H228">
        <v>0.95775058617194497</v>
      </c>
      <c r="I228">
        <v>0.94609557109557108</v>
      </c>
      <c r="J228">
        <v>8193310.333333334</v>
      </c>
      <c r="K228">
        <v>28052</v>
      </c>
      <c r="L228">
        <v>2</v>
      </c>
      <c r="M228">
        <v>110</v>
      </c>
      <c r="N228">
        <v>0.94842657342657344</v>
      </c>
      <c r="O228">
        <v>8305308.916666666</v>
      </c>
      <c r="P228">
        <v>28529</v>
      </c>
      <c r="Q228">
        <v>2</v>
      </c>
      <c r="R228">
        <v>111</v>
      </c>
      <c r="S228" t="s">
        <v>215</v>
      </c>
      <c r="W228">
        <f>Cancer_doubles_final2[[#This Row],[mlp_params]]</f>
        <v>28052</v>
      </c>
      <c r="X228">
        <f>Cancer_doubles_final2[[#This Row],[kan_test_acc]]</f>
        <v>0.95775058617194497</v>
      </c>
      <c r="Y228">
        <f>Cancer_doubles_final2[[#This Row],[mlp_test_acc]]</f>
        <v>0.94609557109557108</v>
      </c>
      <c r="Z228">
        <f>Cancer_doubles_final2[[#This Row],[mlp_test_acc2]]</f>
        <v>0.94842657342657344</v>
      </c>
    </row>
    <row r="229" spans="1:26" hidden="1" x14ac:dyDescent="0.25">
      <c r="A229" t="s">
        <v>19</v>
      </c>
      <c r="B229">
        <v>9</v>
      </c>
      <c r="C229">
        <v>4</v>
      </c>
      <c r="D229">
        <v>0</v>
      </c>
      <c r="E229" t="s">
        <v>47</v>
      </c>
      <c r="F229">
        <v>17444</v>
      </c>
      <c r="G229">
        <v>28599392.666666664</v>
      </c>
      <c r="H229">
        <v>0.96882284432649612</v>
      </c>
      <c r="I229">
        <v>0.95600233100233101</v>
      </c>
      <c r="J229">
        <v>8216110.083333334</v>
      </c>
      <c r="K229">
        <v>27110</v>
      </c>
      <c r="L229">
        <v>2</v>
      </c>
      <c r="M229">
        <v>108</v>
      </c>
      <c r="N229">
        <v>0.95804195804195802</v>
      </c>
      <c r="O229">
        <v>8002279.4583333321</v>
      </c>
      <c r="P229">
        <v>27579</v>
      </c>
      <c r="Q229">
        <v>2</v>
      </c>
      <c r="R229">
        <v>109</v>
      </c>
      <c r="S229" t="s">
        <v>216</v>
      </c>
      <c r="W229">
        <f>Cancer_doubles_final2[[#This Row],[mlp_params]]</f>
        <v>27110</v>
      </c>
      <c r="X229">
        <f>Cancer_doubles_final2[[#This Row],[kan_test_acc]]</f>
        <v>0.96882284432649612</v>
      </c>
      <c r="Y229">
        <f>Cancer_doubles_final2[[#This Row],[mlp_test_acc]]</f>
        <v>0.95600233100233101</v>
      </c>
      <c r="Z229">
        <f>Cancer_doubles_final2[[#This Row],[mlp_test_acc2]]</f>
        <v>0.95804195804195802</v>
      </c>
    </row>
    <row r="230" spans="1:26" hidden="1" x14ac:dyDescent="0.25">
      <c r="A230" t="s">
        <v>19</v>
      </c>
      <c r="B230">
        <v>3</v>
      </c>
      <c r="C230">
        <v>2</v>
      </c>
      <c r="D230">
        <v>0</v>
      </c>
      <c r="E230" t="s">
        <v>214</v>
      </c>
      <c r="F230">
        <v>17444</v>
      </c>
      <c r="G230">
        <v>26004144.25</v>
      </c>
      <c r="H230">
        <v>0.95396269361178077</v>
      </c>
      <c r="I230">
        <v>0.95192307692307698</v>
      </c>
      <c r="J230">
        <v>8270886.875</v>
      </c>
      <c r="K230">
        <v>28052</v>
      </c>
      <c r="L230">
        <v>2</v>
      </c>
      <c r="M230">
        <v>110</v>
      </c>
      <c r="N230">
        <v>0.95745920745920743</v>
      </c>
      <c r="O230">
        <v>9073279.291666666</v>
      </c>
      <c r="P230">
        <v>28529</v>
      </c>
      <c r="Q230">
        <v>2</v>
      </c>
      <c r="R230">
        <v>111</v>
      </c>
      <c r="S230" t="s">
        <v>215</v>
      </c>
      <c r="W230">
        <f>Cancer_doubles_final2[[#This Row],[mlp_params]]</f>
        <v>28052</v>
      </c>
      <c r="X230">
        <f>Cancer_doubles_final2[[#This Row],[kan_test_acc]]</f>
        <v>0.95396269361178077</v>
      </c>
      <c r="Y230">
        <f>Cancer_doubles_final2[[#This Row],[mlp_test_acc]]</f>
        <v>0.95192307692307698</v>
      </c>
      <c r="Z230">
        <f>Cancer_doubles_final2[[#This Row],[mlp_test_acc2]]</f>
        <v>0.95745920745920743</v>
      </c>
    </row>
    <row r="231" spans="1:26" hidden="1" x14ac:dyDescent="0.25">
      <c r="A231" t="s">
        <v>19</v>
      </c>
      <c r="B231">
        <v>3</v>
      </c>
      <c r="C231">
        <v>2</v>
      </c>
      <c r="D231">
        <v>0</v>
      </c>
      <c r="E231" t="s">
        <v>217</v>
      </c>
      <c r="F231">
        <v>17512</v>
      </c>
      <c r="G231">
        <v>31807671.833333336</v>
      </c>
      <c r="H231">
        <v>0.9629953304926554</v>
      </c>
      <c r="I231">
        <v>0.94085081585081598</v>
      </c>
      <c r="J231">
        <v>7604741.875</v>
      </c>
      <c r="K231">
        <v>28052</v>
      </c>
      <c r="L231">
        <v>2</v>
      </c>
      <c r="M231">
        <v>110</v>
      </c>
      <c r="N231">
        <v>0.94522144522144524</v>
      </c>
      <c r="O231">
        <v>8844314.8333333321</v>
      </c>
      <c r="P231">
        <v>28529</v>
      </c>
      <c r="Q231">
        <v>2</v>
      </c>
      <c r="R231">
        <v>111</v>
      </c>
      <c r="S231" t="s">
        <v>218</v>
      </c>
      <c r="W231">
        <f>Cancer_doubles_final2[[#This Row],[mlp_params]]</f>
        <v>28052</v>
      </c>
      <c r="X231">
        <f>Cancer_doubles_final2[[#This Row],[kan_test_acc]]</f>
        <v>0.9629953304926554</v>
      </c>
      <c r="Y231">
        <f>Cancer_doubles_final2[[#This Row],[mlp_test_acc]]</f>
        <v>0.94085081585081598</v>
      </c>
      <c r="Z231">
        <f>Cancer_doubles_final2[[#This Row],[mlp_test_acc2]]</f>
        <v>0.94522144522144524</v>
      </c>
    </row>
    <row r="232" spans="1:26" hidden="1" x14ac:dyDescent="0.25">
      <c r="A232" t="s">
        <v>19</v>
      </c>
      <c r="B232">
        <v>5</v>
      </c>
      <c r="C232">
        <v>5</v>
      </c>
      <c r="D232">
        <v>0</v>
      </c>
      <c r="E232" t="s">
        <v>78</v>
      </c>
      <c r="F232">
        <v>17516</v>
      </c>
      <c r="G232">
        <v>25582823.833333332</v>
      </c>
      <c r="H232">
        <v>0.95804195437166428</v>
      </c>
      <c r="I232">
        <v>0.93822843822843827</v>
      </c>
      <c r="J232">
        <v>8388544.416666667</v>
      </c>
      <c r="K232">
        <v>31980</v>
      </c>
      <c r="L232">
        <v>2</v>
      </c>
      <c r="M232">
        <v>118</v>
      </c>
      <c r="N232">
        <v>0.93783993783993791</v>
      </c>
      <c r="O232">
        <v>8162836.972222222</v>
      </c>
      <c r="P232">
        <v>32489</v>
      </c>
      <c r="Q232">
        <v>2</v>
      </c>
      <c r="R232">
        <v>119</v>
      </c>
      <c r="S232" t="s">
        <v>219</v>
      </c>
      <c r="W232">
        <f>Cancer_doubles_final2[[#This Row],[mlp_params]]</f>
        <v>31980</v>
      </c>
      <c r="X232">
        <f>Cancer_doubles_final2[[#This Row],[kan_test_acc]]</f>
        <v>0.95804195437166428</v>
      </c>
      <c r="Y232">
        <f>Cancer_doubles_final2[[#This Row],[mlp_test_acc]]</f>
        <v>0.93822843822843827</v>
      </c>
      <c r="Z232">
        <f>Cancer_doubles_final2[[#This Row],[mlp_test_acc2]]</f>
        <v>0.93783993783993791</v>
      </c>
    </row>
    <row r="233" spans="1:26" hidden="1" x14ac:dyDescent="0.25">
      <c r="A233" t="s">
        <v>19</v>
      </c>
      <c r="B233">
        <v>3</v>
      </c>
      <c r="C233">
        <v>2</v>
      </c>
      <c r="D233">
        <v>0</v>
      </c>
      <c r="E233" t="s">
        <v>220</v>
      </c>
      <c r="F233">
        <v>17542</v>
      </c>
      <c r="G233">
        <v>24491415.277777776</v>
      </c>
      <c r="H233">
        <v>0.96950272222359968</v>
      </c>
      <c r="I233">
        <v>0.94133644133644134</v>
      </c>
      <c r="J233">
        <v>7764928.388888889</v>
      </c>
      <c r="K233">
        <v>28052</v>
      </c>
      <c r="L233">
        <v>2</v>
      </c>
      <c r="M233">
        <v>110</v>
      </c>
      <c r="N233">
        <v>0.94094794094794099</v>
      </c>
      <c r="O233">
        <v>8720646.055555556</v>
      </c>
      <c r="P233">
        <v>28529</v>
      </c>
      <c r="Q233">
        <v>2</v>
      </c>
      <c r="R233">
        <v>111</v>
      </c>
      <c r="S233" t="s">
        <v>221</v>
      </c>
      <c r="W233">
        <f>Cancer_doubles_final2[[#This Row],[mlp_params]]</f>
        <v>28052</v>
      </c>
      <c r="X233">
        <f>Cancer_doubles_final2[[#This Row],[kan_test_acc]]</f>
        <v>0.96950272222359968</v>
      </c>
      <c r="Y233">
        <f>Cancer_doubles_final2[[#This Row],[mlp_test_acc]]</f>
        <v>0.94133644133644134</v>
      </c>
      <c r="Z233">
        <f>Cancer_doubles_final2[[#This Row],[mlp_test_acc2]]</f>
        <v>0.94094794094794099</v>
      </c>
    </row>
    <row r="234" spans="1:26" x14ac:dyDescent="0.25">
      <c r="A234" t="s">
        <v>19</v>
      </c>
      <c r="B234">
        <v>3</v>
      </c>
      <c r="C234">
        <v>5</v>
      </c>
      <c r="D234">
        <v>0</v>
      </c>
      <c r="E234" t="s">
        <v>116</v>
      </c>
      <c r="F234">
        <v>17652</v>
      </c>
      <c r="G234">
        <v>28844610.25</v>
      </c>
      <c r="H234">
        <v>0.96891996761163068</v>
      </c>
      <c r="I234">
        <v>0.94580419580419584</v>
      </c>
      <c r="J234">
        <v>8276012.2500000009</v>
      </c>
      <c r="K234">
        <v>35094</v>
      </c>
      <c r="L234">
        <v>2</v>
      </c>
      <c r="M234">
        <v>124</v>
      </c>
      <c r="N234">
        <v>0.94774669774669773</v>
      </c>
      <c r="O234">
        <v>8843125.055555556</v>
      </c>
      <c r="P234">
        <v>35627</v>
      </c>
      <c r="Q234">
        <v>2</v>
      </c>
      <c r="R234">
        <v>125</v>
      </c>
      <c r="S234" t="s">
        <v>222</v>
      </c>
      <c r="W234">
        <f>Cancer_doubles_final2[[#This Row],[mlp_params]]</f>
        <v>35094</v>
      </c>
      <c r="X234">
        <f>Cancer_doubles_final2[[#This Row],[kan_test_acc]]</f>
        <v>0.96891996761163068</v>
      </c>
      <c r="Y234">
        <f>Cancer_doubles_final2[[#This Row],[mlp_test_acc]]</f>
        <v>0.94580419580419584</v>
      </c>
      <c r="Z234">
        <f>Cancer_doubles_final2[[#This Row],[mlp_test_acc2]]</f>
        <v>0.94774669774669773</v>
      </c>
    </row>
    <row r="235" spans="1:26" hidden="1" x14ac:dyDescent="0.25">
      <c r="A235" t="s">
        <v>19</v>
      </c>
      <c r="B235">
        <v>5</v>
      </c>
      <c r="C235">
        <v>3</v>
      </c>
      <c r="D235">
        <v>0</v>
      </c>
      <c r="E235" t="s">
        <v>116</v>
      </c>
      <c r="F235">
        <v>17652</v>
      </c>
      <c r="G235">
        <v>24023296.125</v>
      </c>
      <c r="H235">
        <v>0.9758158499995867</v>
      </c>
      <c r="I235">
        <v>0.94289044289044299</v>
      </c>
      <c r="J235">
        <v>8419169.541666666</v>
      </c>
      <c r="K235">
        <v>28529</v>
      </c>
      <c r="L235">
        <v>2</v>
      </c>
      <c r="M235">
        <v>111</v>
      </c>
      <c r="N235">
        <v>0.94784382284382285</v>
      </c>
      <c r="O235">
        <v>8735542.2916666679</v>
      </c>
      <c r="P235">
        <v>29010</v>
      </c>
      <c r="Q235">
        <v>2</v>
      </c>
      <c r="R235">
        <v>112</v>
      </c>
      <c r="S235" t="s">
        <v>223</v>
      </c>
      <c r="W235">
        <f>Cancer_doubles_final2[[#This Row],[mlp_params]]</f>
        <v>28529</v>
      </c>
      <c r="X235">
        <f>Cancer_doubles_final2[[#This Row],[kan_test_acc]]</f>
        <v>0.9758158499995867</v>
      </c>
      <c r="Y235">
        <f>Cancer_doubles_final2[[#This Row],[mlp_test_acc]]</f>
        <v>0.94289044289044299</v>
      </c>
      <c r="Z235">
        <f>Cancer_doubles_final2[[#This Row],[mlp_test_acc2]]</f>
        <v>0.94784382284382285</v>
      </c>
    </row>
    <row r="236" spans="1:26" x14ac:dyDescent="0.25">
      <c r="A236" t="s">
        <v>19</v>
      </c>
      <c r="B236">
        <v>3</v>
      </c>
      <c r="C236">
        <v>5</v>
      </c>
      <c r="D236">
        <v>0</v>
      </c>
      <c r="E236" t="s">
        <v>116</v>
      </c>
      <c r="F236">
        <v>17652</v>
      </c>
      <c r="G236">
        <v>25225342.75</v>
      </c>
      <c r="H236">
        <v>0.97465034574270248</v>
      </c>
      <c r="I236">
        <v>0.93094405594405605</v>
      </c>
      <c r="J236">
        <v>8419113.3333333321</v>
      </c>
      <c r="K236">
        <v>35094</v>
      </c>
      <c r="L236">
        <v>2</v>
      </c>
      <c r="M236">
        <v>124</v>
      </c>
      <c r="N236">
        <v>0.93298368298368306</v>
      </c>
      <c r="O236">
        <v>8537485.75</v>
      </c>
      <c r="P236">
        <v>35627</v>
      </c>
      <c r="Q236">
        <v>2</v>
      </c>
      <c r="R236">
        <v>125</v>
      </c>
      <c r="S236" t="s">
        <v>222</v>
      </c>
      <c r="W236">
        <f>Cancer_doubles_final2[[#This Row],[mlp_params]]</f>
        <v>35094</v>
      </c>
      <c r="X236">
        <f>Cancer_doubles_final2[[#This Row],[kan_test_acc]]</f>
        <v>0.97465034574270248</v>
      </c>
      <c r="Y236">
        <f>Cancer_doubles_final2[[#This Row],[mlp_test_acc]]</f>
        <v>0.93094405594405605</v>
      </c>
      <c r="Z236">
        <f>Cancer_doubles_final2[[#This Row],[mlp_test_acc2]]</f>
        <v>0.93298368298368306</v>
      </c>
    </row>
    <row r="237" spans="1:26" hidden="1" x14ac:dyDescent="0.25">
      <c r="A237" t="s">
        <v>19</v>
      </c>
      <c r="B237">
        <v>5</v>
      </c>
      <c r="C237">
        <v>3</v>
      </c>
      <c r="D237">
        <v>0</v>
      </c>
      <c r="E237" t="s">
        <v>116</v>
      </c>
      <c r="F237">
        <v>17652</v>
      </c>
      <c r="G237">
        <v>23847329.291666664</v>
      </c>
      <c r="H237">
        <v>0.9551281978686651</v>
      </c>
      <c r="I237">
        <v>0.909965034965035</v>
      </c>
      <c r="J237">
        <v>7710898.75</v>
      </c>
      <c r="K237">
        <v>28529</v>
      </c>
      <c r="L237">
        <v>2</v>
      </c>
      <c r="M237">
        <v>111</v>
      </c>
      <c r="N237">
        <v>0.90967365967365965</v>
      </c>
      <c r="O237">
        <v>7891190.708333333</v>
      </c>
      <c r="P237">
        <v>29010</v>
      </c>
      <c r="Q237">
        <v>2</v>
      </c>
      <c r="R237">
        <v>112</v>
      </c>
      <c r="S237" t="s">
        <v>223</v>
      </c>
      <c r="W237">
        <f>Cancer_doubles_final2[[#This Row],[mlp_params]]</f>
        <v>28529</v>
      </c>
      <c r="X237">
        <f>Cancer_doubles_final2[[#This Row],[kan_test_acc]]</f>
        <v>0.9551281978686651</v>
      </c>
      <c r="Y237">
        <f>Cancer_doubles_final2[[#This Row],[mlp_test_acc]]</f>
        <v>0.909965034965035</v>
      </c>
      <c r="Z237">
        <f>Cancer_doubles_final2[[#This Row],[mlp_test_acc2]]</f>
        <v>0.90967365967365965</v>
      </c>
    </row>
    <row r="238" spans="1:26" hidden="1" x14ac:dyDescent="0.25">
      <c r="A238" t="s">
        <v>19</v>
      </c>
      <c r="B238">
        <v>5</v>
      </c>
      <c r="C238">
        <v>4</v>
      </c>
      <c r="D238">
        <v>0</v>
      </c>
      <c r="E238" t="s">
        <v>96</v>
      </c>
      <c r="F238">
        <v>17712</v>
      </c>
      <c r="G238">
        <v>20728469.125</v>
      </c>
      <c r="H238">
        <v>0.95687645177046465</v>
      </c>
      <c r="I238">
        <v>0.92016317016317017</v>
      </c>
      <c r="J238">
        <v>9017277.4166666679</v>
      </c>
      <c r="K238">
        <v>30477</v>
      </c>
      <c r="L238">
        <v>2</v>
      </c>
      <c r="M238">
        <v>115</v>
      </c>
      <c r="N238">
        <v>0.9184149184149184</v>
      </c>
      <c r="O238">
        <v>8535242.125</v>
      </c>
      <c r="P238">
        <v>30974</v>
      </c>
      <c r="Q238">
        <v>2</v>
      </c>
      <c r="R238">
        <v>116</v>
      </c>
      <c r="S238" t="s">
        <v>224</v>
      </c>
      <c r="W238">
        <f>Cancer_doubles_final2[[#This Row],[mlp_params]]</f>
        <v>30477</v>
      </c>
      <c r="X238">
        <f>Cancer_doubles_final2[[#This Row],[kan_test_acc]]</f>
        <v>0.95687645177046465</v>
      </c>
      <c r="Y238">
        <f>Cancer_doubles_final2[[#This Row],[mlp_test_acc]]</f>
        <v>0.92016317016317017</v>
      </c>
      <c r="Z238">
        <f>Cancer_doubles_final2[[#This Row],[mlp_test_acc2]]</f>
        <v>0.9184149184149184</v>
      </c>
    </row>
    <row r="239" spans="1:26" hidden="1" x14ac:dyDescent="0.25">
      <c r="A239" t="s">
        <v>19</v>
      </c>
      <c r="B239">
        <v>3</v>
      </c>
      <c r="C239">
        <v>2</v>
      </c>
      <c r="D239">
        <v>0</v>
      </c>
      <c r="E239" t="s">
        <v>225</v>
      </c>
      <c r="F239">
        <v>17828</v>
      </c>
      <c r="G239">
        <v>26574252.583333336</v>
      </c>
      <c r="H239">
        <v>0.96634615336855245</v>
      </c>
      <c r="I239">
        <v>0.93036130536130535</v>
      </c>
      <c r="J239">
        <v>9035409.020833334</v>
      </c>
      <c r="K239">
        <v>28529</v>
      </c>
      <c r="L239">
        <v>2</v>
      </c>
      <c r="M239">
        <v>111</v>
      </c>
      <c r="N239">
        <v>0.92803030303030309</v>
      </c>
      <c r="O239">
        <v>9692958.7083333321</v>
      </c>
      <c r="P239">
        <v>29010</v>
      </c>
      <c r="Q239">
        <v>2</v>
      </c>
      <c r="R239">
        <v>112</v>
      </c>
      <c r="S239" t="s">
        <v>226</v>
      </c>
      <c r="W239">
        <f>Cancer_doubles_final2[[#This Row],[mlp_params]]</f>
        <v>28529</v>
      </c>
      <c r="X239">
        <f>Cancer_doubles_final2[[#This Row],[kan_test_acc]]</f>
        <v>0.96634615336855245</v>
      </c>
      <c r="Y239">
        <f>Cancer_doubles_final2[[#This Row],[mlp_test_acc]]</f>
        <v>0.93036130536130535</v>
      </c>
      <c r="Z239">
        <f>Cancer_doubles_final2[[#This Row],[mlp_test_acc2]]</f>
        <v>0.92803030303030309</v>
      </c>
    </row>
    <row r="240" spans="1:26" hidden="1" x14ac:dyDescent="0.25">
      <c r="A240" t="s">
        <v>19</v>
      </c>
      <c r="B240">
        <v>3</v>
      </c>
      <c r="C240">
        <v>3</v>
      </c>
      <c r="D240">
        <v>0</v>
      </c>
      <c r="E240" t="s">
        <v>173</v>
      </c>
      <c r="F240">
        <v>17884</v>
      </c>
      <c r="G240">
        <v>42018254.388888888</v>
      </c>
      <c r="H240">
        <v>0.96814297139644623</v>
      </c>
      <c r="I240">
        <v>0.94405594405594406</v>
      </c>
      <c r="J240">
        <v>8844843.805555556</v>
      </c>
      <c r="K240">
        <v>31475</v>
      </c>
      <c r="L240">
        <v>2</v>
      </c>
      <c r="M240">
        <v>117</v>
      </c>
      <c r="N240">
        <v>0.9397824397824398</v>
      </c>
      <c r="O240">
        <v>9656170.444444444</v>
      </c>
      <c r="P240">
        <v>31980</v>
      </c>
      <c r="Q240">
        <v>2</v>
      </c>
      <c r="R240">
        <v>118</v>
      </c>
      <c r="S240" t="s">
        <v>227</v>
      </c>
      <c r="W240">
        <f>Cancer_doubles_final2[[#This Row],[mlp_params]]</f>
        <v>31475</v>
      </c>
      <c r="X240">
        <f>Cancer_doubles_final2[[#This Row],[kan_test_acc]]</f>
        <v>0.96814297139644623</v>
      </c>
      <c r="Y240">
        <f>Cancer_doubles_final2[[#This Row],[mlp_test_acc]]</f>
        <v>0.94405594405594406</v>
      </c>
      <c r="Z240">
        <f>Cancer_doubles_final2[[#This Row],[mlp_test_acc2]]</f>
        <v>0.9397824397824398</v>
      </c>
    </row>
    <row r="241" spans="1:26" hidden="1" x14ac:dyDescent="0.25">
      <c r="A241" t="s">
        <v>19</v>
      </c>
      <c r="B241">
        <v>3</v>
      </c>
      <c r="C241">
        <v>3</v>
      </c>
      <c r="D241">
        <v>0</v>
      </c>
      <c r="E241" t="s">
        <v>175</v>
      </c>
      <c r="F241">
        <v>17920</v>
      </c>
      <c r="G241">
        <v>35493713.416666664</v>
      </c>
      <c r="H241">
        <v>0.96348095933596289</v>
      </c>
      <c r="I241">
        <v>0.94541569541569548</v>
      </c>
      <c r="J241">
        <v>8970953.527777778</v>
      </c>
      <c r="K241">
        <v>31475</v>
      </c>
      <c r="L241">
        <v>2</v>
      </c>
      <c r="M241">
        <v>117</v>
      </c>
      <c r="N241">
        <v>0.94444444444444442</v>
      </c>
      <c r="O241">
        <v>9281850.25</v>
      </c>
      <c r="P241">
        <v>31980</v>
      </c>
      <c r="Q241">
        <v>2</v>
      </c>
      <c r="R241">
        <v>118</v>
      </c>
      <c r="S241" t="s">
        <v>228</v>
      </c>
      <c r="W241">
        <f>Cancer_doubles_final2[[#This Row],[mlp_params]]</f>
        <v>31475</v>
      </c>
      <c r="X241">
        <f>Cancer_doubles_final2[[#This Row],[kan_test_acc]]</f>
        <v>0.96348095933596289</v>
      </c>
      <c r="Y241">
        <f>Cancer_doubles_final2[[#This Row],[mlp_test_acc]]</f>
        <v>0.94541569541569548</v>
      </c>
      <c r="Z241">
        <f>Cancer_doubles_final2[[#This Row],[mlp_test_acc2]]</f>
        <v>0.94444444444444442</v>
      </c>
    </row>
    <row r="242" spans="1:26" hidden="1" x14ac:dyDescent="0.25">
      <c r="A242" t="s">
        <v>19</v>
      </c>
      <c r="B242">
        <v>3</v>
      </c>
      <c r="C242">
        <v>3</v>
      </c>
      <c r="D242">
        <v>0</v>
      </c>
      <c r="E242" t="s">
        <v>177</v>
      </c>
      <c r="F242">
        <v>17958</v>
      </c>
      <c r="G242">
        <v>27327861.25</v>
      </c>
      <c r="H242">
        <v>0.96717171370983124</v>
      </c>
      <c r="I242">
        <v>0.94386169386169383</v>
      </c>
      <c r="J242">
        <v>8855161.083333334</v>
      </c>
      <c r="K242">
        <v>31475</v>
      </c>
      <c r="L242">
        <v>2</v>
      </c>
      <c r="M242">
        <v>117</v>
      </c>
      <c r="N242">
        <v>0.94580419580419584</v>
      </c>
      <c r="O242">
        <v>8440289.833333334</v>
      </c>
      <c r="P242">
        <v>31980</v>
      </c>
      <c r="Q242">
        <v>2</v>
      </c>
      <c r="R242">
        <v>118</v>
      </c>
      <c r="S242" t="s">
        <v>229</v>
      </c>
      <c r="W242">
        <f>Cancer_doubles_final2[[#This Row],[mlp_params]]</f>
        <v>31475</v>
      </c>
      <c r="X242">
        <f>Cancer_doubles_final2[[#This Row],[kan_test_acc]]</f>
        <v>0.96717171370983124</v>
      </c>
      <c r="Y242">
        <f>Cancer_doubles_final2[[#This Row],[mlp_test_acc]]</f>
        <v>0.94386169386169383</v>
      </c>
      <c r="Z242">
        <f>Cancer_doubles_final2[[#This Row],[mlp_test_acc2]]</f>
        <v>0.94580419580419584</v>
      </c>
    </row>
    <row r="243" spans="1:26" hidden="1" x14ac:dyDescent="0.25">
      <c r="A243" t="s">
        <v>19</v>
      </c>
      <c r="B243">
        <v>9</v>
      </c>
      <c r="C243">
        <v>2</v>
      </c>
      <c r="D243">
        <v>0</v>
      </c>
      <c r="E243" t="s">
        <v>70</v>
      </c>
      <c r="F243">
        <v>17962</v>
      </c>
      <c r="G243">
        <v>26815007.611111112</v>
      </c>
      <c r="H243">
        <v>0.95260294609599638</v>
      </c>
      <c r="I243">
        <v>0.93278943278943283</v>
      </c>
      <c r="J243">
        <v>8652848.083333334</v>
      </c>
      <c r="K243">
        <v>23939</v>
      </c>
      <c r="L243">
        <v>2</v>
      </c>
      <c r="M243">
        <v>101</v>
      </c>
      <c r="N243">
        <v>0.93725718725718732</v>
      </c>
      <c r="O243">
        <v>8959451.222222222</v>
      </c>
      <c r="P243">
        <v>24380</v>
      </c>
      <c r="Q243">
        <v>2</v>
      </c>
      <c r="R243">
        <v>102</v>
      </c>
      <c r="S243" t="s">
        <v>230</v>
      </c>
      <c r="W243">
        <f>Cancer_doubles_final2[[#This Row],[mlp_params]]</f>
        <v>23939</v>
      </c>
      <c r="X243">
        <f>Cancer_doubles_final2[[#This Row],[kan_test_acc]]</f>
        <v>0.95260294609599638</v>
      </c>
      <c r="Y243">
        <f>Cancer_doubles_final2[[#This Row],[mlp_test_acc]]</f>
        <v>0.93278943278943283</v>
      </c>
      <c r="Z243">
        <f>Cancer_doubles_final2[[#This Row],[mlp_test_acc2]]</f>
        <v>0.93725718725718732</v>
      </c>
    </row>
    <row r="244" spans="1:26" hidden="1" x14ac:dyDescent="0.25">
      <c r="A244" t="s">
        <v>19</v>
      </c>
      <c r="B244">
        <v>3</v>
      </c>
      <c r="C244">
        <v>4</v>
      </c>
      <c r="D244">
        <v>0</v>
      </c>
      <c r="E244" t="s">
        <v>143</v>
      </c>
      <c r="F244">
        <v>17978</v>
      </c>
      <c r="G244">
        <v>21740343.25</v>
      </c>
      <c r="H244">
        <v>0.94308468533886802</v>
      </c>
      <c r="I244">
        <v>0.92463092463092456</v>
      </c>
      <c r="J244">
        <v>8271275.888888889</v>
      </c>
      <c r="K244">
        <v>34040</v>
      </c>
      <c r="L244">
        <v>2</v>
      </c>
      <c r="M244">
        <v>122</v>
      </c>
      <c r="N244">
        <v>0.92501942501942502</v>
      </c>
      <c r="O244">
        <v>8411004.1388888881</v>
      </c>
      <c r="P244">
        <v>34565</v>
      </c>
      <c r="Q244">
        <v>2</v>
      </c>
      <c r="R244">
        <v>123</v>
      </c>
      <c r="S244" t="s">
        <v>231</v>
      </c>
      <c r="W244">
        <f>Cancer_doubles_final2[[#This Row],[mlp_params]]</f>
        <v>34040</v>
      </c>
      <c r="X244">
        <f>Cancer_doubles_final2[[#This Row],[kan_test_acc]]</f>
        <v>0.94308468533886802</v>
      </c>
      <c r="Y244">
        <f>Cancer_doubles_final2[[#This Row],[mlp_test_acc]]</f>
        <v>0.92463092463092456</v>
      </c>
      <c r="Z244">
        <f>Cancer_doubles_final2[[#This Row],[mlp_test_acc2]]</f>
        <v>0.92501942501942502</v>
      </c>
    </row>
    <row r="245" spans="1:26" hidden="1" x14ac:dyDescent="0.25">
      <c r="A245" t="s">
        <v>19</v>
      </c>
      <c r="B245">
        <v>5</v>
      </c>
      <c r="C245">
        <v>2</v>
      </c>
      <c r="D245">
        <v>0</v>
      </c>
      <c r="E245" t="s">
        <v>143</v>
      </c>
      <c r="F245">
        <v>17978</v>
      </c>
      <c r="G245">
        <v>23301941.083333332</v>
      </c>
      <c r="H245">
        <v>0.97960371772448229</v>
      </c>
      <c r="I245">
        <v>0.94580419580419584</v>
      </c>
      <c r="J245">
        <v>8583925.0833333321</v>
      </c>
      <c r="K245">
        <v>26645</v>
      </c>
      <c r="L245">
        <v>2</v>
      </c>
      <c r="M245">
        <v>107</v>
      </c>
      <c r="N245">
        <v>0.94667832167832167</v>
      </c>
      <c r="O245">
        <v>7694167.75</v>
      </c>
      <c r="P245">
        <v>27110</v>
      </c>
      <c r="Q245">
        <v>2</v>
      </c>
      <c r="R245">
        <v>108</v>
      </c>
      <c r="S245" t="s">
        <v>232</v>
      </c>
      <c r="W245">
        <f>Cancer_doubles_final2[[#This Row],[mlp_params]]</f>
        <v>26645</v>
      </c>
      <c r="X245">
        <f>Cancer_doubles_final2[[#This Row],[kan_test_acc]]</f>
        <v>0.97960371772448229</v>
      </c>
      <c r="Y245">
        <f>Cancer_doubles_final2[[#This Row],[mlp_test_acc]]</f>
        <v>0.94580419580419584</v>
      </c>
      <c r="Z245">
        <f>Cancer_doubles_final2[[#This Row],[mlp_test_acc2]]</f>
        <v>0.94667832167832167</v>
      </c>
    </row>
    <row r="246" spans="1:26" hidden="1" x14ac:dyDescent="0.25">
      <c r="A246" t="s">
        <v>19</v>
      </c>
      <c r="B246">
        <v>3</v>
      </c>
      <c r="C246">
        <v>4</v>
      </c>
      <c r="D246">
        <v>0</v>
      </c>
      <c r="E246" t="s">
        <v>143</v>
      </c>
      <c r="F246">
        <v>17978</v>
      </c>
      <c r="G246">
        <v>23194873.166666664</v>
      </c>
      <c r="H246">
        <v>0.98047784964243578</v>
      </c>
      <c r="I246">
        <v>0.93531468531468531</v>
      </c>
      <c r="J246">
        <v>8882532.9583333321</v>
      </c>
      <c r="K246">
        <v>34040</v>
      </c>
      <c r="L246">
        <v>2</v>
      </c>
      <c r="M246">
        <v>122</v>
      </c>
      <c r="N246">
        <v>0.93385780885780889</v>
      </c>
      <c r="O246">
        <v>8186228.708333333</v>
      </c>
      <c r="P246">
        <v>34565</v>
      </c>
      <c r="Q246">
        <v>2</v>
      </c>
      <c r="R246">
        <v>123</v>
      </c>
      <c r="S246" t="s">
        <v>231</v>
      </c>
      <c r="W246">
        <f>Cancer_doubles_final2[[#This Row],[mlp_params]]</f>
        <v>34040</v>
      </c>
      <c r="X246">
        <f>Cancer_doubles_final2[[#This Row],[kan_test_acc]]</f>
        <v>0.98047784964243578</v>
      </c>
      <c r="Y246">
        <f>Cancer_doubles_final2[[#This Row],[mlp_test_acc]]</f>
        <v>0.93531468531468531</v>
      </c>
      <c r="Z246">
        <f>Cancer_doubles_final2[[#This Row],[mlp_test_acc2]]</f>
        <v>0.93385780885780889</v>
      </c>
    </row>
    <row r="247" spans="1:26" hidden="1" x14ac:dyDescent="0.25">
      <c r="A247" t="s">
        <v>19</v>
      </c>
      <c r="B247">
        <v>5</v>
      </c>
      <c r="C247">
        <v>2</v>
      </c>
      <c r="D247">
        <v>0</v>
      </c>
      <c r="E247" t="s">
        <v>143</v>
      </c>
      <c r="F247">
        <v>17978</v>
      </c>
      <c r="G247">
        <v>24000282.541666664</v>
      </c>
      <c r="H247">
        <v>0.97785547127326333</v>
      </c>
      <c r="I247">
        <v>0.93677156177156173</v>
      </c>
      <c r="J247">
        <v>8271247.208333333</v>
      </c>
      <c r="K247">
        <v>26645</v>
      </c>
      <c r="L247">
        <v>2</v>
      </c>
      <c r="M247">
        <v>107</v>
      </c>
      <c r="N247">
        <v>0.93502331002331007</v>
      </c>
      <c r="O247">
        <v>9845527.3333333321</v>
      </c>
      <c r="P247">
        <v>27110</v>
      </c>
      <c r="Q247">
        <v>2</v>
      </c>
      <c r="R247">
        <v>108</v>
      </c>
      <c r="S247" t="s">
        <v>232</v>
      </c>
      <c r="W247">
        <f>Cancer_doubles_final2[[#This Row],[mlp_params]]</f>
        <v>26645</v>
      </c>
      <c r="X247">
        <f>Cancer_doubles_final2[[#This Row],[kan_test_acc]]</f>
        <v>0.97785547127326333</v>
      </c>
      <c r="Y247">
        <f>Cancer_doubles_final2[[#This Row],[mlp_test_acc]]</f>
        <v>0.93677156177156173</v>
      </c>
      <c r="Z247">
        <f>Cancer_doubles_final2[[#This Row],[mlp_test_acc2]]</f>
        <v>0.93502331002331007</v>
      </c>
    </row>
    <row r="248" spans="1:26" hidden="1" x14ac:dyDescent="0.25">
      <c r="A248" t="s">
        <v>19</v>
      </c>
      <c r="B248">
        <v>3</v>
      </c>
      <c r="C248">
        <v>2</v>
      </c>
      <c r="D248">
        <v>0</v>
      </c>
      <c r="E248" t="s">
        <v>233</v>
      </c>
      <c r="F248">
        <v>18022</v>
      </c>
      <c r="G248">
        <v>26632753.875</v>
      </c>
      <c r="H248">
        <v>0.97202796985705697</v>
      </c>
      <c r="I248">
        <v>0.94493006993006989</v>
      </c>
      <c r="J248">
        <v>8039394.208333333</v>
      </c>
      <c r="K248">
        <v>29010</v>
      </c>
      <c r="L248">
        <v>2</v>
      </c>
      <c r="M248">
        <v>112</v>
      </c>
      <c r="N248">
        <v>0.94522144522144524</v>
      </c>
      <c r="O248">
        <v>9190444.416666666</v>
      </c>
      <c r="P248">
        <v>29495</v>
      </c>
      <c r="Q248">
        <v>2</v>
      </c>
      <c r="R248">
        <v>113</v>
      </c>
      <c r="S248" t="s">
        <v>234</v>
      </c>
      <c r="W248">
        <f>Cancer_doubles_final2[[#This Row],[mlp_params]]</f>
        <v>29010</v>
      </c>
      <c r="X248">
        <f>Cancer_doubles_final2[[#This Row],[kan_test_acc]]</f>
        <v>0.97202796985705697</v>
      </c>
      <c r="Y248">
        <f>Cancer_doubles_final2[[#This Row],[mlp_test_acc]]</f>
        <v>0.94493006993006989</v>
      </c>
      <c r="Z248">
        <f>Cancer_doubles_final2[[#This Row],[mlp_test_acc2]]</f>
        <v>0.94522144522144524</v>
      </c>
    </row>
    <row r="249" spans="1:26" hidden="1" x14ac:dyDescent="0.25">
      <c r="A249" t="s">
        <v>19</v>
      </c>
      <c r="B249">
        <v>3</v>
      </c>
      <c r="C249">
        <v>2</v>
      </c>
      <c r="D249">
        <v>0</v>
      </c>
      <c r="E249" t="s">
        <v>235</v>
      </c>
      <c r="F249">
        <v>18026</v>
      </c>
      <c r="G249">
        <v>30205324.194444444</v>
      </c>
      <c r="H249">
        <v>0.95920745531717932</v>
      </c>
      <c r="I249">
        <v>0.94599844599844607</v>
      </c>
      <c r="J249">
        <v>7913027.805555556</v>
      </c>
      <c r="K249">
        <v>29010</v>
      </c>
      <c r="L249">
        <v>2</v>
      </c>
      <c r="M249">
        <v>112</v>
      </c>
      <c r="N249">
        <v>0.94347319347319347</v>
      </c>
      <c r="O249">
        <v>8752348.527777778</v>
      </c>
      <c r="P249">
        <v>29495</v>
      </c>
      <c r="Q249">
        <v>2</v>
      </c>
      <c r="R249">
        <v>113</v>
      </c>
      <c r="S249" t="s">
        <v>236</v>
      </c>
      <c r="W249">
        <f>Cancer_doubles_final2[[#This Row],[mlp_params]]</f>
        <v>29010</v>
      </c>
      <c r="X249">
        <f>Cancer_doubles_final2[[#This Row],[kan_test_acc]]</f>
        <v>0.95920745531717932</v>
      </c>
      <c r="Y249">
        <f>Cancer_doubles_final2[[#This Row],[mlp_test_acc]]</f>
        <v>0.94599844599844607</v>
      </c>
      <c r="Z249">
        <f>Cancer_doubles_final2[[#This Row],[mlp_test_acc2]]</f>
        <v>0.94347319347319347</v>
      </c>
    </row>
    <row r="250" spans="1:26" hidden="1" x14ac:dyDescent="0.25">
      <c r="A250" t="s">
        <v>19</v>
      </c>
      <c r="B250">
        <v>3</v>
      </c>
      <c r="C250">
        <v>2</v>
      </c>
      <c r="D250">
        <v>0</v>
      </c>
      <c r="E250" t="s">
        <v>237</v>
      </c>
      <c r="F250">
        <v>18088</v>
      </c>
      <c r="G250">
        <v>30777880.77777778</v>
      </c>
      <c r="H250">
        <v>0.96542346146371627</v>
      </c>
      <c r="I250">
        <v>0.94560994560994571</v>
      </c>
      <c r="J250">
        <v>8905489.416666666</v>
      </c>
      <c r="K250">
        <v>29010</v>
      </c>
      <c r="L250">
        <v>2</v>
      </c>
      <c r="M250">
        <v>112</v>
      </c>
      <c r="N250">
        <v>0.94366744366744371</v>
      </c>
      <c r="O250">
        <v>8868352.8888888881</v>
      </c>
      <c r="P250">
        <v>29495</v>
      </c>
      <c r="Q250">
        <v>2</v>
      </c>
      <c r="R250">
        <v>113</v>
      </c>
      <c r="S250" t="s">
        <v>238</v>
      </c>
      <c r="W250">
        <f>Cancer_doubles_final2[[#This Row],[mlp_params]]</f>
        <v>29010</v>
      </c>
      <c r="X250">
        <f>Cancer_doubles_final2[[#This Row],[kan_test_acc]]</f>
        <v>0.96542346146371627</v>
      </c>
      <c r="Y250">
        <f>Cancer_doubles_final2[[#This Row],[mlp_test_acc]]</f>
        <v>0.94560994560994571</v>
      </c>
      <c r="Z250">
        <f>Cancer_doubles_final2[[#This Row],[mlp_test_acc2]]</f>
        <v>0.94366744366744371</v>
      </c>
    </row>
    <row r="251" spans="1:26" hidden="1" x14ac:dyDescent="0.25">
      <c r="A251" t="s">
        <v>19</v>
      </c>
      <c r="B251">
        <v>9</v>
      </c>
      <c r="C251">
        <v>3</v>
      </c>
      <c r="D251">
        <v>0</v>
      </c>
      <c r="E251" t="s">
        <v>60</v>
      </c>
      <c r="F251">
        <v>18280</v>
      </c>
      <c r="G251">
        <v>26193606.055555556</v>
      </c>
      <c r="H251">
        <v>0.94638694160514403</v>
      </c>
      <c r="I251">
        <v>0.93453768453768449</v>
      </c>
      <c r="J251">
        <v>9067805.805555556</v>
      </c>
      <c r="K251">
        <v>26645</v>
      </c>
      <c r="L251">
        <v>2</v>
      </c>
      <c r="M251">
        <v>107</v>
      </c>
      <c r="N251">
        <v>0.93376068376068377</v>
      </c>
      <c r="O251">
        <v>8282402.166666666</v>
      </c>
      <c r="P251">
        <v>27110</v>
      </c>
      <c r="Q251">
        <v>2</v>
      </c>
      <c r="R251">
        <v>108</v>
      </c>
      <c r="S251" t="s">
        <v>239</v>
      </c>
      <c r="W251">
        <f>Cancer_doubles_final2[[#This Row],[mlp_params]]</f>
        <v>26645</v>
      </c>
      <c r="X251">
        <f>Cancer_doubles_final2[[#This Row],[kan_test_acc]]</f>
        <v>0.94638694160514403</v>
      </c>
      <c r="Y251">
        <f>Cancer_doubles_final2[[#This Row],[mlp_test_acc]]</f>
        <v>0.93453768453768449</v>
      </c>
      <c r="Z251">
        <f>Cancer_doubles_final2[[#This Row],[mlp_test_acc2]]</f>
        <v>0.93376068376068377</v>
      </c>
    </row>
    <row r="252" spans="1:26" hidden="1" x14ac:dyDescent="0.25">
      <c r="A252" t="s">
        <v>19</v>
      </c>
      <c r="B252">
        <v>5</v>
      </c>
      <c r="C252">
        <v>5</v>
      </c>
      <c r="D252">
        <v>0</v>
      </c>
      <c r="E252" t="s">
        <v>87</v>
      </c>
      <c r="F252">
        <v>18350</v>
      </c>
      <c r="G252">
        <v>22631372.888888888</v>
      </c>
      <c r="H252">
        <v>0.93648017942905415</v>
      </c>
      <c r="I252">
        <v>0.92132867132867124</v>
      </c>
      <c r="J252">
        <v>8363886.416666667</v>
      </c>
      <c r="K252">
        <v>33519</v>
      </c>
      <c r="L252">
        <v>2</v>
      </c>
      <c r="M252">
        <v>121</v>
      </c>
      <c r="N252">
        <v>0.9131701631701632</v>
      </c>
      <c r="O252">
        <v>7246384.083333333</v>
      </c>
      <c r="P252">
        <v>34040</v>
      </c>
      <c r="Q252">
        <v>2</v>
      </c>
      <c r="R252">
        <v>122</v>
      </c>
      <c r="S252" t="s">
        <v>240</v>
      </c>
      <c r="W252">
        <f>Cancer_doubles_final2[[#This Row],[mlp_params]]</f>
        <v>33519</v>
      </c>
      <c r="X252">
        <f>Cancer_doubles_final2[[#This Row],[kan_test_acc]]</f>
        <v>0.93648017942905415</v>
      </c>
      <c r="Y252">
        <f>Cancer_doubles_final2[[#This Row],[mlp_test_acc]]</f>
        <v>0.92132867132867124</v>
      </c>
      <c r="Z252">
        <f>Cancer_doubles_final2[[#This Row],[mlp_test_acc2]]</f>
        <v>0.9131701631701632</v>
      </c>
    </row>
    <row r="253" spans="1:26" x14ac:dyDescent="0.25">
      <c r="A253" t="s">
        <v>19</v>
      </c>
      <c r="B253">
        <v>3</v>
      </c>
      <c r="C253">
        <v>5</v>
      </c>
      <c r="D253">
        <v>0</v>
      </c>
      <c r="E253" t="s">
        <v>123</v>
      </c>
      <c r="F253">
        <v>18358</v>
      </c>
      <c r="G253">
        <v>23803229.027777776</v>
      </c>
      <c r="H253">
        <v>0.96386946406629348</v>
      </c>
      <c r="I253">
        <v>0.9442501942501943</v>
      </c>
      <c r="J253">
        <v>7988591.444444445</v>
      </c>
      <c r="K253">
        <v>36164</v>
      </c>
      <c r="L253">
        <v>2</v>
      </c>
      <c r="M253">
        <v>126</v>
      </c>
      <c r="N253">
        <v>0.93958818958818957</v>
      </c>
      <c r="O253">
        <v>8615381.277777778</v>
      </c>
      <c r="P253">
        <v>36705</v>
      </c>
      <c r="Q253">
        <v>2</v>
      </c>
      <c r="R253">
        <v>127</v>
      </c>
      <c r="S253" t="s">
        <v>241</v>
      </c>
      <c r="W253">
        <f>Cancer_doubles_final2[[#This Row],[mlp_params]]</f>
        <v>36164</v>
      </c>
      <c r="X253">
        <f>Cancer_doubles_final2[[#This Row],[kan_test_acc]]</f>
        <v>0.96386946406629348</v>
      </c>
      <c r="Y253">
        <f>Cancer_doubles_final2[[#This Row],[mlp_test_acc]]</f>
        <v>0.9442501942501943</v>
      </c>
      <c r="Z253">
        <f>Cancer_doubles_final2[[#This Row],[mlp_test_acc2]]</f>
        <v>0.93958818958818957</v>
      </c>
    </row>
    <row r="254" spans="1:26" hidden="1" x14ac:dyDescent="0.25">
      <c r="A254" t="s">
        <v>19</v>
      </c>
      <c r="B254">
        <v>5</v>
      </c>
      <c r="C254">
        <v>3</v>
      </c>
      <c r="D254">
        <v>0</v>
      </c>
      <c r="E254" t="s">
        <v>123</v>
      </c>
      <c r="F254">
        <v>18358</v>
      </c>
      <c r="G254">
        <v>23814980.958333332</v>
      </c>
      <c r="H254">
        <v>0.9769813517729441</v>
      </c>
      <c r="I254">
        <v>0.94609557109557119</v>
      </c>
      <c r="J254">
        <v>8256838.958333333</v>
      </c>
      <c r="K254">
        <v>29984</v>
      </c>
      <c r="L254">
        <v>2</v>
      </c>
      <c r="M254">
        <v>114</v>
      </c>
      <c r="N254">
        <v>0.94580419580419584</v>
      </c>
      <c r="O254">
        <v>9404317.7083333321</v>
      </c>
      <c r="P254">
        <v>30477</v>
      </c>
      <c r="Q254">
        <v>2</v>
      </c>
      <c r="R254">
        <v>115</v>
      </c>
      <c r="S254" t="s">
        <v>242</v>
      </c>
      <c r="W254">
        <f>Cancer_doubles_final2[[#This Row],[mlp_params]]</f>
        <v>29984</v>
      </c>
      <c r="X254">
        <f>Cancer_doubles_final2[[#This Row],[kan_test_acc]]</f>
        <v>0.9769813517729441</v>
      </c>
      <c r="Y254">
        <f>Cancer_doubles_final2[[#This Row],[mlp_test_acc]]</f>
        <v>0.94609557109557119</v>
      </c>
      <c r="Z254">
        <f>Cancer_doubles_final2[[#This Row],[mlp_test_acc2]]</f>
        <v>0.94580419580419584</v>
      </c>
    </row>
    <row r="255" spans="1:26" x14ac:dyDescent="0.25">
      <c r="A255" t="s">
        <v>19</v>
      </c>
      <c r="B255">
        <v>3</v>
      </c>
      <c r="C255">
        <v>5</v>
      </c>
      <c r="D255">
        <v>0</v>
      </c>
      <c r="E255" t="s">
        <v>123</v>
      </c>
      <c r="F255">
        <v>18358</v>
      </c>
      <c r="G255">
        <v>24555022.75</v>
      </c>
      <c r="H255">
        <v>0.97406758864720666</v>
      </c>
      <c r="I255">
        <v>0.93123543123543129</v>
      </c>
      <c r="J255">
        <v>8227500.3749999991</v>
      </c>
      <c r="K255">
        <v>36164</v>
      </c>
      <c r="L255">
        <v>2</v>
      </c>
      <c r="M255">
        <v>126</v>
      </c>
      <c r="N255">
        <v>0.93269230769230771</v>
      </c>
      <c r="O255">
        <v>8714962.9166666679</v>
      </c>
      <c r="P255">
        <v>36705</v>
      </c>
      <c r="Q255">
        <v>2</v>
      </c>
      <c r="R255">
        <v>127</v>
      </c>
      <c r="S255" t="s">
        <v>241</v>
      </c>
      <c r="W255">
        <f>Cancer_doubles_final2[[#This Row],[mlp_params]]</f>
        <v>36164</v>
      </c>
      <c r="X255">
        <f>Cancer_doubles_final2[[#This Row],[kan_test_acc]]</f>
        <v>0.97406758864720666</v>
      </c>
      <c r="Y255">
        <f>Cancer_doubles_final2[[#This Row],[mlp_test_acc]]</f>
        <v>0.93123543123543129</v>
      </c>
      <c r="Z255">
        <f>Cancer_doubles_final2[[#This Row],[mlp_test_acc2]]</f>
        <v>0.93269230769230771</v>
      </c>
    </row>
    <row r="256" spans="1:26" hidden="1" x14ac:dyDescent="0.25">
      <c r="A256" t="s">
        <v>19</v>
      </c>
      <c r="B256">
        <v>5</v>
      </c>
      <c r="C256">
        <v>3</v>
      </c>
      <c r="D256">
        <v>0</v>
      </c>
      <c r="E256" t="s">
        <v>123</v>
      </c>
      <c r="F256">
        <v>18358</v>
      </c>
      <c r="G256">
        <v>23089728.041666664</v>
      </c>
      <c r="H256">
        <v>0.95367131878932321</v>
      </c>
      <c r="I256">
        <v>0.90967365967365965</v>
      </c>
      <c r="J256">
        <v>7551628.625</v>
      </c>
      <c r="K256">
        <v>29984</v>
      </c>
      <c r="L256">
        <v>2</v>
      </c>
      <c r="M256">
        <v>114</v>
      </c>
      <c r="N256">
        <v>0.90850815850815847</v>
      </c>
      <c r="O256">
        <v>7848715.5</v>
      </c>
      <c r="P256">
        <v>30477</v>
      </c>
      <c r="Q256">
        <v>2</v>
      </c>
      <c r="R256">
        <v>115</v>
      </c>
      <c r="S256" t="s">
        <v>242</v>
      </c>
      <c r="W256">
        <f>Cancer_doubles_final2[[#This Row],[mlp_params]]</f>
        <v>29984</v>
      </c>
      <c r="X256">
        <f>Cancer_doubles_final2[[#This Row],[kan_test_acc]]</f>
        <v>0.95367131878932321</v>
      </c>
      <c r="Y256">
        <f>Cancer_doubles_final2[[#This Row],[mlp_test_acc]]</f>
        <v>0.90967365967365965</v>
      </c>
      <c r="Z256">
        <f>Cancer_doubles_final2[[#This Row],[mlp_test_acc2]]</f>
        <v>0.90850815850815847</v>
      </c>
    </row>
    <row r="257" spans="1:26" hidden="1" x14ac:dyDescent="0.25">
      <c r="A257" t="s">
        <v>19</v>
      </c>
      <c r="B257">
        <v>3</v>
      </c>
      <c r="C257">
        <v>2</v>
      </c>
      <c r="D257">
        <v>0</v>
      </c>
      <c r="E257" t="s">
        <v>243</v>
      </c>
      <c r="F257">
        <v>18438</v>
      </c>
      <c r="G257">
        <v>25537202.541666668</v>
      </c>
      <c r="H257">
        <v>0.95279719928900397</v>
      </c>
      <c r="I257">
        <v>0.9216200466200466</v>
      </c>
      <c r="J257">
        <v>7853549</v>
      </c>
      <c r="K257">
        <v>29495</v>
      </c>
      <c r="L257">
        <v>2</v>
      </c>
      <c r="M257">
        <v>113</v>
      </c>
      <c r="N257">
        <v>0.91812354312354316</v>
      </c>
      <c r="O257">
        <v>8259193.291666666</v>
      </c>
      <c r="P257">
        <v>29984</v>
      </c>
      <c r="Q257">
        <v>2</v>
      </c>
      <c r="R257">
        <v>114</v>
      </c>
      <c r="S257" t="s">
        <v>244</v>
      </c>
      <c r="W257">
        <f>Cancer_doubles_final2[[#This Row],[mlp_params]]</f>
        <v>29495</v>
      </c>
      <c r="X257">
        <f>Cancer_doubles_final2[[#This Row],[kan_test_acc]]</f>
        <v>0.95279719928900397</v>
      </c>
      <c r="Y257">
        <f>Cancer_doubles_final2[[#This Row],[mlp_test_acc]]</f>
        <v>0.9216200466200466</v>
      </c>
      <c r="Z257">
        <f>Cancer_doubles_final2[[#This Row],[mlp_test_acc2]]</f>
        <v>0.91812354312354316</v>
      </c>
    </row>
    <row r="258" spans="1:26" hidden="1" x14ac:dyDescent="0.25">
      <c r="A258" t="s">
        <v>19</v>
      </c>
      <c r="B258">
        <v>9</v>
      </c>
      <c r="C258">
        <v>4</v>
      </c>
      <c r="D258">
        <v>0</v>
      </c>
      <c r="E258" t="s">
        <v>56</v>
      </c>
      <c r="F258">
        <v>18470</v>
      </c>
      <c r="G258">
        <v>30319401.944444444</v>
      </c>
      <c r="H258">
        <v>0.95843045579062569</v>
      </c>
      <c r="I258">
        <v>0.95260295260295258</v>
      </c>
      <c r="J258">
        <v>8715188.805555556</v>
      </c>
      <c r="K258">
        <v>28529</v>
      </c>
      <c r="L258">
        <v>2</v>
      </c>
      <c r="M258">
        <v>111</v>
      </c>
      <c r="N258">
        <v>0.95046620046620045</v>
      </c>
      <c r="O258">
        <v>9132905.1666666679</v>
      </c>
      <c r="P258">
        <v>29010</v>
      </c>
      <c r="Q258">
        <v>2</v>
      </c>
      <c r="R258">
        <v>112</v>
      </c>
      <c r="S258" t="s">
        <v>245</v>
      </c>
      <c r="W258">
        <f>Cancer_doubles_final2[[#This Row],[mlp_params]]</f>
        <v>28529</v>
      </c>
      <c r="X258">
        <f>Cancer_doubles_final2[[#This Row],[kan_test_acc]]</f>
        <v>0.95843045579062569</v>
      </c>
      <c r="Y258">
        <f>Cancer_doubles_final2[[#This Row],[mlp_test_acc]]</f>
        <v>0.95260295260295258</v>
      </c>
      <c r="Z258">
        <f>Cancer_doubles_final2[[#This Row],[mlp_test_acc2]]</f>
        <v>0.95046620046620045</v>
      </c>
    </row>
    <row r="259" spans="1:26" hidden="1" x14ac:dyDescent="0.25">
      <c r="A259" t="s">
        <v>19</v>
      </c>
      <c r="B259">
        <v>5</v>
      </c>
      <c r="C259">
        <v>4</v>
      </c>
      <c r="D259">
        <v>0</v>
      </c>
      <c r="E259" t="s">
        <v>106</v>
      </c>
      <c r="F259">
        <v>18482</v>
      </c>
      <c r="G259">
        <v>26914277.041666668</v>
      </c>
      <c r="H259">
        <v>0.97115384290615714</v>
      </c>
      <c r="I259">
        <v>0.95775058275058278</v>
      </c>
      <c r="J259">
        <v>9299350.041666666</v>
      </c>
      <c r="K259">
        <v>31980</v>
      </c>
      <c r="L259">
        <v>2</v>
      </c>
      <c r="M259">
        <v>118</v>
      </c>
      <c r="N259">
        <v>0.96008158508158503</v>
      </c>
      <c r="O259">
        <v>9533186.7916666679</v>
      </c>
      <c r="P259">
        <v>32489</v>
      </c>
      <c r="Q259">
        <v>2</v>
      </c>
      <c r="R259">
        <v>119</v>
      </c>
      <c r="S259" t="s">
        <v>246</v>
      </c>
      <c r="W259">
        <f>Cancer_doubles_final2[[#This Row],[mlp_params]]</f>
        <v>31980</v>
      </c>
      <c r="X259">
        <f>Cancer_doubles_final2[[#This Row],[kan_test_acc]]</f>
        <v>0.97115384290615714</v>
      </c>
      <c r="Y259">
        <f>Cancer_doubles_final2[[#This Row],[mlp_test_acc]]</f>
        <v>0.95775058275058278</v>
      </c>
      <c r="Z259">
        <f>Cancer_doubles_final2[[#This Row],[mlp_test_acc2]]</f>
        <v>0.96008158508158503</v>
      </c>
    </row>
    <row r="260" spans="1:26" hidden="1" x14ac:dyDescent="0.25">
      <c r="A260" t="s">
        <v>19</v>
      </c>
      <c r="B260">
        <v>3</v>
      </c>
      <c r="C260">
        <v>3</v>
      </c>
      <c r="D260">
        <v>0</v>
      </c>
      <c r="E260" t="s">
        <v>189</v>
      </c>
      <c r="F260">
        <v>18498</v>
      </c>
      <c r="G260">
        <v>26660962.541666664</v>
      </c>
      <c r="H260">
        <v>0.96474359060327208</v>
      </c>
      <c r="I260">
        <v>0.92919580419580416</v>
      </c>
      <c r="J260">
        <v>9050285.4375</v>
      </c>
      <c r="K260">
        <v>32489</v>
      </c>
      <c r="L260">
        <v>2</v>
      </c>
      <c r="M260">
        <v>119</v>
      </c>
      <c r="N260">
        <v>0.92788461538461542</v>
      </c>
      <c r="O260">
        <v>9254438.1458333321</v>
      </c>
      <c r="P260">
        <v>33002</v>
      </c>
      <c r="Q260">
        <v>2</v>
      </c>
      <c r="R260">
        <v>120</v>
      </c>
      <c r="S260" t="s">
        <v>247</v>
      </c>
      <c r="W260">
        <f>Cancer_doubles_final2[[#This Row],[mlp_params]]</f>
        <v>32489</v>
      </c>
      <c r="X260">
        <f>Cancer_doubles_final2[[#This Row],[kan_test_acc]]</f>
        <v>0.96474359060327208</v>
      </c>
      <c r="Y260">
        <f>Cancer_doubles_final2[[#This Row],[mlp_test_acc]]</f>
        <v>0.92919580419580416</v>
      </c>
      <c r="Z260">
        <f>Cancer_doubles_final2[[#This Row],[mlp_test_acc2]]</f>
        <v>0.92788461538461542</v>
      </c>
    </row>
    <row r="261" spans="1:26" hidden="1" x14ac:dyDescent="0.25">
      <c r="A261" t="s">
        <v>19</v>
      </c>
      <c r="B261">
        <v>9</v>
      </c>
      <c r="C261">
        <v>5</v>
      </c>
      <c r="D261">
        <v>0</v>
      </c>
      <c r="E261" t="s">
        <v>47</v>
      </c>
      <c r="F261">
        <v>18532</v>
      </c>
      <c r="G261">
        <v>32755575.333333332</v>
      </c>
      <c r="H261">
        <v>0.94794094893667435</v>
      </c>
      <c r="I261">
        <v>0.94658119658119655</v>
      </c>
      <c r="J261">
        <v>9020379.75</v>
      </c>
      <c r="K261">
        <v>30477</v>
      </c>
      <c r="L261">
        <v>2</v>
      </c>
      <c r="M261">
        <v>115</v>
      </c>
      <c r="N261">
        <v>0.94522144522144524</v>
      </c>
      <c r="O261">
        <v>8675759.722222222</v>
      </c>
      <c r="P261">
        <v>30974</v>
      </c>
      <c r="Q261">
        <v>2</v>
      </c>
      <c r="R261">
        <v>116</v>
      </c>
      <c r="S261" t="s">
        <v>248</v>
      </c>
      <c r="W261">
        <f>Cancer_doubles_final2[[#This Row],[mlp_params]]</f>
        <v>30477</v>
      </c>
      <c r="X261">
        <f>Cancer_doubles_final2[[#This Row],[kan_test_acc]]</f>
        <v>0.94794094893667435</v>
      </c>
      <c r="Y261">
        <f>Cancer_doubles_final2[[#This Row],[mlp_test_acc]]</f>
        <v>0.94658119658119655</v>
      </c>
      <c r="Z261">
        <f>Cancer_doubles_final2[[#This Row],[mlp_test_acc2]]</f>
        <v>0.94522144522144524</v>
      </c>
    </row>
    <row r="262" spans="1:26" hidden="1" x14ac:dyDescent="0.25">
      <c r="A262" t="s">
        <v>19</v>
      </c>
      <c r="B262">
        <v>3</v>
      </c>
      <c r="C262">
        <v>3</v>
      </c>
      <c r="D262">
        <v>0</v>
      </c>
      <c r="E262" t="s">
        <v>191</v>
      </c>
      <c r="F262">
        <v>18536</v>
      </c>
      <c r="G262">
        <v>31405312.166666664</v>
      </c>
      <c r="H262">
        <v>0.95658508439858758</v>
      </c>
      <c r="I262">
        <v>0.94726107226107226</v>
      </c>
      <c r="J262">
        <v>8084535.7499999991</v>
      </c>
      <c r="K262">
        <v>32489</v>
      </c>
      <c r="L262">
        <v>2</v>
      </c>
      <c r="M262">
        <v>119</v>
      </c>
      <c r="N262">
        <v>0.95046620046620045</v>
      </c>
      <c r="O262">
        <v>8662163.208333334</v>
      </c>
      <c r="P262">
        <v>33002</v>
      </c>
      <c r="Q262">
        <v>2</v>
      </c>
      <c r="R262">
        <v>120</v>
      </c>
      <c r="S262" t="s">
        <v>249</v>
      </c>
      <c r="W262">
        <f>Cancer_doubles_final2[[#This Row],[mlp_params]]</f>
        <v>32489</v>
      </c>
      <c r="X262">
        <f>Cancer_doubles_final2[[#This Row],[kan_test_acc]]</f>
        <v>0.95658508439858758</v>
      </c>
      <c r="Y262">
        <f>Cancer_doubles_final2[[#This Row],[mlp_test_acc]]</f>
        <v>0.94726107226107226</v>
      </c>
      <c r="Z262">
        <f>Cancer_doubles_final2[[#This Row],[mlp_test_acc2]]</f>
        <v>0.95046620046620045</v>
      </c>
    </row>
    <row r="263" spans="1:26" hidden="1" x14ac:dyDescent="0.25">
      <c r="A263" t="s">
        <v>19</v>
      </c>
      <c r="B263">
        <v>3</v>
      </c>
      <c r="C263">
        <v>2</v>
      </c>
      <c r="D263">
        <v>0</v>
      </c>
      <c r="E263" t="s">
        <v>250</v>
      </c>
      <c r="F263">
        <v>18540</v>
      </c>
      <c r="G263">
        <v>39636748.75</v>
      </c>
      <c r="H263">
        <v>0.96814296642939246</v>
      </c>
      <c r="I263">
        <v>0.94541569541569548</v>
      </c>
      <c r="J263">
        <v>8702487.472222222</v>
      </c>
      <c r="K263">
        <v>29984</v>
      </c>
      <c r="L263">
        <v>2</v>
      </c>
      <c r="M263">
        <v>114</v>
      </c>
      <c r="N263">
        <v>0.94444444444444453</v>
      </c>
      <c r="O263">
        <v>9372799.805555556</v>
      </c>
      <c r="P263">
        <v>30477</v>
      </c>
      <c r="Q263">
        <v>2</v>
      </c>
      <c r="R263">
        <v>115</v>
      </c>
      <c r="S263" t="s">
        <v>251</v>
      </c>
      <c r="W263">
        <f>Cancer_doubles_final2[[#This Row],[mlp_params]]</f>
        <v>29984</v>
      </c>
      <c r="X263">
        <f>Cancer_doubles_final2[[#This Row],[kan_test_acc]]</f>
        <v>0.96814296642939246</v>
      </c>
      <c r="Y263">
        <f>Cancer_doubles_final2[[#This Row],[mlp_test_acc]]</f>
        <v>0.94541569541569548</v>
      </c>
      <c r="Z263">
        <f>Cancer_doubles_final2[[#This Row],[mlp_test_acc2]]</f>
        <v>0.94444444444444453</v>
      </c>
    </row>
    <row r="264" spans="1:26" hidden="1" x14ac:dyDescent="0.25">
      <c r="A264" t="s">
        <v>19</v>
      </c>
      <c r="B264">
        <v>3</v>
      </c>
      <c r="C264">
        <v>2</v>
      </c>
      <c r="D264">
        <v>0</v>
      </c>
      <c r="E264" t="s">
        <v>252</v>
      </c>
      <c r="F264">
        <v>18600</v>
      </c>
      <c r="G264">
        <v>34836077.194444448</v>
      </c>
      <c r="H264">
        <v>0.96522921654913163</v>
      </c>
      <c r="I264">
        <v>0.94599844599844607</v>
      </c>
      <c r="J264">
        <v>9002471.916666666</v>
      </c>
      <c r="K264">
        <v>29984</v>
      </c>
      <c r="L264">
        <v>2</v>
      </c>
      <c r="M264">
        <v>114</v>
      </c>
      <c r="N264">
        <v>0.94211344211344217</v>
      </c>
      <c r="O264">
        <v>8540677.472222222</v>
      </c>
      <c r="P264">
        <v>30477</v>
      </c>
      <c r="Q264">
        <v>2</v>
      </c>
      <c r="R264">
        <v>115</v>
      </c>
      <c r="S264" t="s">
        <v>253</v>
      </c>
      <c r="W264">
        <f>Cancer_doubles_final2[[#This Row],[mlp_params]]</f>
        <v>29984</v>
      </c>
      <c r="X264">
        <f>Cancer_doubles_final2[[#This Row],[kan_test_acc]]</f>
        <v>0.96522921654913163</v>
      </c>
      <c r="Y264">
        <f>Cancer_doubles_final2[[#This Row],[mlp_test_acc]]</f>
        <v>0.94599844599844607</v>
      </c>
      <c r="Z264">
        <f>Cancer_doubles_final2[[#This Row],[mlp_test_acc2]]</f>
        <v>0.94211344211344217</v>
      </c>
    </row>
    <row r="265" spans="1:26" hidden="1" x14ac:dyDescent="0.25">
      <c r="A265" t="s">
        <v>19</v>
      </c>
      <c r="B265">
        <v>3</v>
      </c>
      <c r="C265">
        <v>4</v>
      </c>
      <c r="D265">
        <v>0</v>
      </c>
      <c r="E265" t="s">
        <v>152</v>
      </c>
      <c r="F265">
        <v>18620</v>
      </c>
      <c r="G265">
        <v>26026085.47222222</v>
      </c>
      <c r="H265">
        <v>0.95920745697286391</v>
      </c>
      <c r="I265">
        <v>0.94696969696969702</v>
      </c>
      <c r="J265">
        <v>8448008.916666666</v>
      </c>
      <c r="K265">
        <v>35094</v>
      </c>
      <c r="L265">
        <v>2</v>
      </c>
      <c r="M265">
        <v>124</v>
      </c>
      <c r="N265">
        <v>0.9442501942501943</v>
      </c>
      <c r="O265">
        <v>8639120.055555556</v>
      </c>
      <c r="P265">
        <v>35627</v>
      </c>
      <c r="Q265">
        <v>2</v>
      </c>
      <c r="R265">
        <v>125</v>
      </c>
      <c r="S265" t="s">
        <v>254</v>
      </c>
      <c r="W265">
        <f>Cancer_doubles_final2[[#This Row],[mlp_params]]</f>
        <v>35094</v>
      </c>
      <c r="X265">
        <f>Cancer_doubles_final2[[#This Row],[kan_test_acc]]</f>
        <v>0.95920745697286391</v>
      </c>
      <c r="Y265">
        <f>Cancer_doubles_final2[[#This Row],[mlp_test_acc]]</f>
        <v>0.94696969696969702</v>
      </c>
      <c r="Z265">
        <f>Cancer_doubles_final2[[#This Row],[mlp_test_acc2]]</f>
        <v>0.9442501942501943</v>
      </c>
    </row>
    <row r="266" spans="1:26" hidden="1" x14ac:dyDescent="0.25">
      <c r="A266" t="s">
        <v>19</v>
      </c>
      <c r="B266">
        <v>5</v>
      </c>
      <c r="C266">
        <v>2</v>
      </c>
      <c r="D266">
        <v>0</v>
      </c>
      <c r="E266" t="s">
        <v>152</v>
      </c>
      <c r="F266">
        <v>18620</v>
      </c>
      <c r="G266">
        <v>26702158.666666664</v>
      </c>
      <c r="H266">
        <v>0.98193472623825073</v>
      </c>
      <c r="I266">
        <v>0.94522144522144524</v>
      </c>
      <c r="J266">
        <v>8692559.375</v>
      </c>
      <c r="K266">
        <v>27579</v>
      </c>
      <c r="L266">
        <v>2</v>
      </c>
      <c r="M266">
        <v>109</v>
      </c>
      <c r="N266">
        <v>0.94405594405594406</v>
      </c>
      <c r="O266">
        <v>7523056.625</v>
      </c>
      <c r="P266">
        <v>28052</v>
      </c>
      <c r="Q266">
        <v>2</v>
      </c>
      <c r="R266">
        <v>110</v>
      </c>
      <c r="S266" t="s">
        <v>255</v>
      </c>
      <c r="W266">
        <f>Cancer_doubles_final2[[#This Row],[mlp_params]]</f>
        <v>27579</v>
      </c>
      <c r="X266">
        <f>Cancer_doubles_final2[[#This Row],[kan_test_acc]]</f>
        <v>0.98193472623825073</v>
      </c>
      <c r="Y266">
        <f>Cancer_doubles_final2[[#This Row],[mlp_test_acc]]</f>
        <v>0.94522144522144524</v>
      </c>
      <c r="Z266">
        <f>Cancer_doubles_final2[[#This Row],[mlp_test_acc2]]</f>
        <v>0.94405594405594406</v>
      </c>
    </row>
    <row r="267" spans="1:26" hidden="1" x14ac:dyDescent="0.25">
      <c r="A267" t="s">
        <v>19</v>
      </c>
      <c r="B267">
        <v>3</v>
      </c>
      <c r="C267">
        <v>4</v>
      </c>
      <c r="D267">
        <v>0</v>
      </c>
      <c r="E267" t="s">
        <v>152</v>
      </c>
      <c r="F267">
        <v>18620</v>
      </c>
      <c r="G267">
        <v>26785543.166666664</v>
      </c>
      <c r="H267">
        <v>0.98106060922145844</v>
      </c>
      <c r="I267">
        <v>0.93240093240093247</v>
      </c>
      <c r="J267">
        <v>8565331.125</v>
      </c>
      <c r="K267">
        <v>35094</v>
      </c>
      <c r="L267">
        <v>2</v>
      </c>
      <c r="M267">
        <v>124</v>
      </c>
      <c r="N267">
        <v>0.93502331002331007</v>
      </c>
      <c r="O267">
        <v>8027782.791666666</v>
      </c>
      <c r="P267">
        <v>35627</v>
      </c>
      <c r="Q267">
        <v>2</v>
      </c>
      <c r="R267">
        <v>125</v>
      </c>
      <c r="S267" t="s">
        <v>254</v>
      </c>
      <c r="W267">
        <f>Cancer_doubles_final2[[#This Row],[mlp_params]]</f>
        <v>35094</v>
      </c>
      <c r="X267">
        <f>Cancer_doubles_final2[[#This Row],[kan_test_acc]]</f>
        <v>0.98106060922145844</v>
      </c>
      <c r="Y267">
        <f>Cancer_doubles_final2[[#This Row],[mlp_test_acc]]</f>
        <v>0.93240093240093247</v>
      </c>
      <c r="Z267">
        <f>Cancer_doubles_final2[[#This Row],[mlp_test_acc2]]</f>
        <v>0.93502331002331007</v>
      </c>
    </row>
    <row r="268" spans="1:26" hidden="1" x14ac:dyDescent="0.25">
      <c r="A268" t="s">
        <v>19</v>
      </c>
      <c r="B268">
        <v>5</v>
      </c>
      <c r="C268">
        <v>2</v>
      </c>
      <c r="D268">
        <v>0</v>
      </c>
      <c r="E268" t="s">
        <v>152</v>
      </c>
      <c r="F268">
        <v>18620</v>
      </c>
      <c r="G268">
        <v>24168556.166666664</v>
      </c>
      <c r="H268">
        <v>0.97814685602982843</v>
      </c>
      <c r="I268">
        <v>0.93414918414918424</v>
      </c>
      <c r="J268">
        <v>8803273.708333334</v>
      </c>
      <c r="K268">
        <v>27579</v>
      </c>
      <c r="L268">
        <v>2</v>
      </c>
      <c r="M268">
        <v>109</v>
      </c>
      <c r="N268">
        <v>0.93793706293706292</v>
      </c>
      <c r="O268">
        <v>9621658.8333333321</v>
      </c>
      <c r="P268">
        <v>28052</v>
      </c>
      <c r="Q268">
        <v>2</v>
      </c>
      <c r="R268">
        <v>110</v>
      </c>
      <c r="S268" t="s">
        <v>255</v>
      </c>
      <c r="W268">
        <f>Cancer_doubles_final2[[#This Row],[mlp_params]]</f>
        <v>27579</v>
      </c>
      <c r="X268">
        <f>Cancer_doubles_final2[[#This Row],[kan_test_acc]]</f>
        <v>0.97814685602982843</v>
      </c>
      <c r="Y268">
        <f>Cancer_doubles_final2[[#This Row],[mlp_test_acc]]</f>
        <v>0.93414918414918424</v>
      </c>
      <c r="Z268">
        <f>Cancer_doubles_final2[[#This Row],[mlp_test_acc2]]</f>
        <v>0.93793706293706292</v>
      </c>
    </row>
    <row r="269" spans="1:26" hidden="1" x14ac:dyDescent="0.25">
      <c r="A269" t="s">
        <v>19</v>
      </c>
      <c r="B269">
        <v>3</v>
      </c>
      <c r="C269">
        <v>2</v>
      </c>
      <c r="D269">
        <v>0</v>
      </c>
      <c r="E269" t="s">
        <v>256</v>
      </c>
      <c r="F269">
        <v>18634</v>
      </c>
      <c r="G269">
        <v>27912843.333333332</v>
      </c>
      <c r="H269">
        <v>0.9778554762403171</v>
      </c>
      <c r="I269">
        <v>0.94405594405594395</v>
      </c>
      <c r="J269">
        <v>9400949.083333334</v>
      </c>
      <c r="K269">
        <v>29984</v>
      </c>
      <c r="L269">
        <v>2</v>
      </c>
      <c r="M269">
        <v>114</v>
      </c>
      <c r="N269">
        <v>0.94813519813519809</v>
      </c>
      <c r="O269">
        <v>9615538.5</v>
      </c>
      <c r="P269">
        <v>30477</v>
      </c>
      <c r="Q269">
        <v>2</v>
      </c>
      <c r="R269">
        <v>115</v>
      </c>
      <c r="S269" t="s">
        <v>257</v>
      </c>
      <c r="W269">
        <f>Cancer_doubles_final2[[#This Row],[mlp_params]]</f>
        <v>29984</v>
      </c>
      <c r="X269">
        <f>Cancer_doubles_final2[[#This Row],[kan_test_acc]]</f>
        <v>0.9778554762403171</v>
      </c>
      <c r="Y269">
        <f>Cancer_doubles_final2[[#This Row],[mlp_test_acc]]</f>
        <v>0.94405594405594395</v>
      </c>
      <c r="Z269">
        <f>Cancer_doubles_final2[[#This Row],[mlp_test_acc2]]</f>
        <v>0.94813519813519809</v>
      </c>
    </row>
    <row r="270" spans="1:26" hidden="1" x14ac:dyDescent="0.25">
      <c r="A270" t="s">
        <v>19</v>
      </c>
      <c r="B270">
        <v>3</v>
      </c>
      <c r="C270">
        <v>4</v>
      </c>
      <c r="D270">
        <v>0</v>
      </c>
      <c r="E270" t="s">
        <v>154</v>
      </c>
      <c r="F270">
        <v>18662</v>
      </c>
      <c r="G270">
        <v>28854145.277777776</v>
      </c>
      <c r="H270">
        <v>0.96464646193716264</v>
      </c>
      <c r="I270">
        <v>0.94716394716394714</v>
      </c>
      <c r="J270">
        <v>9011505.8888888899</v>
      </c>
      <c r="K270">
        <v>35094</v>
      </c>
      <c r="L270">
        <v>2</v>
      </c>
      <c r="M270">
        <v>124</v>
      </c>
      <c r="N270">
        <v>0.94658119658119655</v>
      </c>
      <c r="O270">
        <v>9641298.3333333321</v>
      </c>
      <c r="P270">
        <v>35627</v>
      </c>
      <c r="Q270">
        <v>2</v>
      </c>
      <c r="R270">
        <v>125</v>
      </c>
      <c r="S270" t="s">
        <v>258</v>
      </c>
      <c r="W270">
        <f>Cancer_doubles_final2[[#This Row],[mlp_params]]</f>
        <v>35094</v>
      </c>
      <c r="X270">
        <f>Cancer_doubles_final2[[#This Row],[kan_test_acc]]</f>
        <v>0.96464646193716264</v>
      </c>
      <c r="Y270">
        <f>Cancer_doubles_final2[[#This Row],[mlp_test_acc]]</f>
        <v>0.94716394716394714</v>
      </c>
      <c r="Z270">
        <f>Cancer_doubles_final2[[#This Row],[mlp_test_acc2]]</f>
        <v>0.94658119658119655</v>
      </c>
    </row>
    <row r="271" spans="1:26" hidden="1" x14ac:dyDescent="0.25">
      <c r="A271" t="s">
        <v>19</v>
      </c>
      <c r="B271">
        <v>5</v>
      </c>
      <c r="C271">
        <v>2</v>
      </c>
      <c r="D271">
        <v>0</v>
      </c>
      <c r="E271" t="s">
        <v>154</v>
      </c>
      <c r="F271">
        <v>18662</v>
      </c>
      <c r="G271">
        <v>29724808.083333332</v>
      </c>
      <c r="H271">
        <v>0.98455711950858438</v>
      </c>
      <c r="I271">
        <v>0.9475524475524475</v>
      </c>
      <c r="J271">
        <v>7925445.041666667</v>
      </c>
      <c r="K271">
        <v>27579</v>
      </c>
      <c r="L271">
        <v>2</v>
      </c>
      <c r="M271">
        <v>109</v>
      </c>
      <c r="N271">
        <v>0.94580419580419584</v>
      </c>
      <c r="O271">
        <v>8850595.4583333321</v>
      </c>
      <c r="P271">
        <v>28052</v>
      </c>
      <c r="Q271">
        <v>2</v>
      </c>
      <c r="R271">
        <v>110</v>
      </c>
      <c r="S271" t="s">
        <v>259</v>
      </c>
      <c r="W271">
        <f>Cancer_doubles_final2[[#This Row],[mlp_params]]</f>
        <v>27579</v>
      </c>
      <c r="X271">
        <f>Cancer_doubles_final2[[#This Row],[kan_test_acc]]</f>
        <v>0.98455711950858438</v>
      </c>
      <c r="Y271">
        <f>Cancer_doubles_final2[[#This Row],[mlp_test_acc]]</f>
        <v>0.9475524475524475</v>
      </c>
      <c r="Z271">
        <f>Cancer_doubles_final2[[#This Row],[mlp_test_acc2]]</f>
        <v>0.94580419580419584</v>
      </c>
    </row>
    <row r="272" spans="1:26" hidden="1" x14ac:dyDescent="0.25">
      <c r="A272" t="s">
        <v>19</v>
      </c>
      <c r="B272">
        <v>3</v>
      </c>
      <c r="C272">
        <v>4</v>
      </c>
      <c r="D272">
        <v>0</v>
      </c>
      <c r="E272" t="s">
        <v>154</v>
      </c>
      <c r="F272">
        <v>18662</v>
      </c>
      <c r="G272">
        <v>30335710.583333336</v>
      </c>
      <c r="H272">
        <v>0.98222610354423523</v>
      </c>
      <c r="I272">
        <v>0.93240093240093236</v>
      </c>
      <c r="J272">
        <v>8299566.083333334</v>
      </c>
      <c r="K272">
        <v>35094</v>
      </c>
      <c r="L272">
        <v>2</v>
      </c>
      <c r="M272">
        <v>124</v>
      </c>
      <c r="N272">
        <v>0.93648018648018649</v>
      </c>
      <c r="O272">
        <v>8200563.916666667</v>
      </c>
      <c r="P272">
        <v>35627</v>
      </c>
      <c r="Q272">
        <v>2</v>
      </c>
      <c r="R272">
        <v>125</v>
      </c>
      <c r="S272" t="s">
        <v>258</v>
      </c>
      <c r="W272">
        <f>Cancer_doubles_final2[[#This Row],[mlp_params]]</f>
        <v>35094</v>
      </c>
      <c r="X272">
        <f>Cancer_doubles_final2[[#This Row],[kan_test_acc]]</f>
        <v>0.98222610354423523</v>
      </c>
      <c r="Y272">
        <f>Cancer_doubles_final2[[#This Row],[mlp_test_acc]]</f>
        <v>0.93240093240093236</v>
      </c>
      <c r="Z272">
        <f>Cancer_doubles_final2[[#This Row],[mlp_test_acc2]]</f>
        <v>0.93648018648018649</v>
      </c>
    </row>
    <row r="273" spans="1:26" hidden="1" x14ac:dyDescent="0.25">
      <c r="A273" t="s">
        <v>19</v>
      </c>
      <c r="B273">
        <v>5</v>
      </c>
      <c r="C273">
        <v>2</v>
      </c>
      <c r="D273">
        <v>0</v>
      </c>
      <c r="E273" t="s">
        <v>154</v>
      </c>
      <c r="F273">
        <v>18662</v>
      </c>
      <c r="G273">
        <v>25811746.916666668</v>
      </c>
      <c r="H273">
        <v>0.97756408651669813</v>
      </c>
      <c r="I273">
        <v>0.93240093240093236</v>
      </c>
      <c r="J273">
        <v>8688481.2083333321</v>
      </c>
      <c r="K273">
        <v>27579</v>
      </c>
      <c r="L273">
        <v>2</v>
      </c>
      <c r="M273">
        <v>109</v>
      </c>
      <c r="N273">
        <v>0.93618881118881125</v>
      </c>
      <c r="O273">
        <v>8665052.25</v>
      </c>
      <c r="P273">
        <v>28052</v>
      </c>
      <c r="Q273">
        <v>2</v>
      </c>
      <c r="R273">
        <v>110</v>
      </c>
      <c r="S273" t="s">
        <v>259</v>
      </c>
      <c r="W273">
        <f>Cancer_doubles_final2[[#This Row],[mlp_params]]</f>
        <v>27579</v>
      </c>
      <c r="X273">
        <f>Cancer_doubles_final2[[#This Row],[kan_test_acc]]</f>
        <v>0.97756408651669813</v>
      </c>
      <c r="Y273">
        <f>Cancer_doubles_final2[[#This Row],[mlp_test_acc]]</f>
        <v>0.93240093240093236</v>
      </c>
      <c r="Z273">
        <f>Cancer_doubles_final2[[#This Row],[mlp_test_acc2]]</f>
        <v>0.93618881118881125</v>
      </c>
    </row>
    <row r="274" spans="1:26" hidden="1" x14ac:dyDescent="0.25">
      <c r="A274" t="s">
        <v>19</v>
      </c>
      <c r="B274">
        <v>3</v>
      </c>
      <c r="C274">
        <v>2</v>
      </c>
      <c r="D274">
        <v>0</v>
      </c>
      <c r="E274" t="s">
        <v>260</v>
      </c>
      <c r="F274">
        <v>18790</v>
      </c>
      <c r="G274">
        <v>34209368.25</v>
      </c>
      <c r="H274">
        <v>0.9769813443223635</v>
      </c>
      <c r="I274">
        <v>0.94405594405594406</v>
      </c>
      <c r="J274">
        <v>8808654.666666666</v>
      </c>
      <c r="K274">
        <v>30477</v>
      </c>
      <c r="L274">
        <v>2</v>
      </c>
      <c r="M274">
        <v>115</v>
      </c>
      <c r="N274">
        <v>0.94551282051282048</v>
      </c>
      <c r="O274">
        <v>9077488.958333334</v>
      </c>
      <c r="P274">
        <v>30974</v>
      </c>
      <c r="Q274">
        <v>2</v>
      </c>
      <c r="R274">
        <v>116</v>
      </c>
      <c r="S274" t="s">
        <v>261</v>
      </c>
      <c r="W274">
        <f>Cancer_doubles_final2[[#This Row],[mlp_params]]</f>
        <v>30477</v>
      </c>
      <c r="X274">
        <f>Cancer_doubles_final2[[#This Row],[kan_test_acc]]</f>
        <v>0.9769813443223635</v>
      </c>
      <c r="Y274">
        <f>Cancer_doubles_final2[[#This Row],[mlp_test_acc]]</f>
        <v>0.94405594405594406</v>
      </c>
      <c r="Z274">
        <f>Cancer_doubles_final2[[#This Row],[mlp_test_acc2]]</f>
        <v>0.94551282051282048</v>
      </c>
    </row>
    <row r="275" spans="1:26" hidden="1" x14ac:dyDescent="0.25">
      <c r="A275" t="s">
        <v>19</v>
      </c>
      <c r="B275">
        <v>9</v>
      </c>
      <c r="C275">
        <v>2</v>
      </c>
      <c r="D275">
        <v>0</v>
      </c>
      <c r="E275" t="s">
        <v>78</v>
      </c>
      <c r="F275">
        <v>18860</v>
      </c>
      <c r="G275">
        <v>36615028.444444448</v>
      </c>
      <c r="H275">
        <v>0.94910643994808197</v>
      </c>
      <c r="I275">
        <v>0.93376068376068377</v>
      </c>
      <c r="J275">
        <v>8661089.6388888899</v>
      </c>
      <c r="K275">
        <v>25274</v>
      </c>
      <c r="L275">
        <v>2</v>
      </c>
      <c r="M275">
        <v>104</v>
      </c>
      <c r="N275">
        <v>0.93473193473193472</v>
      </c>
      <c r="O275">
        <v>8829244.6944444459</v>
      </c>
      <c r="P275">
        <v>25727</v>
      </c>
      <c r="Q275">
        <v>2</v>
      </c>
      <c r="R275">
        <v>105</v>
      </c>
      <c r="S275" t="s">
        <v>262</v>
      </c>
      <c r="W275">
        <f>Cancer_doubles_final2[[#This Row],[mlp_params]]</f>
        <v>25274</v>
      </c>
      <c r="X275">
        <f>Cancer_doubles_final2[[#This Row],[kan_test_acc]]</f>
        <v>0.94910643994808197</v>
      </c>
      <c r="Y275">
        <f>Cancer_doubles_final2[[#This Row],[mlp_test_acc]]</f>
        <v>0.93376068376068377</v>
      </c>
      <c r="Z275">
        <f>Cancer_doubles_final2[[#This Row],[mlp_test_acc2]]</f>
        <v>0.93473193473193472</v>
      </c>
    </row>
    <row r="276" spans="1:26" hidden="1" x14ac:dyDescent="0.25">
      <c r="A276" t="s">
        <v>19</v>
      </c>
      <c r="B276">
        <v>3</v>
      </c>
      <c r="C276">
        <v>3</v>
      </c>
      <c r="D276">
        <v>0</v>
      </c>
      <c r="E276" t="s">
        <v>198</v>
      </c>
      <c r="F276">
        <v>18966</v>
      </c>
      <c r="G276">
        <v>27841702.75</v>
      </c>
      <c r="H276">
        <v>0.94211343758636057</v>
      </c>
      <c r="I276">
        <v>0.92210567210567207</v>
      </c>
      <c r="J276">
        <v>8191572.611111111</v>
      </c>
      <c r="K276">
        <v>33519</v>
      </c>
      <c r="L276">
        <v>2</v>
      </c>
      <c r="M276">
        <v>121</v>
      </c>
      <c r="N276">
        <v>0.92210567210567207</v>
      </c>
      <c r="O276">
        <v>8394933.805555556</v>
      </c>
      <c r="P276">
        <v>34040</v>
      </c>
      <c r="Q276">
        <v>2</v>
      </c>
      <c r="R276">
        <v>122</v>
      </c>
      <c r="S276" t="s">
        <v>263</v>
      </c>
      <c r="W276">
        <f>Cancer_doubles_final2[[#This Row],[mlp_params]]</f>
        <v>33519</v>
      </c>
      <c r="X276">
        <f>Cancer_doubles_final2[[#This Row],[kan_test_acc]]</f>
        <v>0.94211343758636057</v>
      </c>
      <c r="Y276">
        <f>Cancer_doubles_final2[[#This Row],[mlp_test_acc]]</f>
        <v>0.92210567210567207</v>
      </c>
      <c r="Z276">
        <f>Cancer_doubles_final2[[#This Row],[mlp_test_acc2]]</f>
        <v>0.92210567210567207</v>
      </c>
    </row>
    <row r="277" spans="1:26" hidden="1" x14ac:dyDescent="0.25">
      <c r="A277" t="s">
        <v>19</v>
      </c>
      <c r="B277">
        <v>3</v>
      </c>
      <c r="C277">
        <v>2</v>
      </c>
      <c r="D277">
        <v>0</v>
      </c>
      <c r="E277" t="s">
        <v>264</v>
      </c>
      <c r="F277">
        <v>19048</v>
      </c>
      <c r="G277">
        <v>39882504.833333336</v>
      </c>
      <c r="H277">
        <v>0.9632867094543246</v>
      </c>
      <c r="I277">
        <v>0.94658119658119666</v>
      </c>
      <c r="J277">
        <v>8200340.888888889</v>
      </c>
      <c r="K277">
        <v>30477</v>
      </c>
      <c r="L277">
        <v>2</v>
      </c>
      <c r="M277">
        <v>115</v>
      </c>
      <c r="N277">
        <v>0.94405594405594406</v>
      </c>
      <c r="O277">
        <v>9369981.2500000019</v>
      </c>
      <c r="P277">
        <v>30974</v>
      </c>
      <c r="Q277">
        <v>2</v>
      </c>
      <c r="R277">
        <v>116</v>
      </c>
      <c r="S277" t="s">
        <v>265</v>
      </c>
      <c r="W277">
        <f>Cancer_doubles_final2[[#This Row],[mlp_params]]</f>
        <v>30477</v>
      </c>
      <c r="X277">
        <f>Cancer_doubles_final2[[#This Row],[kan_test_acc]]</f>
        <v>0.9632867094543246</v>
      </c>
      <c r="Y277">
        <f>Cancer_doubles_final2[[#This Row],[mlp_test_acc]]</f>
        <v>0.94658119658119666</v>
      </c>
      <c r="Z277">
        <f>Cancer_doubles_final2[[#This Row],[mlp_test_acc2]]</f>
        <v>0.94405594405594406</v>
      </c>
    </row>
    <row r="278" spans="1:26" hidden="1" x14ac:dyDescent="0.25">
      <c r="A278" t="s">
        <v>19</v>
      </c>
      <c r="B278">
        <v>3</v>
      </c>
      <c r="C278">
        <v>2</v>
      </c>
      <c r="D278">
        <v>0</v>
      </c>
      <c r="E278" t="s">
        <v>266</v>
      </c>
      <c r="F278">
        <v>19054</v>
      </c>
      <c r="G278">
        <v>35751409.888888888</v>
      </c>
      <c r="H278">
        <v>0.96173271040121722</v>
      </c>
      <c r="I278">
        <v>0.94599844599844596</v>
      </c>
      <c r="J278">
        <v>8044779.2222222229</v>
      </c>
      <c r="K278">
        <v>30477</v>
      </c>
      <c r="L278">
        <v>2</v>
      </c>
      <c r="M278">
        <v>115</v>
      </c>
      <c r="N278">
        <v>0.94269619269619276</v>
      </c>
      <c r="O278">
        <v>8549378.6666666679</v>
      </c>
      <c r="P278">
        <v>30974</v>
      </c>
      <c r="Q278">
        <v>2</v>
      </c>
      <c r="R278">
        <v>116</v>
      </c>
      <c r="S278" t="s">
        <v>267</v>
      </c>
      <c r="W278">
        <f>Cancer_doubles_final2[[#This Row],[mlp_params]]</f>
        <v>30477</v>
      </c>
      <c r="X278">
        <f>Cancer_doubles_final2[[#This Row],[kan_test_acc]]</f>
        <v>0.96173271040121722</v>
      </c>
      <c r="Y278">
        <f>Cancer_doubles_final2[[#This Row],[mlp_test_acc]]</f>
        <v>0.94599844599844596</v>
      </c>
      <c r="Z278">
        <f>Cancer_doubles_final2[[#This Row],[mlp_test_acc2]]</f>
        <v>0.94269619269619276</v>
      </c>
    </row>
    <row r="279" spans="1:26" x14ac:dyDescent="0.25">
      <c r="A279" t="s">
        <v>19</v>
      </c>
      <c r="B279">
        <v>3</v>
      </c>
      <c r="C279">
        <v>5</v>
      </c>
      <c r="D279">
        <v>0</v>
      </c>
      <c r="E279" t="s">
        <v>133</v>
      </c>
      <c r="F279">
        <v>19064</v>
      </c>
      <c r="G279">
        <v>34525888.55555556</v>
      </c>
      <c r="H279">
        <v>0.96561771300103927</v>
      </c>
      <c r="I279">
        <v>0.9456099456099456</v>
      </c>
      <c r="J279">
        <v>8175471.388888889</v>
      </c>
      <c r="K279">
        <v>37799</v>
      </c>
      <c r="L279">
        <v>2</v>
      </c>
      <c r="M279">
        <v>129</v>
      </c>
      <c r="N279">
        <v>0.9442501942501943</v>
      </c>
      <c r="O279">
        <v>9295815.8888888881</v>
      </c>
      <c r="P279">
        <v>38352</v>
      </c>
      <c r="Q279">
        <v>2</v>
      </c>
      <c r="R279">
        <v>130</v>
      </c>
      <c r="S279" t="s">
        <v>268</v>
      </c>
      <c r="W279">
        <f>Cancer_doubles_final2[[#This Row],[mlp_params]]</f>
        <v>37799</v>
      </c>
      <c r="X279">
        <f>Cancer_doubles_final2[[#This Row],[kan_test_acc]]</f>
        <v>0.96561771300103927</v>
      </c>
      <c r="Y279">
        <f>Cancer_doubles_final2[[#This Row],[mlp_test_acc]]</f>
        <v>0.9456099456099456</v>
      </c>
      <c r="Z279">
        <f>Cancer_doubles_final2[[#This Row],[mlp_test_acc2]]</f>
        <v>0.9442501942501943</v>
      </c>
    </row>
    <row r="280" spans="1:26" hidden="1" x14ac:dyDescent="0.25">
      <c r="A280" t="s">
        <v>19</v>
      </c>
      <c r="B280">
        <v>5</v>
      </c>
      <c r="C280">
        <v>3</v>
      </c>
      <c r="D280">
        <v>0</v>
      </c>
      <c r="E280" t="s">
        <v>133</v>
      </c>
      <c r="F280">
        <v>19064</v>
      </c>
      <c r="G280">
        <v>24271885.375</v>
      </c>
      <c r="H280">
        <v>0.97465034574270248</v>
      </c>
      <c r="I280">
        <v>0.94230769230769229</v>
      </c>
      <c r="J280">
        <v>8573645.4583333321</v>
      </c>
      <c r="K280">
        <v>30974</v>
      </c>
      <c r="L280">
        <v>2</v>
      </c>
      <c r="M280">
        <v>116</v>
      </c>
      <c r="N280">
        <v>0.94580419580419584</v>
      </c>
      <c r="O280">
        <v>9721765.833333334</v>
      </c>
      <c r="P280">
        <v>31475</v>
      </c>
      <c r="Q280">
        <v>2</v>
      </c>
      <c r="R280">
        <v>117</v>
      </c>
      <c r="S280" t="s">
        <v>269</v>
      </c>
      <c r="W280">
        <f>Cancer_doubles_final2[[#This Row],[mlp_params]]</f>
        <v>30974</v>
      </c>
      <c r="X280">
        <f>Cancer_doubles_final2[[#This Row],[kan_test_acc]]</f>
        <v>0.97465034574270248</v>
      </c>
      <c r="Y280">
        <f>Cancer_doubles_final2[[#This Row],[mlp_test_acc]]</f>
        <v>0.94230769230769229</v>
      </c>
      <c r="Z280">
        <f>Cancer_doubles_final2[[#This Row],[mlp_test_acc2]]</f>
        <v>0.94580419580419584</v>
      </c>
    </row>
    <row r="281" spans="1:26" x14ac:dyDescent="0.25">
      <c r="A281" t="s">
        <v>19</v>
      </c>
      <c r="B281">
        <v>3</v>
      </c>
      <c r="C281">
        <v>5</v>
      </c>
      <c r="D281">
        <v>0</v>
      </c>
      <c r="E281" t="s">
        <v>133</v>
      </c>
      <c r="F281">
        <v>19064</v>
      </c>
      <c r="G281">
        <v>25151679.125</v>
      </c>
      <c r="H281">
        <v>0.97202795992294955</v>
      </c>
      <c r="I281">
        <v>0.92890442890442892</v>
      </c>
      <c r="J281">
        <v>9078036.583333334</v>
      </c>
      <c r="K281">
        <v>37799</v>
      </c>
      <c r="L281">
        <v>2</v>
      </c>
      <c r="M281">
        <v>129</v>
      </c>
      <c r="N281">
        <v>0.93210955710955712</v>
      </c>
      <c r="O281">
        <v>8690610.0416666679</v>
      </c>
      <c r="P281">
        <v>38352</v>
      </c>
      <c r="Q281">
        <v>2</v>
      </c>
      <c r="R281">
        <v>130</v>
      </c>
      <c r="S281" t="s">
        <v>268</v>
      </c>
      <c r="W281">
        <f>Cancer_doubles_final2[[#This Row],[mlp_params]]</f>
        <v>37799</v>
      </c>
      <c r="X281">
        <f>Cancer_doubles_final2[[#This Row],[kan_test_acc]]</f>
        <v>0.97202795992294955</v>
      </c>
      <c r="Y281">
        <f>Cancer_doubles_final2[[#This Row],[mlp_test_acc]]</f>
        <v>0.92890442890442892</v>
      </c>
      <c r="Z281">
        <f>Cancer_doubles_final2[[#This Row],[mlp_test_acc2]]</f>
        <v>0.93210955710955712</v>
      </c>
    </row>
    <row r="282" spans="1:26" hidden="1" x14ac:dyDescent="0.25">
      <c r="A282" t="s">
        <v>19</v>
      </c>
      <c r="B282">
        <v>5</v>
      </c>
      <c r="C282">
        <v>3</v>
      </c>
      <c r="D282">
        <v>0</v>
      </c>
      <c r="E282" t="s">
        <v>133</v>
      </c>
      <c r="F282">
        <v>19064</v>
      </c>
      <c r="G282">
        <v>22527528.791666664</v>
      </c>
      <c r="H282">
        <v>0.95629369715849566</v>
      </c>
      <c r="I282">
        <v>0.90268065268065267</v>
      </c>
      <c r="J282">
        <v>7643652.208333334</v>
      </c>
      <c r="K282">
        <v>30974</v>
      </c>
      <c r="L282">
        <v>2</v>
      </c>
      <c r="M282">
        <v>116</v>
      </c>
      <c r="N282">
        <v>0.91404428904428903</v>
      </c>
      <c r="O282">
        <v>7730302</v>
      </c>
      <c r="P282">
        <v>31475</v>
      </c>
      <c r="Q282">
        <v>2</v>
      </c>
      <c r="R282">
        <v>117</v>
      </c>
      <c r="S282" t="s">
        <v>269</v>
      </c>
      <c r="W282">
        <f>Cancer_doubles_final2[[#This Row],[mlp_params]]</f>
        <v>30974</v>
      </c>
      <c r="X282">
        <f>Cancer_doubles_final2[[#This Row],[kan_test_acc]]</f>
        <v>0.95629369715849566</v>
      </c>
      <c r="Y282">
        <f>Cancer_doubles_final2[[#This Row],[mlp_test_acc]]</f>
        <v>0.90268065268065267</v>
      </c>
      <c r="Z282">
        <f>Cancer_doubles_final2[[#This Row],[mlp_test_acc2]]</f>
        <v>0.91404428904428903</v>
      </c>
    </row>
    <row r="283" spans="1:26" hidden="1" x14ac:dyDescent="0.25">
      <c r="A283" t="s">
        <v>19</v>
      </c>
      <c r="B283">
        <v>3</v>
      </c>
      <c r="C283">
        <v>3</v>
      </c>
      <c r="D283">
        <v>0</v>
      </c>
      <c r="E283" t="s">
        <v>203</v>
      </c>
      <c r="F283">
        <v>19112</v>
      </c>
      <c r="G283">
        <v>25167216.458333332</v>
      </c>
      <c r="H283">
        <v>0.95337994645039248</v>
      </c>
      <c r="I283">
        <v>0.91783216783216781</v>
      </c>
      <c r="J283">
        <v>7193965</v>
      </c>
      <c r="K283">
        <v>33519</v>
      </c>
      <c r="L283">
        <v>2</v>
      </c>
      <c r="M283">
        <v>121</v>
      </c>
      <c r="N283">
        <v>0.92395104895104896</v>
      </c>
      <c r="O283">
        <v>8040121.541666666</v>
      </c>
      <c r="P283">
        <v>34040</v>
      </c>
      <c r="Q283">
        <v>2</v>
      </c>
      <c r="R283">
        <v>122</v>
      </c>
      <c r="S283" t="s">
        <v>270</v>
      </c>
      <c r="W283">
        <f>Cancer_doubles_final2[[#This Row],[mlp_params]]</f>
        <v>33519</v>
      </c>
      <c r="X283">
        <f>Cancer_doubles_final2[[#This Row],[kan_test_acc]]</f>
        <v>0.95337994645039248</v>
      </c>
      <c r="Y283">
        <f>Cancer_doubles_final2[[#This Row],[mlp_test_acc]]</f>
        <v>0.91783216783216781</v>
      </c>
      <c r="Z283">
        <f>Cancer_doubles_final2[[#This Row],[mlp_test_acc2]]</f>
        <v>0.92395104895104896</v>
      </c>
    </row>
    <row r="284" spans="1:26" hidden="1" x14ac:dyDescent="0.25">
      <c r="A284" t="s">
        <v>19</v>
      </c>
      <c r="B284">
        <v>3</v>
      </c>
      <c r="C284">
        <v>3</v>
      </c>
      <c r="D284">
        <v>0</v>
      </c>
      <c r="E284" t="s">
        <v>205</v>
      </c>
      <c r="F284">
        <v>19114</v>
      </c>
      <c r="G284">
        <v>35675315.94444444</v>
      </c>
      <c r="H284">
        <v>0.96309245957268608</v>
      </c>
      <c r="I284">
        <v>0.94696969696969702</v>
      </c>
      <c r="J284">
        <v>7990929.611111111</v>
      </c>
      <c r="K284">
        <v>33519</v>
      </c>
      <c r="L284">
        <v>2</v>
      </c>
      <c r="M284">
        <v>121</v>
      </c>
      <c r="N284">
        <v>0.94347319347319347</v>
      </c>
      <c r="O284">
        <v>8952130.1111111101</v>
      </c>
      <c r="P284">
        <v>34040</v>
      </c>
      <c r="Q284">
        <v>2</v>
      </c>
      <c r="R284">
        <v>122</v>
      </c>
      <c r="S284" t="s">
        <v>271</v>
      </c>
      <c r="W284">
        <f>Cancer_doubles_final2[[#This Row],[mlp_params]]</f>
        <v>33519</v>
      </c>
      <c r="X284">
        <f>Cancer_doubles_final2[[#This Row],[kan_test_acc]]</f>
        <v>0.96309245957268608</v>
      </c>
      <c r="Y284">
        <f>Cancer_doubles_final2[[#This Row],[mlp_test_acc]]</f>
        <v>0.94696969696969702</v>
      </c>
      <c r="Z284">
        <f>Cancer_doubles_final2[[#This Row],[mlp_test_acc2]]</f>
        <v>0.94347319347319347</v>
      </c>
    </row>
    <row r="285" spans="1:26" hidden="1" x14ac:dyDescent="0.25">
      <c r="A285" t="s">
        <v>19</v>
      </c>
      <c r="B285">
        <v>3</v>
      </c>
      <c r="C285">
        <v>2</v>
      </c>
      <c r="D285">
        <v>0</v>
      </c>
      <c r="E285" t="s">
        <v>272</v>
      </c>
      <c r="F285">
        <v>19178</v>
      </c>
      <c r="G285">
        <v>34755847.94444444</v>
      </c>
      <c r="H285">
        <v>0.96891996761163079</v>
      </c>
      <c r="I285">
        <v>0.94405594405594406</v>
      </c>
      <c r="J285">
        <v>8475187.1388888881</v>
      </c>
      <c r="K285">
        <v>30974</v>
      </c>
      <c r="L285">
        <v>2</v>
      </c>
      <c r="M285">
        <v>116</v>
      </c>
      <c r="N285">
        <v>0.94522144522144524</v>
      </c>
      <c r="O285">
        <v>8302609.166666666</v>
      </c>
      <c r="P285">
        <v>31475</v>
      </c>
      <c r="Q285">
        <v>2</v>
      </c>
      <c r="R285">
        <v>117</v>
      </c>
      <c r="S285" t="s">
        <v>273</v>
      </c>
      <c r="W285">
        <f>Cancer_doubles_final2[[#This Row],[mlp_params]]</f>
        <v>30974</v>
      </c>
      <c r="X285">
        <f>Cancer_doubles_final2[[#This Row],[kan_test_acc]]</f>
        <v>0.96891996761163079</v>
      </c>
      <c r="Y285">
        <f>Cancer_doubles_final2[[#This Row],[mlp_test_acc]]</f>
        <v>0.94405594405594406</v>
      </c>
      <c r="Z285">
        <f>Cancer_doubles_final2[[#This Row],[mlp_test_acc2]]</f>
        <v>0.94522144522144524</v>
      </c>
    </row>
    <row r="286" spans="1:26" hidden="1" x14ac:dyDescent="0.25">
      <c r="A286" t="s">
        <v>19</v>
      </c>
      <c r="B286">
        <v>3</v>
      </c>
      <c r="C286">
        <v>2</v>
      </c>
      <c r="D286">
        <v>0</v>
      </c>
      <c r="E286" t="s">
        <v>274</v>
      </c>
      <c r="F286">
        <v>19180</v>
      </c>
      <c r="G286">
        <v>33819912.166666664</v>
      </c>
      <c r="H286">
        <v>0.95901320709122562</v>
      </c>
      <c r="I286">
        <v>0.94502719502719501</v>
      </c>
      <c r="J286">
        <v>9528632.3888888899</v>
      </c>
      <c r="K286">
        <v>30974</v>
      </c>
      <c r="L286">
        <v>2</v>
      </c>
      <c r="M286">
        <v>116</v>
      </c>
      <c r="N286">
        <v>0.94463869463869465</v>
      </c>
      <c r="O286">
        <v>8739972.3611111119</v>
      </c>
      <c r="P286">
        <v>31475</v>
      </c>
      <c r="Q286">
        <v>2</v>
      </c>
      <c r="R286">
        <v>117</v>
      </c>
      <c r="S286" t="s">
        <v>275</v>
      </c>
      <c r="W286">
        <f>Cancer_doubles_final2[[#This Row],[mlp_params]]</f>
        <v>30974</v>
      </c>
      <c r="X286">
        <f>Cancer_doubles_final2[[#This Row],[kan_test_acc]]</f>
        <v>0.95901320709122562</v>
      </c>
      <c r="Y286">
        <f>Cancer_doubles_final2[[#This Row],[mlp_test_acc]]</f>
        <v>0.94502719502719501</v>
      </c>
      <c r="Z286">
        <f>Cancer_doubles_final2[[#This Row],[mlp_test_acc2]]</f>
        <v>0.94463869463869465</v>
      </c>
    </row>
    <row r="287" spans="1:26" hidden="1" x14ac:dyDescent="0.25">
      <c r="A287" t="s">
        <v>19</v>
      </c>
      <c r="B287">
        <v>5</v>
      </c>
      <c r="C287">
        <v>5</v>
      </c>
      <c r="D287">
        <v>0</v>
      </c>
      <c r="E287" t="s">
        <v>96</v>
      </c>
      <c r="F287">
        <v>19184</v>
      </c>
      <c r="G287">
        <v>30296590.138888888</v>
      </c>
      <c r="H287">
        <v>0.9555166992876265</v>
      </c>
      <c r="I287">
        <v>0.94191919191919193</v>
      </c>
      <c r="J287">
        <v>8972288.1666666679</v>
      </c>
      <c r="K287">
        <v>35094</v>
      </c>
      <c r="L287">
        <v>2</v>
      </c>
      <c r="M287">
        <v>124</v>
      </c>
      <c r="N287">
        <v>0.94191919191919193</v>
      </c>
      <c r="O287">
        <v>8999253.75</v>
      </c>
      <c r="P287">
        <v>35627</v>
      </c>
      <c r="Q287">
        <v>2</v>
      </c>
      <c r="R287">
        <v>125</v>
      </c>
      <c r="S287" t="s">
        <v>276</v>
      </c>
      <c r="W287">
        <f>Cancer_doubles_final2[[#This Row],[mlp_params]]</f>
        <v>35094</v>
      </c>
      <c r="X287">
        <f>Cancer_doubles_final2[[#This Row],[kan_test_acc]]</f>
        <v>0.9555166992876265</v>
      </c>
      <c r="Y287">
        <f>Cancer_doubles_final2[[#This Row],[mlp_test_acc]]</f>
        <v>0.94191919191919193</v>
      </c>
      <c r="Z287">
        <f>Cancer_doubles_final2[[#This Row],[mlp_test_acc2]]</f>
        <v>0.94191919191919193</v>
      </c>
    </row>
    <row r="288" spans="1:26" hidden="1" x14ac:dyDescent="0.25">
      <c r="A288" t="s">
        <v>19</v>
      </c>
      <c r="B288">
        <v>9</v>
      </c>
      <c r="C288">
        <v>3</v>
      </c>
      <c r="D288">
        <v>0</v>
      </c>
      <c r="E288" t="s">
        <v>70</v>
      </c>
      <c r="F288">
        <v>19242</v>
      </c>
      <c r="G288">
        <v>24871526.694444448</v>
      </c>
      <c r="H288">
        <v>0.95066044727961219</v>
      </c>
      <c r="I288">
        <v>0.93104118104118105</v>
      </c>
      <c r="J288">
        <v>8478260.944444444</v>
      </c>
      <c r="K288">
        <v>28052</v>
      </c>
      <c r="L288">
        <v>2</v>
      </c>
      <c r="M288">
        <v>110</v>
      </c>
      <c r="N288">
        <v>0.92832167832167833</v>
      </c>
      <c r="O288">
        <v>7792905.222222222</v>
      </c>
      <c r="P288">
        <v>28529</v>
      </c>
      <c r="Q288">
        <v>2</v>
      </c>
      <c r="R288">
        <v>111</v>
      </c>
      <c r="S288" t="s">
        <v>277</v>
      </c>
      <c r="W288">
        <f>Cancer_doubles_final2[[#This Row],[mlp_params]]</f>
        <v>28052</v>
      </c>
      <c r="X288">
        <f>Cancer_doubles_final2[[#This Row],[kan_test_acc]]</f>
        <v>0.95066044727961219</v>
      </c>
      <c r="Y288">
        <f>Cancer_doubles_final2[[#This Row],[mlp_test_acc]]</f>
        <v>0.93104118104118105</v>
      </c>
      <c r="Z288">
        <f>Cancer_doubles_final2[[#This Row],[mlp_test_acc2]]</f>
        <v>0.92832167832167833</v>
      </c>
    </row>
    <row r="289" spans="1:26" hidden="1" x14ac:dyDescent="0.25">
      <c r="A289" t="s">
        <v>19</v>
      </c>
      <c r="B289">
        <v>5</v>
      </c>
      <c r="C289">
        <v>4</v>
      </c>
      <c r="D289">
        <v>0</v>
      </c>
      <c r="E289" t="s">
        <v>116</v>
      </c>
      <c r="F289">
        <v>19252</v>
      </c>
      <c r="G289">
        <v>24904047.361111112</v>
      </c>
      <c r="H289">
        <v>0.95027194917201985</v>
      </c>
      <c r="I289">
        <v>0.92307692307692302</v>
      </c>
      <c r="J289">
        <v>8973518.0833333321</v>
      </c>
      <c r="K289">
        <v>33519</v>
      </c>
      <c r="L289">
        <v>2</v>
      </c>
      <c r="M289">
        <v>121</v>
      </c>
      <c r="N289">
        <v>0.92463092463092467</v>
      </c>
      <c r="O289">
        <v>8199347.3888888881</v>
      </c>
      <c r="P289">
        <v>34040</v>
      </c>
      <c r="Q289">
        <v>2</v>
      </c>
      <c r="R289">
        <v>122</v>
      </c>
      <c r="S289" t="s">
        <v>278</v>
      </c>
      <c r="W289">
        <f>Cancer_doubles_final2[[#This Row],[mlp_params]]</f>
        <v>33519</v>
      </c>
      <c r="X289">
        <f>Cancer_doubles_final2[[#This Row],[kan_test_acc]]</f>
        <v>0.95027194917201985</v>
      </c>
      <c r="Y289">
        <f>Cancer_doubles_final2[[#This Row],[mlp_test_acc]]</f>
        <v>0.92307692307692302</v>
      </c>
      <c r="Z289">
        <f>Cancer_doubles_final2[[#This Row],[mlp_test_acc2]]</f>
        <v>0.92463092463092467</v>
      </c>
    </row>
    <row r="290" spans="1:26" hidden="1" x14ac:dyDescent="0.25">
      <c r="A290" t="s">
        <v>19</v>
      </c>
      <c r="B290">
        <v>3</v>
      </c>
      <c r="C290">
        <v>4</v>
      </c>
      <c r="D290">
        <v>0</v>
      </c>
      <c r="E290" t="s">
        <v>165</v>
      </c>
      <c r="F290">
        <v>19262</v>
      </c>
      <c r="G290">
        <v>22579690.916666664</v>
      </c>
      <c r="H290">
        <v>0.96867715567350388</v>
      </c>
      <c r="I290">
        <v>0.93312937062937062</v>
      </c>
      <c r="J290">
        <v>9390258.3958333321</v>
      </c>
      <c r="K290">
        <v>36164</v>
      </c>
      <c r="L290">
        <v>2</v>
      </c>
      <c r="M290">
        <v>126</v>
      </c>
      <c r="N290">
        <v>0.92992424242424243</v>
      </c>
      <c r="O290">
        <v>8668617.0208333321</v>
      </c>
      <c r="P290">
        <v>36705</v>
      </c>
      <c r="Q290">
        <v>2</v>
      </c>
      <c r="R290">
        <v>127</v>
      </c>
      <c r="S290" t="s">
        <v>279</v>
      </c>
      <c r="W290">
        <f>Cancer_doubles_final2[[#This Row],[mlp_params]]</f>
        <v>36164</v>
      </c>
      <c r="X290">
        <f>Cancer_doubles_final2[[#This Row],[kan_test_acc]]</f>
        <v>0.96867715567350388</v>
      </c>
      <c r="Y290">
        <f>Cancer_doubles_final2[[#This Row],[mlp_test_acc]]</f>
        <v>0.93312937062937062</v>
      </c>
      <c r="Z290">
        <f>Cancer_doubles_final2[[#This Row],[mlp_test_acc2]]</f>
        <v>0.92992424242424243</v>
      </c>
    </row>
    <row r="291" spans="1:26" hidden="1" x14ac:dyDescent="0.25">
      <c r="A291" t="s">
        <v>19</v>
      </c>
      <c r="B291">
        <v>5</v>
      </c>
      <c r="C291">
        <v>2</v>
      </c>
      <c r="D291">
        <v>0</v>
      </c>
      <c r="E291" t="s">
        <v>165</v>
      </c>
      <c r="F291">
        <v>19262</v>
      </c>
      <c r="G291">
        <v>26803514.458333332</v>
      </c>
      <c r="H291">
        <v>0.98426573475201917</v>
      </c>
      <c r="I291">
        <v>0.94755244755244761</v>
      </c>
      <c r="J291">
        <v>9244607.5833333321</v>
      </c>
      <c r="K291">
        <v>28529</v>
      </c>
      <c r="L291">
        <v>2</v>
      </c>
      <c r="M291">
        <v>111</v>
      </c>
      <c r="N291">
        <v>0.94143356643356646</v>
      </c>
      <c r="O291">
        <v>7359455.583333334</v>
      </c>
      <c r="P291">
        <v>29010</v>
      </c>
      <c r="Q291">
        <v>2</v>
      </c>
      <c r="R291">
        <v>112</v>
      </c>
      <c r="S291" t="s">
        <v>280</v>
      </c>
      <c r="W291">
        <f>Cancer_doubles_final2[[#This Row],[mlp_params]]</f>
        <v>28529</v>
      </c>
      <c r="X291">
        <f>Cancer_doubles_final2[[#This Row],[kan_test_acc]]</f>
        <v>0.98426573475201917</v>
      </c>
      <c r="Y291">
        <f>Cancer_doubles_final2[[#This Row],[mlp_test_acc]]</f>
        <v>0.94755244755244761</v>
      </c>
      <c r="Z291">
        <f>Cancer_doubles_final2[[#This Row],[mlp_test_acc2]]</f>
        <v>0.94143356643356646</v>
      </c>
    </row>
    <row r="292" spans="1:26" hidden="1" x14ac:dyDescent="0.25">
      <c r="A292" t="s">
        <v>19</v>
      </c>
      <c r="B292">
        <v>3</v>
      </c>
      <c r="C292">
        <v>4</v>
      </c>
      <c r="D292">
        <v>0</v>
      </c>
      <c r="E292" t="s">
        <v>165</v>
      </c>
      <c r="F292">
        <v>19262</v>
      </c>
      <c r="G292">
        <v>27895439.541666668</v>
      </c>
      <c r="H292">
        <v>0.98135198156038916</v>
      </c>
      <c r="I292">
        <v>0.9306526806526807</v>
      </c>
      <c r="J292">
        <v>8642943.5833333321</v>
      </c>
      <c r="K292">
        <v>36164</v>
      </c>
      <c r="L292">
        <v>2</v>
      </c>
      <c r="M292">
        <v>126</v>
      </c>
      <c r="N292">
        <v>0.93210955710955723</v>
      </c>
      <c r="O292">
        <v>7706680.875</v>
      </c>
      <c r="P292">
        <v>36705</v>
      </c>
      <c r="Q292">
        <v>2</v>
      </c>
      <c r="R292">
        <v>127</v>
      </c>
      <c r="S292" t="s">
        <v>279</v>
      </c>
      <c r="W292">
        <f>Cancer_doubles_final2[[#This Row],[mlp_params]]</f>
        <v>36164</v>
      </c>
      <c r="X292">
        <f>Cancer_doubles_final2[[#This Row],[kan_test_acc]]</f>
        <v>0.98135198156038916</v>
      </c>
      <c r="Y292">
        <f>Cancer_doubles_final2[[#This Row],[mlp_test_acc]]</f>
        <v>0.9306526806526807</v>
      </c>
      <c r="Z292">
        <f>Cancer_doubles_final2[[#This Row],[mlp_test_acc2]]</f>
        <v>0.93210955710955723</v>
      </c>
    </row>
    <row r="293" spans="1:26" hidden="1" x14ac:dyDescent="0.25">
      <c r="A293" t="s">
        <v>19</v>
      </c>
      <c r="B293">
        <v>5</v>
      </c>
      <c r="C293">
        <v>2</v>
      </c>
      <c r="D293">
        <v>0</v>
      </c>
      <c r="E293" t="s">
        <v>165</v>
      </c>
      <c r="F293">
        <v>19262</v>
      </c>
      <c r="G293">
        <v>23818689</v>
      </c>
      <c r="H293">
        <v>0.9766899744669596</v>
      </c>
      <c r="I293">
        <v>0.93152680652680653</v>
      </c>
      <c r="J293">
        <v>8521464.0416666679</v>
      </c>
      <c r="K293">
        <v>28529</v>
      </c>
      <c r="L293">
        <v>2</v>
      </c>
      <c r="M293">
        <v>111</v>
      </c>
      <c r="N293">
        <v>0.93764568764568768</v>
      </c>
      <c r="O293">
        <v>9408576.958333334</v>
      </c>
      <c r="P293">
        <v>29010</v>
      </c>
      <c r="Q293">
        <v>2</v>
      </c>
      <c r="R293">
        <v>112</v>
      </c>
      <c r="S293" t="s">
        <v>280</v>
      </c>
      <c r="W293">
        <f>Cancer_doubles_final2[[#This Row],[mlp_params]]</f>
        <v>28529</v>
      </c>
      <c r="X293">
        <f>Cancer_doubles_final2[[#This Row],[kan_test_acc]]</f>
        <v>0.9766899744669596</v>
      </c>
      <c r="Y293">
        <f>Cancer_doubles_final2[[#This Row],[mlp_test_acc]]</f>
        <v>0.93152680652680653</v>
      </c>
      <c r="Z293">
        <f>Cancer_doubles_final2[[#This Row],[mlp_test_acc2]]</f>
        <v>0.93764568764568768</v>
      </c>
    </row>
    <row r="294" spans="1:26" hidden="1" x14ac:dyDescent="0.25">
      <c r="A294" t="s">
        <v>19</v>
      </c>
      <c r="B294">
        <v>3</v>
      </c>
      <c r="C294">
        <v>4</v>
      </c>
      <c r="D294">
        <v>0</v>
      </c>
      <c r="E294" t="s">
        <v>167</v>
      </c>
      <c r="F294">
        <v>19304</v>
      </c>
      <c r="G294">
        <v>24370644.125</v>
      </c>
      <c r="H294">
        <v>0.97319347908099496</v>
      </c>
      <c r="I294">
        <v>0.94842657342657344</v>
      </c>
      <c r="J294">
        <v>8929905.458333334</v>
      </c>
      <c r="K294">
        <v>36164</v>
      </c>
      <c r="L294">
        <v>2</v>
      </c>
      <c r="M294">
        <v>126</v>
      </c>
      <c r="N294">
        <v>0.94696969696969691</v>
      </c>
      <c r="O294">
        <v>9072091.5416666679</v>
      </c>
      <c r="P294">
        <v>36705</v>
      </c>
      <c r="Q294">
        <v>2</v>
      </c>
      <c r="R294">
        <v>127</v>
      </c>
      <c r="S294" t="s">
        <v>281</v>
      </c>
      <c r="W294">
        <f>Cancer_doubles_final2[[#This Row],[mlp_params]]</f>
        <v>36164</v>
      </c>
      <c r="X294">
        <f>Cancer_doubles_final2[[#This Row],[kan_test_acc]]</f>
        <v>0.97319347908099496</v>
      </c>
      <c r="Y294">
        <f>Cancer_doubles_final2[[#This Row],[mlp_test_acc]]</f>
        <v>0.94842657342657344</v>
      </c>
      <c r="Z294">
        <f>Cancer_doubles_final2[[#This Row],[mlp_test_acc2]]</f>
        <v>0.94696969696969691</v>
      </c>
    </row>
    <row r="295" spans="1:26" hidden="1" x14ac:dyDescent="0.25">
      <c r="A295" t="s">
        <v>19</v>
      </c>
      <c r="B295">
        <v>5</v>
      </c>
      <c r="C295">
        <v>2</v>
      </c>
      <c r="D295">
        <v>0</v>
      </c>
      <c r="E295" t="s">
        <v>167</v>
      </c>
      <c r="F295">
        <v>19304</v>
      </c>
      <c r="G295">
        <v>31361188.5</v>
      </c>
      <c r="H295">
        <v>0.97231935213009524</v>
      </c>
      <c r="I295">
        <v>0.94871794871794868</v>
      </c>
      <c r="J295">
        <v>8522630.8333333321</v>
      </c>
      <c r="K295">
        <v>28529</v>
      </c>
      <c r="L295">
        <v>2</v>
      </c>
      <c r="M295">
        <v>111</v>
      </c>
      <c r="N295">
        <v>0.94493006993006989</v>
      </c>
      <c r="O295">
        <v>8114759.583333333</v>
      </c>
      <c r="P295">
        <v>29010</v>
      </c>
      <c r="Q295">
        <v>2</v>
      </c>
      <c r="R295">
        <v>112</v>
      </c>
      <c r="S295" t="s">
        <v>282</v>
      </c>
      <c r="W295">
        <f>Cancer_doubles_final2[[#This Row],[mlp_params]]</f>
        <v>28529</v>
      </c>
      <c r="X295">
        <f>Cancer_doubles_final2[[#This Row],[kan_test_acc]]</f>
        <v>0.97231935213009524</v>
      </c>
      <c r="Y295">
        <f>Cancer_doubles_final2[[#This Row],[mlp_test_acc]]</f>
        <v>0.94871794871794868</v>
      </c>
      <c r="Z295">
        <f>Cancer_doubles_final2[[#This Row],[mlp_test_acc2]]</f>
        <v>0.94493006993006989</v>
      </c>
    </row>
    <row r="296" spans="1:26" hidden="1" x14ac:dyDescent="0.25">
      <c r="A296" t="s">
        <v>19</v>
      </c>
      <c r="B296">
        <v>3</v>
      </c>
      <c r="C296">
        <v>4</v>
      </c>
      <c r="D296">
        <v>0</v>
      </c>
      <c r="E296" t="s">
        <v>167</v>
      </c>
      <c r="F296">
        <v>19304</v>
      </c>
      <c r="G296">
        <v>32836315.458333336</v>
      </c>
      <c r="H296">
        <v>0.97639859219392144</v>
      </c>
      <c r="I296">
        <v>0.93385780885780889</v>
      </c>
      <c r="J296">
        <v>8231055.083333333</v>
      </c>
      <c r="K296">
        <v>36164</v>
      </c>
      <c r="L296">
        <v>2</v>
      </c>
      <c r="M296">
        <v>126</v>
      </c>
      <c r="N296">
        <v>0.93414918414918424</v>
      </c>
      <c r="O296">
        <v>8385770.25</v>
      </c>
      <c r="P296">
        <v>36705</v>
      </c>
      <c r="Q296">
        <v>2</v>
      </c>
      <c r="R296">
        <v>127</v>
      </c>
      <c r="S296" t="s">
        <v>281</v>
      </c>
      <c r="W296">
        <f>Cancer_doubles_final2[[#This Row],[mlp_params]]</f>
        <v>36164</v>
      </c>
      <c r="X296">
        <f>Cancer_doubles_final2[[#This Row],[kan_test_acc]]</f>
        <v>0.97639859219392144</v>
      </c>
      <c r="Y296">
        <f>Cancer_doubles_final2[[#This Row],[mlp_test_acc]]</f>
        <v>0.93385780885780889</v>
      </c>
      <c r="Z296">
        <f>Cancer_doubles_final2[[#This Row],[mlp_test_acc2]]</f>
        <v>0.93414918414918424</v>
      </c>
    </row>
    <row r="297" spans="1:26" hidden="1" x14ac:dyDescent="0.25">
      <c r="A297" t="s">
        <v>19</v>
      </c>
      <c r="B297">
        <v>5</v>
      </c>
      <c r="C297">
        <v>2</v>
      </c>
      <c r="D297">
        <v>0</v>
      </c>
      <c r="E297" t="s">
        <v>167</v>
      </c>
      <c r="F297">
        <v>19304</v>
      </c>
      <c r="G297">
        <v>27171556.083333336</v>
      </c>
      <c r="H297">
        <v>0.97494171063105262</v>
      </c>
      <c r="I297">
        <v>0.93240093240093236</v>
      </c>
      <c r="J297">
        <v>8591676.291666666</v>
      </c>
      <c r="K297">
        <v>28529</v>
      </c>
      <c r="L297">
        <v>2</v>
      </c>
      <c r="M297">
        <v>111</v>
      </c>
      <c r="N297">
        <v>0.93473193473193472</v>
      </c>
      <c r="O297">
        <v>9231935.75</v>
      </c>
      <c r="P297">
        <v>29010</v>
      </c>
      <c r="Q297">
        <v>2</v>
      </c>
      <c r="R297">
        <v>112</v>
      </c>
      <c r="S297" t="s">
        <v>282</v>
      </c>
      <c r="W297">
        <f>Cancer_doubles_final2[[#This Row],[mlp_params]]</f>
        <v>28529</v>
      </c>
      <c r="X297">
        <f>Cancer_doubles_final2[[#This Row],[kan_test_acc]]</f>
        <v>0.97494171063105262</v>
      </c>
      <c r="Y297">
        <f>Cancer_doubles_final2[[#This Row],[mlp_test_acc]]</f>
        <v>0.93240093240093236</v>
      </c>
      <c r="Z297">
        <f>Cancer_doubles_final2[[#This Row],[mlp_test_acc2]]</f>
        <v>0.93473193473193472</v>
      </c>
    </row>
    <row r="298" spans="1:26" hidden="1" x14ac:dyDescent="0.25">
      <c r="A298" t="s">
        <v>19</v>
      </c>
      <c r="B298">
        <v>3</v>
      </c>
      <c r="C298">
        <v>2</v>
      </c>
      <c r="D298">
        <v>0</v>
      </c>
      <c r="E298" t="s">
        <v>283</v>
      </c>
      <c r="F298">
        <v>19432</v>
      </c>
      <c r="G298">
        <v>33946593.583333336</v>
      </c>
      <c r="H298">
        <v>0.97377621630827582</v>
      </c>
      <c r="I298">
        <v>0.94318181818181812</v>
      </c>
      <c r="J298">
        <v>8482986.5833333321</v>
      </c>
      <c r="K298">
        <v>31475</v>
      </c>
      <c r="L298">
        <v>2</v>
      </c>
      <c r="M298">
        <v>117</v>
      </c>
      <c r="N298">
        <v>0.9475524475524475</v>
      </c>
      <c r="O298">
        <v>9087031.791666666</v>
      </c>
      <c r="P298">
        <v>31980</v>
      </c>
      <c r="Q298">
        <v>2</v>
      </c>
      <c r="R298">
        <v>118</v>
      </c>
      <c r="S298" t="s">
        <v>284</v>
      </c>
      <c r="W298">
        <f>Cancer_doubles_final2[[#This Row],[mlp_params]]</f>
        <v>31475</v>
      </c>
      <c r="X298">
        <f>Cancer_doubles_final2[[#This Row],[kan_test_acc]]</f>
        <v>0.97377621630827582</v>
      </c>
      <c r="Y298">
        <f>Cancer_doubles_final2[[#This Row],[mlp_test_acc]]</f>
        <v>0.94318181818181812</v>
      </c>
      <c r="Z298">
        <f>Cancer_doubles_final2[[#This Row],[mlp_test_acc2]]</f>
        <v>0.9475524475524475</v>
      </c>
    </row>
    <row r="299" spans="1:26" hidden="1" x14ac:dyDescent="0.25">
      <c r="A299" t="s">
        <v>19</v>
      </c>
      <c r="B299">
        <v>9</v>
      </c>
      <c r="C299">
        <v>4</v>
      </c>
      <c r="D299">
        <v>0</v>
      </c>
      <c r="E299" t="s">
        <v>60</v>
      </c>
      <c r="F299">
        <v>19496</v>
      </c>
      <c r="G299">
        <v>36644303.55555556</v>
      </c>
      <c r="H299">
        <v>0.95454544822374976</v>
      </c>
      <c r="I299">
        <v>0.95104895104895104</v>
      </c>
      <c r="J299">
        <v>8556257.555555556</v>
      </c>
      <c r="K299">
        <v>29984</v>
      </c>
      <c r="L299">
        <v>2</v>
      </c>
      <c r="M299">
        <v>114</v>
      </c>
      <c r="N299">
        <v>0.95415695415695412</v>
      </c>
      <c r="O299">
        <v>8924249.444444444</v>
      </c>
      <c r="P299">
        <v>30477</v>
      </c>
      <c r="Q299">
        <v>2</v>
      </c>
      <c r="R299">
        <v>115</v>
      </c>
      <c r="S299" t="s">
        <v>285</v>
      </c>
      <c r="W299">
        <f>Cancer_doubles_final2[[#This Row],[mlp_params]]</f>
        <v>29984</v>
      </c>
      <c r="X299">
        <f>Cancer_doubles_final2[[#This Row],[kan_test_acc]]</f>
        <v>0.95454544822374976</v>
      </c>
      <c r="Y299">
        <f>Cancer_doubles_final2[[#This Row],[mlp_test_acc]]</f>
        <v>0.95104895104895104</v>
      </c>
      <c r="Z299">
        <f>Cancer_doubles_final2[[#This Row],[mlp_test_acc2]]</f>
        <v>0.95415695415695412</v>
      </c>
    </row>
    <row r="300" spans="1:26" hidden="1" x14ac:dyDescent="0.25">
      <c r="A300" t="s">
        <v>19</v>
      </c>
      <c r="B300">
        <v>3</v>
      </c>
      <c r="C300">
        <v>2</v>
      </c>
      <c r="D300">
        <v>0</v>
      </c>
      <c r="E300" t="s">
        <v>286</v>
      </c>
      <c r="F300">
        <v>19568</v>
      </c>
      <c r="G300">
        <v>31722497.083333332</v>
      </c>
      <c r="H300">
        <v>0.96678321063518524</v>
      </c>
      <c r="I300">
        <v>0.95775058275058278</v>
      </c>
      <c r="J300">
        <v>8124183.958333333</v>
      </c>
      <c r="K300">
        <v>31475</v>
      </c>
      <c r="L300">
        <v>2</v>
      </c>
      <c r="M300">
        <v>117</v>
      </c>
      <c r="N300">
        <v>0.95949883449883444</v>
      </c>
      <c r="O300">
        <v>9705112.3333333321</v>
      </c>
      <c r="P300">
        <v>31980</v>
      </c>
      <c r="Q300">
        <v>2</v>
      </c>
      <c r="R300">
        <v>118</v>
      </c>
      <c r="S300" t="s">
        <v>287</v>
      </c>
      <c r="W300">
        <f>Cancer_doubles_final2[[#This Row],[mlp_params]]</f>
        <v>31475</v>
      </c>
      <c r="X300">
        <f>Cancer_doubles_final2[[#This Row],[kan_test_acc]]</f>
        <v>0.96678321063518524</v>
      </c>
      <c r="Y300">
        <f>Cancer_doubles_final2[[#This Row],[mlp_test_acc]]</f>
        <v>0.95775058275058278</v>
      </c>
      <c r="Z300">
        <f>Cancer_doubles_final2[[#This Row],[mlp_test_acc2]]</f>
        <v>0.95949883449883444</v>
      </c>
    </row>
    <row r="301" spans="1:26" hidden="1" x14ac:dyDescent="0.25">
      <c r="A301" t="s">
        <v>19</v>
      </c>
      <c r="B301">
        <v>3</v>
      </c>
      <c r="C301">
        <v>3</v>
      </c>
      <c r="D301">
        <v>0</v>
      </c>
      <c r="E301" t="s">
        <v>214</v>
      </c>
      <c r="F301">
        <v>19616</v>
      </c>
      <c r="G301">
        <v>35612305.361111112</v>
      </c>
      <c r="H301">
        <v>0.9628982063796786</v>
      </c>
      <c r="I301">
        <v>0.94463869463869454</v>
      </c>
      <c r="J301">
        <v>7711579.638888889</v>
      </c>
      <c r="K301">
        <v>34565</v>
      </c>
      <c r="L301">
        <v>2</v>
      </c>
      <c r="M301">
        <v>123</v>
      </c>
      <c r="N301">
        <v>0.94405594405594406</v>
      </c>
      <c r="O301">
        <v>8632799.3611111101</v>
      </c>
      <c r="P301">
        <v>35094</v>
      </c>
      <c r="Q301">
        <v>2</v>
      </c>
      <c r="R301">
        <v>124</v>
      </c>
      <c r="S301" t="s">
        <v>288</v>
      </c>
      <c r="W301">
        <f>Cancer_doubles_final2[[#This Row],[mlp_params]]</f>
        <v>34565</v>
      </c>
      <c r="X301">
        <f>Cancer_doubles_final2[[#This Row],[kan_test_acc]]</f>
        <v>0.9628982063796786</v>
      </c>
      <c r="Y301">
        <f>Cancer_doubles_final2[[#This Row],[mlp_test_acc]]</f>
        <v>0.94463869463869454</v>
      </c>
      <c r="Z301">
        <f>Cancer_doubles_final2[[#This Row],[mlp_test_acc2]]</f>
        <v>0.94405594405594406</v>
      </c>
    </row>
    <row r="302" spans="1:26" hidden="1" x14ac:dyDescent="0.25">
      <c r="A302" t="s">
        <v>19</v>
      </c>
      <c r="B302">
        <v>9</v>
      </c>
      <c r="C302">
        <v>5</v>
      </c>
      <c r="D302">
        <v>0</v>
      </c>
      <c r="E302" t="s">
        <v>56</v>
      </c>
      <c r="F302">
        <v>19622</v>
      </c>
      <c r="G302">
        <v>32053176.361111108</v>
      </c>
      <c r="H302">
        <v>0.9493007014195125</v>
      </c>
      <c r="I302">
        <v>0.94638694638694643</v>
      </c>
      <c r="J302">
        <v>8968551.277777778</v>
      </c>
      <c r="K302">
        <v>31980</v>
      </c>
      <c r="L302">
        <v>2</v>
      </c>
      <c r="M302">
        <v>118</v>
      </c>
      <c r="N302">
        <v>0.94502719502719501</v>
      </c>
      <c r="O302">
        <v>8876565.694444444</v>
      </c>
      <c r="P302">
        <v>32489</v>
      </c>
      <c r="Q302">
        <v>2</v>
      </c>
      <c r="R302">
        <v>119</v>
      </c>
      <c r="S302" t="s">
        <v>289</v>
      </c>
      <c r="W302">
        <f>Cancer_doubles_final2[[#This Row],[mlp_params]]</f>
        <v>31980</v>
      </c>
      <c r="X302">
        <f>Cancer_doubles_final2[[#This Row],[kan_test_acc]]</f>
        <v>0.9493007014195125</v>
      </c>
      <c r="Y302">
        <f>Cancer_doubles_final2[[#This Row],[mlp_test_acc]]</f>
        <v>0.94638694638694643</v>
      </c>
      <c r="Z302">
        <f>Cancer_doubles_final2[[#This Row],[mlp_test_acc2]]</f>
        <v>0.94502719502719501</v>
      </c>
    </row>
    <row r="303" spans="1:26" hidden="1" x14ac:dyDescent="0.25">
      <c r="A303" t="s">
        <v>19</v>
      </c>
      <c r="B303">
        <v>3</v>
      </c>
      <c r="C303">
        <v>2</v>
      </c>
      <c r="D303">
        <v>0</v>
      </c>
      <c r="E303" t="s">
        <v>290</v>
      </c>
      <c r="F303">
        <v>19658</v>
      </c>
      <c r="G303">
        <v>31220477.25</v>
      </c>
      <c r="H303">
        <v>0.94784382482369745</v>
      </c>
      <c r="I303">
        <v>0.95104895104895104</v>
      </c>
      <c r="J303">
        <v>8510255.958333334</v>
      </c>
      <c r="K303">
        <v>31475</v>
      </c>
      <c r="L303">
        <v>2</v>
      </c>
      <c r="M303">
        <v>117</v>
      </c>
      <c r="N303">
        <v>0.94900932400932403</v>
      </c>
      <c r="O303">
        <v>8847651.958333334</v>
      </c>
      <c r="P303">
        <v>31980</v>
      </c>
      <c r="Q303">
        <v>2</v>
      </c>
      <c r="R303">
        <v>118</v>
      </c>
      <c r="S303" t="s">
        <v>291</v>
      </c>
      <c r="W303">
        <f>Cancer_doubles_final2[[#This Row],[mlp_params]]</f>
        <v>31475</v>
      </c>
      <c r="X303">
        <f>Cancer_doubles_final2[[#This Row],[kan_test_acc]]</f>
        <v>0.94784382482369745</v>
      </c>
      <c r="Y303">
        <f>Cancer_doubles_final2[[#This Row],[mlp_test_acc]]</f>
        <v>0.95104895104895104</v>
      </c>
      <c r="Z303">
        <f>Cancer_doubles_final2[[#This Row],[mlp_test_acc2]]</f>
        <v>0.94900932400932403</v>
      </c>
    </row>
    <row r="304" spans="1:26" hidden="1" x14ac:dyDescent="0.25">
      <c r="A304" t="s">
        <v>19</v>
      </c>
      <c r="B304">
        <v>3</v>
      </c>
      <c r="C304">
        <v>3</v>
      </c>
      <c r="D304">
        <v>0</v>
      </c>
      <c r="E304" t="s">
        <v>217</v>
      </c>
      <c r="F304">
        <v>19692</v>
      </c>
      <c r="G304">
        <v>36279484.888888888</v>
      </c>
      <c r="H304">
        <v>0.9592074586285485</v>
      </c>
      <c r="I304">
        <v>0.94522144522144524</v>
      </c>
      <c r="J304">
        <v>8205525.2777777771</v>
      </c>
      <c r="K304">
        <v>34565</v>
      </c>
      <c r="L304">
        <v>2</v>
      </c>
      <c r="M304">
        <v>123</v>
      </c>
      <c r="N304">
        <v>0.94502719502719501</v>
      </c>
      <c r="O304">
        <v>7742418.805555556</v>
      </c>
      <c r="P304">
        <v>35094</v>
      </c>
      <c r="Q304">
        <v>2</v>
      </c>
      <c r="R304">
        <v>124</v>
      </c>
      <c r="S304" t="s">
        <v>292</v>
      </c>
      <c r="W304">
        <f>Cancer_doubles_final2[[#This Row],[mlp_params]]</f>
        <v>34565</v>
      </c>
      <c r="X304">
        <f>Cancer_doubles_final2[[#This Row],[kan_test_acc]]</f>
        <v>0.9592074586285485</v>
      </c>
      <c r="Y304">
        <f>Cancer_doubles_final2[[#This Row],[mlp_test_acc]]</f>
        <v>0.94522144522144524</v>
      </c>
      <c r="Z304">
        <f>Cancer_doubles_final2[[#This Row],[mlp_test_acc2]]</f>
        <v>0.94502719502719501</v>
      </c>
    </row>
    <row r="305" spans="1:26" hidden="1" x14ac:dyDescent="0.25">
      <c r="A305" t="s">
        <v>19</v>
      </c>
      <c r="B305">
        <v>3</v>
      </c>
      <c r="C305">
        <v>2</v>
      </c>
      <c r="D305">
        <v>0</v>
      </c>
      <c r="E305" t="s">
        <v>293</v>
      </c>
      <c r="F305">
        <v>19726</v>
      </c>
      <c r="G305">
        <v>38321894.277777776</v>
      </c>
      <c r="H305">
        <v>0.96950271725654602</v>
      </c>
      <c r="I305">
        <v>0.94580419580419584</v>
      </c>
      <c r="J305">
        <v>8521026.0277777761</v>
      </c>
      <c r="K305">
        <v>31980</v>
      </c>
      <c r="L305">
        <v>2</v>
      </c>
      <c r="M305">
        <v>118</v>
      </c>
      <c r="N305">
        <v>0.94619269619269619</v>
      </c>
      <c r="O305">
        <v>8938484.027777778</v>
      </c>
      <c r="P305">
        <v>32489</v>
      </c>
      <c r="Q305">
        <v>2</v>
      </c>
      <c r="R305">
        <v>119</v>
      </c>
      <c r="S305" t="s">
        <v>294</v>
      </c>
      <c r="W305">
        <f>Cancer_doubles_final2[[#This Row],[mlp_params]]</f>
        <v>31980</v>
      </c>
      <c r="X305">
        <f>Cancer_doubles_final2[[#This Row],[kan_test_acc]]</f>
        <v>0.96950271725654602</v>
      </c>
      <c r="Y305">
        <f>Cancer_doubles_final2[[#This Row],[mlp_test_acc]]</f>
        <v>0.94580419580419584</v>
      </c>
      <c r="Z305">
        <f>Cancer_doubles_final2[[#This Row],[mlp_test_acc2]]</f>
        <v>0.94619269619269619</v>
      </c>
    </row>
    <row r="306" spans="1:26" hidden="1" x14ac:dyDescent="0.25">
      <c r="A306" t="s">
        <v>19</v>
      </c>
      <c r="B306">
        <v>3</v>
      </c>
      <c r="C306">
        <v>3</v>
      </c>
      <c r="D306">
        <v>0</v>
      </c>
      <c r="E306" t="s">
        <v>220</v>
      </c>
      <c r="F306">
        <v>19726</v>
      </c>
      <c r="G306">
        <v>35190093.458333336</v>
      </c>
      <c r="H306">
        <v>0.97727271666129434</v>
      </c>
      <c r="I306">
        <v>0.95017482517482521</v>
      </c>
      <c r="J306">
        <v>8233162.708333333</v>
      </c>
      <c r="K306">
        <v>34565</v>
      </c>
      <c r="L306">
        <v>2</v>
      </c>
      <c r="M306">
        <v>123</v>
      </c>
      <c r="N306">
        <v>0.9475524475524475</v>
      </c>
      <c r="O306">
        <v>8994178.1666666679</v>
      </c>
      <c r="P306">
        <v>35094</v>
      </c>
      <c r="Q306">
        <v>2</v>
      </c>
      <c r="R306">
        <v>124</v>
      </c>
      <c r="S306" t="s">
        <v>295</v>
      </c>
      <c r="W306">
        <f>Cancer_doubles_final2[[#This Row],[mlp_params]]</f>
        <v>34565</v>
      </c>
      <c r="X306">
        <f>Cancer_doubles_final2[[#This Row],[kan_test_acc]]</f>
        <v>0.97727271666129434</v>
      </c>
      <c r="Y306">
        <f>Cancer_doubles_final2[[#This Row],[mlp_test_acc]]</f>
        <v>0.95017482517482521</v>
      </c>
      <c r="Z306">
        <f>Cancer_doubles_final2[[#This Row],[mlp_test_acc2]]</f>
        <v>0.9475524475524475</v>
      </c>
    </row>
    <row r="307" spans="1:26" hidden="1" x14ac:dyDescent="0.25">
      <c r="A307" t="s">
        <v>19</v>
      </c>
      <c r="B307">
        <v>3</v>
      </c>
      <c r="C307">
        <v>2</v>
      </c>
      <c r="D307">
        <v>0</v>
      </c>
      <c r="E307" t="s">
        <v>293</v>
      </c>
      <c r="F307">
        <v>19726</v>
      </c>
      <c r="G307">
        <v>31330310.708333332</v>
      </c>
      <c r="H307">
        <v>0.94871794184048974</v>
      </c>
      <c r="I307">
        <v>0.94696969696969702</v>
      </c>
      <c r="J307">
        <v>8294850.125</v>
      </c>
      <c r="K307">
        <v>31980</v>
      </c>
      <c r="L307">
        <v>2</v>
      </c>
      <c r="M307">
        <v>118</v>
      </c>
      <c r="N307">
        <v>0.94289044289044288</v>
      </c>
      <c r="O307">
        <v>9110113.5</v>
      </c>
      <c r="P307">
        <v>32489</v>
      </c>
      <c r="Q307">
        <v>2</v>
      </c>
      <c r="R307">
        <v>119</v>
      </c>
      <c r="S307" t="s">
        <v>294</v>
      </c>
      <c r="W307">
        <f>Cancer_doubles_final2[[#This Row],[mlp_params]]</f>
        <v>31980</v>
      </c>
      <c r="X307">
        <f>Cancer_doubles_final2[[#This Row],[kan_test_acc]]</f>
        <v>0.94871794184048974</v>
      </c>
      <c r="Y307">
        <f>Cancer_doubles_final2[[#This Row],[mlp_test_acc]]</f>
        <v>0.94696969696969702</v>
      </c>
      <c r="Z307">
        <f>Cancer_doubles_final2[[#This Row],[mlp_test_acc2]]</f>
        <v>0.94289044289044288</v>
      </c>
    </row>
    <row r="308" spans="1:26" hidden="1" x14ac:dyDescent="0.25">
      <c r="A308" t="s">
        <v>19</v>
      </c>
      <c r="B308">
        <v>3</v>
      </c>
      <c r="C308">
        <v>3</v>
      </c>
      <c r="D308">
        <v>0</v>
      </c>
      <c r="E308" t="s">
        <v>220</v>
      </c>
      <c r="F308">
        <v>19726</v>
      </c>
      <c r="G308">
        <v>29165159.333333332</v>
      </c>
      <c r="H308">
        <v>0.9361888046065967</v>
      </c>
      <c r="I308">
        <v>0.94259906759906764</v>
      </c>
      <c r="J308">
        <v>9112486.4583333321</v>
      </c>
      <c r="K308">
        <v>34565</v>
      </c>
      <c r="L308">
        <v>2</v>
      </c>
      <c r="M308">
        <v>123</v>
      </c>
      <c r="N308">
        <v>0.93881118881118875</v>
      </c>
      <c r="O308">
        <v>9570046.9166666679</v>
      </c>
      <c r="P308">
        <v>35094</v>
      </c>
      <c r="Q308">
        <v>2</v>
      </c>
      <c r="R308">
        <v>124</v>
      </c>
      <c r="S308" t="s">
        <v>295</v>
      </c>
      <c r="W308">
        <f>Cancer_doubles_final2[[#This Row],[mlp_params]]</f>
        <v>34565</v>
      </c>
      <c r="X308">
        <f>Cancer_doubles_final2[[#This Row],[kan_test_acc]]</f>
        <v>0.9361888046065967</v>
      </c>
      <c r="Y308">
        <f>Cancer_doubles_final2[[#This Row],[mlp_test_acc]]</f>
        <v>0.94259906759906764</v>
      </c>
      <c r="Z308">
        <f>Cancer_doubles_final2[[#This Row],[mlp_test_acc2]]</f>
        <v>0.93881118881118875</v>
      </c>
    </row>
    <row r="309" spans="1:26" hidden="1" x14ac:dyDescent="0.25">
      <c r="A309" t="s">
        <v>19</v>
      </c>
      <c r="B309">
        <v>3</v>
      </c>
      <c r="C309">
        <v>2</v>
      </c>
      <c r="D309">
        <v>0</v>
      </c>
      <c r="E309" t="s">
        <v>296</v>
      </c>
      <c r="F309">
        <v>19756</v>
      </c>
      <c r="G309">
        <v>33733071.083333328</v>
      </c>
      <c r="H309">
        <v>0.96474358191092813</v>
      </c>
      <c r="I309">
        <v>0.94551282051282048</v>
      </c>
      <c r="J309">
        <v>8965484.125</v>
      </c>
      <c r="K309">
        <v>31980</v>
      </c>
      <c r="L309">
        <v>2</v>
      </c>
      <c r="M309">
        <v>118</v>
      </c>
      <c r="N309">
        <v>0.94085081585081576</v>
      </c>
      <c r="O309">
        <v>8855253.2083333321</v>
      </c>
      <c r="P309">
        <v>32489</v>
      </c>
      <c r="Q309">
        <v>2</v>
      </c>
      <c r="R309">
        <v>119</v>
      </c>
      <c r="S309" t="s">
        <v>297</v>
      </c>
      <c r="W309">
        <f>Cancer_doubles_final2[[#This Row],[mlp_params]]</f>
        <v>31980</v>
      </c>
      <c r="X309">
        <f>Cancer_doubles_final2[[#This Row],[kan_test_acc]]</f>
        <v>0.96474358191092813</v>
      </c>
      <c r="Y309">
        <f>Cancer_doubles_final2[[#This Row],[mlp_test_acc]]</f>
        <v>0.94551282051282048</v>
      </c>
      <c r="Z309">
        <f>Cancer_doubles_final2[[#This Row],[mlp_test_acc2]]</f>
        <v>0.94085081585081576</v>
      </c>
    </row>
    <row r="310" spans="1:26" hidden="1" x14ac:dyDescent="0.25">
      <c r="A310" t="s">
        <v>19</v>
      </c>
      <c r="B310">
        <v>9</v>
      </c>
      <c r="C310">
        <v>2</v>
      </c>
      <c r="D310">
        <v>0</v>
      </c>
      <c r="E310" t="s">
        <v>87</v>
      </c>
      <c r="F310">
        <v>19758</v>
      </c>
      <c r="G310">
        <v>29894777.194444444</v>
      </c>
      <c r="H310">
        <v>0.95027194420496619</v>
      </c>
      <c r="I310">
        <v>0.9339549339549339</v>
      </c>
      <c r="J310">
        <v>8715624.1388888899</v>
      </c>
      <c r="K310">
        <v>26645</v>
      </c>
      <c r="L310">
        <v>2</v>
      </c>
      <c r="M310">
        <v>107</v>
      </c>
      <c r="N310">
        <v>0.93104118104118105</v>
      </c>
      <c r="O310">
        <v>8978172</v>
      </c>
      <c r="P310">
        <v>27110</v>
      </c>
      <c r="Q310">
        <v>2</v>
      </c>
      <c r="R310">
        <v>108</v>
      </c>
      <c r="S310" t="s">
        <v>298</v>
      </c>
      <c r="W310">
        <f>Cancer_doubles_final2[[#This Row],[mlp_params]]</f>
        <v>26645</v>
      </c>
      <c r="X310">
        <f>Cancer_doubles_final2[[#This Row],[kan_test_acc]]</f>
        <v>0.95027194420496619</v>
      </c>
      <c r="Y310">
        <f>Cancer_doubles_final2[[#This Row],[mlp_test_acc]]</f>
        <v>0.9339549339549339</v>
      </c>
      <c r="Z310">
        <f>Cancer_doubles_final2[[#This Row],[mlp_test_acc2]]</f>
        <v>0.93104118104118105</v>
      </c>
    </row>
    <row r="311" spans="1:26" x14ac:dyDescent="0.25">
      <c r="A311" t="s">
        <v>19</v>
      </c>
      <c r="B311">
        <v>3</v>
      </c>
      <c r="C311">
        <v>5</v>
      </c>
      <c r="D311">
        <v>0</v>
      </c>
      <c r="E311" t="s">
        <v>143</v>
      </c>
      <c r="F311">
        <v>19770</v>
      </c>
      <c r="G311">
        <v>20031080.277777776</v>
      </c>
      <c r="H311">
        <v>0.94658118983109796</v>
      </c>
      <c r="I311">
        <v>0.92016317016317017</v>
      </c>
      <c r="J311">
        <v>7501862.777777778</v>
      </c>
      <c r="K311">
        <v>39470</v>
      </c>
      <c r="L311">
        <v>2</v>
      </c>
      <c r="M311">
        <v>132</v>
      </c>
      <c r="N311">
        <v>0.92152292152292159</v>
      </c>
      <c r="O311">
        <v>9326591.722222222</v>
      </c>
      <c r="P311">
        <v>40035</v>
      </c>
      <c r="Q311">
        <v>2</v>
      </c>
      <c r="R311">
        <v>133</v>
      </c>
      <c r="S311" t="s">
        <v>299</v>
      </c>
      <c r="W311">
        <f>Cancer_doubles_final2[[#This Row],[mlp_params]]</f>
        <v>39470</v>
      </c>
      <c r="X311">
        <f>Cancer_doubles_final2[[#This Row],[kan_test_acc]]</f>
        <v>0.94658118983109796</v>
      </c>
      <c r="Y311">
        <f>Cancer_doubles_final2[[#This Row],[mlp_test_acc]]</f>
        <v>0.92016317016317017</v>
      </c>
      <c r="Z311">
        <f>Cancer_doubles_final2[[#This Row],[mlp_test_acc2]]</f>
        <v>0.92152292152292159</v>
      </c>
    </row>
    <row r="312" spans="1:26" hidden="1" x14ac:dyDescent="0.25">
      <c r="A312" t="s">
        <v>19</v>
      </c>
      <c r="B312">
        <v>5</v>
      </c>
      <c r="C312">
        <v>3</v>
      </c>
      <c r="D312">
        <v>0</v>
      </c>
      <c r="E312" t="s">
        <v>143</v>
      </c>
      <c r="F312">
        <v>19770</v>
      </c>
      <c r="G312">
        <v>26025007.583333332</v>
      </c>
      <c r="H312">
        <v>0.97465034077564872</v>
      </c>
      <c r="I312">
        <v>0.94085081585081576</v>
      </c>
      <c r="J312">
        <v>8726565.2083333321</v>
      </c>
      <c r="K312">
        <v>31980</v>
      </c>
      <c r="L312">
        <v>2</v>
      </c>
      <c r="M312">
        <v>118</v>
      </c>
      <c r="N312">
        <v>0.94434731934731941</v>
      </c>
      <c r="O312">
        <v>9462910.958333334</v>
      </c>
      <c r="P312">
        <v>32489</v>
      </c>
      <c r="Q312">
        <v>2</v>
      </c>
      <c r="R312">
        <v>119</v>
      </c>
      <c r="S312" t="s">
        <v>300</v>
      </c>
      <c r="W312">
        <f>Cancer_doubles_final2[[#This Row],[mlp_params]]</f>
        <v>31980</v>
      </c>
      <c r="X312">
        <f>Cancer_doubles_final2[[#This Row],[kan_test_acc]]</f>
        <v>0.97465034077564872</v>
      </c>
      <c r="Y312">
        <f>Cancer_doubles_final2[[#This Row],[mlp_test_acc]]</f>
        <v>0.94085081585081576</v>
      </c>
      <c r="Z312">
        <f>Cancer_doubles_final2[[#This Row],[mlp_test_acc2]]</f>
        <v>0.94434731934731941</v>
      </c>
    </row>
    <row r="313" spans="1:26" x14ac:dyDescent="0.25">
      <c r="A313" t="s">
        <v>19</v>
      </c>
      <c r="B313">
        <v>3</v>
      </c>
      <c r="C313">
        <v>5</v>
      </c>
      <c r="D313">
        <v>0</v>
      </c>
      <c r="E313" t="s">
        <v>143</v>
      </c>
      <c r="F313">
        <v>19770</v>
      </c>
      <c r="G313">
        <v>26940932.416666664</v>
      </c>
      <c r="H313">
        <v>0.97406759113073349</v>
      </c>
      <c r="I313">
        <v>0.9274475524475525</v>
      </c>
      <c r="J313">
        <v>9107012.1666666679</v>
      </c>
      <c r="K313">
        <v>39470</v>
      </c>
      <c r="L313">
        <v>2</v>
      </c>
      <c r="M313">
        <v>132</v>
      </c>
      <c r="N313">
        <v>0.9332750582750583</v>
      </c>
      <c r="O313">
        <v>8377977.333333334</v>
      </c>
      <c r="P313">
        <v>40035</v>
      </c>
      <c r="Q313">
        <v>2</v>
      </c>
      <c r="R313">
        <v>133</v>
      </c>
      <c r="S313" t="s">
        <v>299</v>
      </c>
      <c r="W313">
        <f>Cancer_doubles_final2[[#This Row],[mlp_params]]</f>
        <v>39470</v>
      </c>
      <c r="X313">
        <f>Cancer_doubles_final2[[#This Row],[kan_test_acc]]</f>
        <v>0.97406759113073349</v>
      </c>
      <c r="Y313">
        <f>Cancer_doubles_final2[[#This Row],[mlp_test_acc]]</f>
        <v>0.9274475524475525</v>
      </c>
      <c r="Z313">
        <f>Cancer_doubles_final2[[#This Row],[mlp_test_acc2]]</f>
        <v>0.9332750582750583</v>
      </c>
    </row>
    <row r="314" spans="1:26" hidden="1" x14ac:dyDescent="0.25">
      <c r="A314" t="s">
        <v>19</v>
      </c>
      <c r="B314">
        <v>5</v>
      </c>
      <c r="C314">
        <v>3</v>
      </c>
      <c r="D314">
        <v>0</v>
      </c>
      <c r="E314" t="s">
        <v>143</v>
      </c>
      <c r="F314">
        <v>19770</v>
      </c>
      <c r="G314">
        <v>23039106.916666664</v>
      </c>
      <c r="H314">
        <v>0.95600232978661859</v>
      </c>
      <c r="I314">
        <v>0.90122377622377625</v>
      </c>
      <c r="J314">
        <v>7627674.708333334</v>
      </c>
      <c r="K314">
        <v>31980</v>
      </c>
      <c r="L314">
        <v>2</v>
      </c>
      <c r="M314">
        <v>118</v>
      </c>
      <c r="N314">
        <v>0.91404428904428903</v>
      </c>
      <c r="O314">
        <v>7828948</v>
      </c>
      <c r="P314">
        <v>32489</v>
      </c>
      <c r="Q314">
        <v>2</v>
      </c>
      <c r="R314">
        <v>119</v>
      </c>
      <c r="S314" t="s">
        <v>300</v>
      </c>
      <c r="W314">
        <f>Cancer_doubles_final2[[#This Row],[mlp_params]]</f>
        <v>31980</v>
      </c>
      <c r="X314">
        <f>Cancer_doubles_final2[[#This Row],[kan_test_acc]]</f>
        <v>0.95600232978661859</v>
      </c>
      <c r="Y314">
        <f>Cancer_doubles_final2[[#This Row],[mlp_test_acc]]</f>
        <v>0.90122377622377625</v>
      </c>
      <c r="Z314">
        <f>Cancer_doubles_final2[[#This Row],[mlp_test_acc2]]</f>
        <v>0.91404428904428903</v>
      </c>
    </row>
    <row r="315" spans="1:26" hidden="1" x14ac:dyDescent="0.25">
      <c r="A315" t="s">
        <v>19</v>
      </c>
      <c r="B315">
        <v>3</v>
      </c>
      <c r="C315">
        <v>4</v>
      </c>
      <c r="D315">
        <v>0</v>
      </c>
      <c r="E315" t="s">
        <v>173</v>
      </c>
      <c r="F315">
        <v>19864</v>
      </c>
      <c r="G315">
        <v>27421263.833333336</v>
      </c>
      <c r="H315">
        <v>0.95571095993121469</v>
      </c>
      <c r="I315">
        <v>0.91637529137529139</v>
      </c>
      <c r="J315">
        <v>7369374.958333334</v>
      </c>
      <c r="K315">
        <v>37250</v>
      </c>
      <c r="L315">
        <v>2</v>
      </c>
      <c r="M315">
        <v>128</v>
      </c>
      <c r="N315">
        <v>0.92540792540792538</v>
      </c>
      <c r="O315">
        <v>8192001.916666666</v>
      </c>
      <c r="P315">
        <v>37799</v>
      </c>
      <c r="Q315">
        <v>2</v>
      </c>
      <c r="R315">
        <v>129</v>
      </c>
      <c r="S315" t="s">
        <v>301</v>
      </c>
      <c r="W315">
        <f>Cancer_doubles_final2[[#This Row],[mlp_params]]</f>
        <v>37250</v>
      </c>
      <c r="X315">
        <f>Cancer_doubles_final2[[#This Row],[kan_test_acc]]</f>
        <v>0.95571095993121469</v>
      </c>
      <c r="Y315">
        <f>Cancer_doubles_final2[[#This Row],[mlp_test_acc]]</f>
        <v>0.91637529137529139</v>
      </c>
      <c r="Z315">
        <f>Cancer_doubles_final2[[#This Row],[mlp_test_acc2]]</f>
        <v>0.92540792540792538</v>
      </c>
    </row>
    <row r="316" spans="1:26" hidden="1" x14ac:dyDescent="0.25">
      <c r="A316" t="s">
        <v>19</v>
      </c>
      <c r="B316">
        <v>5</v>
      </c>
      <c r="C316">
        <v>2</v>
      </c>
      <c r="D316">
        <v>0</v>
      </c>
      <c r="E316" t="s">
        <v>173</v>
      </c>
      <c r="F316">
        <v>19864</v>
      </c>
      <c r="G316">
        <v>43210667.291666664</v>
      </c>
      <c r="H316">
        <v>0.97639859467744827</v>
      </c>
      <c r="I316">
        <v>0.94726107226107237</v>
      </c>
      <c r="J316">
        <v>8775075.7916666679</v>
      </c>
      <c r="K316">
        <v>29495</v>
      </c>
      <c r="L316">
        <v>2</v>
      </c>
      <c r="M316">
        <v>113</v>
      </c>
      <c r="N316">
        <v>0.94463869463869465</v>
      </c>
      <c r="O316">
        <v>8883288.166666666</v>
      </c>
      <c r="P316">
        <v>29984</v>
      </c>
      <c r="Q316">
        <v>2</v>
      </c>
      <c r="R316">
        <v>114</v>
      </c>
      <c r="S316" t="s">
        <v>302</v>
      </c>
      <c r="W316">
        <f>Cancer_doubles_final2[[#This Row],[mlp_params]]</f>
        <v>29495</v>
      </c>
      <c r="X316">
        <f>Cancer_doubles_final2[[#This Row],[kan_test_acc]]</f>
        <v>0.97639859467744827</v>
      </c>
      <c r="Y316">
        <f>Cancer_doubles_final2[[#This Row],[mlp_test_acc]]</f>
        <v>0.94726107226107237</v>
      </c>
      <c r="Z316">
        <f>Cancer_doubles_final2[[#This Row],[mlp_test_acc2]]</f>
        <v>0.94463869463869465</v>
      </c>
    </row>
    <row r="317" spans="1:26" hidden="1" x14ac:dyDescent="0.25">
      <c r="A317" t="s">
        <v>19</v>
      </c>
      <c r="B317">
        <v>3</v>
      </c>
      <c r="C317">
        <v>4</v>
      </c>
      <c r="D317">
        <v>0</v>
      </c>
      <c r="E317" t="s">
        <v>173</v>
      </c>
      <c r="F317">
        <v>19864</v>
      </c>
      <c r="G317">
        <v>43894295.75</v>
      </c>
      <c r="H317">
        <v>0.97348483155171073</v>
      </c>
      <c r="I317">
        <v>0.93240093240093247</v>
      </c>
      <c r="J317">
        <v>8859521.375</v>
      </c>
      <c r="K317">
        <v>37250</v>
      </c>
      <c r="L317">
        <v>2</v>
      </c>
      <c r="M317">
        <v>128</v>
      </c>
      <c r="N317">
        <v>0.93181818181818188</v>
      </c>
      <c r="O317">
        <v>9245373.666666666</v>
      </c>
      <c r="P317">
        <v>37799</v>
      </c>
      <c r="Q317">
        <v>2</v>
      </c>
      <c r="R317">
        <v>129</v>
      </c>
      <c r="S317" t="s">
        <v>301</v>
      </c>
      <c r="W317">
        <f>Cancer_doubles_final2[[#This Row],[mlp_params]]</f>
        <v>37250</v>
      </c>
      <c r="X317">
        <f>Cancer_doubles_final2[[#This Row],[kan_test_acc]]</f>
        <v>0.97348483155171073</v>
      </c>
      <c r="Y317">
        <f>Cancer_doubles_final2[[#This Row],[mlp_test_acc]]</f>
        <v>0.93240093240093247</v>
      </c>
      <c r="Z317">
        <f>Cancer_doubles_final2[[#This Row],[mlp_test_acc2]]</f>
        <v>0.93181818181818188</v>
      </c>
    </row>
    <row r="318" spans="1:26" hidden="1" x14ac:dyDescent="0.25">
      <c r="A318" t="s">
        <v>19</v>
      </c>
      <c r="B318">
        <v>5</v>
      </c>
      <c r="C318">
        <v>2</v>
      </c>
      <c r="D318">
        <v>0</v>
      </c>
      <c r="E318" t="s">
        <v>173</v>
      </c>
      <c r="F318">
        <v>19864</v>
      </c>
      <c r="G318">
        <v>36257760.791666664</v>
      </c>
      <c r="H318">
        <v>0.96998833368221915</v>
      </c>
      <c r="I318">
        <v>0.93094405594405594</v>
      </c>
      <c r="J318">
        <v>9264771.125</v>
      </c>
      <c r="K318">
        <v>29495</v>
      </c>
      <c r="L318">
        <v>2</v>
      </c>
      <c r="M318">
        <v>113</v>
      </c>
      <c r="N318">
        <v>0.93385780885780889</v>
      </c>
      <c r="O318">
        <v>9346600.5833333321</v>
      </c>
      <c r="P318">
        <v>29984</v>
      </c>
      <c r="Q318">
        <v>2</v>
      </c>
      <c r="R318">
        <v>114</v>
      </c>
      <c r="S318" t="s">
        <v>302</v>
      </c>
      <c r="W318">
        <f>Cancer_doubles_final2[[#This Row],[mlp_params]]</f>
        <v>29495</v>
      </c>
      <c r="X318">
        <f>Cancer_doubles_final2[[#This Row],[kan_test_acc]]</f>
        <v>0.96998833368221915</v>
      </c>
      <c r="Y318">
        <f>Cancer_doubles_final2[[#This Row],[mlp_test_acc]]</f>
        <v>0.93094405594405594</v>
      </c>
      <c r="Z318">
        <f>Cancer_doubles_final2[[#This Row],[mlp_test_acc2]]</f>
        <v>0.93385780885780889</v>
      </c>
    </row>
    <row r="319" spans="1:26" hidden="1" x14ac:dyDescent="0.25">
      <c r="A319" t="s">
        <v>19</v>
      </c>
      <c r="B319">
        <v>3</v>
      </c>
      <c r="C319">
        <v>4</v>
      </c>
      <c r="D319">
        <v>0</v>
      </c>
      <c r="E319" t="s">
        <v>175</v>
      </c>
      <c r="F319">
        <v>19904</v>
      </c>
      <c r="G319">
        <v>28610931.958333336</v>
      </c>
      <c r="H319">
        <v>0.97668997695048643</v>
      </c>
      <c r="I319">
        <v>0.94522144522144513</v>
      </c>
      <c r="J319">
        <v>9189192.7083333321</v>
      </c>
      <c r="K319">
        <v>37250</v>
      </c>
      <c r="L319">
        <v>2</v>
      </c>
      <c r="M319">
        <v>128</v>
      </c>
      <c r="N319">
        <v>0.94696969696969702</v>
      </c>
      <c r="O319">
        <v>8987009.291666666</v>
      </c>
      <c r="P319">
        <v>37799</v>
      </c>
      <c r="Q319">
        <v>2</v>
      </c>
      <c r="R319">
        <v>129</v>
      </c>
      <c r="S319" t="s">
        <v>303</v>
      </c>
      <c r="W319">
        <f>Cancer_doubles_final2[[#This Row],[mlp_params]]</f>
        <v>37250</v>
      </c>
      <c r="X319">
        <f>Cancer_doubles_final2[[#This Row],[kan_test_acc]]</f>
        <v>0.97668997695048643</v>
      </c>
      <c r="Y319">
        <f>Cancer_doubles_final2[[#This Row],[mlp_test_acc]]</f>
        <v>0.94522144522144513</v>
      </c>
      <c r="Z319">
        <f>Cancer_doubles_final2[[#This Row],[mlp_test_acc2]]</f>
        <v>0.94696969696969702</v>
      </c>
    </row>
    <row r="320" spans="1:26" hidden="1" x14ac:dyDescent="0.25">
      <c r="A320" t="s">
        <v>19</v>
      </c>
      <c r="B320">
        <v>5</v>
      </c>
      <c r="C320">
        <v>2</v>
      </c>
      <c r="D320">
        <v>0</v>
      </c>
      <c r="E320" t="s">
        <v>175</v>
      </c>
      <c r="F320">
        <v>19904</v>
      </c>
      <c r="G320">
        <v>26723965.333333336</v>
      </c>
      <c r="H320">
        <v>0.98484849184751511</v>
      </c>
      <c r="I320">
        <v>0.94609557109557119</v>
      </c>
      <c r="J320">
        <v>8606849.041666666</v>
      </c>
      <c r="K320">
        <v>29495</v>
      </c>
      <c r="L320">
        <v>2</v>
      </c>
      <c r="M320">
        <v>113</v>
      </c>
      <c r="N320">
        <v>0.94405594405594406</v>
      </c>
      <c r="O320">
        <v>8190296.916666667</v>
      </c>
      <c r="P320">
        <v>29984</v>
      </c>
      <c r="Q320">
        <v>2</v>
      </c>
      <c r="R320">
        <v>114</v>
      </c>
      <c r="S320" t="s">
        <v>304</v>
      </c>
      <c r="W320">
        <f>Cancer_doubles_final2[[#This Row],[mlp_params]]</f>
        <v>29495</v>
      </c>
      <c r="X320">
        <f>Cancer_doubles_final2[[#This Row],[kan_test_acc]]</f>
        <v>0.98484849184751511</v>
      </c>
      <c r="Y320">
        <f>Cancer_doubles_final2[[#This Row],[mlp_test_acc]]</f>
        <v>0.94609557109557119</v>
      </c>
      <c r="Z320">
        <f>Cancer_doubles_final2[[#This Row],[mlp_test_acc2]]</f>
        <v>0.94405594405594406</v>
      </c>
    </row>
    <row r="321" spans="1:26" hidden="1" x14ac:dyDescent="0.25">
      <c r="A321" t="s">
        <v>19</v>
      </c>
      <c r="B321">
        <v>3</v>
      </c>
      <c r="C321">
        <v>4</v>
      </c>
      <c r="D321">
        <v>0</v>
      </c>
      <c r="E321" t="s">
        <v>175</v>
      </c>
      <c r="F321">
        <v>19904</v>
      </c>
      <c r="G321">
        <v>27476809.375</v>
      </c>
      <c r="H321">
        <v>0.98222610354423523</v>
      </c>
      <c r="I321">
        <v>0.9306526806526807</v>
      </c>
      <c r="J321">
        <v>8690460.8333333321</v>
      </c>
      <c r="K321">
        <v>37250</v>
      </c>
      <c r="L321">
        <v>2</v>
      </c>
      <c r="M321">
        <v>128</v>
      </c>
      <c r="N321">
        <v>0.93473193473193472</v>
      </c>
      <c r="O321">
        <v>7797222.416666667</v>
      </c>
      <c r="P321">
        <v>37799</v>
      </c>
      <c r="Q321">
        <v>2</v>
      </c>
      <c r="R321">
        <v>129</v>
      </c>
      <c r="S321" t="s">
        <v>303</v>
      </c>
      <c r="W321">
        <f>Cancer_doubles_final2[[#This Row],[mlp_params]]</f>
        <v>37250</v>
      </c>
      <c r="X321">
        <f>Cancer_doubles_final2[[#This Row],[kan_test_acc]]</f>
        <v>0.98222610354423523</v>
      </c>
      <c r="Y321">
        <f>Cancer_doubles_final2[[#This Row],[mlp_test_acc]]</f>
        <v>0.9306526806526807</v>
      </c>
      <c r="Z321">
        <f>Cancer_doubles_final2[[#This Row],[mlp_test_acc2]]</f>
        <v>0.93473193473193472</v>
      </c>
    </row>
    <row r="322" spans="1:26" hidden="1" x14ac:dyDescent="0.25">
      <c r="A322" t="s">
        <v>19</v>
      </c>
      <c r="B322">
        <v>5</v>
      </c>
      <c r="C322">
        <v>2</v>
      </c>
      <c r="D322">
        <v>0</v>
      </c>
      <c r="E322" t="s">
        <v>175</v>
      </c>
      <c r="F322">
        <v>19904</v>
      </c>
      <c r="G322">
        <v>23832215.458333336</v>
      </c>
      <c r="H322">
        <v>0.97698133935530973</v>
      </c>
      <c r="I322">
        <v>0.93123543123543118</v>
      </c>
      <c r="J322">
        <v>8659803.125</v>
      </c>
      <c r="K322">
        <v>29495</v>
      </c>
      <c r="L322">
        <v>2</v>
      </c>
      <c r="M322">
        <v>113</v>
      </c>
      <c r="N322">
        <v>0.93793706293706292</v>
      </c>
      <c r="O322">
        <v>8942596</v>
      </c>
      <c r="P322">
        <v>29984</v>
      </c>
      <c r="Q322">
        <v>2</v>
      </c>
      <c r="R322">
        <v>114</v>
      </c>
      <c r="S322" t="s">
        <v>304</v>
      </c>
      <c r="W322">
        <f>Cancer_doubles_final2[[#This Row],[mlp_params]]</f>
        <v>29495</v>
      </c>
      <c r="X322">
        <f>Cancer_doubles_final2[[#This Row],[kan_test_acc]]</f>
        <v>0.97698133935530973</v>
      </c>
      <c r="Y322">
        <f>Cancer_doubles_final2[[#This Row],[mlp_test_acc]]</f>
        <v>0.93123543123543118</v>
      </c>
      <c r="Z322">
        <f>Cancer_doubles_final2[[#This Row],[mlp_test_acc2]]</f>
        <v>0.93793706293706292</v>
      </c>
    </row>
    <row r="323" spans="1:26" hidden="1" x14ac:dyDescent="0.25">
      <c r="A323" t="s">
        <v>19</v>
      </c>
      <c r="B323">
        <v>3</v>
      </c>
      <c r="C323">
        <v>4</v>
      </c>
      <c r="D323">
        <v>0</v>
      </c>
      <c r="E323" t="s">
        <v>177</v>
      </c>
      <c r="F323">
        <v>19946</v>
      </c>
      <c r="G323">
        <v>23891509.958333336</v>
      </c>
      <c r="H323">
        <v>0.96853146453698469</v>
      </c>
      <c r="I323">
        <v>0.94522144522144513</v>
      </c>
      <c r="J323">
        <v>8916041.0833333321</v>
      </c>
      <c r="K323">
        <v>37799</v>
      </c>
      <c r="L323">
        <v>2</v>
      </c>
      <c r="M323">
        <v>129</v>
      </c>
      <c r="N323">
        <v>0.9481351981351982</v>
      </c>
      <c r="O323">
        <v>9405490.7083333321</v>
      </c>
      <c r="P323">
        <v>38352</v>
      </c>
      <c r="Q323">
        <v>2</v>
      </c>
      <c r="R323">
        <v>130</v>
      </c>
      <c r="S323" t="s">
        <v>305</v>
      </c>
      <c r="W323">
        <f>Cancer_doubles_final2[[#This Row],[mlp_params]]</f>
        <v>37799</v>
      </c>
      <c r="X323">
        <f>Cancer_doubles_final2[[#This Row],[kan_test_acc]]</f>
        <v>0.96853146453698469</v>
      </c>
      <c r="Y323">
        <f>Cancer_doubles_final2[[#This Row],[mlp_test_acc]]</f>
        <v>0.94522144522144513</v>
      </c>
      <c r="Z323">
        <f>Cancer_doubles_final2[[#This Row],[mlp_test_acc2]]</f>
        <v>0.9481351981351982</v>
      </c>
    </row>
    <row r="324" spans="1:26" hidden="1" x14ac:dyDescent="0.25">
      <c r="A324" t="s">
        <v>19</v>
      </c>
      <c r="B324">
        <v>5</v>
      </c>
      <c r="C324">
        <v>2</v>
      </c>
      <c r="D324">
        <v>0</v>
      </c>
      <c r="E324" t="s">
        <v>177</v>
      </c>
      <c r="F324">
        <v>19946</v>
      </c>
      <c r="G324">
        <v>30369865.708333336</v>
      </c>
      <c r="H324">
        <v>0.96503496170043945</v>
      </c>
      <c r="I324">
        <v>0.94405594405594406</v>
      </c>
      <c r="J324">
        <v>8923674.2083333321</v>
      </c>
      <c r="K324">
        <v>29495</v>
      </c>
      <c r="L324">
        <v>2</v>
      </c>
      <c r="M324">
        <v>113</v>
      </c>
      <c r="N324">
        <v>0.94813519813519809</v>
      </c>
      <c r="O324">
        <v>8099890.041666666</v>
      </c>
      <c r="P324">
        <v>29984</v>
      </c>
      <c r="Q324">
        <v>2</v>
      </c>
      <c r="R324">
        <v>114</v>
      </c>
      <c r="S324" t="s">
        <v>306</v>
      </c>
      <c r="W324">
        <f>Cancer_doubles_final2[[#This Row],[mlp_params]]</f>
        <v>29495</v>
      </c>
      <c r="X324">
        <f>Cancer_doubles_final2[[#This Row],[kan_test_acc]]</f>
        <v>0.96503496170043945</v>
      </c>
      <c r="Y324">
        <f>Cancer_doubles_final2[[#This Row],[mlp_test_acc]]</f>
        <v>0.94405594405594406</v>
      </c>
      <c r="Z324">
        <f>Cancer_doubles_final2[[#This Row],[mlp_test_acc2]]</f>
        <v>0.94813519813519809</v>
      </c>
    </row>
    <row r="325" spans="1:26" hidden="1" x14ac:dyDescent="0.25">
      <c r="A325" t="s">
        <v>19</v>
      </c>
      <c r="B325">
        <v>3</v>
      </c>
      <c r="C325">
        <v>4</v>
      </c>
      <c r="D325">
        <v>0</v>
      </c>
      <c r="E325" t="s">
        <v>177</v>
      </c>
      <c r="F325">
        <v>19946</v>
      </c>
      <c r="G325">
        <v>32261611.375</v>
      </c>
      <c r="H325">
        <v>0.97173658758401871</v>
      </c>
      <c r="I325">
        <v>0.93152680652680653</v>
      </c>
      <c r="J325">
        <v>8693111.708333334</v>
      </c>
      <c r="K325">
        <v>37799</v>
      </c>
      <c r="L325">
        <v>2</v>
      </c>
      <c r="M325">
        <v>129</v>
      </c>
      <c r="N325">
        <v>0.93677156177156173</v>
      </c>
      <c r="O325">
        <v>8137941.333333334</v>
      </c>
      <c r="P325">
        <v>38352</v>
      </c>
      <c r="Q325">
        <v>2</v>
      </c>
      <c r="R325">
        <v>130</v>
      </c>
      <c r="S325" t="s">
        <v>305</v>
      </c>
      <c r="W325">
        <f>Cancer_doubles_final2[[#This Row],[mlp_params]]</f>
        <v>37799</v>
      </c>
      <c r="X325">
        <f>Cancer_doubles_final2[[#This Row],[kan_test_acc]]</f>
        <v>0.97173658758401871</v>
      </c>
      <c r="Y325">
        <f>Cancer_doubles_final2[[#This Row],[mlp_test_acc]]</f>
        <v>0.93152680652680653</v>
      </c>
      <c r="Z325">
        <f>Cancer_doubles_final2[[#This Row],[mlp_test_acc2]]</f>
        <v>0.93677156177156173</v>
      </c>
    </row>
    <row r="326" spans="1:26" hidden="1" x14ac:dyDescent="0.25">
      <c r="A326" t="s">
        <v>19</v>
      </c>
      <c r="B326">
        <v>5</v>
      </c>
      <c r="C326">
        <v>2</v>
      </c>
      <c r="D326">
        <v>0</v>
      </c>
      <c r="E326" t="s">
        <v>177</v>
      </c>
      <c r="F326">
        <v>19946</v>
      </c>
      <c r="G326">
        <v>26548869.791666664</v>
      </c>
      <c r="H326">
        <v>0.97348484396934509</v>
      </c>
      <c r="I326">
        <v>0.93240093240093236</v>
      </c>
      <c r="J326">
        <v>8567208.4166666679</v>
      </c>
      <c r="K326">
        <v>29495</v>
      </c>
      <c r="L326">
        <v>2</v>
      </c>
      <c r="M326">
        <v>113</v>
      </c>
      <c r="N326">
        <v>0.93560606060606066</v>
      </c>
      <c r="O326">
        <v>9122613.25</v>
      </c>
      <c r="P326">
        <v>29984</v>
      </c>
      <c r="Q326">
        <v>2</v>
      </c>
      <c r="R326">
        <v>114</v>
      </c>
      <c r="S326" t="s">
        <v>306</v>
      </c>
      <c r="W326">
        <f>Cancer_doubles_final2[[#This Row],[mlp_params]]</f>
        <v>29495</v>
      </c>
      <c r="X326">
        <f>Cancer_doubles_final2[[#This Row],[kan_test_acc]]</f>
        <v>0.97348484396934509</v>
      </c>
      <c r="Y326">
        <f>Cancer_doubles_final2[[#This Row],[mlp_test_acc]]</f>
        <v>0.93240093240093236</v>
      </c>
      <c r="Z326">
        <f>Cancer_doubles_final2[[#This Row],[mlp_test_acc2]]</f>
        <v>0.93560606060606066</v>
      </c>
    </row>
    <row r="327" spans="1:26" hidden="1" x14ac:dyDescent="0.25">
      <c r="A327" t="s">
        <v>19</v>
      </c>
      <c r="B327">
        <v>5</v>
      </c>
      <c r="C327">
        <v>5</v>
      </c>
      <c r="D327">
        <v>0</v>
      </c>
      <c r="E327" t="s">
        <v>106</v>
      </c>
      <c r="F327">
        <v>20018</v>
      </c>
      <c r="G327">
        <v>24341237.916666668</v>
      </c>
      <c r="H327">
        <v>0.96328671028216684</v>
      </c>
      <c r="I327">
        <v>0.93822843822843827</v>
      </c>
      <c r="J327">
        <v>8544809.25</v>
      </c>
      <c r="K327">
        <v>36705</v>
      </c>
      <c r="L327">
        <v>2</v>
      </c>
      <c r="M327">
        <v>127</v>
      </c>
      <c r="N327">
        <v>0.93618881118881125</v>
      </c>
      <c r="O327">
        <v>9226026.708333334</v>
      </c>
      <c r="P327">
        <v>37250</v>
      </c>
      <c r="Q327">
        <v>2</v>
      </c>
      <c r="R327">
        <v>128</v>
      </c>
      <c r="S327" t="s">
        <v>307</v>
      </c>
      <c r="W327">
        <f>Cancer_doubles_final2[[#This Row],[mlp_params]]</f>
        <v>36705</v>
      </c>
      <c r="X327">
        <f>Cancer_doubles_final2[[#This Row],[kan_test_acc]]</f>
        <v>0.96328671028216684</v>
      </c>
      <c r="Y327">
        <f>Cancer_doubles_final2[[#This Row],[mlp_test_acc]]</f>
        <v>0.93822843822843827</v>
      </c>
      <c r="Z327">
        <f>Cancer_doubles_final2[[#This Row],[mlp_test_acc2]]</f>
        <v>0.93618881118881125</v>
      </c>
    </row>
    <row r="328" spans="1:26" hidden="1" x14ac:dyDescent="0.25">
      <c r="A328" t="s">
        <v>19</v>
      </c>
      <c r="B328">
        <v>5</v>
      </c>
      <c r="C328">
        <v>4</v>
      </c>
      <c r="D328">
        <v>0</v>
      </c>
      <c r="E328" t="s">
        <v>123</v>
      </c>
      <c r="F328">
        <v>20022</v>
      </c>
      <c r="G328">
        <v>25438957.694444444</v>
      </c>
      <c r="H328">
        <v>0.97241647044817614</v>
      </c>
      <c r="I328">
        <v>0.94580419580419584</v>
      </c>
      <c r="J328">
        <v>8880821.527777778</v>
      </c>
      <c r="K328">
        <v>34565</v>
      </c>
      <c r="L328">
        <v>2</v>
      </c>
      <c r="M328">
        <v>123</v>
      </c>
      <c r="N328">
        <v>0.94638694638694643</v>
      </c>
      <c r="O328">
        <v>8840773.722222222</v>
      </c>
      <c r="P328">
        <v>35094</v>
      </c>
      <c r="Q328">
        <v>2</v>
      </c>
      <c r="R328">
        <v>124</v>
      </c>
      <c r="S328" t="s">
        <v>308</v>
      </c>
      <c r="W328">
        <f>Cancer_doubles_final2[[#This Row],[mlp_params]]</f>
        <v>34565</v>
      </c>
      <c r="X328">
        <f>Cancer_doubles_final2[[#This Row],[kan_test_acc]]</f>
        <v>0.97241647044817614</v>
      </c>
      <c r="Y328">
        <f>Cancer_doubles_final2[[#This Row],[mlp_test_acc]]</f>
        <v>0.94580419580419584</v>
      </c>
      <c r="Z328">
        <f>Cancer_doubles_final2[[#This Row],[mlp_test_acc2]]</f>
        <v>0.94638694638694643</v>
      </c>
    </row>
    <row r="329" spans="1:26" hidden="1" x14ac:dyDescent="0.25">
      <c r="A329" t="s">
        <v>19</v>
      </c>
      <c r="B329">
        <v>3</v>
      </c>
      <c r="C329">
        <v>3</v>
      </c>
      <c r="D329">
        <v>0</v>
      </c>
      <c r="E329" t="s">
        <v>225</v>
      </c>
      <c r="F329">
        <v>20048</v>
      </c>
      <c r="G329">
        <v>27766118.1875</v>
      </c>
      <c r="H329">
        <v>0.96212121099233627</v>
      </c>
      <c r="I329">
        <v>0.93546037296037299</v>
      </c>
      <c r="J329">
        <v>9019925.979166666</v>
      </c>
      <c r="K329">
        <v>35094</v>
      </c>
      <c r="L329">
        <v>2</v>
      </c>
      <c r="M329">
        <v>124</v>
      </c>
      <c r="N329">
        <v>0.92963286713286719</v>
      </c>
      <c r="O329">
        <v>8078164.0625</v>
      </c>
      <c r="P329">
        <v>35627</v>
      </c>
      <c r="Q329">
        <v>2</v>
      </c>
      <c r="R329">
        <v>125</v>
      </c>
      <c r="S329" t="s">
        <v>309</v>
      </c>
      <c r="W329">
        <f>Cancer_doubles_final2[[#This Row],[mlp_params]]</f>
        <v>35094</v>
      </c>
      <c r="X329">
        <f>Cancer_doubles_final2[[#This Row],[kan_test_acc]]</f>
        <v>0.96212121099233627</v>
      </c>
      <c r="Y329">
        <f>Cancer_doubles_final2[[#This Row],[mlp_test_acc]]</f>
        <v>0.93546037296037299</v>
      </c>
      <c r="Z329">
        <f>Cancer_doubles_final2[[#This Row],[mlp_test_acc2]]</f>
        <v>0.92963286713286719</v>
      </c>
    </row>
    <row r="330" spans="1:26" hidden="1" x14ac:dyDescent="0.25">
      <c r="A330" t="s">
        <v>19</v>
      </c>
      <c r="B330">
        <v>3</v>
      </c>
      <c r="C330">
        <v>2</v>
      </c>
      <c r="D330">
        <v>0</v>
      </c>
      <c r="E330" t="s">
        <v>310</v>
      </c>
      <c r="F330">
        <v>20074</v>
      </c>
      <c r="G330">
        <v>44793756.472222224</v>
      </c>
      <c r="H330">
        <v>0.9601787014140023</v>
      </c>
      <c r="I330">
        <v>0.94599844599844607</v>
      </c>
      <c r="J330">
        <v>8623443.416666666</v>
      </c>
      <c r="K330">
        <v>32489</v>
      </c>
      <c r="L330">
        <v>2</v>
      </c>
      <c r="M330">
        <v>119</v>
      </c>
      <c r="N330">
        <v>0.94444444444444442</v>
      </c>
      <c r="O330">
        <v>9252610.5</v>
      </c>
      <c r="P330">
        <v>33002</v>
      </c>
      <c r="Q330">
        <v>2</v>
      </c>
      <c r="R330">
        <v>120</v>
      </c>
      <c r="S330" t="s">
        <v>311</v>
      </c>
      <c r="W330">
        <f>Cancer_doubles_final2[[#This Row],[mlp_params]]</f>
        <v>32489</v>
      </c>
      <c r="X330">
        <f>Cancer_doubles_final2[[#This Row],[kan_test_acc]]</f>
        <v>0.9601787014140023</v>
      </c>
      <c r="Y330">
        <f>Cancer_doubles_final2[[#This Row],[mlp_test_acc]]</f>
        <v>0.94599844599844607</v>
      </c>
      <c r="Z330">
        <f>Cancer_doubles_final2[[#This Row],[mlp_test_acc2]]</f>
        <v>0.94444444444444442</v>
      </c>
    </row>
    <row r="331" spans="1:26" hidden="1" x14ac:dyDescent="0.25">
      <c r="A331" t="s">
        <v>19</v>
      </c>
      <c r="B331">
        <v>3</v>
      </c>
      <c r="C331">
        <v>2</v>
      </c>
      <c r="D331">
        <v>0</v>
      </c>
      <c r="E331" t="s">
        <v>312</v>
      </c>
      <c r="F331">
        <v>20082</v>
      </c>
      <c r="G331">
        <v>35895402.361111112</v>
      </c>
      <c r="H331">
        <v>0.95804194940461052</v>
      </c>
      <c r="I331">
        <v>0.94327894327894324</v>
      </c>
      <c r="J331">
        <v>7648047.25</v>
      </c>
      <c r="K331">
        <v>32489</v>
      </c>
      <c r="L331">
        <v>2</v>
      </c>
      <c r="M331">
        <v>119</v>
      </c>
      <c r="N331">
        <v>0.94755244755244761</v>
      </c>
      <c r="O331">
        <v>9349808.6388888899</v>
      </c>
      <c r="P331">
        <v>33002</v>
      </c>
      <c r="Q331">
        <v>2</v>
      </c>
      <c r="R331">
        <v>120</v>
      </c>
      <c r="S331" t="s">
        <v>313</v>
      </c>
      <c r="W331">
        <f>Cancer_doubles_final2[[#This Row],[mlp_params]]</f>
        <v>32489</v>
      </c>
      <c r="X331">
        <f>Cancer_doubles_final2[[#This Row],[kan_test_acc]]</f>
        <v>0.95804194940461052</v>
      </c>
      <c r="Y331">
        <f>Cancer_doubles_final2[[#This Row],[mlp_test_acc]]</f>
        <v>0.94327894327894324</v>
      </c>
      <c r="Z331">
        <f>Cancer_doubles_final2[[#This Row],[mlp_test_acc2]]</f>
        <v>0.94755244755244761</v>
      </c>
    </row>
    <row r="332" spans="1:26" hidden="1" x14ac:dyDescent="0.25">
      <c r="A332" t="s">
        <v>19</v>
      </c>
      <c r="B332">
        <v>9</v>
      </c>
      <c r="C332">
        <v>3</v>
      </c>
      <c r="D332">
        <v>0</v>
      </c>
      <c r="E332" t="s">
        <v>78</v>
      </c>
      <c r="F332">
        <v>20204</v>
      </c>
      <c r="G332">
        <v>31708849.944444444</v>
      </c>
      <c r="H332">
        <v>0.94813519053988993</v>
      </c>
      <c r="I332">
        <v>0.93240093240093236</v>
      </c>
      <c r="J332">
        <v>7924926.861111111</v>
      </c>
      <c r="K332">
        <v>29495</v>
      </c>
      <c r="L332">
        <v>2</v>
      </c>
      <c r="M332">
        <v>113</v>
      </c>
      <c r="N332">
        <v>0.93512043512043508</v>
      </c>
      <c r="O332">
        <v>8949939.222222222</v>
      </c>
      <c r="P332">
        <v>29984</v>
      </c>
      <c r="Q332">
        <v>2</v>
      </c>
      <c r="R332">
        <v>114</v>
      </c>
      <c r="S332" t="s">
        <v>314</v>
      </c>
      <c r="W332">
        <f>Cancer_doubles_final2[[#This Row],[mlp_params]]</f>
        <v>29495</v>
      </c>
      <c r="X332">
        <f>Cancer_doubles_final2[[#This Row],[kan_test_acc]]</f>
        <v>0.94813519053988993</v>
      </c>
      <c r="Y332">
        <f>Cancer_doubles_final2[[#This Row],[mlp_test_acc]]</f>
        <v>0.93240093240093236</v>
      </c>
      <c r="Z332">
        <f>Cancer_doubles_final2[[#This Row],[mlp_test_acc2]]</f>
        <v>0.93512043512043508</v>
      </c>
    </row>
    <row r="333" spans="1:26" hidden="1" x14ac:dyDescent="0.25">
      <c r="A333" t="s">
        <v>19</v>
      </c>
      <c r="B333">
        <v>3</v>
      </c>
      <c r="C333">
        <v>3</v>
      </c>
      <c r="D333">
        <v>0</v>
      </c>
      <c r="E333" t="s">
        <v>233</v>
      </c>
      <c r="F333">
        <v>20266</v>
      </c>
      <c r="G333">
        <v>27929701.833333332</v>
      </c>
      <c r="H333">
        <v>0.94638694326082862</v>
      </c>
      <c r="I333">
        <v>0.92171717171717171</v>
      </c>
      <c r="J333">
        <v>8284482.583333333</v>
      </c>
      <c r="K333">
        <v>35627</v>
      </c>
      <c r="L333">
        <v>2</v>
      </c>
      <c r="M333">
        <v>125</v>
      </c>
      <c r="N333">
        <v>0.9242424242424242</v>
      </c>
      <c r="O333">
        <v>8212771.694444444</v>
      </c>
      <c r="P333">
        <v>36164</v>
      </c>
      <c r="Q333">
        <v>2</v>
      </c>
      <c r="R333">
        <v>126</v>
      </c>
      <c r="S333" t="s">
        <v>315</v>
      </c>
      <c r="W333">
        <f>Cancer_doubles_final2[[#This Row],[mlp_params]]</f>
        <v>35627</v>
      </c>
      <c r="X333">
        <f>Cancer_doubles_final2[[#This Row],[kan_test_acc]]</f>
        <v>0.94638694326082862</v>
      </c>
      <c r="Y333">
        <f>Cancer_doubles_final2[[#This Row],[mlp_test_acc]]</f>
        <v>0.92171717171717171</v>
      </c>
      <c r="Z333">
        <f>Cancer_doubles_final2[[#This Row],[mlp_test_acc2]]</f>
        <v>0.9242424242424242</v>
      </c>
    </row>
    <row r="334" spans="1:26" hidden="1" x14ac:dyDescent="0.25">
      <c r="A334" t="s">
        <v>19</v>
      </c>
      <c r="B334">
        <v>3</v>
      </c>
      <c r="C334">
        <v>2</v>
      </c>
      <c r="D334">
        <v>0</v>
      </c>
      <c r="E334" t="s">
        <v>316</v>
      </c>
      <c r="F334">
        <v>20268</v>
      </c>
      <c r="G334">
        <v>34704495.611111112</v>
      </c>
      <c r="H334">
        <v>0.96270395980940926</v>
      </c>
      <c r="I334">
        <v>0.94619269619269619</v>
      </c>
      <c r="J334">
        <v>8674440.1388888881</v>
      </c>
      <c r="K334">
        <v>32489</v>
      </c>
      <c r="L334">
        <v>2</v>
      </c>
      <c r="M334">
        <v>119</v>
      </c>
      <c r="N334">
        <v>0.94347319347319347</v>
      </c>
      <c r="O334">
        <v>8771460.722222222</v>
      </c>
      <c r="P334">
        <v>33002</v>
      </c>
      <c r="Q334">
        <v>2</v>
      </c>
      <c r="R334">
        <v>120</v>
      </c>
      <c r="S334" t="s">
        <v>317</v>
      </c>
      <c r="W334">
        <f>Cancer_doubles_final2[[#This Row],[mlp_params]]</f>
        <v>32489</v>
      </c>
      <c r="X334">
        <f>Cancer_doubles_final2[[#This Row],[kan_test_acc]]</f>
        <v>0.96270395980940926</v>
      </c>
      <c r="Y334">
        <f>Cancer_doubles_final2[[#This Row],[mlp_test_acc]]</f>
        <v>0.94619269619269619</v>
      </c>
      <c r="Z334">
        <f>Cancer_doubles_final2[[#This Row],[mlp_test_acc2]]</f>
        <v>0.94347319347319347</v>
      </c>
    </row>
    <row r="335" spans="1:26" hidden="1" x14ac:dyDescent="0.25">
      <c r="A335" t="s">
        <v>19</v>
      </c>
      <c r="B335">
        <v>3</v>
      </c>
      <c r="C335">
        <v>3</v>
      </c>
      <c r="D335">
        <v>0</v>
      </c>
      <c r="E335" t="s">
        <v>235</v>
      </c>
      <c r="F335">
        <v>20270</v>
      </c>
      <c r="G335">
        <v>34462826.722222224</v>
      </c>
      <c r="H335">
        <v>0.96134420898225581</v>
      </c>
      <c r="I335">
        <v>0.94735819735819737</v>
      </c>
      <c r="J335">
        <v>8476909.777777778</v>
      </c>
      <c r="K335">
        <v>35627</v>
      </c>
      <c r="L335">
        <v>2</v>
      </c>
      <c r="M335">
        <v>125</v>
      </c>
      <c r="N335">
        <v>0.9442501942501943</v>
      </c>
      <c r="O335">
        <v>8734754.222222222</v>
      </c>
      <c r="P335">
        <v>36164</v>
      </c>
      <c r="Q335">
        <v>2</v>
      </c>
      <c r="R335">
        <v>126</v>
      </c>
      <c r="S335" t="s">
        <v>318</v>
      </c>
      <c r="W335">
        <f>Cancer_doubles_final2[[#This Row],[mlp_params]]</f>
        <v>35627</v>
      </c>
      <c r="X335">
        <f>Cancer_doubles_final2[[#This Row],[kan_test_acc]]</f>
        <v>0.96134420898225581</v>
      </c>
      <c r="Y335">
        <f>Cancer_doubles_final2[[#This Row],[mlp_test_acc]]</f>
        <v>0.94735819735819737</v>
      </c>
      <c r="Z335">
        <f>Cancer_doubles_final2[[#This Row],[mlp_test_acc2]]</f>
        <v>0.9442501942501943</v>
      </c>
    </row>
    <row r="336" spans="1:26" hidden="1" x14ac:dyDescent="0.25">
      <c r="A336" t="s">
        <v>19</v>
      </c>
      <c r="B336">
        <v>3</v>
      </c>
      <c r="C336">
        <v>2</v>
      </c>
      <c r="D336">
        <v>0</v>
      </c>
      <c r="E336" t="s">
        <v>319</v>
      </c>
      <c r="F336">
        <v>20272</v>
      </c>
      <c r="G336">
        <v>37547351.638888888</v>
      </c>
      <c r="H336">
        <v>0.97008547021283054</v>
      </c>
      <c r="I336">
        <v>0.94619269619269619</v>
      </c>
      <c r="J336">
        <v>8384464.444444445</v>
      </c>
      <c r="K336">
        <v>32489</v>
      </c>
      <c r="L336">
        <v>2</v>
      </c>
      <c r="M336">
        <v>119</v>
      </c>
      <c r="N336">
        <v>0.94502719502719501</v>
      </c>
      <c r="O336">
        <v>9444505.277777778</v>
      </c>
      <c r="P336">
        <v>33002</v>
      </c>
      <c r="Q336">
        <v>2</v>
      </c>
      <c r="R336">
        <v>120</v>
      </c>
      <c r="S336" t="s">
        <v>320</v>
      </c>
      <c r="W336">
        <f>Cancer_doubles_final2[[#This Row],[mlp_params]]</f>
        <v>32489</v>
      </c>
      <c r="X336">
        <f>Cancer_doubles_final2[[#This Row],[kan_test_acc]]</f>
        <v>0.97008547021283054</v>
      </c>
      <c r="Y336">
        <f>Cancer_doubles_final2[[#This Row],[mlp_test_acc]]</f>
        <v>0.94619269619269619</v>
      </c>
      <c r="Z336">
        <f>Cancer_doubles_final2[[#This Row],[mlp_test_acc2]]</f>
        <v>0.94502719502719501</v>
      </c>
    </row>
    <row r="337" spans="1:26" hidden="1" x14ac:dyDescent="0.25">
      <c r="A337" t="s">
        <v>19</v>
      </c>
      <c r="B337">
        <v>3</v>
      </c>
      <c r="C337">
        <v>2</v>
      </c>
      <c r="D337">
        <v>0</v>
      </c>
      <c r="E337" t="s">
        <v>321</v>
      </c>
      <c r="F337">
        <v>20334</v>
      </c>
      <c r="G337">
        <v>34908517.75</v>
      </c>
      <c r="H337">
        <v>0.96600621773136985</v>
      </c>
      <c r="I337">
        <v>0.94502719502719512</v>
      </c>
      <c r="J337">
        <v>8421910.444444444</v>
      </c>
      <c r="K337">
        <v>32489</v>
      </c>
      <c r="L337">
        <v>2</v>
      </c>
      <c r="M337">
        <v>119</v>
      </c>
      <c r="N337">
        <v>0.9423076923076924</v>
      </c>
      <c r="O337">
        <v>9015497.3611111119</v>
      </c>
      <c r="P337">
        <v>33002</v>
      </c>
      <c r="Q337">
        <v>2</v>
      </c>
      <c r="R337">
        <v>120</v>
      </c>
      <c r="S337" t="s">
        <v>322</v>
      </c>
      <c r="W337">
        <f>Cancer_doubles_final2[[#This Row],[mlp_params]]</f>
        <v>32489</v>
      </c>
      <c r="X337">
        <f>Cancer_doubles_final2[[#This Row],[kan_test_acc]]</f>
        <v>0.96600621773136985</v>
      </c>
      <c r="Y337">
        <f>Cancer_doubles_final2[[#This Row],[mlp_test_acc]]</f>
        <v>0.94502719502719512</v>
      </c>
      <c r="Z337">
        <f>Cancer_doubles_final2[[#This Row],[mlp_test_acc2]]</f>
        <v>0.9423076923076924</v>
      </c>
    </row>
    <row r="338" spans="1:26" hidden="1" x14ac:dyDescent="0.25">
      <c r="A338" t="s">
        <v>19</v>
      </c>
      <c r="B338">
        <v>3</v>
      </c>
      <c r="C338">
        <v>3</v>
      </c>
      <c r="D338">
        <v>0</v>
      </c>
      <c r="E338" t="s">
        <v>237</v>
      </c>
      <c r="F338">
        <v>20340</v>
      </c>
      <c r="G338">
        <v>37821433.027777776</v>
      </c>
      <c r="H338">
        <v>0.96503495673338568</v>
      </c>
      <c r="I338">
        <v>0.94463869463869465</v>
      </c>
      <c r="J338">
        <v>8957369.1388888881</v>
      </c>
      <c r="K338">
        <v>35627</v>
      </c>
      <c r="L338">
        <v>2</v>
      </c>
      <c r="M338">
        <v>125</v>
      </c>
      <c r="N338">
        <v>0.94250194250194252</v>
      </c>
      <c r="O338">
        <v>8390036.1944444459</v>
      </c>
      <c r="P338">
        <v>36164</v>
      </c>
      <c r="Q338">
        <v>2</v>
      </c>
      <c r="R338">
        <v>126</v>
      </c>
      <c r="S338" t="s">
        <v>323</v>
      </c>
      <c r="W338">
        <f>Cancer_doubles_final2[[#This Row],[mlp_params]]</f>
        <v>35627</v>
      </c>
      <c r="X338">
        <f>Cancer_doubles_final2[[#This Row],[kan_test_acc]]</f>
        <v>0.96503495673338568</v>
      </c>
      <c r="Y338">
        <f>Cancer_doubles_final2[[#This Row],[mlp_test_acc]]</f>
        <v>0.94463869463869465</v>
      </c>
      <c r="Z338">
        <f>Cancer_doubles_final2[[#This Row],[mlp_test_acc2]]</f>
        <v>0.94250194250194252</v>
      </c>
    </row>
    <row r="339" spans="1:26" x14ac:dyDescent="0.25">
      <c r="A339" t="s">
        <v>19</v>
      </c>
      <c r="B339">
        <v>3</v>
      </c>
      <c r="C339">
        <v>5</v>
      </c>
      <c r="D339">
        <v>0</v>
      </c>
      <c r="E339" t="s">
        <v>152</v>
      </c>
      <c r="F339">
        <v>20476</v>
      </c>
      <c r="G339">
        <v>33154893.444444444</v>
      </c>
      <c r="H339">
        <v>0.96658895744217765</v>
      </c>
      <c r="I339">
        <v>0.9436674436674436</v>
      </c>
      <c r="J339">
        <v>9122163.527777778</v>
      </c>
      <c r="K339">
        <v>40604</v>
      </c>
      <c r="L339">
        <v>2</v>
      </c>
      <c r="M339">
        <v>134</v>
      </c>
      <c r="N339">
        <v>0.94269619269619276</v>
      </c>
      <c r="O339">
        <v>9477310.083333334</v>
      </c>
      <c r="P339">
        <v>41177</v>
      </c>
      <c r="Q339">
        <v>2</v>
      </c>
      <c r="R339">
        <v>135</v>
      </c>
      <c r="S339" t="s">
        <v>324</v>
      </c>
      <c r="W339">
        <f>Cancer_doubles_final2[[#This Row],[mlp_params]]</f>
        <v>40604</v>
      </c>
      <c r="X339">
        <f>Cancer_doubles_final2[[#This Row],[kan_test_acc]]</f>
        <v>0.96658895744217765</v>
      </c>
      <c r="Y339">
        <f>Cancer_doubles_final2[[#This Row],[mlp_test_acc]]</f>
        <v>0.9436674436674436</v>
      </c>
      <c r="Z339">
        <f>Cancer_doubles_final2[[#This Row],[mlp_test_acc2]]</f>
        <v>0.94269619269619276</v>
      </c>
    </row>
    <row r="340" spans="1:26" hidden="1" x14ac:dyDescent="0.25">
      <c r="A340" t="s">
        <v>19</v>
      </c>
      <c r="B340">
        <v>5</v>
      </c>
      <c r="C340">
        <v>3</v>
      </c>
      <c r="D340">
        <v>0</v>
      </c>
      <c r="E340" t="s">
        <v>152</v>
      </c>
      <c r="F340">
        <v>20476</v>
      </c>
      <c r="G340">
        <v>26809537.625</v>
      </c>
      <c r="H340">
        <v>0.97465034077564872</v>
      </c>
      <c r="I340">
        <v>0.94114219114219111</v>
      </c>
      <c r="J340">
        <v>8502144.75</v>
      </c>
      <c r="K340">
        <v>33002</v>
      </c>
      <c r="L340">
        <v>2</v>
      </c>
      <c r="M340">
        <v>120</v>
      </c>
      <c r="N340">
        <v>0.94172494172494181</v>
      </c>
      <c r="O340">
        <v>9020304.916666666</v>
      </c>
      <c r="P340">
        <v>33519</v>
      </c>
      <c r="Q340">
        <v>2</v>
      </c>
      <c r="R340">
        <v>121</v>
      </c>
      <c r="S340" t="s">
        <v>325</v>
      </c>
      <c r="W340">
        <f>Cancer_doubles_final2[[#This Row],[mlp_params]]</f>
        <v>33002</v>
      </c>
      <c r="X340">
        <f>Cancer_doubles_final2[[#This Row],[kan_test_acc]]</f>
        <v>0.97465034077564872</v>
      </c>
      <c r="Y340">
        <f>Cancer_doubles_final2[[#This Row],[mlp_test_acc]]</f>
        <v>0.94114219114219111</v>
      </c>
      <c r="Z340">
        <f>Cancer_doubles_final2[[#This Row],[mlp_test_acc2]]</f>
        <v>0.94172494172494181</v>
      </c>
    </row>
    <row r="341" spans="1:26" x14ac:dyDescent="0.25">
      <c r="A341" t="s">
        <v>19</v>
      </c>
      <c r="B341">
        <v>3</v>
      </c>
      <c r="C341">
        <v>5</v>
      </c>
      <c r="D341">
        <v>0</v>
      </c>
      <c r="E341" t="s">
        <v>152</v>
      </c>
      <c r="F341">
        <v>20476</v>
      </c>
      <c r="G341">
        <v>28872309.791666668</v>
      </c>
      <c r="H341">
        <v>0.97465034325917554</v>
      </c>
      <c r="I341">
        <v>0.92890442890442881</v>
      </c>
      <c r="J341">
        <v>8570326.375</v>
      </c>
      <c r="K341">
        <v>40604</v>
      </c>
      <c r="L341">
        <v>2</v>
      </c>
      <c r="M341">
        <v>134</v>
      </c>
      <c r="N341">
        <v>0.93210955710955712</v>
      </c>
      <c r="O341">
        <v>8888592.666666666</v>
      </c>
      <c r="P341">
        <v>41177</v>
      </c>
      <c r="Q341">
        <v>2</v>
      </c>
      <c r="R341">
        <v>135</v>
      </c>
      <c r="S341" t="s">
        <v>324</v>
      </c>
      <c r="W341">
        <f>Cancer_doubles_final2[[#This Row],[mlp_params]]</f>
        <v>40604</v>
      </c>
      <c r="X341">
        <f>Cancer_doubles_final2[[#This Row],[kan_test_acc]]</f>
        <v>0.97465034325917554</v>
      </c>
      <c r="Y341">
        <f>Cancer_doubles_final2[[#This Row],[mlp_test_acc]]</f>
        <v>0.92890442890442881</v>
      </c>
      <c r="Z341">
        <f>Cancer_doubles_final2[[#This Row],[mlp_test_acc2]]</f>
        <v>0.93210955710955712</v>
      </c>
    </row>
    <row r="342" spans="1:26" hidden="1" x14ac:dyDescent="0.25">
      <c r="A342" t="s">
        <v>19</v>
      </c>
      <c r="B342">
        <v>5</v>
      </c>
      <c r="C342">
        <v>3</v>
      </c>
      <c r="D342">
        <v>0</v>
      </c>
      <c r="E342" t="s">
        <v>152</v>
      </c>
      <c r="F342">
        <v>20476</v>
      </c>
      <c r="G342">
        <v>25896777.75</v>
      </c>
      <c r="H342">
        <v>0.95279720673958468</v>
      </c>
      <c r="I342">
        <v>0.90967365967365965</v>
      </c>
      <c r="J342">
        <v>8480970.375</v>
      </c>
      <c r="K342">
        <v>33002</v>
      </c>
      <c r="L342">
        <v>2</v>
      </c>
      <c r="M342">
        <v>120</v>
      </c>
      <c r="N342">
        <v>0.9093822843822843</v>
      </c>
      <c r="O342">
        <v>8691196.041666666</v>
      </c>
      <c r="P342">
        <v>33519</v>
      </c>
      <c r="Q342">
        <v>2</v>
      </c>
      <c r="R342">
        <v>121</v>
      </c>
      <c r="S342" t="s">
        <v>325</v>
      </c>
      <c r="W342">
        <f>Cancer_doubles_final2[[#This Row],[mlp_params]]</f>
        <v>33002</v>
      </c>
      <c r="X342">
        <f>Cancer_doubles_final2[[#This Row],[kan_test_acc]]</f>
        <v>0.95279720673958468</v>
      </c>
      <c r="Y342">
        <f>Cancer_doubles_final2[[#This Row],[mlp_test_acc]]</f>
        <v>0.90967365967365965</v>
      </c>
      <c r="Z342">
        <f>Cancer_doubles_final2[[#This Row],[mlp_test_acc2]]</f>
        <v>0.9093822843822843</v>
      </c>
    </row>
    <row r="343" spans="1:26" x14ac:dyDescent="0.25">
      <c r="A343" t="s">
        <v>19</v>
      </c>
      <c r="B343">
        <v>3</v>
      </c>
      <c r="C343">
        <v>5</v>
      </c>
      <c r="D343">
        <v>0</v>
      </c>
      <c r="E343" t="s">
        <v>154</v>
      </c>
      <c r="F343">
        <v>20522</v>
      </c>
      <c r="G343">
        <v>26027165.875</v>
      </c>
      <c r="H343">
        <v>0.95250582695007324</v>
      </c>
      <c r="I343">
        <v>0.91870629370629375</v>
      </c>
      <c r="J343">
        <v>8222505.666666666</v>
      </c>
      <c r="K343">
        <v>40604</v>
      </c>
      <c r="L343">
        <v>2</v>
      </c>
      <c r="M343">
        <v>134</v>
      </c>
      <c r="N343">
        <v>0.92191142191142195</v>
      </c>
      <c r="O343">
        <v>8299964.416666667</v>
      </c>
      <c r="P343">
        <v>41177</v>
      </c>
      <c r="Q343">
        <v>2</v>
      </c>
      <c r="R343">
        <v>135</v>
      </c>
      <c r="S343" t="s">
        <v>326</v>
      </c>
      <c r="W343">
        <f>Cancer_doubles_final2[[#This Row],[mlp_params]]</f>
        <v>40604</v>
      </c>
      <c r="X343">
        <f>Cancer_doubles_final2[[#This Row],[kan_test_acc]]</f>
        <v>0.95250582695007324</v>
      </c>
      <c r="Y343">
        <f>Cancer_doubles_final2[[#This Row],[mlp_test_acc]]</f>
        <v>0.91870629370629375</v>
      </c>
      <c r="Z343">
        <f>Cancer_doubles_final2[[#This Row],[mlp_test_acc2]]</f>
        <v>0.92191142191142195</v>
      </c>
    </row>
    <row r="344" spans="1:26" hidden="1" x14ac:dyDescent="0.25">
      <c r="A344" t="s">
        <v>19</v>
      </c>
      <c r="B344">
        <v>5</v>
      </c>
      <c r="C344">
        <v>3</v>
      </c>
      <c r="D344">
        <v>0</v>
      </c>
      <c r="E344" t="s">
        <v>154</v>
      </c>
      <c r="F344">
        <v>20522</v>
      </c>
      <c r="G344">
        <v>30359952.041666668</v>
      </c>
      <c r="H344">
        <v>0.9731934666633606</v>
      </c>
      <c r="I344">
        <v>0.93648018648018649</v>
      </c>
      <c r="J344">
        <v>8391963.25</v>
      </c>
      <c r="K344">
        <v>33519</v>
      </c>
      <c r="L344">
        <v>2</v>
      </c>
      <c r="M344">
        <v>121</v>
      </c>
      <c r="N344">
        <v>0.94055944055944052</v>
      </c>
      <c r="O344">
        <v>8307105.5000000009</v>
      </c>
      <c r="P344">
        <v>34040</v>
      </c>
      <c r="Q344">
        <v>2</v>
      </c>
      <c r="R344">
        <v>122</v>
      </c>
      <c r="S344" t="s">
        <v>327</v>
      </c>
      <c r="W344">
        <f>Cancer_doubles_final2[[#This Row],[mlp_params]]</f>
        <v>33519</v>
      </c>
      <c r="X344">
        <f>Cancer_doubles_final2[[#This Row],[kan_test_acc]]</f>
        <v>0.9731934666633606</v>
      </c>
      <c r="Y344">
        <f>Cancer_doubles_final2[[#This Row],[mlp_test_acc]]</f>
        <v>0.93648018648018649</v>
      </c>
      <c r="Z344">
        <f>Cancer_doubles_final2[[#This Row],[mlp_test_acc2]]</f>
        <v>0.94055944055944052</v>
      </c>
    </row>
    <row r="345" spans="1:26" hidden="1" x14ac:dyDescent="0.25">
      <c r="A345" t="s">
        <v>19</v>
      </c>
      <c r="B345">
        <v>9</v>
      </c>
      <c r="C345">
        <v>4</v>
      </c>
      <c r="D345">
        <v>0</v>
      </c>
      <c r="E345" t="s">
        <v>70</v>
      </c>
      <c r="F345">
        <v>20522</v>
      </c>
      <c r="G345">
        <v>25757633.5</v>
      </c>
      <c r="H345">
        <v>0.96066433191299438</v>
      </c>
      <c r="I345">
        <v>0.95075757575757569</v>
      </c>
      <c r="J345">
        <v>8699882</v>
      </c>
      <c r="K345">
        <v>31980</v>
      </c>
      <c r="L345">
        <v>2</v>
      </c>
      <c r="M345">
        <v>118</v>
      </c>
      <c r="N345">
        <v>0.95104895104895104</v>
      </c>
      <c r="O345">
        <v>9226275.875</v>
      </c>
      <c r="P345">
        <v>32489</v>
      </c>
      <c r="Q345">
        <v>2</v>
      </c>
      <c r="R345">
        <v>119</v>
      </c>
      <c r="S345" t="s">
        <v>328</v>
      </c>
      <c r="W345">
        <f>Cancer_doubles_final2[[#This Row],[mlp_params]]</f>
        <v>31980</v>
      </c>
      <c r="X345">
        <f>Cancer_doubles_final2[[#This Row],[kan_test_acc]]</f>
        <v>0.96066433191299438</v>
      </c>
      <c r="Y345">
        <f>Cancer_doubles_final2[[#This Row],[mlp_test_acc]]</f>
        <v>0.95075757575757569</v>
      </c>
      <c r="Z345">
        <f>Cancer_doubles_final2[[#This Row],[mlp_test_acc2]]</f>
        <v>0.95104895104895104</v>
      </c>
    </row>
    <row r="346" spans="1:26" x14ac:dyDescent="0.25">
      <c r="A346" t="s">
        <v>19</v>
      </c>
      <c r="B346">
        <v>3</v>
      </c>
      <c r="C346">
        <v>5</v>
      </c>
      <c r="D346">
        <v>0</v>
      </c>
      <c r="E346" t="s">
        <v>154</v>
      </c>
      <c r="F346">
        <v>20522</v>
      </c>
      <c r="G346">
        <v>30730013.416666672</v>
      </c>
      <c r="H346">
        <v>0.96532633155584335</v>
      </c>
      <c r="I346">
        <v>0.94376456876456882</v>
      </c>
      <c r="J346">
        <v>9464807.25</v>
      </c>
      <c r="K346">
        <v>40604</v>
      </c>
      <c r="L346">
        <v>2</v>
      </c>
      <c r="M346">
        <v>134</v>
      </c>
      <c r="N346">
        <v>0.94667832167832167</v>
      </c>
      <c r="O346">
        <v>9432961.291666666</v>
      </c>
      <c r="P346">
        <v>41177</v>
      </c>
      <c r="Q346">
        <v>2</v>
      </c>
      <c r="R346">
        <v>135</v>
      </c>
      <c r="S346" t="s">
        <v>326</v>
      </c>
      <c r="W346">
        <f>Cancer_doubles_final2[[#This Row],[mlp_params]]</f>
        <v>40604</v>
      </c>
      <c r="X346">
        <f>Cancer_doubles_final2[[#This Row],[kan_test_acc]]</f>
        <v>0.96532633155584335</v>
      </c>
      <c r="Y346">
        <f>Cancer_doubles_final2[[#This Row],[mlp_test_acc]]</f>
        <v>0.94376456876456882</v>
      </c>
      <c r="Z346">
        <f>Cancer_doubles_final2[[#This Row],[mlp_test_acc2]]</f>
        <v>0.94667832167832167</v>
      </c>
    </row>
    <row r="347" spans="1:26" hidden="1" x14ac:dyDescent="0.25">
      <c r="A347" t="s">
        <v>19</v>
      </c>
      <c r="B347">
        <v>5</v>
      </c>
      <c r="C347">
        <v>3</v>
      </c>
      <c r="D347">
        <v>0</v>
      </c>
      <c r="E347" t="s">
        <v>154</v>
      </c>
      <c r="F347">
        <v>20522</v>
      </c>
      <c r="G347">
        <v>29445134.833333336</v>
      </c>
      <c r="H347">
        <v>0.95600232233603788</v>
      </c>
      <c r="I347">
        <v>0.90792540792540799</v>
      </c>
      <c r="J347">
        <v>9463067.083333334</v>
      </c>
      <c r="K347">
        <v>33519</v>
      </c>
      <c r="L347">
        <v>2</v>
      </c>
      <c r="M347">
        <v>121</v>
      </c>
      <c r="N347">
        <v>0.90268065268065278</v>
      </c>
      <c r="O347">
        <v>8206404.791666667</v>
      </c>
      <c r="P347">
        <v>34040</v>
      </c>
      <c r="Q347">
        <v>2</v>
      </c>
      <c r="R347">
        <v>122</v>
      </c>
      <c r="S347" t="s">
        <v>327</v>
      </c>
      <c r="W347">
        <f>Cancer_doubles_final2[[#This Row],[mlp_params]]</f>
        <v>33519</v>
      </c>
      <c r="X347">
        <f>Cancer_doubles_final2[[#This Row],[kan_test_acc]]</f>
        <v>0.95600232233603788</v>
      </c>
      <c r="Y347">
        <f>Cancer_doubles_final2[[#This Row],[mlp_test_acc]]</f>
        <v>0.90792540792540799</v>
      </c>
      <c r="Z347">
        <f>Cancer_doubles_final2[[#This Row],[mlp_test_acc2]]</f>
        <v>0.90268065268065278</v>
      </c>
    </row>
    <row r="348" spans="1:26" hidden="1" x14ac:dyDescent="0.25">
      <c r="A348" t="s">
        <v>19</v>
      </c>
      <c r="B348">
        <v>3</v>
      </c>
      <c r="C348">
        <v>4</v>
      </c>
      <c r="D348">
        <v>0</v>
      </c>
      <c r="E348" t="s">
        <v>189</v>
      </c>
      <c r="F348">
        <v>20546</v>
      </c>
      <c r="G348">
        <v>26774089.25</v>
      </c>
      <c r="H348">
        <v>0.95949884007374453</v>
      </c>
      <c r="I348">
        <v>0.92599067599067597</v>
      </c>
      <c r="J348">
        <v>8153149.583333334</v>
      </c>
      <c r="K348">
        <v>38909</v>
      </c>
      <c r="L348">
        <v>2</v>
      </c>
      <c r="M348">
        <v>131</v>
      </c>
      <c r="N348">
        <v>0.91550116550116556</v>
      </c>
      <c r="O348">
        <v>8464731.7916666679</v>
      </c>
      <c r="P348">
        <v>39470</v>
      </c>
      <c r="Q348">
        <v>2</v>
      </c>
      <c r="R348">
        <v>132</v>
      </c>
      <c r="S348" t="s">
        <v>329</v>
      </c>
      <c r="W348">
        <f>Cancer_doubles_final2[[#This Row],[mlp_params]]</f>
        <v>38909</v>
      </c>
      <c r="X348">
        <f>Cancer_doubles_final2[[#This Row],[kan_test_acc]]</f>
        <v>0.95949884007374453</v>
      </c>
      <c r="Y348">
        <f>Cancer_doubles_final2[[#This Row],[mlp_test_acc]]</f>
        <v>0.92599067599067597</v>
      </c>
      <c r="Z348">
        <f>Cancer_doubles_final2[[#This Row],[mlp_test_acc2]]</f>
        <v>0.91550116550116556</v>
      </c>
    </row>
    <row r="349" spans="1:26" hidden="1" x14ac:dyDescent="0.25">
      <c r="A349" t="s">
        <v>19</v>
      </c>
      <c r="B349">
        <v>5</v>
      </c>
      <c r="C349">
        <v>2</v>
      </c>
      <c r="D349">
        <v>0</v>
      </c>
      <c r="E349" t="s">
        <v>189</v>
      </c>
      <c r="F349">
        <v>20546</v>
      </c>
      <c r="G349">
        <v>34598679.375</v>
      </c>
      <c r="H349">
        <v>0.97902097553014755</v>
      </c>
      <c r="I349">
        <v>0.94900932400932403</v>
      </c>
      <c r="J349">
        <v>8253691.7916666679</v>
      </c>
      <c r="K349">
        <v>30477</v>
      </c>
      <c r="L349">
        <v>2</v>
      </c>
      <c r="M349">
        <v>115</v>
      </c>
      <c r="N349">
        <v>0.94667832167832167</v>
      </c>
      <c r="O349">
        <v>9015523.541666666</v>
      </c>
      <c r="P349">
        <v>30974</v>
      </c>
      <c r="Q349">
        <v>2</v>
      </c>
      <c r="R349">
        <v>116</v>
      </c>
      <c r="S349" t="s">
        <v>330</v>
      </c>
      <c r="W349">
        <f>Cancer_doubles_final2[[#This Row],[mlp_params]]</f>
        <v>30477</v>
      </c>
      <c r="X349">
        <f>Cancer_doubles_final2[[#This Row],[kan_test_acc]]</f>
        <v>0.97902097553014755</v>
      </c>
      <c r="Y349">
        <f>Cancer_doubles_final2[[#This Row],[mlp_test_acc]]</f>
        <v>0.94900932400932403</v>
      </c>
      <c r="Z349">
        <f>Cancer_doubles_final2[[#This Row],[mlp_test_acc2]]</f>
        <v>0.94667832167832167</v>
      </c>
    </row>
    <row r="350" spans="1:26" hidden="1" x14ac:dyDescent="0.25">
      <c r="A350" t="s">
        <v>19</v>
      </c>
      <c r="B350">
        <v>3</v>
      </c>
      <c r="C350">
        <v>4</v>
      </c>
      <c r="D350">
        <v>0</v>
      </c>
      <c r="E350" t="s">
        <v>189</v>
      </c>
      <c r="F350">
        <v>20546</v>
      </c>
      <c r="G350">
        <v>37292333.041666664</v>
      </c>
      <c r="H350">
        <v>0.97435895601908362</v>
      </c>
      <c r="I350">
        <v>0.93269230769230771</v>
      </c>
      <c r="J350">
        <v>9028251.4166666679</v>
      </c>
      <c r="K350">
        <v>38909</v>
      </c>
      <c r="L350">
        <v>2</v>
      </c>
      <c r="M350">
        <v>131</v>
      </c>
      <c r="N350">
        <v>0.93414918414918424</v>
      </c>
      <c r="O350">
        <v>8913448.791666666</v>
      </c>
      <c r="P350">
        <v>39470</v>
      </c>
      <c r="Q350">
        <v>2</v>
      </c>
      <c r="R350">
        <v>132</v>
      </c>
      <c r="S350" t="s">
        <v>329</v>
      </c>
      <c r="W350">
        <f>Cancer_doubles_final2[[#This Row],[mlp_params]]</f>
        <v>38909</v>
      </c>
      <c r="X350">
        <f>Cancer_doubles_final2[[#This Row],[kan_test_acc]]</f>
        <v>0.97435895601908362</v>
      </c>
      <c r="Y350">
        <f>Cancer_doubles_final2[[#This Row],[mlp_test_acc]]</f>
        <v>0.93269230769230771</v>
      </c>
      <c r="Z350">
        <f>Cancer_doubles_final2[[#This Row],[mlp_test_acc2]]</f>
        <v>0.93414918414918424</v>
      </c>
    </row>
    <row r="351" spans="1:26" hidden="1" x14ac:dyDescent="0.25">
      <c r="A351" t="s">
        <v>19</v>
      </c>
      <c r="B351">
        <v>5</v>
      </c>
      <c r="C351">
        <v>2</v>
      </c>
      <c r="D351">
        <v>0</v>
      </c>
      <c r="E351" t="s">
        <v>189</v>
      </c>
      <c r="F351">
        <v>20546</v>
      </c>
      <c r="G351">
        <v>32276884.166666664</v>
      </c>
      <c r="H351">
        <v>0.97465033084154129</v>
      </c>
      <c r="I351">
        <v>0.9306526806526807</v>
      </c>
      <c r="J351">
        <v>8920052.458333334</v>
      </c>
      <c r="K351">
        <v>30477</v>
      </c>
      <c r="L351">
        <v>2</v>
      </c>
      <c r="M351">
        <v>115</v>
      </c>
      <c r="N351">
        <v>0.93356643356643354</v>
      </c>
      <c r="O351">
        <v>8410090.7916666679</v>
      </c>
      <c r="P351">
        <v>30974</v>
      </c>
      <c r="Q351">
        <v>2</v>
      </c>
      <c r="R351">
        <v>116</v>
      </c>
      <c r="S351" t="s">
        <v>330</v>
      </c>
      <c r="W351">
        <f>Cancer_doubles_final2[[#This Row],[mlp_params]]</f>
        <v>30477</v>
      </c>
      <c r="X351">
        <f>Cancer_doubles_final2[[#This Row],[kan_test_acc]]</f>
        <v>0.97465033084154129</v>
      </c>
      <c r="Y351">
        <f>Cancer_doubles_final2[[#This Row],[mlp_test_acc]]</f>
        <v>0.9306526806526807</v>
      </c>
      <c r="Z351">
        <f>Cancer_doubles_final2[[#This Row],[mlp_test_acc2]]</f>
        <v>0.93356643356643354</v>
      </c>
    </row>
    <row r="352" spans="1:26" hidden="1" x14ac:dyDescent="0.25">
      <c r="A352" t="s">
        <v>19</v>
      </c>
      <c r="B352">
        <v>3</v>
      </c>
      <c r="C352">
        <v>4</v>
      </c>
      <c r="D352">
        <v>0</v>
      </c>
      <c r="E352" t="s">
        <v>191</v>
      </c>
      <c r="F352">
        <v>20588</v>
      </c>
      <c r="G352">
        <v>27093803.125</v>
      </c>
      <c r="H352">
        <v>0.97523309042056405</v>
      </c>
      <c r="I352">
        <v>0.94259906759906764</v>
      </c>
      <c r="J352">
        <v>8936195.125</v>
      </c>
      <c r="K352">
        <v>38909</v>
      </c>
      <c r="L352">
        <v>2</v>
      </c>
      <c r="M352">
        <v>131</v>
      </c>
      <c r="N352">
        <v>0.94580419580419584</v>
      </c>
      <c r="O352">
        <v>8483430.4166666679</v>
      </c>
      <c r="P352">
        <v>39470</v>
      </c>
      <c r="Q352">
        <v>2</v>
      </c>
      <c r="R352">
        <v>132</v>
      </c>
      <c r="S352" t="s">
        <v>331</v>
      </c>
      <c r="W352">
        <f>Cancer_doubles_final2[[#This Row],[mlp_params]]</f>
        <v>38909</v>
      </c>
      <c r="X352">
        <f>Cancer_doubles_final2[[#This Row],[kan_test_acc]]</f>
        <v>0.97523309042056405</v>
      </c>
      <c r="Y352">
        <f>Cancer_doubles_final2[[#This Row],[mlp_test_acc]]</f>
        <v>0.94259906759906764</v>
      </c>
      <c r="Z352">
        <f>Cancer_doubles_final2[[#This Row],[mlp_test_acc2]]</f>
        <v>0.94580419580419584</v>
      </c>
    </row>
    <row r="353" spans="1:26" hidden="1" x14ac:dyDescent="0.25">
      <c r="A353" t="s">
        <v>19</v>
      </c>
      <c r="B353">
        <v>5</v>
      </c>
      <c r="C353">
        <v>2</v>
      </c>
      <c r="D353">
        <v>0</v>
      </c>
      <c r="E353" t="s">
        <v>191</v>
      </c>
      <c r="F353">
        <v>20588</v>
      </c>
      <c r="G353">
        <v>30808953.208333332</v>
      </c>
      <c r="H353">
        <v>0.97377621630827593</v>
      </c>
      <c r="I353">
        <v>0.94289044289044299</v>
      </c>
      <c r="J353">
        <v>8642467.291666666</v>
      </c>
      <c r="K353">
        <v>30477</v>
      </c>
      <c r="L353">
        <v>2</v>
      </c>
      <c r="M353">
        <v>115</v>
      </c>
      <c r="N353">
        <v>0.94726107226107237</v>
      </c>
      <c r="O353">
        <v>8836785.0416666679</v>
      </c>
      <c r="P353">
        <v>30974</v>
      </c>
      <c r="Q353">
        <v>2</v>
      </c>
      <c r="R353">
        <v>116</v>
      </c>
      <c r="S353" t="s">
        <v>332</v>
      </c>
      <c r="W353">
        <f>Cancer_doubles_final2[[#This Row],[mlp_params]]</f>
        <v>30477</v>
      </c>
      <c r="X353">
        <f>Cancer_doubles_final2[[#This Row],[kan_test_acc]]</f>
        <v>0.97377621630827593</v>
      </c>
      <c r="Y353">
        <f>Cancer_doubles_final2[[#This Row],[mlp_test_acc]]</f>
        <v>0.94289044289044299</v>
      </c>
      <c r="Z353">
        <f>Cancer_doubles_final2[[#This Row],[mlp_test_acc2]]</f>
        <v>0.94726107226107237</v>
      </c>
    </row>
    <row r="354" spans="1:26" hidden="1" x14ac:dyDescent="0.25">
      <c r="A354" t="s">
        <v>19</v>
      </c>
      <c r="B354">
        <v>3</v>
      </c>
      <c r="C354">
        <v>4</v>
      </c>
      <c r="D354">
        <v>0</v>
      </c>
      <c r="E354" t="s">
        <v>191</v>
      </c>
      <c r="F354">
        <v>20588</v>
      </c>
      <c r="G354">
        <v>32875799.125</v>
      </c>
      <c r="H354">
        <v>0.97435896346966433</v>
      </c>
      <c r="I354">
        <v>0.92977855477855487</v>
      </c>
      <c r="J354">
        <v>8808731.3333333321</v>
      </c>
      <c r="K354">
        <v>38909</v>
      </c>
      <c r="L354">
        <v>2</v>
      </c>
      <c r="M354">
        <v>131</v>
      </c>
      <c r="N354">
        <v>0.93793706293706303</v>
      </c>
      <c r="O354">
        <v>8349046.875</v>
      </c>
      <c r="P354">
        <v>39470</v>
      </c>
      <c r="Q354">
        <v>2</v>
      </c>
      <c r="R354">
        <v>132</v>
      </c>
      <c r="S354" t="s">
        <v>331</v>
      </c>
      <c r="W354">
        <f>Cancer_doubles_final2[[#This Row],[mlp_params]]</f>
        <v>38909</v>
      </c>
      <c r="X354">
        <f>Cancer_doubles_final2[[#This Row],[kan_test_acc]]</f>
        <v>0.97435896346966433</v>
      </c>
      <c r="Y354">
        <f>Cancer_doubles_final2[[#This Row],[mlp_test_acc]]</f>
        <v>0.92977855477855487</v>
      </c>
      <c r="Z354">
        <f>Cancer_doubles_final2[[#This Row],[mlp_test_acc2]]</f>
        <v>0.93793706293706303</v>
      </c>
    </row>
    <row r="355" spans="1:26" hidden="1" x14ac:dyDescent="0.25">
      <c r="A355" t="s">
        <v>19</v>
      </c>
      <c r="B355">
        <v>5</v>
      </c>
      <c r="C355">
        <v>2</v>
      </c>
      <c r="D355">
        <v>0</v>
      </c>
      <c r="E355" t="s">
        <v>191</v>
      </c>
      <c r="F355">
        <v>20588</v>
      </c>
      <c r="G355">
        <v>26518019.625</v>
      </c>
      <c r="H355">
        <v>0.97144522021214175</v>
      </c>
      <c r="I355">
        <v>0.93123543123543129</v>
      </c>
      <c r="J355">
        <v>8781844.9583333321</v>
      </c>
      <c r="K355">
        <v>30477</v>
      </c>
      <c r="L355">
        <v>2</v>
      </c>
      <c r="M355">
        <v>115</v>
      </c>
      <c r="N355">
        <v>0.93589743589743601</v>
      </c>
      <c r="O355">
        <v>8105334.416666666</v>
      </c>
      <c r="P355">
        <v>30974</v>
      </c>
      <c r="Q355">
        <v>2</v>
      </c>
      <c r="R355">
        <v>116</v>
      </c>
      <c r="S355" t="s">
        <v>332</v>
      </c>
      <c r="W355">
        <f>Cancer_doubles_final2[[#This Row],[mlp_params]]</f>
        <v>30477</v>
      </c>
      <c r="X355">
        <f>Cancer_doubles_final2[[#This Row],[kan_test_acc]]</f>
        <v>0.97144522021214175</v>
      </c>
      <c r="Y355">
        <f>Cancer_doubles_final2[[#This Row],[mlp_test_acc]]</f>
        <v>0.93123543123543129</v>
      </c>
      <c r="Z355">
        <f>Cancer_doubles_final2[[#This Row],[mlp_test_acc2]]</f>
        <v>0.93589743589743601</v>
      </c>
    </row>
    <row r="356" spans="1:26" hidden="1" x14ac:dyDescent="0.25">
      <c r="A356" t="s">
        <v>19</v>
      </c>
      <c r="B356">
        <v>3</v>
      </c>
      <c r="C356">
        <v>2</v>
      </c>
      <c r="D356">
        <v>0</v>
      </c>
      <c r="E356" t="s">
        <v>333</v>
      </c>
      <c r="F356">
        <v>20596</v>
      </c>
      <c r="G356">
        <v>33750251.75</v>
      </c>
      <c r="H356">
        <v>0.97494172553221392</v>
      </c>
      <c r="I356">
        <v>0.94259906759906764</v>
      </c>
      <c r="J356">
        <v>7914955.166666667</v>
      </c>
      <c r="K356">
        <v>33002</v>
      </c>
      <c r="L356">
        <v>2</v>
      </c>
      <c r="M356">
        <v>120</v>
      </c>
      <c r="N356">
        <v>0.94726107226107237</v>
      </c>
      <c r="O356">
        <v>8662542.2083333321</v>
      </c>
      <c r="P356">
        <v>33519</v>
      </c>
      <c r="Q356">
        <v>2</v>
      </c>
      <c r="R356">
        <v>121</v>
      </c>
      <c r="S356" t="s">
        <v>334</v>
      </c>
      <c r="W356">
        <f>Cancer_doubles_final2[[#This Row],[mlp_params]]</f>
        <v>33002</v>
      </c>
      <c r="X356">
        <f>Cancer_doubles_final2[[#This Row],[kan_test_acc]]</f>
        <v>0.97494172553221392</v>
      </c>
      <c r="Y356">
        <f>Cancer_doubles_final2[[#This Row],[mlp_test_acc]]</f>
        <v>0.94259906759906764</v>
      </c>
      <c r="Z356">
        <f>Cancer_doubles_final2[[#This Row],[mlp_test_acc2]]</f>
        <v>0.94726107226107237</v>
      </c>
    </row>
    <row r="357" spans="1:26" hidden="1" x14ac:dyDescent="0.25">
      <c r="A357" t="s">
        <v>19</v>
      </c>
      <c r="B357">
        <v>9</v>
      </c>
      <c r="C357">
        <v>2</v>
      </c>
      <c r="D357">
        <v>0</v>
      </c>
      <c r="E357" t="s">
        <v>96</v>
      </c>
      <c r="F357">
        <v>20656</v>
      </c>
      <c r="G357">
        <v>30620027.27777778</v>
      </c>
      <c r="H357">
        <v>0.94988344444168937</v>
      </c>
      <c r="I357">
        <v>0.93414918414918413</v>
      </c>
      <c r="J357">
        <v>7383837.5</v>
      </c>
      <c r="K357">
        <v>27579</v>
      </c>
      <c r="L357">
        <v>2</v>
      </c>
      <c r="M357">
        <v>109</v>
      </c>
      <c r="N357">
        <v>0.93531468531468531</v>
      </c>
      <c r="O357">
        <v>9794653.277777778</v>
      </c>
      <c r="P357">
        <v>28052</v>
      </c>
      <c r="Q357">
        <v>2</v>
      </c>
      <c r="R357">
        <v>110</v>
      </c>
      <c r="S357" t="s">
        <v>335</v>
      </c>
      <c r="W357">
        <f>Cancer_doubles_final2[[#This Row],[mlp_params]]</f>
        <v>27579</v>
      </c>
      <c r="X357">
        <f>Cancer_doubles_final2[[#This Row],[kan_test_acc]]</f>
        <v>0.94988344444168937</v>
      </c>
      <c r="Y357">
        <f>Cancer_doubles_final2[[#This Row],[mlp_test_acc]]</f>
        <v>0.93414918414918413</v>
      </c>
      <c r="Z357">
        <f>Cancer_doubles_final2[[#This Row],[mlp_test_acc2]]</f>
        <v>0.93531468531468531</v>
      </c>
    </row>
    <row r="358" spans="1:26" hidden="1" x14ac:dyDescent="0.25">
      <c r="A358" t="s">
        <v>19</v>
      </c>
      <c r="B358">
        <v>9</v>
      </c>
      <c r="C358">
        <v>5</v>
      </c>
      <c r="D358">
        <v>0</v>
      </c>
      <c r="E358" t="s">
        <v>60</v>
      </c>
      <c r="F358">
        <v>20712</v>
      </c>
      <c r="G358">
        <v>19686351.833333332</v>
      </c>
      <c r="H358">
        <v>0.93084692623880183</v>
      </c>
      <c r="I358">
        <v>0.92327117327117325</v>
      </c>
      <c r="J358">
        <v>8090649.111111111</v>
      </c>
      <c r="K358">
        <v>34040</v>
      </c>
      <c r="L358">
        <v>2</v>
      </c>
      <c r="M358">
        <v>122</v>
      </c>
      <c r="N358">
        <v>0.92579642579642574</v>
      </c>
      <c r="O358">
        <v>9372637.6388888899</v>
      </c>
      <c r="P358">
        <v>34565</v>
      </c>
      <c r="Q358">
        <v>2</v>
      </c>
      <c r="R358">
        <v>123</v>
      </c>
      <c r="S358" t="s">
        <v>336</v>
      </c>
      <c r="W358">
        <f>Cancer_doubles_final2[[#This Row],[mlp_params]]</f>
        <v>34040</v>
      </c>
      <c r="X358">
        <f>Cancer_doubles_final2[[#This Row],[kan_test_acc]]</f>
        <v>0.93084692623880183</v>
      </c>
      <c r="Y358">
        <f>Cancer_doubles_final2[[#This Row],[mlp_test_acc]]</f>
        <v>0.92327117327117325</v>
      </c>
      <c r="Z358">
        <f>Cancer_doubles_final2[[#This Row],[mlp_test_acc2]]</f>
        <v>0.92579642579642574</v>
      </c>
    </row>
    <row r="359" spans="1:26" hidden="1" x14ac:dyDescent="0.25">
      <c r="A359" t="s">
        <v>19</v>
      </c>
      <c r="B359">
        <v>3</v>
      </c>
      <c r="C359">
        <v>2</v>
      </c>
      <c r="D359">
        <v>0</v>
      </c>
      <c r="E359" t="s">
        <v>337</v>
      </c>
      <c r="F359">
        <v>20716</v>
      </c>
      <c r="G359">
        <v>35864896.75</v>
      </c>
      <c r="H359">
        <v>0.94580419609944033</v>
      </c>
      <c r="I359">
        <v>0.95017482517482521</v>
      </c>
      <c r="J359">
        <v>9011977.5</v>
      </c>
      <c r="K359">
        <v>33519</v>
      </c>
      <c r="L359">
        <v>2</v>
      </c>
      <c r="M359">
        <v>121</v>
      </c>
      <c r="N359">
        <v>0.95046620046620045</v>
      </c>
      <c r="O359">
        <v>8866897.6666666679</v>
      </c>
      <c r="P359">
        <v>34040</v>
      </c>
      <c r="Q359">
        <v>2</v>
      </c>
      <c r="R359">
        <v>122</v>
      </c>
      <c r="S359" t="s">
        <v>338</v>
      </c>
      <c r="W359">
        <f>Cancer_doubles_final2[[#This Row],[mlp_params]]</f>
        <v>33519</v>
      </c>
      <c r="X359">
        <f>Cancer_doubles_final2[[#This Row],[kan_test_acc]]</f>
        <v>0.94580419609944033</v>
      </c>
      <c r="Y359">
        <f>Cancer_doubles_final2[[#This Row],[mlp_test_acc]]</f>
        <v>0.95017482517482521</v>
      </c>
      <c r="Z359">
        <f>Cancer_doubles_final2[[#This Row],[mlp_test_acc2]]</f>
        <v>0.95046620046620045</v>
      </c>
    </row>
    <row r="360" spans="1:26" hidden="1" x14ac:dyDescent="0.25">
      <c r="A360" t="s">
        <v>19</v>
      </c>
      <c r="B360">
        <v>3</v>
      </c>
      <c r="C360">
        <v>3</v>
      </c>
      <c r="D360">
        <v>0</v>
      </c>
      <c r="E360" t="s">
        <v>243</v>
      </c>
      <c r="F360">
        <v>20734</v>
      </c>
      <c r="G360">
        <v>39004885.111111112</v>
      </c>
      <c r="H360">
        <v>0.96231545673476326</v>
      </c>
      <c r="I360">
        <v>0.94638694638694643</v>
      </c>
      <c r="J360">
        <v>8577354.25</v>
      </c>
      <c r="K360">
        <v>36705</v>
      </c>
      <c r="L360">
        <v>2</v>
      </c>
      <c r="M360">
        <v>127</v>
      </c>
      <c r="N360">
        <v>0.94386169386169394</v>
      </c>
      <c r="O360">
        <v>8738938.222222222</v>
      </c>
      <c r="P360">
        <v>37250</v>
      </c>
      <c r="Q360">
        <v>2</v>
      </c>
      <c r="R360">
        <v>128</v>
      </c>
      <c r="S360" t="s">
        <v>339</v>
      </c>
      <c r="W360">
        <f>Cancer_doubles_final2[[#This Row],[mlp_params]]</f>
        <v>36705</v>
      </c>
      <c r="X360">
        <f>Cancer_doubles_final2[[#This Row],[kan_test_acc]]</f>
        <v>0.96231545673476326</v>
      </c>
      <c r="Y360">
        <f>Cancer_doubles_final2[[#This Row],[mlp_test_acc]]</f>
        <v>0.94638694638694643</v>
      </c>
      <c r="Z360">
        <f>Cancer_doubles_final2[[#This Row],[mlp_test_acc2]]</f>
        <v>0.94386169386169394</v>
      </c>
    </row>
    <row r="361" spans="1:26" hidden="1" x14ac:dyDescent="0.25">
      <c r="A361" t="s">
        <v>19</v>
      </c>
      <c r="B361">
        <v>5</v>
      </c>
      <c r="C361">
        <v>4</v>
      </c>
      <c r="D361">
        <v>0</v>
      </c>
      <c r="E361" t="s">
        <v>133</v>
      </c>
      <c r="F361">
        <v>20792</v>
      </c>
      <c r="G361">
        <v>33822345.972222224</v>
      </c>
      <c r="H361">
        <v>0.96658895744217765</v>
      </c>
      <c r="I361">
        <v>0.95027195027195033</v>
      </c>
      <c r="J361">
        <v>8989506.277777778</v>
      </c>
      <c r="K361">
        <v>36164</v>
      </c>
      <c r="L361">
        <v>2</v>
      </c>
      <c r="M361">
        <v>126</v>
      </c>
      <c r="N361">
        <v>0.94347319347319347</v>
      </c>
      <c r="O361">
        <v>9075819.444444444</v>
      </c>
      <c r="P361">
        <v>36705</v>
      </c>
      <c r="Q361">
        <v>2</v>
      </c>
      <c r="R361">
        <v>127</v>
      </c>
      <c r="S361" t="s">
        <v>340</v>
      </c>
      <c r="W361">
        <f>Cancer_doubles_final2[[#This Row],[mlp_params]]</f>
        <v>36164</v>
      </c>
      <c r="X361">
        <f>Cancer_doubles_final2[[#This Row],[kan_test_acc]]</f>
        <v>0.96658895744217765</v>
      </c>
      <c r="Y361">
        <f>Cancer_doubles_final2[[#This Row],[mlp_test_acc]]</f>
        <v>0.95027195027195033</v>
      </c>
      <c r="Z361">
        <f>Cancer_doubles_final2[[#This Row],[mlp_test_acc2]]</f>
        <v>0.94347319347319347</v>
      </c>
    </row>
    <row r="362" spans="1:26" hidden="1" x14ac:dyDescent="0.25">
      <c r="A362" t="s">
        <v>19</v>
      </c>
      <c r="B362">
        <v>3</v>
      </c>
      <c r="C362">
        <v>2</v>
      </c>
      <c r="D362">
        <v>0</v>
      </c>
      <c r="E362" t="s">
        <v>341</v>
      </c>
      <c r="F362">
        <v>20818</v>
      </c>
      <c r="G362">
        <v>24936817.604166664</v>
      </c>
      <c r="H362">
        <v>0.95512820656100916</v>
      </c>
      <c r="I362">
        <v>0.93240093240093236</v>
      </c>
      <c r="J362">
        <v>8266846.854166666</v>
      </c>
      <c r="K362">
        <v>33519</v>
      </c>
      <c r="L362">
        <v>2</v>
      </c>
      <c r="M362">
        <v>121</v>
      </c>
      <c r="N362">
        <v>0.92701048951048959</v>
      </c>
      <c r="O362">
        <v>7691534.9375</v>
      </c>
      <c r="P362">
        <v>34040</v>
      </c>
      <c r="Q362">
        <v>2</v>
      </c>
      <c r="R362">
        <v>122</v>
      </c>
      <c r="S362" t="s">
        <v>342</v>
      </c>
      <c r="W362">
        <f>Cancer_doubles_final2[[#This Row],[mlp_params]]</f>
        <v>33519</v>
      </c>
      <c r="X362">
        <f>Cancer_doubles_final2[[#This Row],[kan_test_acc]]</f>
        <v>0.95512820656100916</v>
      </c>
      <c r="Y362">
        <f>Cancer_doubles_final2[[#This Row],[mlp_test_acc]]</f>
        <v>0.93240093240093236</v>
      </c>
      <c r="Z362">
        <f>Cancer_doubles_final2[[#This Row],[mlp_test_acc2]]</f>
        <v>0.92701048951048959</v>
      </c>
    </row>
    <row r="363" spans="1:26" hidden="1" x14ac:dyDescent="0.25">
      <c r="A363" t="s">
        <v>19</v>
      </c>
      <c r="B363">
        <v>3</v>
      </c>
      <c r="C363">
        <v>3</v>
      </c>
      <c r="D363">
        <v>0</v>
      </c>
      <c r="E363" t="s">
        <v>250</v>
      </c>
      <c r="F363">
        <v>20848</v>
      </c>
      <c r="G363">
        <v>35302984.222222224</v>
      </c>
      <c r="H363">
        <v>0.96542346643077004</v>
      </c>
      <c r="I363">
        <v>0.9436674436674436</v>
      </c>
      <c r="J363">
        <v>8258641.2777777771</v>
      </c>
      <c r="K363">
        <v>36705</v>
      </c>
      <c r="L363">
        <v>2</v>
      </c>
      <c r="M363">
        <v>127</v>
      </c>
      <c r="N363">
        <v>0.94269619269619265</v>
      </c>
      <c r="O363">
        <v>9584187.4444444459</v>
      </c>
      <c r="P363">
        <v>37250</v>
      </c>
      <c r="Q363">
        <v>2</v>
      </c>
      <c r="R363">
        <v>128</v>
      </c>
      <c r="S363" t="s">
        <v>343</v>
      </c>
      <c r="W363">
        <f>Cancer_doubles_final2[[#This Row],[mlp_params]]</f>
        <v>36705</v>
      </c>
      <c r="X363">
        <f>Cancer_doubles_final2[[#This Row],[kan_test_acc]]</f>
        <v>0.96542346643077004</v>
      </c>
      <c r="Y363">
        <f>Cancer_doubles_final2[[#This Row],[mlp_test_acc]]</f>
        <v>0.9436674436674436</v>
      </c>
      <c r="Z363">
        <f>Cancer_doubles_final2[[#This Row],[mlp_test_acc2]]</f>
        <v>0.94269619269619265</v>
      </c>
    </row>
    <row r="364" spans="1:26" hidden="1" x14ac:dyDescent="0.25">
      <c r="A364" t="s">
        <v>19</v>
      </c>
      <c r="B364">
        <v>5</v>
      </c>
      <c r="C364">
        <v>5</v>
      </c>
      <c r="D364">
        <v>0</v>
      </c>
      <c r="E364" t="s">
        <v>116</v>
      </c>
      <c r="F364">
        <v>20852</v>
      </c>
      <c r="G364">
        <v>35542784.416666672</v>
      </c>
      <c r="H364">
        <v>0.95998445981078673</v>
      </c>
      <c r="I364">
        <v>0.94114219114219111</v>
      </c>
      <c r="J364">
        <v>8978454.3611111119</v>
      </c>
      <c r="K364">
        <v>38352</v>
      </c>
      <c r="L364">
        <v>2</v>
      </c>
      <c r="M364">
        <v>130</v>
      </c>
      <c r="N364">
        <v>0.93822843822843827</v>
      </c>
      <c r="O364">
        <v>9155410.777777778</v>
      </c>
      <c r="P364">
        <v>38909</v>
      </c>
      <c r="Q364">
        <v>2</v>
      </c>
      <c r="R364">
        <v>131</v>
      </c>
      <c r="S364" t="s">
        <v>344</v>
      </c>
      <c r="W364">
        <f>Cancer_doubles_final2[[#This Row],[mlp_params]]</f>
        <v>38352</v>
      </c>
      <c r="X364">
        <f>Cancer_doubles_final2[[#This Row],[kan_test_acc]]</f>
        <v>0.95998445981078673</v>
      </c>
      <c r="Y364">
        <f>Cancer_doubles_final2[[#This Row],[mlp_test_acc]]</f>
        <v>0.94114219114219111</v>
      </c>
      <c r="Z364">
        <f>Cancer_doubles_final2[[#This Row],[mlp_test_acc2]]</f>
        <v>0.93822843822843827</v>
      </c>
    </row>
    <row r="365" spans="1:26" hidden="1" x14ac:dyDescent="0.25">
      <c r="A365" t="s">
        <v>19</v>
      </c>
      <c r="B365">
        <v>3</v>
      </c>
      <c r="C365">
        <v>2</v>
      </c>
      <c r="D365">
        <v>0</v>
      </c>
      <c r="E365" t="s">
        <v>345</v>
      </c>
      <c r="F365">
        <v>20878</v>
      </c>
      <c r="G365">
        <v>29266770.583333336</v>
      </c>
      <c r="H365">
        <v>0.9634809576802783</v>
      </c>
      <c r="I365">
        <v>0.94794094794094796</v>
      </c>
      <c r="J365">
        <v>8582076.444444444</v>
      </c>
      <c r="K365">
        <v>33519</v>
      </c>
      <c r="L365">
        <v>2</v>
      </c>
      <c r="M365">
        <v>121</v>
      </c>
      <c r="N365">
        <v>0.94250194250194252</v>
      </c>
      <c r="O365">
        <v>8591698.027777778</v>
      </c>
      <c r="P365">
        <v>34040</v>
      </c>
      <c r="Q365">
        <v>2</v>
      </c>
      <c r="R365">
        <v>122</v>
      </c>
      <c r="S365" t="s">
        <v>346</v>
      </c>
      <c r="W365">
        <f>Cancer_doubles_final2[[#This Row],[mlp_params]]</f>
        <v>33519</v>
      </c>
      <c r="X365">
        <f>Cancer_doubles_final2[[#This Row],[kan_test_acc]]</f>
        <v>0.9634809576802783</v>
      </c>
      <c r="Y365">
        <f>Cancer_doubles_final2[[#This Row],[mlp_test_acc]]</f>
        <v>0.94794094794094796</v>
      </c>
      <c r="Z365">
        <f>Cancer_doubles_final2[[#This Row],[mlp_test_acc2]]</f>
        <v>0.94250194250194252</v>
      </c>
    </row>
    <row r="366" spans="1:26" hidden="1" x14ac:dyDescent="0.25">
      <c r="A366" t="s">
        <v>19</v>
      </c>
      <c r="B366">
        <v>3</v>
      </c>
      <c r="C366">
        <v>2</v>
      </c>
      <c r="D366">
        <v>0</v>
      </c>
      <c r="E366" t="s">
        <v>347</v>
      </c>
      <c r="F366">
        <v>20912</v>
      </c>
      <c r="G366">
        <v>31423196.111111112</v>
      </c>
      <c r="H366">
        <v>0.96056720117727912</v>
      </c>
      <c r="I366">
        <v>0.94755244755244761</v>
      </c>
      <c r="J366">
        <v>8446256.805555556</v>
      </c>
      <c r="K366">
        <v>33519</v>
      </c>
      <c r="L366">
        <v>2</v>
      </c>
      <c r="M366">
        <v>121</v>
      </c>
      <c r="N366">
        <v>0.94308469308469312</v>
      </c>
      <c r="O366">
        <v>8622675.305555556</v>
      </c>
      <c r="P366">
        <v>34040</v>
      </c>
      <c r="Q366">
        <v>2</v>
      </c>
      <c r="R366">
        <v>122</v>
      </c>
      <c r="S366" t="s">
        <v>348</v>
      </c>
      <c r="W366">
        <f>Cancer_doubles_final2[[#This Row],[mlp_params]]</f>
        <v>33519</v>
      </c>
      <c r="X366">
        <f>Cancer_doubles_final2[[#This Row],[kan_test_acc]]</f>
        <v>0.96056720117727912</v>
      </c>
      <c r="Y366">
        <f>Cancer_doubles_final2[[#This Row],[mlp_test_acc]]</f>
        <v>0.94755244755244761</v>
      </c>
      <c r="Z366">
        <f>Cancer_doubles_final2[[#This Row],[mlp_test_acc2]]</f>
        <v>0.94308469308469312</v>
      </c>
    </row>
    <row r="367" spans="1:26" hidden="1" x14ac:dyDescent="0.25">
      <c r="A367" t="s">
        <v>19</v>
      </c>
      <c r="B367">
        <v>3</v>
      </c>
      <c r="C367">
        <v>3</v>
      </c>
      <c r="D367">
        <v>0</v>
      </c>
      <c r="E367" t="s">
        <v>252</v>
      </c>
      <c r="F367">
        <v>20916</v>
      </c>
      <c r="G367">
        <v>33476880.305555556</v>
      </c>
      <c r="H367">
        <v>0.96134420401520193</v>
      </c>
      <c r="I367">
        <v>0.94386169386169394</v>
      </c>
      <c r="J367">
        <v>8950642.333333334</v>
      </c>
      <c r="K367">
        <v>36705</v>
      </c>
      <c r="L367">
        <v>2</v>
      </c>
      <c r="M367">
        <v>127</v>
      </c>
      <c r="N367">
        <v>0.94347319347319347</v>
      </c>
      <c r="O367">
        <v>7942070.944444445</v>
      </c>
      <c r="P367">
        <v>37250</v>
      </c>
      <c r="Q367">
        <v>2</v>
      </c>
      <c r="R367">
        <v>128</v>
      </c>
      <c r="S367" t="s">
        <v>349</v>
      </c>
      <c r="W367">
        <f>Cancer_doubles_final2[[#This Row],[mlp_params]]</f>
        <v>36705</v>
      </c>
      <c r="X367">
        <f>Cancer_doubles_final2[[#This Row],[kan_test_acc]]</f>
        <v>0.96134420401520193</v>
      </c>
      <c r="Y367">
        <f>Cancer_doubles_final2[[#This Row],[mlp_test_acc]]</f>
        <v>0.94386169386169394</v>
      </c>
      <c r="Z367">
        <f>Cancer_doubles_final2[[#This Row],[mlp_test_acc2]]</f>
        <v>0.94347319347319347</v>
      </c>
    </row>
    <row r="368" spans="1:26" hidden="1" x14ac:dyDescent="0.25">
      <c r="A368" t="s">
        <v>19</v>
      </c>
      <c r="B368">
        <v>3</v>
      </c>
      <c r="C368">
        <v>3</v>
      </c>
      <c r="D368">
        <v>0</v>
      </c>
      <c r="E368" t="s">
        <v>256</v>
      </c>
      <c r="F368">
        <v>20954</v>
      </c>
      <c r="G368">
        <v>41746675.277777784</v>
      </c>
      <c r="H368">
        <v>0.96289820637967849</v>
      </c>
      <c r="I368">
        <v>0.94405594405594406</v>
      </c>
      <c r="J368">
        <v>9309943.694444444</v>
      </c>
      <c r="K368">
        <v>36705</v>
      </c>
      <c r="L368">
        <v>2</v>
      </c>
      <c r="M368">
        <v>127</v>
      </c>
      <c r="N368">
        <v>0.94405594405594406</v>
      </c>
      <c r="O368">
        <v>8876709.5</v>
      </c>
      <c r="P368">
        <v>37250</v>
      </c>
      <c r="Q368">
        <v>2</v>
      </c>
      <c r="R368">
        <v>128</v>
      </c>
      <c r="S368" t="s">
        <v>350</v>
      </c>
      <c r="W368">
        <f>Cancer_doubles_final2[[#This Row],[mlp_params]]</f>
        <v>36705</v>
      </c>
      <c r="X368">
        <f>Cancer_doubles_final2[[#This Row],[kan_test_acc]]</f>
        <v>0.96289820637967849</v>
      </c>
      <c r="Y368">
        <f>Cancer_doubles_final2[[#This Row],[mlp_test_acc]]</f>
        <v>0.94405594405594406</v>
      </c>
      <c r="Z368">
        <f>Cancer_doubles_final2[[#This Row],[mlp_test_acc2]]</f>
        <v>0.94405594405594406</v>
      </c>
    </row>
    <row r="369" spans="1:26" hidden="1" x14ac:dyDescent="0.25">
      <c r="A369" t="s">
        <v>19</v>
      </c>
      <c r="B369">
        <v>3</v>
      </c>
      <c r="C369">
        <v>4</v>
      </c>
      <c r="D369">
        <v>0</v>
      </c>
      <c r="E369" t="s">
        <v>198</v>
      </c>
      <c r="F369">
        <v>21066</v>
      </c>
      <c r="G369">
        <v>40109568.888888888</v>
      </c>
      <c r="H369">
        <v>0.96717171536551583</v>
      </c>
      <c r="I369">
        <v>0.94289044289044288</v>
      </c>
      <c r="J369">
        <v>9421656.305555556</v>
      </c>
      <c r="K369">
        <v>39470</v>
      </c>
      <c r="L369">
        <v>2</v>
      </c>
      <c r="M369">
        <v>132</v>
      </c>
      <c r="N369">
        <v>0.94211344211344217</v>
      </c>
      <c r="O369">
        <v>9046986.3055555541</v>
      </c>
      <c r="P369">
        <v>40035</v>
      </c>
      <c r="Q369">
        <v>2</v>
      </c>
      <c r="R369">
        <v>133</v>
      </c>
      <c r="S369" t="s">
        <v>351</v>
      </c>
      <c r="W369">
        <f>Cancer_doubles_final2[[#This Row],[mlp_params]]</f>
        <v>39470</v>
      </c>
      <c r="X369">
        <f>Cancer_doubles_final2[[#This Row],[kan_test_acc]]</f>
        <v>0.96717171536551583</v>
      </c>
      <c r="Y369">
        <f>Cancer_doubles_final2[[#This Row],[mlp_test_acc]]</f>
        <v>0.94289044289044288</v>
      </c>
      <c r="Z369">
        <f>Cancer_doubles_final2[[#This Row],[mlp_test_acc2]]</f>
        <v>0.94211344211344217</v>
      </c>
    </row>
    <row r="370" spans="1:26" hidden="1" x14ac:dyDescent="0.25">
      <c r="A370" t="s">
        <v>19</v>
      </c>
      <c r="B370">
        <v>5</v>
      </c>
      <c r="C370">
        <v>2</v>
      </c>
      <c r="D370">
        <v>0</v>
      </c>
      <c r="E370" t="s">
        <v>198</v>
      </c>
      <c r="F370">
        <v>21066</v>
      </c>
      <c r="G370">
        <v>38709968.875</v>
      </c>
      <c r="H370">
        <v>0.97435897092024482</v>
      </c>
      <c r="I370">
        <v>0.94289044289044288</v>
      </c>
      <c r="J370">
        <v>9071356.708333334</v>
      </c>
      <c r="K370">
        <v>31475</v>
      </c>
      <c r="L370">
        <v>2</v>
      </c>
      <c r="M370">
        <v>117</v>
      </c>
      <c r="N370">
        <v>0.94201631701631705</v>
      </c>
      <c r="O370">
        <v>8729605.916666666</v>
      </c>
      <c r="P370">
        <v>31980</v>
      </c>
      <c r="Q370">
        <v>2</v>
      </c>
      <c r="R370">
        <v>118</v>
      </c>
      <c r="S370" t="s">
        <v>352</v>
      </c>
      <c r="W370">
        <f>Cancer_doubles_final2[[#This Row],[mlp_params]]</f>
        <v>31475</v>
      </c>
      <c r="X370">
        <f>Cancer_doubles_final2[[#This Row],[kan_test_acc]]</f>
        <v>0.97435897092024482</v>
      </c>
      <c r="Y370">
        <f>Cancer_doubles_final2[[#This Row],[mlp_test_acc]]</f>
        <v>0.94289044289044288</v>
      </c>
      <c r="Z370">
        <f>Cancer_doubles_final2[[#This Row],[mlp_test_acc2]]</f>
        <v>0.94201631701631705</v>
      </c>
    </row>
    <row r="371" spans="1:26" hidden="1" x14ac:dyDescent="0.25">
      <c r="A371" t="s">
        <v>19</v>
      </c>
      <c r="B371">
        <v>3</v>
      </c>
      <c r="C371">
        <v>4</v>
      </c>
      <c r="D371">
        <v>0</v>
      </c>
      <c r="E371" t="s">
        <v>198</v>
      </c>
      <c r="F371">
        <v>21066</v>
      </c>
      <c r="G371">
        <v>40661495</v>
      </c>
      <c r="H371">
        <v>0.97202795743942261</v>
      </c>
      <c r="I371">
        <v>0.9332750582750583</v>
      </c>
      <c r="J371">
        <v>9086972.166666666</v>
      </c>
      <c r="K371">
        <v>39470</v>
      </c>
      <c r="L371">
        <v>2</v>
      </c>
      <c r="M371">
        <v>132</v>
      </c>
      <c r="N371">
        <v>0.93444055944055948</v>
      </c>
      <c r="O371">
        <v>8358839.541666667</v>
      </c>
      <c r="P371">
        <v>40035</v>
      </c>
      <c r="Q371">
        <v>2</v>
      </c>
      <c r="R371">
        <v>133</v>
      </c>
      <c r="S371" t="s">
        <v>351</v>
      </c>
      <c r="W371">
        <f>Cancer_doubles_final2[[#This Row],[mlp_params]]</f>
        <v>39470</v>
      </c>
      <c r="X371">
        <f>Cancer_doubles_final2[[#This Row],[kan_test_acc]]</f>
        <v>0.97202795743942261</v>
      </c>
      <c r="Y371">
        <f>Cancer_doubles_final2[[#This Row],[mlp_test_acc]]</f>
        <v>0.9332750582750583</v>
      </c>
      <c r="Z371">
        <f>Cancer_doubles_final2[[#This Row],[mlp_test_acc2]]</f>
        <v>0.93444055944055948</v>
      </c>
    </row>
    <row r="372" spans="1:26" hidden="1" x14ac:dyDescent="0.25">
      <c r="A372" t="s">
        <v>19</v>
      </c>
      <c r="B372">
        <v>5</v>
      </c>
      <c r="C372">
        <v>2</v>
      </c>
      <c r="D372">
        <v>0</v>
      </c>
      <c r="E372" t="s">
        <v>198</v>
      </c>
      <c r="F372">
        <v>21066</v>
      </c>
      <c r="G372">
        <v>37161364.708333328</v>
      </c>
      <c r="H372">
        <v>0.9778554687897365</v>
      </c>
      <c r="I372">
        <v>0.93123543123543129</v>
      </c>
      <c r="J372">
        <v>9260488.5833333321</v>
      </c>
      <c r="K372">
        <v>31475</v>
      </c>
      <c r="L372">
        <v>2</v>
      </c>
      <c r="M372">
        <v>117</v>
      </c>
      <c r="N372">
        <v>0.93210955710955712</v>
      </c>
      <c r="O372">
        <v>9131870.625</v>
      </c>
      <c r="P372">
        <v>31980</v>
      </c>
      <c r="Q372">
        <v>2</v>
      </c>
      <c r="R372">
        <v>118</v>
      </c>
      <c r="S372" t="s">
        <v>352</v>
      </c>
      <c r="W372">
        <f>Cancer_doubles_final2[[#This Row],[mlp_params]]</f>
        <v>31475</v>
      </c>
      <c r="X372">
        <f>Cancer_doubles_final2[[#This Row],[kan_test_acc]]</f>
        <v>0.9778554687897365</v>
      </c>
      <c r="Y372">
        <f>Cancer_doubles_final2[[#This Row],[mlp_test_acc]]</f>
        <v>0.93123543123543129</v>
      </c>
      <c r="Z372">
        <f>Cancer_doubles_final2[[#This Row],[mlp_test_acc2]]</f>
        <v>0.93210955710955712</v>
      </c>
    </row>
    <row r="373" spans="1:26" hidden="1" x14ac:dyDescent="0.25">
      <c r="A373" t="s">
        <v>19</v>
      </c>
      <c r="B373">
        <v>3</v>
      </c>
      <c r="C373">
        <v>2</v>
      </c>
      <c r="D373">
        <v>0</v>
      </c>
      <c r="E373" t="s">
        <v>353</v>
      </c>
      <c r="F373">
        <v>21110</v>
      </c>
      <c r="G373">
        <v>35765537.25</v>
      </c>
      <c r="H373">
        <v>0.98135197907686234</v>
      </c>
      <c r="I373">
        <v>0.94347319347319347</v>
      </c>
      <c r="J373">
        <v>8881291.75</v>
      </c>
      <c r="K373">
        <v>34040</v>
      </c>
      <c r="L373">
        <v>2</v>
      </c>
      <c r="M373">
        <v>122</v>
      </c>
      <c r="N373">
        <v>0.94347319347319347</v>
      </c>
      <c r="O373">
        <v>9656846.208333334</v>
      </c>
      <c r="P373">
        <v>34565</v>
      </c>
      <c r="Q373">
        <v>2</v>
      </c>
      <c r="R373">
        <v>123</v>
      </c>
      <c r="S373" t="s">
        <v>354</v>
      </c>
      <c r="W373">
        <f>Cancer_doubles_final2[[#This Row],[mlp_params]]</f>
        <v>34040</v>
      </c>
      <c r="X373">
        <f>Cancer_doubles_final2[[#This Row],[kan_test_acc]]</f>
        <v>0.98135197907686234</v>
      </c>
      <c r="Y373">
        <f>Cancer_doubles_final2[[#This Row],[mlp_test_acc]]</f>
        <v>0.94347319347319347</v>
      </c>
      <c r="Z373">
        <f>Cancer_doubles_final2[[#This Row],[mlp_test_acc2]]</f>
        <v>0.94347319347319347</v>
      </c>
    </row>
    <row r="374" spans="1:26" hidden="1" x14ac:dyDescent="0.25">
      <c r="A374" t="s">
        <v>19</v>
      </c>
      <c r="B374">
        <v>3</v>
      </c>
      <c r="C374">
        <v>3</v>
      </c>
      <c r="D374">
        <v>0</v>
      </c>
      <c r="E374" t="s">
        <v>260</v>
      </c>
      <c r="F374">
        <v>21130</v>
      </c>
      <c r="G374">
        <v>40287887</v>
      </c>
      <c r="H374">
        <v>0.96406370566950905</v>
      </c>
      <c r="I374">
        <v>0.94677544677544678</v>
      </c>
      <c r="J374">
        <v>8247586.222222222</v>
      </c>
      <c r="K374">
        <v>37250</v>
      </c>
      <c r="L374">
        <v>2</v>
      </c>
      <c r="M374">
        <v>128</v>
      </c>
      <c r="N374">
        <v>0.94832944832944832</v>
      </c>
      <c r="O374">
        <v>9532886.1111111119</v>
      </c>
      <c r="P374">
        <v>37799</v>
      </c>
      <c r="Q374">
        <v>2</v>
      </c>
      <c r="R374">
        <v>129</v>
      </c>
      <c r="S374" t="s">
        <v>355</v>
      </c>
      <c r="W374">
        <f>Cancer_doubles_final2[[#This Row],[mlp_params]]</f>
        <v>37250</v>
      </c>
      <c r="X374">
        <f>Cancer_doubles_final2[[#This Row],[kan_test_acc]]</f>
        <v>0.96406370566950905</v>
      </c>
      <c r="Y374">
        <f>Cancer_doubles_final2[[#This Row],[mlp_test_acc]]</f>
        <v>0.94677544677544678</v>
      </c>
      <c r="Z374">
        <f>Cancer_doubles_final2[[#This Row],[mlp_test_acc2]]</f>
        <v>0.94832944832944832</v>
      </c>
    </row>
    <row r="375" spans="1:26" hidden="1" x14ac:dyDescent="0.25">
      <c r="A375" t="s">
        <v>19</v>
      </c>
      <c r="B375">
        <v>9</v>
      </c>
      <c r="C375">
        <v>3</v>
      </c>
      <c r="D375">
        <v>0</v>
      </c>
      <c r="E375" t="s">
        <v>87</v>
      </c>
      <c r="F375">
        <v>21166</v>
      </c>
      <c r="G375">
        <v>41005579.833333336</v>
      </c>
      <c r="H375">
        <v>0.95843045082357192</v>
      </c>
      <c r="I375">
        <v>0.92832167832167833</v>
      </c>
      <c r="J375">
        <v>8956238.5</v>
      </c>
      <c r="K375">
        <v>30974</v>
      </c>
      <c r="L375">
        <v>2</v>
      </c>
      <c r="M375">
        <v>116</v>
      </c>
      <c r="N375">
        <v>0.93337218337218342</v>
      </c>
      <c r="O375">
        <v>8343168.222222222</v>
      </c>
      <c r="P375">
        <v>31475</v>
      </c>
      <c r="Q375">
        <v>2</v>
      </c>
      <c r="R375">
        <v>117</v>
      </c>
      <c r="S375" t="s">
        <v>356</v>
      </c>
      <c r="W375">
        <f>Cancer_doubles_final2[[#This Row],[mlp_params]]</f>
        <v>30974</v>
      </c>
      <c r="X375">
        <f>Cancer_doubles_final2[[#This Row],[kan_test_acc]]</f>
        <v>0.95843045082357192</v>
      </c>
      <c r="Y375">
        <f>Cancer_doubles_final2[[#This Row],[mlp_test_acc]]</f>
        <v>0.92832167832167833</v>
      </c>
      <c r="Z375">
        <f>Cancer_doubles_final2[[#This Row],[mlp_test_acc2]]</f>
        <v>0.93337218337218342</v>
      </c>
    </row>
    <row r="376" spans="1:26" x14ac:dyDescent="0.25">
      <c r="A376" t="s">
        <v>19</v>
      </c>
      <c r="B376">
        <v>3</v>
      </c>
      <c r="C376">
        <v>5</v>
      </c>
      <c r="D376">
        <v>0</v>
      </c>
      <c r="E376" t="s">
        <v>165</v>
      </c>
      <c r="F376">
        <v>21182</v>
      </c>
      <c r="G376">
        <v>25665308.972222224</v>
      </c>
      <c r="H376">
        <v>0.94619269669055939</v>
      </c>
      <c r="I376">
        <v>0.92191142191142184</v>
      </c>
      <c r="J376">
        <v>8359389.694444444</v>
      </c>
      <c r="K376">
        <v>41754</v>
      </c>
      <c r="L376">
        <v>2</v>
      </c>
      <c r="M376">
        <v>136</v>
      </c>
      <c r="N376">
        <v>0.9242424242424242</v>
      </c>
      <c r="O376">
        <v>8597068.3611111101</v>
      </c>
      <c r="P376">
        <v>42335</v>
      </c>
      <c r="Q376">
        <v>2</v>
      </c>
      <c r="R376">
        <v>137</v>
      </c>
      <c r="S376" t="s">
        <v>357</v>
      </c>
      <c r="W376">
        <f>Cancer_doubles_final2[[#This Row],[mlp_params]]</f>
        <v>41754</v>
      </c>
      <c r="X376">
        <f>Cancer_doubles_final2[[#This Row],[kan_test_acc]]</f>
        <v>0.94619269669055939</v>
      </c>
      <c r="Y376">
        <f>Cancer_doubles_final2[[#This Row],[mlp_test_acc]]</f>
        <v>0.92191142191142184</v>
      </c>
      <c r="Z376">
        <f>Cancer_doubles_final2[[#This Row],[mlp_test_acc2]]</f>
        <v>0.9242424242424242</v>
      </c>
    </row>
    <row r="377" spans="1:26" hidden="1" x14ac:dyDescent="0.25">
      <c r="A377" t="s">
        <v>19</v>
      </c>
      <c r="B377">
        <v>5</v>
      </c>
      <c r="C377">
        <v>3</v>
      </c>
      <c r="D377">
        <v>0</v>
      </c>
      <c r="E377" t="s">
        <v>165</v>
      </c>
      <c r="F377">
        <v>21182</v>
      </c>
      <c r="G377">
        <v>27637518.416666668</v>
      </c>
      <c r="H377">
        <v>0.97552447021007538</v>
      </c>
      <c r="I377">
        <v>0.94026806526806528</v>
      </c>
      <c r="J377">
        <v>9059215.666666666</v>
      </c>
      <c r="K377">
        <v>34565</v>
      </c>
      <c r="L377">
        <v>2</v>
      </c>
      <c r="M377">
        <v>123</v>
      </c>
      <c r="N377">
        <v>0.94463869463869465</v>
      </c>
      <c r="O377">
        <v>8260351.541666666</v>
      </c>
      <c r="P377">
        <v>35094</v>
      </c>
      <c r="Q377">
        <v>2</v>
      </c>
      <c r="R377">
        <v>124</v>
      </c>
      <c r="S377" t="s">
        <v>358</v>
      </c>
      <c r="W377">
        <f>Cancer_doubles_final2[[#This Row],[mlp_params]]</f>
        <v>34565</v>
      </c>
      <c r="X377">
        <f>Cancer_doubles_final2[[#This Row],[kan_test_acc]]</f>
        <v>0.97552447021007538</v>
      </c>
      <c r="Y377">
        <f>Cancer_doubles_final2[[#This Row],[mlp_test_acc]]</f>
        <v>0.94026806526806528</v>
      </c>
      <c r="Z377">
        <f>Cancer_doubles_final2[[#This Row],[mlp_test_acc2]]</f>
        <v>0.94463869463869465</v>
      </c>
    </row>
    <row r="378" spans="1:26" x14ac:dyDescent="0.25">
      <c r="A378" t="s">
        <v>19</v>
      </c>
      <c r="B378">
        <v>3</v>
      </c>
      <c r="C378">
        <v>5</v>
      </c>
      <c r="D378">
        <v>0</v>
      </c>
      <c r="E378" t="s">
        <v>165</v>
      </c>
      <c r="F378">
        <v>21182</v>
      </c>
      <c r="G378">
        <v>29339450.750000004</v>
      </c>
      <c r="H378">
        <v>0.97348484148581815</v>
      </c>
      <c r="I378">
        <v>0.92890442890442892</v>
      </c>
      <c r="J378">
        <v>8714773.291666666</v>
      </c>
      <c r="K378">
        <v>41754</v>
      </c>
      <c r="L378">
        <v>2</v>
      </c>
      <c r="M378">
        <v>136</v>
      </c>
      <c r="N378">
        <v>0.93210955710955723</v>
      </c>
      <c r="O378">
        <v>8414559.041666666</v>
      </c>
      <c r="P378">
        <v>42335</v>
      </c>
      <c r="Q378">
        <v>2</v>
      </c>
      <c r="R378">
        <v>137</v>
      </c>
      <c r="S378" t="s">
        <v>357</v>
      </c>
      <c r="W378">
        <f>Cancer_doubles_final2[[#This Row],[mlp_params]]</f>
        <v>41754</v>
      </c>
      <c r="X378">
        <f>Cancer_doubles_final2[[#This Row],[kan_test_acc]]</f>
        <v>0.97348484148581815</v>
      </c>
      <c r="Y378">
        <f>Cancer_doubles_final2[[#This Row],[mlp_test_acc]]</f>
        <v>0.92890442890442892</v>
      </c>
      <c r="Z378">
        <f>Cancer_doubles_final2[[#This Row],[mlp_test_acc2]]</f>
        <v>0.93210955710955723</v>
      </c>
    </row>
    <row r="379" spans="1:26" hidden="1" x14ac:dyDescent="0.25">
      <c r="A379" t="s">
        <v>19</v>
      </c>
      <c r="B379">
        <v>5</v>
      </c>
      <c r="C379">
        <v>3</v>
      </c>
      <c r="D379">
        <v>0</v>
      </c>
      <c r="E379" t="s">
        <v>165</v>
      </c>
      <c r="F379">
        <v>21182</v>
      </c>
      <c r="G379">
        <v>27885436.25</v>
      </c>
      <c r="H379">
        <v>0.95279720177253091</v>
      </c>
      <c r="I379">
        <v>0.91025641025641024</v>
      </c>
      <c r="J379">
        <v>8603174.7083333321</v>
      </c>
      <c r="K379">
        <v>34565</v>
      </c>
      <c r="L379">
        <v>2</v>
      </c>
      <c r="M379">
        <v>123</v>
      </c>
      <c r="N379">
        <v>0.90938228438228441</v>
      </c>
      <c r="O379">
        <v>8652910.791666666</v>
      </c>
      <c r="P379">
        <v>35094</v>
      </c>
      <c r="Q379">
        <v>2</v>
      </c>
      <c r="R379">
        <v>124</v>
      </c>
      <c r="S379" t="s">
        <v>358</v>
      </c>
      <c r="W379">
        <f>Cancer_doubles_final2[[#This Row],[mlp_params]]</f>
        <v>34565</v>
      </c>
      <c r="X379">
        <f>Cancer_doubles_final2[[#This Row],[kan_test_acc]]</f>
        <v>0.95279720177253091</v>
      </c>
      <c r="Y379">
        <f>Cancer_doubles_final2[[#This Row],[mlp_test_acc]]</f>
        <v>0.91025641025641024</v>
      </c>
      <c r="Z379">
        <f>Cancer_doubles_final2[[#This Row],[mlp_test_acc2]]</f>
        <v>0.90938228438228441</v>
      </c>
    </row>
    <row r="380" spans="1:26" hidden="1" x14ac:dyDescent="0.25">
      <c r="A380" t="s">
        <v>19</v>
      </c>
      <c r="B380">
        <v>3</v>
      </c>
      <c r="C380">
        <v>4</v>
      </c>
      <c r="D380">
        <v>0</v>
      </c>
      <c r="E380" t="s">
        <v>203</v>
      </c>
      <c r="F380">
        <v>21228</v>
      </c>
      <c r="G380">
        <v>24934644.958333332</v>
      </c>
      <c r="H380">
        <v>0.95192307978868484</v>
      </c>
      <c r="I380">
        <v>0.92977855477855476</v>
      </c>
      <c r="J380">
        <v>8272526.5</v>
      </c>
      <c r="K380">
        <v>40035</v>
      </c>
      <c r="L380">
        <v>2</v>
      </c>
      <c r="M380">
        <v>133</v>
      </c>
      <c r="N380">
        <v>0.92220279720279719</v>
      </c>
      <c r="O380">
        <v>8922077.7916666679</v>
      </c>
      <c r="P380">
        <v>40604</v>
      </c>
      <c r="Q380">
        <v>2</v>
      </c>
      <c r="R380">
        <v>134</v>
      </c>
      <c r="S380" t="s">
        <v>359</v>
      </c>
      <c r="W380">
        <f>Cancer_doubles_final2[[#This Row],[mlp_params]]</f>
        <v>40035</v>
      </c>
      <c r="X380">
        <f>Cancer_doubles_final2[[#This Row],[kan_test_acc]]</f>
        <v>0.95192307978868484</v>
      </c>
      <c r="Y380">
        <f>Cancer_doubles_final2[[#This Row],[mlp_test_acc]]</f>
        <v>0.92977855477855476</v>
      </c>
      <c r="Z380">
        <f>Cancer_doubles_final2[[#This Row],[mlp_test_acc2]]</f>
        <v>0.92220279720279719</v>
      </c>
    </row>
    <row r="381" spans="1:26" x14ac:dyDescent="0.25">
      <c r="A381" t="s">
        <v>19</v>
      </c>
      <c r="B381">
        <v>3</v>
      </c>
      <c r="C381">
        <v>5</v>
      </c>
      <c r="D381">
        <v>0</v>
      </c>
      <c r="E381" t="s">
        <v>167</v>
      </c>
      <c r="F381">
        <v>21228</v>
      </c>
      <c r="G381">
        <v>30564104.875</v>
      </c>
      <c r="H381">
        <v>0.97698135177294421</v>
      </c>
      <c r="I381">
        <v>0.95046620046620045</v>
      </c>
      <c r="J381">
        <v>8413490.875</v>
      </c>
      <c r="K381">
        <v>42335</v>
      </c>
      <c r="L381">
        <v>2</v>
      </c>
      <c r="M381">
        <v>137</v>
      </c>
      <c r="N381">
        <v>0.94930069930069927</v>
      </c>
      <c r="O381">
        <v>9335137.125</v>
      </c>
      <c r="P381">
        <v>42920</v>
      </c>
      <c r="Q381">
        <v>2</v>
      </c>
      <c r="R381">
        <v>138</v>
      </c>
      <c r="S381" t="s">
        <v>360</v>
      </c>
      <c r="W381">
        <f>Cancer_doubles_final2[[#This Row],[mlp_params]]</f>
        <v>42335</v>
      </c>
      <c r="X381">
        <f>Cancer_doubles_final2[[#This Row],[kan_test_acc]]</f>
        <v>0.97698135177294421</v>
      </c>
      <c r="Y381">
        <f>Cancer_doubles_final2[[#This Row],[mlp_test_acc]]</f>
        <v>0.95046620046620045</v>
      </c>
      <c r="Z381">
        <f>Cancer_doubles_final2[[#This Row],[mlp_test_acc2]]</f>
        <v>0.94930069930069927</v>
      </c>
    </row>
    <row r="382" spans="1:26" hidden="1" x14ac:dyDescent="0.25">
      <c r="A382" t="s">
        <v>19</v>
      </c>
      <c r="B382">
        <v>5</v>
      </c>
      <c r="C382">
        <v>2</v>
      </c>
      <c r="D382">
        <v>0</v>
      </c>
      <c r="E382" t="s">
        <v>203</v>
      </c>
      <c r="F382">
        <v>21228</v>
      </c>
      <c r="G382">
        <v>30934798.125</v>
      </c>
      <c r="H382">
        <v>0.97552446524302161</v>
      </c>
      <c r="I382">
        <v>0.94114219114219111</v>
      </c>
      <c r="J382">
        <v>8858969.8333333321</v>
      </c>
      <c r="K382">
        <v>31475</v>
      </c>
      <c r="L382">
        <v>2</v>
      </c>
      <c r="M382">
        <v>117</v>
      </c>
      <c r="N382">
        <v>0.94959207459207451</v>
      </c>
      <c r="O382">
        <v>9193836.375</v>
      </c>
      <c r="P382">
        <v>31980</v>
      </c>
      <c r="Q382">
        <v>2</v>
      </c>
      <c r="R382">
        <v>118</v>
      </c>
      <c r="S382" t="s">
        <v>361</v>
      </c>
      <c r="W382">
        <f>Cancer_doubles_final2[[#This Row],[mlp_params]]</f>
        <v>31475</v>
      </c>
      <c r="X382">
        <f>Cancer_doubles_final2[[#This Row],[kan_test_acc]]</f>
        <v>0.97552446524302161</v>
      </c>
      <c r="Y382">
        <f>Cancer_doubles_final2[[#This Row],[mlp_test_acc]]</f>
        <v>0.94114219114219111</v>
      </c>
      <c r="Z382">
        <f>Cancer_doubles_final2[[#This Row],[mlp_test_acc2]]</f>
        <v>0.94959207459207451</v>
      </c>
    </row>
    <row r="383" spans="1:26" hidden="1" x14ac:dyDescent="0.25">
      <c r="A383" t="s">
        <v>19</v>
      </c>
      <c r="B383">
        <v>5</v>
      </c>
      <c r="C383">
        <v>3</v>
      </c>
      <c r="D383">
        <v>0</v>
      </c>
      <c r="E383" t="s">
        <v>167</v>
      </c>
      <c r="F383">
        <v>21228</v>
      </c>
      <c r="G383">
        <v>31815393.083333336</v>
      </c>
      <c r="H383">
        <v>0.97057108581066132</v>
      </c>
      <c r="I383">
        <v>0.9391025641025641</v>
      </c>
      <c r="J383">
        <v>9477961.625</v>
      </c>
      <c r="K383">
        <v>34565</v>
      </c>
      <c r="L383">
        <v>2</v>
      </c>
      <c r="M383">
        <v>123</v>
      </c>
      <c r="N383">
        <v>0.94259906759906764</v>
      </c>
      <c r="O383">
        <v>9052725.0833333321</v>
      </c>
      <c r="P383">
        <v>35094</v>
      </c>
      <c r="Q383">
        <v>2</v>
      </c>
      <c r="R383">
        <v>124</v>
      </c>
      <c r="S383" t="s">
        <v>362</v>
      </c>
      <c r="W383">
        <f>Cancer_doubles_final2[[#This Row],[mlp_params]]</f>
        <v>34565</v>
      </c>
      <c r="X383">
        <f>Cancer_doubles_final2[[#This Row],[kan_test_acc]]</f>
        <v>0.97057108581066132</v>
      </c>
      <c r="Y383">
        <f>Cancer_doubles_final2[[#This Row],[mlp_test_acc]]</f>
        <v>0.9391025641025641</v>
      </c>
      <c r="Z383">
        <f>Cancer_doubles_final2[[#This Row],[mlp_test_acc2]]</f>
        <v>0.94259906759906764</v>
      </c>
    </row>
    <row r="384" spans="1:26" hidden="1" x14ac:dyDescent="0.25">
      <c r="A384" t="s">
        <v>19</v>
      </c>
      <c r="B384">
        <v>3</v>
      </c>
      <c r="C384">
        <v>4</v>
      </c>
      <c r="D384">
        <v>0</v>
      </c>
      <c r="E384" t="s">
        <v>203</v>
      </c>
      <c r="F384">
        <v>21228</v>
      </c>
      <c r="G384">
        <v>33218268.458333336</v>
      </c>
      <c r="H384">
        <v>0.96678321063518524</v>
      </c>
      <c r="I384">
        <v>0.93094405594405594</v>
      </c>
      <c r="J384">
        <v>9705728.041666666</v>
      </c>
      <c r="K384">
        <v>40035</v>
      </c>
      <c r="L384">
        <v>2</v>
      </c>
      <c r="M384">
        <v>133</v>
      </c>
      <c r="N384">
        <v>0.92803030303030298</v>
      </c>
      <c r="O384">
        <v>8911295.875</v>
      </c>
      <c r="P384">
        <v>40604</v>
      </c>
      <c r="Q384">
        <v>2</v>
      </c>
      <c r="R384">
        <v>134</v>
      </c>
      <c r="S384" t="s">
        <v>359</v>
      </c>
      <c r="W384">
        <f>Cancer_doubles_final2[[#This Row],[mlp_params]]</f>
        <v>40035</v>
      </c>
      <c r="X384">
        <f>Cancer_doubles_final2[[#This Row],[kan_test_acc]]</f>
        <v>0.96678321063518524</v>
      </c>
      <c r="Y384">
        <f>Cancer_doubles_final2[[#This Row],[mlp_test_acc]]</f>
        <v>0.93094405594405594</v>
      </c>
      <c r="Z384">
        <f>Cancer_doubles_final2[[#This Row],[mlp_test_acc2]]</f>
        <v>0.92803030303030298</v>
      </c>
    </row>
    <row r="385" spans="1:26" x14ac:dyDescent="0.25">
      <c r="A385" t="s">
        <v>19</v>
      </c>
      <c r="B385">
        <v>3</v>
      </c>
      <c r="C385">
        <v>5</v>
      </c>
      <c r="D385">
        <v>0</v>
      </c>
      <c r="E385" t="s">
        <v>167</v>
      </c>
      <c r="F385">
        <v>21228</v>
      </c>
      <c r="G385">
        <v>35213109.25</v>
      </c>
      <c r="H385">
        <v>0.97086246063311887</v>
      </c>
      <c r="I385">
        <v>0.92365967365967361</v>
      </c>
      <c r="J385">
        <v>9231243.791666666</v>
      </c>
      <c r="K385">
        <v>42335</v>
      </c>
      <c r="L385">
        <v>2</v>
      </c>
      <c r="M385">
        <v>137</v>
      </c>
      <c r="N385">
        <v>0.92278554778554778</v>
      </c>
      <c r="O385">
        <v>8525083.7083333321</v>
      </c>
      <c r="P385">
        <v>42920</v>
      </c>
      <c r="Q385">
        <v>2</v>
      </c>
      <c r="R385">
        <v>138</v>
      </c>
      <c r="S385" t="s">
        <v>360</v>
      </c>
      <c r="W385">
        <f>Cancer_doubles_final2[[#This Row],[mlp_params]]</f>
        <v>42335</v>
      </c>
      <c r="X385">
        <f>Cancer_doubles_final2[[#This Row],[kan_test_acc]]</f>
        <v>0.97086246063311887</v>
      </c>
      <c r="Y385">
        <f>Cancer_doubles_final2[[#This Row],[mlp_test_acc]]</f>
        <v>0.92365967365967361</v>
      </c>
      <c r="Z385">
        <f>Cancer_doubles_final2[[#This Row],[mlp_test_acc2]]</f>
        <v>0.92278554778554778</v>
      </c>
    </row>
    <row r="386" spans="1:26" hidden="1" x14ac:dyDescent="0.25">
      <c r="A386" t="s">
        <v>19</v>
      </c>
      <c r="B386">
        <v>5</v>
      </c>
      <c r="C386">
        <v>2</v>
      </c>
      <c r="D386">
        <v>0</v>
      </c>
      <c r="E386" t="s">
        <v>203</v>
      </c>
      <c r="F386">
        <v>21228</v>
      </c>
      <c r="G386">
        <v>30914277.083333336</v>
      </c>
      <c r="H386">
        <v>0.97581583261489868</v>
      </c>
      <c r="I386">
        <v>0.93094405594405605</v>
      </c>
      <c r="J386">
        <v>7935816.583333333</v>
      </c>
      <c r="K386">
        <v>31475</v>
      </c>
      <c r="L386">
        <v>2</v>
      </c>
      <c r="M386">
        <v>117</v>
      </c>
      <c r="N386">
        <v>0.93473193473193472</v>
      </c>
      <c r="O386">
        <v>8183257.416666667</v>
      </c>
      <c r="P386">
        <v>31980</v>
      </c>
      <c r="Q386">
        <v>2</v>
      </c>
      <c r="R386">
        <v>118</v>
      </c>
      <c r="S386" t="s">
        <v>361</v>
      </c>
      <c r="W386">
        <f>Cancer_doubles_final2[[#This Row],[mlp_params]]</f>
        <v>31475</v>
      </c>
      <c r="X386">
        <f>Cancer_doubles_final2[[#This Row],[kan_test_acc]]</f>
        <v>0.97581583261489868</v>
      </c>
      <c r="Y386">
        <f>Cancer_doubles_final2[[#This Row],[mlp_test_acc]]</f>
        <v>0.93094405594405605</v>
      </c>
      <c r="Z386">
        <f>Cancer_doubles_final2[[#This Row],[mlp_test_acc2]]</f>
        <v>0.93473193473193472</v>
      </c>
    </row>
    <row r="387" spans="1:26" hidden="1" x14ac:dyDescent="0.25">
      <c r="A387" t="s">
        <v>19</v>
      </c>
      <c r="B387">
        <v>5</v>
      </c>
      <c r="C387">
        <v>3</v>
      </c>
      <c r="D387">
        <v>0</v>
      </c>
      <c r="E387" t="s">
        <v>167</v>
      </c>
      <c r="F387">
        <v>21228</v>
      </c>
      <c r="G387">
        <v>26481089.375</v>
      </c>
      <c r="H387">
        <v>0.95250581701596582</v>
      </c>
      <c r="I387">
        <v>0.91812354312354316</v>
      </c>
      <c r="J387">
        <v>7540396.375</v>
      </c>
      <c r="K387">
        <v>34565</v>
      </c>
      <c r="L387">
        <v>2</v>
      </c>
      <c r="M387">
        <v>123</v>
      </c>
      <c r="N387">
        <v>0.91229603729603737</v>
      </c>
      <c r="O387">
        <v>7494105.958333334</v>
      </c>
      <c r="P387">
        <v>35094</v>
      </c>
      <c r="Q387">
        <v>2</v>
      </c>
      <c r="R387">
        <v>124</v>
      </c>
      <c r="S387" t="s">
        <v>362</v>
      </c>
      <c r="W387">
        <f>Cancer_doubles_final2[[#This Row],[mlp_params]]</f>
        <v>34565</v>
      </c>
      <c r="X387">
        <f>Cancer_doubles_final2[[#This Row],[kan_test_acc]]</f>
        <v>0.95250581701596582</v>
      </c>
      <c r="Y387">
        <f>Cancer_doubles_final2[[#This Row],[mlp_test_acc]]</f>
        <v>0.91812354312354316</v>
      </c>
      <c r="Z387">
        <f>Cancer_doubles_final2[[#This Row],[mlp_test_acc2]]</f>
        <v>0.91229603729603737</v>
      </c>
    </row>
    <row r="388" spans="1:26" hidden="1" x14ac:dyDescent="0.25">
      <c r="A388" t="s">
        <v>19</v>
      </c>
      <c r="B388">
        <v>3</v>
      </c>
      <c r="C388">
        <v>4</v>
      </c>
      <c r="D388">
        <v>0</v>
      </c>
      <c r="E388" t="s">
        <v>205</v>
      </c>
      <c r="F388">
        <v>21230</v>
      </c>
      <c r="G388">
        <v>28651029</v>
      </c>
      <c r="H388">
        <v>0.95221445212761557</v>
      </c>
      <c r="I388">
        <v>0.92424242424242431</v>
      </c>
      <c r="J388">
        <v>8709559.041666666</v>
      </c>
      <c r="K388">
        <v>40035</v>
      </c>
      <c r="L388">
        <v>2</v>
      </c>
      <c r="M388">
        <v>133</v>
      </c>
      <c r="N388">
        <v>0.91083916083916083</v>
      </c>
      <c r="O388">
        <v>7919839.3750000009</v>
      </c>
      <c r="P388">
        <v>40604</v>
      </c>
      <c r="Q388">
        <v>2</v>
      </c>
      <c r="R388">
        <v>134</v>
      </c>
      <c r="S388" t="s">
        <v>363</v>
      </c>
      <c r="W388">
        <f>Cancer_doubles_final2[[#This Row],[mlp_params]]</f>
        <v>40035</v>
      </c>
      <c r="X388">
        <f>Cancer_doubles_final2[[#This Row],[kan_test_acc]]</f>
        <v>0.95221445212761557</v>
      </c>
      <c r="Y388">
        <f>Cancer_doubles_final2[[#This Row],[mlp_test_acc]]</f>
        <v>0.92424242424242431</v>
      </c>
      <c r="Z388">
        <f>Cancer_doubles_final2[[#This Row],[mlp_test_acc2]]</f>
        <v>0.91083916083916083</v>
      </c>
    </row>
    <row r="389" spans="1:26" hidden="1" x14ac:dyDescent="0.25">
      <c r="A389" t="s">
        <v>19</v>
      </c>
      <c r="B389">
        <v>5</v>
      </c>
      <c r="C389">
        <v>2</v>
      </c>
      <c r="D389">
        <v>0</v>
      </c>
      <c r="E389" t="s">
        <v>205</v>
      </c>
      <c r="F389">
        <v>21230</v>
      </c>
      <c r="G389">
        <v>32208405.541666664</v>
      </c>
      <c r="H389">
        <v>0.97435896346966422</v>
      </c>
      <c r="I389">
        <v>0.94347319347319347</v>
      </c>
      <c r="J389">
        <v>8753375.25</v>
      </c>
      <c r="K389">
        <v>31475</v>
      </c>
      <c r="L389">
        <v>2</v>
      </c>
      <c r="M389">
        <v>117</v>
      </c>
      <c r="N389">
        <v>0.94405594405594417</v>
      </c>
      <c r="O389">
        <v>8564199.625</v>
      </c>
      <c r="P389">
        <v>31980</v>
      </c>
      <c r="Q389">
        <v>2</v>
      </c>
      <c r="R389">
        <v>118</v>
      </c>
      <c r="S389" t="s">
        <v>364</v>
      </c>
      <c r="W389">
        <f>Cancer_doubles_final2[[#This Row],[mlp_params]]</f>
        <v>31475</v>
      </c>
      <c r="X389">
        <f>Cancer_doubles_final2[[#This Row],[kan_test_acc]]</f>
        <v>0.97435896346966422</v>
      </c>
      <c r="Y389">
        <f>Cancer_doubles_final2[[#This Row],[mlp_test_acc]]</f>
        <v>0.94347319347319347</v>
      </c>
      <c r="Z389">
        <f>Cancer_doubles_final2[[#This Row],[mlp_test_acc2]]</f>
        <v>0.94405594405594417</v>
      </c>
    </row>
    <row r="390" spans="1:26" hidden="1" x14ac:dyDescent="0.25">
      <c r="A390" t="s">
        <v>19</v>
      </c>
      <c r="B390">
        <v>3</v>
      </c>
      <c r="C390">
        <v>4</v>
      </c>
      <c r="D390">
        <v>0</v>
      </c>
      <c r="E390" t="s">
        <v>205</v>
      </c>
      <c r="F390">
        <v>21230</v>
      </c>
      <c r="G390">
        <v>34838001.166666664</v>
      </c>
      <c r="H390">
        <v>0.9729020819067955</v>
      </c>
      <c r="I390">
        <v>0.92948717948717952</v>
      </c>
      <c r="J390">
        <v>8945704.125</v>
      </c>
      <c r="K390">
        <v>40035</v>
      </c>
      <c r="L390">
        <v>2</v>
      </c>
      <c r="M390">
        <v>133</v>
      </c>
      <c r="N390">
        <v>0.93531468531468542</v>
      </c>
      <c r="O390">
        <v>8776284.2083333321</v>
      </c>
      <c r="P390">
        <v>40604</v>
      </c>
      <c r="Q390">
        <v>2</v>
      </c>
      <c r="R390">
        <v>134</v>
      </c>
      <c r="S390" t="s">
        <v>363</v>
      </c>
      <c r="W390">
        <f>Cancer_doubles_final2[[#This Row],[mlp_params]]</f>
        <v>40035</v>
      </c>
      <c r="X390">
        <f>Cancer_doubles_final2[[#This Row],[kan_test_acc]]</f>
        <v>0.9729020819067955</v>
      </c>
      <c r="Y390">
        <f>Cancer_doubles_final2[[#This Row],[mlp_test_acc]]</f>
        <v>0.92948717948717952</v>
      </c>
      <c r="Z390">
        <f>Cancer_doubles_final2[[#This Row],[mlp_test_acc2]]</f>
        <v>0.93531468531468542</v>
      </c>
    </row>
    <row r="391" spans="1:26" hidden="1" x14ac:dyDescent="0.25">
      <c r="A391" t="s">
        <v>19</v>
      </c>
      <c r="B391">
        <v>5</v>
      </c>
      <c r="C391">
        <v>2</v>
      </c>
      <c r="D391">
        <v>0</v>
      </c>
      <c r="E391" t="s">
        <v>205</v>
      </c>
      <c r="F391">
        <v>21230</v>
      </c>
      <c r="G391">
        <v>27668871.833333336</v>
      </c>
      <c r="H391">
        <v>0.97290209432442987</v>
      </c>
      <c r="I391">
        <v>0.93181818181818188</v>
      </c>
      <c r="J391">
        <v>8982666.125</v>
      </c>
      <c r="K391">
        <v>31475</v>
      </c>
      <c r="L391">
        <v>2</v>
      </c>
      <c r="M391">
        <v>117</v>
      </c>
      <c r="N391">
        <v>0.93385780885780889</v>
      </c>
      <c r="O391">
        <v>8615452.7083333321</v>
      </c>
      <c r="P391">
        <v>31980</v>
      </c>
      <c r="Q391">
        <v>2</v>
      </c>
      <c r="R391">
        <v>118</v>
      </c>
      <c r="S391" t="s">
        <v>364</v>
      </c>
      <c r="W391">
        <f>Cancer_doubles_final2[[#This Row],[mlp_params]]</f>
        <v>31475</v>
      </c>
      <c r="X391">
        <f>Cancer_doubles_final2[[#This Row],[kan_test_acc]]</f>
        <v>0.97290209432442987</v>
      </c>
      <c r="Y391">
        <f>Cancer_doubles_final2[[#This Row],[mlp_test_acc]]</f>
        <v>0.93181818181818188</v>
      </c>
      <c r="Z391">
        <f>Cancer_doubles_final2[[#This Row],[mlp_test_acc2]]</f>
        <v>0.93385780885780889</v>
      </c>
    </row>
    <row r="392" spans="1:26" hidden="1" x14ac:dyDescent="0.25">
      <c r="A392" t="s">
        <v>19</v>
      </c>
      <c r="B392">
        <v>3</v>
      </c>
      <c r="C392">
        <v>2</v>
      </c>
      <c r="D392">
        <v>0</v>
      </c>
      <c r="E392" t="s">
        <v>365</v>
      </c>
      <c r="F392">
        <v>21358</v>
      </c>
      <c r="G392">
        <v>33453082.458333336</v>
      </c>
      <c r="H392">
        <v>0.97668998191754031</v>
      </c>
      <c r="I392">
        <v>0.94522144522144513</v>
      </c>
      <c r="J392">
        <v>8890291.7916666679</v>
      </c>
      <c r="K392">
        <v>34565</v>
      </c>
      <c r="L392">
        <v>2</v>
      </c>
      <c r="M392">
        <v>123</v>
      </c>
      <c r="N392">
        <v>0.94405594405594406</v>
      </c>
      <c r="O392">
        <v>8238618.708333334</v>
      </c>
      <c r="P392">
        <v>35094</v>
      </c>
      <c r="Q392">
        <v>2</v>
      </c>
      <c r="R392">
        <v>124</v>
      </c>
      <c r="S392" t="s">
        <v>366</v>
      </c>
      <c r="W392">
        <f>Cancer_doubles_final2[[#This Row],[mlp_params]]</f>
        <v>34565</v>
      </c>
      <c r="X392">
        <f>Cancer_doubles_final2[[#This Row],[kan_test_acc]]</f>
        <v>0.97668998191754031</v>
      </c>
      <c r="Y392">
        <f>Cancer_doubles_final2[[#This Row],[mlp_test_acc]]</f>
        <v>0.94522144522144513</v>
      </c>
      <c r="Z392">
        <f>Cancer_doubles_final2[[#This Row],[mlp_test_acc2]]</f>
        <v>0.94405594405594406</v>
      </c>
    </row>
    <row r="393" spans="1:26" hidden="1" x14ac:dyDescent="0.25">
      <c r="A393" t="s">
        <v>19</v>
      </c>
      <c r="B393">
        <v>3</v>
      </c>
      <c r="C393">
        <v>2</v>
      </c>
      <c r="D393">
        <v>0</v>
      </c>
      <c r="E393" t="s">
        <v>367</v>
      </c>
      <c r="F393">
        <v>21364</v>
      </c>
      <c r="G393">
        <v>36401992.222222224</v>
      </c>
      <c r="H393">
        <v>0.96775446832180034</v>
      </c>
      <c r="I393">
        <v>0.94696969696969691</v>
      </c>
      <c r="J393">
        <v>8753415.222222222</v>
      </c>
      <c r="K393">
        <v>34565</v>
      </c>
      <c r="L393">
        <v>2</v>
      </c>
      <c r="M393">
        <v>123</v>
      </c>
      <c r="N393">
        <v>0.94327894327894324</v>
      </c>
      <c r="O393">
        <v>9062959.805555556</v>
      </c>
      <c r="P393">
        <v>35094</v>
      </c>
      <c r="Q393">
        <v>2</v>
      </c>
      <c r="R393">
        <v>124</v>
      </c>
      <c r="S393" t="s">
        <v>368</v>
      </c>
      <c r="W393">
        <f>Cancer_doubles_final2[[#This Row],[mlp_params]]</f>
        <v>34565</v>
      </c>
      <c r="X393">
        <f>Cancer_doubles_final2[[#This Row],[kan_test_acc]]</f>
        <v>0.96775446832180034</v>
      </c>
      <c r="Y393">
        <f>Cancer_doubles_final2[[#This Row],[mlp_test_acc]]</f>
        <v>0.94696969696969691</v>
      </c>
      <c r="Z393">
        <f>Cancer_doubles_final2[[#This Row],[mlp_test_acc2]]</f>
        <v>0.94327894327894324</v>
      </c>
    </row>
    <row r="394" spans="1:26" hidden="1" x14ac:dyDescent="0.25">
      <c r="A394" t="s">
        <v>19</v>
      </c>
      <c r="B394">
        <v>3</v>
      </c>
      <c r="C394">
        <v>3</v>
      </c>
      <c r="D394">
        <v>0</v>
      </c>
      <c r="E394" t="s">
        <v>264</v>
      </c>
      <c r="F394">
        <v>21420</v>
      </c>
      <c r="G394">
        <v>31886785.638888888</v>
      </c>
      <c r="H394">
        <v>0.96503496004475486</v>
      </c>
      <c r="I394">
        <v>0.94541569541569537</v>
      </c>
      <c r="J394">
        <v>8250507.7222222211</v>
      </c>
      <c r="K394">
        <v>37799</v>
      </c>
      <c r="L394">
        <v>2</v>
      </c>
      <c r="M394">
        <v>129</v>
      </c>
      <c r="N394">
        <v>0.94502719502719501</v>
      </c>
      <c r="O394">
        <v>9269206.222222222</v>
      </c>
      <c r="P394">
        <v>38352</v>
      </c>
      <c r="Q394">
        <v>2</v>
      </c>
      <c r="R394">
        <v>130</v>
      </c>
      <c r="S394" t="s">
        <v>369</v>
      </c>
      <c r="W394">
        <f>Cancer_doubles_final2[[#This Row],[mlp_params]]</f>
        <v>37799</v>
      </c>
      <c r="X394">
        <f>Cancer_doubles_final2[[#This Row],[kan_test_acc]]</f>
        <v>0.96503496004475486</v>
      </c>
      <c r="Y394">
        <f>Cancer_doubles_final2[[#This Row],[mlp_test_acc]]</f>
        <v>0.94541569541569537</v>
      </c>
      <c r="Z394">
        <f>Cancer_doubles_final2[[#This Row],[mlp_test_acc2]]</f>
        <v>0.94502719502719501</v>
      </c>
    </row>
    <row r="395" spans="1:26" hidden="1" x14ac:dyDescent="0.25">
      <c r="A395" t="s">
        <v>19</v>
      </c>
      <c r="B395">
        <v>3</v>
      </c>
      <c r="C395">
        <v>3</v>
      </c>
      <c r="D395">
        <v>0</v>
      </c>
      <c r="E395" t="s">
        <v>266</v>
      </c>
      <c r="F395">
        <v>21426</v>
      </c>
      <c r="G395">
        <v>35700438.25</v>
      </c>
      <c r="H395">
        <v>0.96989121701982284</v>
      </c>
      <c r="I395">
        <v>0.94327894327894335</v>
      </c>
      <c r="J395">
        <v>9043305.333333334</v>
      </c>
      <c r="K395">
        <v>37799</v>
      </c>
      <c r="L395">
        <v>2</v>
      </c>
      <c r="M395">
        <v>129</v>
      </c>
      <c r="N395">
        <v>0.94463869463869465</v>
      </c>
      <c r="O395">
        <v>9414900.416666666</v>
      </c>
      <c r="P395">
        <v>38352</v>
      </c>
      <c r="Q395">
        <v>2</v>
      </c>
      <c r="R395">
        <v>130</v>
      </c>
      <c r="S395" t="s">
        <v>370</v>
      </c>
      <c r="W395">
        <f>Cancer_doubles_final2[[#This Row],[mlp_params]]</f>
        <v>37799</v>
      </c>
      <c r="X395">
        <f>Cancer_doubles_final2[[#This Row],[kan_test_acc]]</f>
        <v>0.96989121701982284</v>
      </c>
      <c r="Y395">
        <f>Cancer_doubles_final2[[#This Row],[mlp_test_acc]]</f>
        <v>0.94327894327894335</v>
      </c>
      <c r="Z395">
        <f>Cancer_doubles_final2[[#This Row],[mlp_test_acc2]]</f>
        <v>0.94463869463869465</v>
      </c>
    </row>
    <row r="396" spans="1:26" hidden="1" x14ac:dyDescent="0.25">
      <c r="A396" t="s">
        <v>19</v>
      </c>
      <c r="B396">
        <v>3</v>
      </c>
      <c r="C396">
        <v>2</v>
      </c>
      <c r="D396">
        <v>0</v>
      </c>
      <c r="E396" t="s">
        <v>371</v>
      </c>
      <c r="F396">
        <v>21488</v>
      </c>
      <c r="G396">
        <v>41185863.75</v>
      </c>
      <c r="H396">
        <v>0.96717171702120031</v>
      </c>
      <c r="I396">
        <v>0.94522144522144524</v>
      </c>
      <c r="J396">
        <v>8701321.583333334</v>
      </c>
      <c r="K396">
        <v>34565</v>
      </c>
      <c r="L396">
        <v>2</v>
      </c>
      <c r="M396">
        <v>123</v>
      </c>
      <c r="N396">
        <v>0.94502719502719501</v>
      </c>
      <c r="O396">
        <v>8835355.833333334</v>
      </c>
      <c r="P396">
        <v>35094</v>
      </c>
      <c r="Q396">
        <v>2</v>
      </c>
      <c r="R396">
        <v>124</v>
      </c>
      <c r="S396" t="s">
        <v>372</v>
      </c>
      <c r="W396">
        <f>Cancer_doubles_final2[[#This Row],[mlp_params]]</f>
        <v>34565</v>
      </c>
      <c r="X396">
        <f>Cancer_doubles_final2[[#This Row],[kan_test_acc]]</f>
        <v>0.96717171702120031</v>
      </c>
      <c r="Y396">
        <f>Cancer_doubles_final2[[#This Row],[mlp_test_acc]]</f>
        <v>0.94522144522144524</v>
      </c>
      <c r="Z396">
        <f>Cancer_doubles_final2[[#This Row],[mlp_test_acc2]]</f>
        <v>0.94502719502719501</v>
      </c>
    </row>
    <row r="397" spans="1:26" hidden="1" x14ac:dyDescent="0.25">
      <c r="A397" t="s">
        <v>19</v>
      </c>
      <c r="B397">
        <v>3</v>
      </c>
      <c r="C397">
        <v>2</v>
      </c>
      <c r="D397">
        <v>0</v>
      </c>
      <c r="E397" t="s">
        <v>373</v>
      </c>
      <c r="F397">
        <v>21490</v>
      </c>
      <c r="G397">
        <v>37909908.416666664</v>
      </c>
      <c r="H397">
        <v>0.96134420732657111</v>
      </c>
      <c r="I397">
        <v>0.94716394716394714</v>
      </c>
      <c r="J397">
        <v>8471308.277777778</v>
      </c>
      <c r="K397">
        <v>34565</v>
      </c>
      <c r="L397">
        <v>2</v>
      </c>
      <c r="M397">
        <v>123</v>
      </c>
      <c r="N397">
        <v>0.94716394716394714</v>
      </c>
      <c r="O397">
        <v>8719844.3333333321</v>
      </c>
      <c r="P397">
        <v>35094</v>
      </c>
      <c r="Q397">
        <v>2</v>
      </c>
      <c r="R397">
        <v>124</v>
      </c>
      <c r="S397" t="s">
        <v>374</v>
      </c>
      <c r="W397">
        <f>Cancer_doubles_final2[[#This Row],[mlp_params]]</f>
        <v>34565</v>
      </c>
      <c r="X397">
        <f>Cancer_doubles_final2[[#This Row],[kan_test_acc]]</f>
        <v>0.96134420732657111</v>
      </c>
      <c r="Y397">
        <f>Cancer_doubles_final2[[#This Row],[mlp_test_acc]]</f>
        <v>0.94716394716394714</v>
      </c>
      <c r="Z397">
        <f>Cancer_doubles_final2[[#This Row],[mlp_test_acc2]]</f>
        <v>0.94716394716394714</v>
      </c>
    </row>
    <row r="398" spans="1:26" hidden="1" x14ac:dyDescent="0.25">
      <c r="A398" t="s">
        <v>19</v>
      </c>
      <c r="B398">
        <v>9</v>
      </c>
      <c r="C398">
        <v>4</v>
      </c>
      <c r="D398">
        <v>0</v>
      </c>
      <c r="E398" t="s">
        <v>78</v>
      </c>
      <c r="F398">
        <v>21548</v>
      </c>
      <c r="G398">
        <v>31065411.444444444</v>
      </c>
      <c r="H398">
        <v>0.95493394964271117</v>
      </c>
      <c r="I398">
        <v>0.95357420357420353</v>
      </c>
      <c r="J398">
        <v>9067785.472222222</v>
      </c>
      <c r="K398">
        <v>33519</v>
      </c>
      <c r="L398">
        <v>2</v>
      </c>
      <c r="M398">
        <v>121</v>
      </c>
      <c r="N398">
        <v>0.95240870240870246</v>
      </c>
      <c r="O398">
        <v>8596927.194444444</v>
      </c>
      <c r="P398">
        <v>34040</v>
      </c>
      <c r="Q398">
        <v>2</v>
      </c>
      <c r="R398">
        <v>122</v>
      </c>
      <c r="S398" t="s">
        <v>375</v>
      </c>
      <c r="W398">
        <f>Cancer_doubles_final2[[#This Row],[mlp_params]]</f>
        <v>33519</v>
      </c>
      <c r="X398">
        <f>Cancer_doubles_final2[[#This Row],[kan_test_acc]]</f>
        <v>0.95493394964271117</v>
      </c>
      <c r="Y398">
        <f>Cancer_doubles_final2[[#This Row],[mlp_test_acc]]</f>
        <v>0.95357420357420353</v>
      </c>
      <c r="Z398">
        <f>Cancer_doubles_final2[[#This Row],[mlp_test_acc2]]</f>
        <v>0.95240870240870246</v>
      </c>
    </row>
    <row r="399" spans="1:26" hidden="1" x14ac:dyDescent="0.25">
      <c r="A399" t="s">
        <v>19</v>
      </c>
      <c r="B399">
        <v>9</v>
      </c>
      <c r="C399">
        <v>2</v>
      </c>
      <c r="D399">
        <v>0</v>
      </c>
      <c r="E399" t="s">
        <v>106</v>
      </c>
      <c r="F399">
        <v>21554</v>
      </c>
      <c r="G399">
        <v>23189962</v>
      </c>
      <c r="H399">
        <v>0.94376456240812934</v>
      </c>
      <c r="I399">
        <v>0.94347319347319347</v>
      </c>
      <c r="J399">
        <v>8493483.2916666679</v>
      </c>
      <c r="K399">
        <v>29010</v>
      </c>
      <c r="L399">
        <v>2</v>
      </c>
      <c r="M399">
        <v>112</v>
      </c>
      <c r="N399">
        <v>0.94289044289044288</v>
      </c>
      <c r="O399">
        <v>9368659</v>
      </c>
      <c r="P399">
        <v>29495</v>
      </c>
      <c r="Q399">
        <v>2</v>
      </c>
      <c r="R399">
        <v>113</v>
      </c>
      <c r="S399" t="s">
        <v>376</v>
      </c>
      <c r="W399">
        <f>Cancer_doubles_final2[[#This Row],[mlp_params]]</f>
        <v>29010</v>
      </c>
      <c r="X399">
        <f>Cancer_doubles_final2[[#This Row],[kan_test_acc]]</f>
        <v>0.94376456240812934</v>
      </c>
      <c r="Y399">
        <f>Cancer_doubles_final2[[#This Row],[mlp_test_acc]]</f>
        <v>0.94347319347319347</v>
      </c>
      <c r="Z399">
        <f>Cancer_doubles_final2[[#This Row],[mlp_test_acc2]]</f>
        <v>0.94289044289044288</v>
      </c>
    </row>
    <row r="400" spans="1:26" hidden="1" x14ac:dyDescent="0.25">
      <c r="A400" t="s">
        <v>19</v>
      </c>
      <c r="B400">
        <v>5</v>
      </c>
      <c r="C400">
        <v>4</v>
      </c>
      <c r="D400">
        <v>0</v>
      </c>
      <c r="E400" t="s">
        <v>143</v>
      </c>
      <c r="F400">
        <v>21562</v>
      </c>
      <c r="G400">
        <v>22467209</v>
      </c>
      <c r="H400">
        <v>0.94696969290574395</v>
      </c>
      <c r="I400">
        <v>0.92599067599067597</v>
      </c>
      <c r="J400">
        <v>8653758.3888888899</v>
      </c>
      <c r="K400">
        <v>37250</v>
      </c>
      <c r="L400">
        <v>2</v>
      </c>
      <c r="M400">
        <v>128</v>
      </c>
      <c r="N400">
        <v>0.92618492618492609</v>
      </c>
      <c r="O400">
        <v>9069581.5</v>
      </c>
      <c r="P400">
        <v>37799</v>
      </c>
      <c r="Q400">
        <v>2</v>
      </c>
      <c r="R400">
        <v>129</v>
      </c>
      <c r="S400" t="s">
        <v>377</v>
      </c>
      <c r="W400">
        <f>Cancer_doubles_final2[[#This Row],[mlp_params]]</f>
        <v>37250</v>
      </c>
      <c r="X400">
        <f>Cancer_doubles_final2[[#This Row],[kan_test_acc]]</f>
        <v>0.94696969290574395</v>
      </c>
      <c r="Y400">
        <f>Cancer_doubles_final2[[#This Row],[mlp_test_acc]]</f>
        <v>0.92599067599067597</v>
      </c>
      <c r="Z400">
        <f>Cancer_doubles_final2[[#This Row],[mlp_test_acc2]]</f>
        <v>0.92618492618492609</v>
      </c>
    </row>
    <row r="401" spans="1:26" hidden="1" x14ac:dyDescent="0.25">
      <c r="A401" t="s">
        <v>19</v>
      </c>
      <c r="B401">
        <v>3</v>
      </c>
      <c r="C401">
        <v>3</v>
      </c>
      <c r="D401">
        <v>0</v>
      </c>
      <c r="E401" t="s">
        <v>272</v>
      </c>
      <c r="F401">
        <v>21566</v>
      </c>
      <c r="G401">
        <v>27666468.895833336</v>
      </c>
      <c r="H401">
        <v>0.95935314645369851</v>
      </c>
      <c r="I401">
        <v>0.93152680652680653</v>
      </c>
      <c r="J401">
        <v>8408977.75</v>
      </c>
      <c r="K401">
        <v>37799</v>
      </c>
      <c r="L401">
        <v>2</v>
      </c>
      <c r="M401">
        <v>129</v>
      </c>
      <c r="N401">
        <v>0.92642773892773889</v>
      </c>
      <c r="O401">
        <v>7962994.833333333</v>
      </c>
      <c r="P401">
        <v>38352</v>
      </c>
      <c r="Q401">
        <v>2</v>
      </c>
      <c r="R401">
        <v>130</v>
      </c>
      <c r="S401" t="s">
        <v>378</v>
      </c>
      <c r="W401">
        <f>Cancer_doubles_final2[[#This Row],[mlp_params]]</f>
        <v>37799</v>
      </c>
      <c r="X401">
        <f>Cancer_doubles_final2[[#This Row],[kan_test_acc]]</f>
        <v>0.95935314645369851</v>
      </c>
      <c r="Y401">
        <f>Cancer_doubles_final2[[#This Row],[mlp_test_acc]]</f>
        <v>0.93152680652680653</v>
      </c>
      <c r="Z401">
        <f>Cancer_doubles_final2[[#This Row],[mlp_test_acc2]]</f>
        <v>0.92642773892773889</v>
      </c>
    </row>
    <row r="402" spans="1:26" hidden="1" x14ac:dyDescent="0.25">
      <c r="A402" t="s">
        <v>19</v>
      </c>
      <c r="B402">
        <v>3</v>
      </c>
      <c r="C402">
        <v>3</v>
      </c>
      <c r="D402">
        <v>0</v>
      </c>
      <c r="E402" t="s">
        <v>274</v>
      </c>
      <c r="F402">
        <v>21568</v>
      </c>
      <c r="G402">
        <v>40870976.666666672</v>
      </c>
      <c r="H402">
        <v>0.9628982047239939</v>
      </c>
      <c r="I402">
        <v>0.94483294483294489</v>
      </c>
      <c r="J402">
        <v>8896721.8333333321</v>
      </c>
      <c r="K402">
        <v>37799</v>
      </c>
      <c r="L402">
        <v>2</v>
      </c>
      <c r="M402">
        <v>129</v>
      </c>
      <c r="N402">
        <v>0.94230769230769229</v>
      </c>
      <c r="O402">
        <v>8019378.861111111</v>
      </c>
      <c r="P402">
        <v>38352</v>
      </c>
      <c r="Q402">
        <v>2</v>
      </c>
      <c r="R402">
        <v>130</v>
      </c>
      <c r="S402" t="s">
        <v>379</v>
      </c>
      <c r="W402">
        <f>Cancer_doubles_final2[[#This Row],[mlp_params]]</f>
        <v>37799</v>
      </c>
      <c r="X402">
        <f>Cancer_doubles_final2[[#This Row],[kan_test_acc]]</f>
        <v>0.9628982047239939</v>
      </c>
      <c r="Y402">
        <f>Cancer_doubles_final2[[#This Row],[mlp_test_acc]]</f>
        <v>0.94483294483294489</v>
      </c>
      <c r="Z402">
        <f>Cancer_doubles_final2[[#This Row],[mlp_test_acc2]]</f>
        <v>0.94230769230769229</v>
      </c>
    </row>
    <row r="403" spans="1:26" hidden="1" x14ac:dyDescent="0.25">
      <c r="A403" t="s">
        <v>19</v>
      </c>
      <c r="B403">
        <v>3</v>
      </c>
      <c r="C403">
        <v>2</v>
      </c>
      <c r="D403">
        <v>0</v>
      </c>
      <c r="E403" t="s">
        <v>380</v>
      </c>
      <c r="F403">
        <v>21624</v>
      </c>
      <c r="G403">
        <v>39075586.388888888</v>
      </c>
      <c r="H403">
        <v>0.9691142174932692</v>
      </c>
      <c r="I403">
        <v>0.94463869463869465</v>
      </c>
      <c r="J403">
        <v>8731331.027777778</v>
      </c>
      <c r="K403">
        <v>34565</v>
      </c>
      <c r="L403">
        <v>2</v>
      </c>
      <c r="M403">
        <v>123</v>
      </c>
      <c r="N403">
        <v>0.94366744366744371</v>
      </c>
      <c r="O403">
        <v>8907392.75</v>
      </c>
      <c r="P403">
        <v>35094</v>
      </c>
      <c r="Q403">
        <v>2</v>
      </c>
      <c r="R403">
        <v>124</v>
      </c>
      <c r="S403" t="s">
        <v>381</v>
      </c>
      <c r="W403">
        <f>Cancer_doubles_final2[[#This Row],[mlp_params]]</f>
        <v>34565</v>
      </c>
      <c r="X403">
        <f>Cancer_doubles_final2[[#This Row],[kan_test_acc]]</f>
        <v>0.9691142174932692</v>
      </c>
      <c r="Y403">
        <f>Cancer_doubles_final2[[#This Row],[mlp_test_acc]]</f>
        <v>0.94463869463869465</v>
      </c>
      <c r="Z403">
        <f>Cancer_doubles_final2[[#This Row],[mlp_test_acc2]]</f>
        <v>0.94366744366744371</v>
      </c>
    </row>
    <row r="404" spans="1:26" hidden="1" x14ac:dyDescent="0.25">
      <c r="A404" t="s">
        <v>19</v>
      </c>
      <c r="B404">
        <v>5</v>
      </c>
      <c r="C404">
        <v>5</v>
      </c>
      <c r="D404">
        <v>0</v>
      </c>
      <c r="E404" t="s">
        <v>123</v>
      </c>
      <c r="F404">
        <v>21686</v>
      </c>
      <c r="G404">
        <v>29413565.638888888</v>
      </c>
      <c r="H404">
        <v>0.95881895555390251</v>
      </c>
      <c r="I404">
        <v>0.94230769230769229</v>
      </c>
      <c r="J404">
        <v>8406340.6388888899</v>
      </c>
      <c r="K404">
        <v>39470</v>
      </c>
      <c r="L404">
        <v>2</v>
      </c>
      <c r="M404">
        <v>132</v>
      </c>
      <c r="N404">
        <v>0.94230769230769229</v>
      </c>
      <c r="O404">
        <v>9172958.805555556</v>
      </c>
      <c r="P404">
        <v>40035</v>
      </c>
      <c r="Q404">
        <v>2</v>
      </c>
      <c r="R404">
        <v>133</v>
      </c>
      <c r="S404" t="s">
        <v>382</v>
      </c>
      <c r="W404">
        <f>Cancer_doubles_final2[[#This Row],[mlp_params]]</f>
        <v>39470</v>
      </c>
      <c r="X404">
        <f>Cancer_doubles_final2[[#This Row],[kan_test_acc]]</f>
        <v>0.95881895555390251</v>
      </c>
      <c r="Y404">
        <f>Cancer_doubles_final2[[#This Row],[mlp_test_acc]]</f>
        <v>0.94230769230769229</v>
      </c>
      <c r="Z404">
        <f>Cancer_doubles_final2[[#This Row],[mlp_test_acc2]]</f>
        <v>0.94230769230769229</v>
      </c>
    </row>
    <row r="405" spans="1:26" hidden="1" x14ac:dyDescent="0.25">
      <c r="A405" t="s">
        <v>19</v>
      </c>
      <c r="B405">
        <v>3</v>
      </c>
      <c r="C405">
        <v>4</v>
      </c>
      <c r="D405">
        <v>0</v>
      </c>
      <c r="E405" t="s">
        <v>214</v>
      </c>
      <c r="F405">
        <v>21788</v>
      </c>
      <c r="G405">
        <v>27192496.416666668</v>
      </c>
      <c r="H405">
        <v>0.96503496501180863</v>
      </c>
      <c r="I405">
        <v>0.94386169386169383</v>
      </c>
      <c r="J405">
        <v>8796689.1111111119</v>
      </c>
      <c r="K405">
        <v>41177</v>
      </c>
      <c r="L405">
        <v>2</v>
      </c>
      <c r="M405">
        <v>135</v>
      </c>
      <c r="N405">
        <v>0.94522144522144524</v>
      </c>
      <c r="O405">
        <v>8819799.555555556</v>
      </c>
      <c r="P405">
        <v>41754</v>
      </c>
      <c r="Q405">
        <v>2</v>
      </c>
      <c r="R405">
        <v>136</v>
      </c>
      <c r="S405" t="s">
        <v>383</v>
      </c>
      <c r="W405">
        <f>Cancer_doubles_final2[[#This Row],[mlp_params]]</f>
        <v>41177</v>
      </c>
      <c r="X405">
        <f>Cancer_doubles_final2[[#This Row],[kan_test_acc]]</f>
        <v>0.96503496501180863</v>
      </c>
      <c r="Y405">
        <f>Cancer_doubles_final2[[#This Row],[mlp_test_acc]]</f>
        <v>0.94386169386169383</v>
      </c>
      <c r="Z405">
        <f>Cancer_doubles_final2[[#This Row],[mlp_test_acc2]]</f>
        <v>0.94522144522144524</v>
      </c>
    </row>
    <row r="406" spans="1:26" hidden="1" x14ac:dyDescent="0.25">
      <c r="A406" t="s">
        <v>19</v>
      </c>
      <c r="B406">
        <v>5</v>
      </c>
      <c r="C406">
        <v>2</v>
      </c>
      <c r="D406">
        <v>0</v>
      </c>
      <c r="E406" t="s">
        <v>214</v>
      </c>
      <c r="F406">
        <v>21788</v>
      </c>
      <c r="G406">
        <v>32125042.916666668</v>
      </c>
      <c r="H406">
        <v>0.97406759609778726</v>
      </c>
      <c r="I406">
        <v>0.94289044289044288</v>
      </c>
      <c r="J406">
        <v>8961953.458333334</v>
      </c>
      <c r="K406">
        <v>32489</v>
      </c>
      <c r="L406">
        <v>2</v>
      </c>
      <c r="M406">
        <v>119</v>
      </c>
      <c r="N406">
        <v>0.94318181818181823</v>
      </c>
      <c r="O406">
        <v>9443116.083333334</v>
      </c>
      <c r="P406">
        <v>33002</v>
      </c>
      <c r="Q406">
        <v>2</v>
      </c>
      <c r="R406">
        <v>120</v>
      </c>
      <c r="S406" t="s">
        <v>384</v>
      </c>
      <c r="W406">
        <f>Cancer_doubles_final2[[#This Row],[mlp_params]]</f>
        <v>32489</v>
      </c>
      <c r="X406">
        <f>Cancer_doubles_final2[[#This Row],[kan_test_acc]]</f>
        <v>0.97406759609778726</v>
      </c>
      <c r="Y406">
        <f>Cancer_doubles_final2[[#This Row],[mlp_test_acc]]</f>
        <v>0.94289044289044288</v>
      </c>
      <c r="Z406">
        <f>Cancer_doubles_final2[[#This Row],[mlp_test_acc2]]</f>
        <v>0.94318181818181823</v>
      </c>
    </row>
    <row r="407" spans="1:26" hidden="1" x14ac:dyDescent="0.25">
      <c r="A407" t="s">
        <v>19</v>
      </c>
      <c r="B407">
        <v>3</v>
      </c>
      <c r="C407">
        <v>4</v>
      </c>
      <c r="D407">
        <v>0</v>
      </c>
      <c r="E407" t="s">
        <v>214</v>
      </c>
      <c r="F407">
        <v>21788</v>
      </c>
      <c r="G407">
        <v>35409503.5</v>
      </c>
      <c r="H407">
        <v>0.97115383793910348</v>
      </c>
      <c r="I407">
        <v>0.93298368298368306</v>
      </c>
      <c r="J407">
        <v>8347524.5000000009</v>
      </c>
      <c r="K407">
        <v>41177</v>
      </c>
      <c r="L407">
        <v>2</v>
      </c>
      <c r="M407">
        <v>135</v>
      </c>
      <c r="N407">
        <v>0.93181818181818188</v>
      </c>
      <c r="O407">
        <v>9360865.9166666679</v>
      </c>
      <c r="P407">
        <v>41754</v>
      </c>
      <c r="Q407">
        <v>2</v>
      </c>
      <c r="R407">
        <v>136</v>
      </c>
      <c r="S407" t="s">
        <v>383</v>
      </c>
      <c r="W407">
        <f>Cancer_doubles_final2[[#This Row],[mlp_params]]</f>
        <v>41177</v>
      </c>
      <c r="X407">
        <f>Cancer_doubles_final2[[#This Row],[kan_test_acc]]</f>
        <v>0.97115383793910348</v>
      </c>
      <c r="Y407">
        <f>Cancer_doubles_final2[[#This Row],[mlp_test_acc]]</f>
        <v>0.93298368298368306</v>
      </c>
      <c r="Z407">
        <f>Cancer_doubles_final2[[#This Row],[mlp_test_acc2]]</f>
        <v>0.93181818181818188</v>
      </c>
    </row>
    <row r="408" spans="1:26" hidden="1" x14ac:dyDescent="0.25">
      <c r="A408" t="s">
        <v>19</v>
      </c>
      <c r="B408">
        <v>5</v>
      </c>
      <c r="C408">
        <v>2</v>
      </c>
      <c r="D408">
        <v>0</v>
      </c>
      <c r="E408" t="s">
        <v>214</v>
      </c>
      <c r="F408">
        <v>21788</v>
      </c>
      <c r="G408">
        <v>34088861</v>
      </c>
      <c r="H408">
        <v>0.97202796985705697</v>
      </c>
      <c r="I408">
        <v>0.93123543123543118</v>
      </c>
      <c r="J408">
        <v>8367675.3750000009</v>
      </c>
      <c r="K408">
        <v>32489</v>
      </c>
      <c r="L408">
        <v>2</v>
      </c>
      <c r="M408">
        <v>119</v>
      </c>
      <c r="N408">
        <v>0.93181818181818188</v>
      </c>
      <c r="O408">
        <v>9897239.208333334</v>
      </c>
      <c r="P408">
        <v>33002</v>
      </c>
      <c r="Q408">
        <v>2</v>
      </c>
      <c r="R408">
        <v>120</v>
      </c>
      <c r="S408" t="s">
        <v>384</v>
      </c>
      <c r="W408">
        <f>Cancer_doubles_final2[[#This Row],[mlp_params]]</f>
        <v>32489</v>
      </c>
      <c r="X408">
        <f>Cancer_doubles_final2[[#This Row],[kan_test_acc]]</f>
        <v>0.97202796985705697</v>
      </c>
      <c r="Y408">
        <f>Cancer_doubles_final2[[#This Row],[mlp_test_acc]]</f>
        <v>0.93123543123543118</v>
      </c>
      <c r="Z408">
        <f>Cancer_doubles_final2[[#This Row],[mlp_test_acc2]]</f>
        <v>0.93181818181818188</v>
      </c>
    </row>
    <row r="409" spans="1:26" hidden="1" x14ac:dyDescent="0.25">
      <c r="A409" t="s">
        <v>19</v>
      </c>
      <c r="B409">
        <v>9</v>
      </c>
      <c r="C409">
        <v>5</v>
      </c>
      <c r="D409">
        <v>0</v>
      </c>
      <c r="E409" t="s">
        <v>70</v>
      </c>
      <c r="F409">
        <v>21802</v>
      </c>
      <c r="G409">
        <v>29225258.708333336</v>
      </c>
      <c r="H409">
        <v>0.95046620567639672</v>
      </c>
      <c r="I409">
        <v>0.94900932400932403</v>
      </c>
      <c r="J409">
        <v>9365001.75</v>
      </c>
      <c r="K409">
        <v>35627</v>
      </c>
      <c r="L409">
        <v>2</v>
      </c>
      <c r="M409">
        <v>125</v>
      </c>
      <c r="N409">
        <v>0.94930069930069927</v>
      </c>
      <c r="O409">
        <v>9837353.375</v>
      </c>
      <c r="P409">
        <v>36164</v>
      </c>
      <c r="Q409">
        <v>2</v>
      </c>
      <c r="R409">
        <v>126</v>
      </c>
      <c r="S409" t="s">
        <v>385</v>
      </c>
      <c r="W409">
        <f>Cancer_doubles_final2[[#This Row],[mlp_params]]</f>
        <v>35627</v>
      </c>
      <c r="X409">
        <f>Cancer_doubles_final2[[#This Row],[kan_test_acc]]</f>
        <v>0.95046620567639672</v>
      </c>
      <c r="Y409">
        <f>Cancer_doubles_final2[[#This Row],[mlp_test_acc]]</f>
        <v>0.94900932400932403</v>
      </c>
      <c r="Z409">
        <f>Cancer_doubles_final2[[#This Row],[mlp_test_acc2]]</f>
        <v>0.94930069930069927</v>
      </c>
    </row>
    <row r="410" spans="1:26" x14ac:dyDescent="0.25">
      <c r="A410" t="s">
        <v>19</v>
      </c>
      <c r="B410">
        <v>3</v>
      </c>
      <c r="C410">
        <v>5</v>
      </c>
      <c r="D410">
        <v>0</v>
      </c>
      <c r="E410" t="s">
        <v>173</v>
      </c>
      <c r="F410">
        <v>21844</v>
      </c>
      <c r="G410">
        <v>38562348.958333328</v>
      </c>
      <c r="H410">
        <v>0.95250582695007324</v>
      </c>
      <c r="I410">
        <v>0.94930069930069938</v>
      </c>
      <c r="J410">
        <v>9933484.2083333321</v>
      </c>
      <c r="K410">
        <v>43509</v>
      </c>
      <c r="L410">
        <v>2</v>
      </c>
      <c r="M410">
        <v>139</v>
      </c>
      <c r="N410">
        <v>0.94696969696969702</v>
      </c>
      <c r="O410">
        <v>9121977.5833333321</v>
      </c>
      <c r="P410">
        <v>44102</v>
      </c>
      <c r="Q410">
        <v>2</v>
      </c>
      <c r="R410">
        <v>140</v>
      </c>
      <c r="S410" t="s">
        <v>386</v>
      </c>
      <c r="W410">
        <f>Cancer_doubles_final2[[#This Row],[mlp_params]]</f>
        <v>43509</v>
      </c>
      <c r="X410">
        <f>Cancer_doubles_final2[[#This Row],[kan_test_acc]]</f>
        <v>0.95250582695007324</v>
      </c>
      <c r="Y410">
        <f>Cancer_doubles_final2[[#This Row],[mlp_test_acc]]</f>
        <v>0.94930069930069938</v>
      </c>
      <c r="Z410">
        <f>Cancer_doubles_final2[[#This Row],[mlp_test_acc2]]</f>
        <v>0.94696969696969702</v>
      </c>
    </row>
    <row r="411" spans="1:26" hidden="1" x14ac:dyDescent="0.25">
      <c r="A411" t="s">
        <v>19</v>
      </c>
      <c r="B411">
        <v>5</v>
      </c>
      <c r="C411">
        <v>3</v>
      </c>
      <c r="D411">
        <v>0</v>
      </c>
      <c r="E411" t="s">
        <v>173</v>
      </c>
      <c r="F411">
        <v>21844</v>
      </c>
      <c r="G411">
        <v>44006052.541666672</v>
      </c>
      <c r="H411">
        <v>0.97202796985705697</v>
      </c>
      <c r="I411">
        <v>0.9391025641025641</v>
      </c>
      <c r="J411">
        <v>9401671</v>
      </c>
      <c r="K411">
        <v>35627</v>
      </c>
      <c r="L411">
        <v>2</v>
      </c>
      <c r="M411">
        <v>125</v>
      </c>
      <c r="N411">
        <v>0.93385780885780889</v>
      </c>
      <c r="O411">
        <v>9204997.5416666679</v>
      </c>
      <c r="P411">
        <v>36164</v>
      </c>
      <c r="Q411">
        <v>2</v>
      </c>
      <c r="R411">
        <v>126</v>
      </c>
      <c r="S411" t="s">
        <v>387</v>
      </c>
      <c r="W411">
        <f>Cancer_doubles_final2[[#This Row],[mlp_params]]</f>
        <v>35627</v>
      </c>
      <c r="X411">
        <f>Cancer_doubles_final2[[#This Row],[kan_test_acc]]</f>
        <v>0.97202796985705697</v>
      </c>
      <c r="Y411">
        <f>Cancer_doubles_final2[[#This Row],[mlp_test_acc]]</f>
        <v>0.9391025641025641</v>
      </c>
      <c r="Z411">
        <f>Cancer_doubles_final2[[#This Row],[mlp_test_acc2]]</f>
        <v>0.93385780885780889</v>
      </c>
    </row>
    <row r="412" spans="1:26" x14ac:dyDescent="0.25">
      <c r="A412" t="s">
        <v>19</v>
      </c>
      <c r="B412">
        <v>3</v>
      </c>
      <c r="C412">
        <v>5</v>
      </c>
      <c r="D412">
        <v>0</v>
      </c>
      <c r="E412" t="s">
        <v>173</v>
      </c>
      <c r="F412">
        <v>21844</v>
      </c>
      <c r="G412">
        <v>50100747</v>
      </c>
      <c r="H412">
        <v>0.9545454507072767</v>
      </c>
      <c r="I412">
        <v>0.93822843822843827</v>
      </c>
      <c r="J412">
        <v>9137659.4583333321</v>
      </c>
      <c r="K412">
        <v>43509</v>
      </c>
      <c r="L412">
        <v>2</v>
      </c>
      <c r="M412">
        <v>139</v>
      </c>
      <c r="N412">
        <v>0.93735431235431244</v>
      </c>
      <c r="O412">
        <v>10111764.791666668</v>
      </c>
      <c r="P412">
        <v>44102</v>
      </c>
      <c r="Q412">
        <v>2</v>
      </c>
      <c r="R412">
        <v>140</v>
      </c>
      <c r="S412" t="s">
        <v>386</v>
      </c>
      <c r="W412">
        <f>Cancer_doubles_final2[[#This Row],[mlp_params]]</f>
        <v>43509</v>
      </c>
      <c r="X412">
        <f>Cancer_doubles_final2[[#This Row],[kan_test_acc]]</f>
        <v>0.9545454507072767</v>
      </c>
      <c r="Y412">
        <f>Cancer_doubles_final2[[#This Row],[mlp_test_acc]]</f>
        <v>0.93822843822843827</v>
      </c>
      <c r="Z412">
        <f>Cancer_doubles_final2[[#This Row],[mlp_test_acc2]]</f>
        <v>0.93735431235431244</v>
      </c>
    </row>
    <row r="413" spans="1:26" hidden="1" x14ac:dyDescent="0.25">
      <c r="A413" t="s">
        <v>19</v>
      </c>
      <c r="B413">
        <v>5</v>
      </c>
      <c r="C413">
        <v>3</v>
      </c>
      <c r="D413">
        <v>0</v>
      </c>
      <c r="E413" t="s">
        <v>173</v>
      </c>
      <c r="F413">
        <v>21844</v>
      </c>
      <c r="G413">
        <v>50823090.458333328</v>
      </c>
      <c r="H413">
        <v>0.94318181524674105</v>
      </c>
      <c r="I413">
        <v>0.91899766899766899</v>
      </c>
      <c r="J413">
        <v>8468340.3333333321</v>
      </c>
      <c r="K413">
        <v>35627</v>
      </c>
      <c r="L413">
        <v>2</v>
      </c>
      <c r="M413">
        <v>125</v>
      </c>
      <c r="N413">
        <v>0.92074592074592077</v>
      </c>
      <c r="O413">
        <v>10185313.125</v>
      </c>
      <c r="P413">
        <v>36164</v>
      </c>
      <c r="Q413">
        <v>2</v>
      </c>
      <c r="R413">
        <v>126</v>
      </c>
      <c r="S413" t="s">
        <v>387</v>
      </c>
      <c r="W413">
        <f>Cancer_doubles_final2[[#This Row],[mlp_params]]</f>
        <v>35627</v>
      </c>
      <c r="X413">
        <f>Cancer_doubles_final2[[#This Row],[kan_test_acc]]</f>
        <v>0.94318181524674105</v>
      </c>
      <c r="Y413">
        <f>Cancer_doubles_final2[[#This Row],[mlp_test_acc]]</f>
        <v>0.91899766899766899</v>
      </c>
      <c r="Z413">
        <f>Cancer_doubles_final2[[#This Row],[mlp_test_acc2]]</f>
        <v>0.92074592074592077</v>
      </c>
    </row>
    <row r="414" spans="1:26" hidden="1" x14ac:dyDescent="0.25">
      <c r="A414" t="s">
        <v>19</v>
      </c>
      <c r="B414">
        <v>3</v>
      </c>
      <c r="C414">
        <v>3</v>
      </c>
      <c r="D414">
        <v>0</v>
      </c>
      <c r="E414" t="s">
        <v>283</v>
      </c>
      <c r="F414">
        <v>21852</v>
      </c>
      <c r="G414">
        <v>43459611.625</v>
      </c>
      <c r="H414">
        <v>0.96095570673545194</v>
      </c>
      <c r="I414">
        <v>0.92220279720279719</v>
      </c>
      <c r="J414">
        <v>7746521.541666666</v>
      </c>
      <c r="K414">
        <v>38352</v>
      </c>
      <c r="L414">
        <v>2</v>
      </c>
      <c r="M414">
        <v>130</v>
      </c>
      <c r="N414">
        <v>0.92540792540792538</v>
      </c>
      <c r="O414">
        <v>8925124.1666666679</v>
      </c>
      <c r="P414">
        <v>38909</v>
      </c>
      <c r="Q414">
        <v>2</v>
      </c>
      <c r="R414">
        <v>131</v>
      </c>
      <c r="S414" t="s">
        <v>388</v>
      </c>
      <c r="W414">
        <f>Cancer_doubles_final2[[#This Row],[mlp_params]]</f>
        <v>38352</v>
      </c>
      <c r="X414">
        <f>Cancer_doubles_final2[[#This Row],[kan_test_acc]]</f>
        <v>0.96095570673545194</v>
      </c>
      <c r="Y414">
        <f>Cancer_doubles_final2[[#This Row],[mlp_test_acc]]</f>
        <v>0.92220279720279719</v>
      </c>
      <c r="Z414">
        <f>Cancer_doubles_final2[[#This Row],[mlp_test_acc2]]</f>
        <v>0.92540792540792538</v>
      </c>
    </row>
    <row r="415" spans="1:26" hidden="1" x14ac:dyDescent="0.25">
      <c r="A415" t="s">
        <v>19</v>
      </c>
      <c r="B415">
        <v>3</v>
      </c>
      <c r="C415">
        <v>4</v>
      </c>
      <c r="D415">
        <v>0</v>
      </c>
      <c r="E415" t="s">
        <v>217</v>
      </c>
      <c r="F415">
        <v>21872</v>
      </c>
      <c r="G415">
        <v>39797378.111111112</v>
      </c>
      <c r="H415">
        <v>0.97494172056516004</v>
      </c>
      <c r="I415">
        <v>0.93919968919968921</v>
      </c>
      <c r="J415">
        <v>8926476.722222222</v>
      </c>
      <c r="K415">
        <v>41177</v>
      </c>
      <c r="L415">
        <v>2</v>
      </c>
      <c r="M415">
        <v>135</v>
      </c>
      <c r="N415">
        <v>0.94289044289044288</v>
      </c>
      <c r="O415">
        <v>7456503.888888889</v>
      </c>
      <c r="P415">
        <v>41754</v>
      </c>
      <c r="Q415">
        <v>2</v>
      </c>
      <c r="R415">
        <v>136</v>
      </c>
      <c r="S415" t="s">
        <v>389</v>
      </c>
      <c r="W415">
        <f>Cancer_doubles_final2[[#This Row],[mlp_params]]</f>
        <v>41177</v>
      </c>
      <c r="X415">
        <f>Cancer_doubles_final2[[#This Row],[kan_test_acc]]</f>
        <v>0.97494172056516004</v>
      </c>
      <c r="Y415">
        <f>Cancer_doubles_final2[[#This Row],[mlp_test_acc]]</f>
        <v>0.93919968919968921</v>
      </c>
      <c r="Z415">
        <f>Cancer_doubles_final2[[#This Row],[mlp_test_acc2]]</f>
        <v>0.94289044289044288</v>
      </c>
    </row>
    <row r="416" spans="1:26" hidden="1" x14ac:dyDescent="0.25">
      <c r="A416" t="s">
        <v>19</v>
      </c>
      <c r="B416">
        <v>5</v>
      </c>
      <c r="C416">
        <v>2</v>
      </c>
      <c r="D416">
        <v>0</v>
      </c>
      <c r="E416" t="s">
        <v>217</v>
      </c>
      <c r="F416">
        <v>21872</v>
      </c>
      <c r="G416">
        <v>32038304.499999996</v>
      </c>
      <c r="H416">
        <v>0.96940558403730392</v>
      </c>
      <c r="I416">
        <v>0.94405594405594406</v>
      </c>
      <c r="J416">
        <v>9304010.25</v>
      </c>
      <c r="K416">
        <v>32489</v>
      </c>
      <c r="L416">
        <v>2</v>
      </c>
      <c r="M416">
        <v>119</v>
      </c>
      <c r="N416">
        <v>0.94463869463869465</v>
      </c>
      <c r="O416">
        <v>7850218.25</v>
      </c>
      <c r="P416">
        <v>33002</v>
      </c>
      <c r="Q416">
        <v>2</v>
      </c>
      <c r="R416">
        <v>120</v>
      </c>
      <c r="S416" t="s">
        <v>390</v>
      </c>
      <c r="W416">
        <f>Cancer_doubles_final2[[#This Row],[mlp_params]]</f>
        <v>32489</v>
      </c>
      <c r="X416">
        <f>Cancer_doubles_final2[[#This Row],[kan_test_acc]]</f>
        <v>0.96940558403730392</v>
      </c>
      <c r="Y416">
        <f>Cancer_doubles_final2[[#This Row],[mlp_test_acc]]</f>
        <v>0.94405594405594406</v>
      </c>
      <c r="Z416">
        <f>Cancer_doubles_final2[[#This Row],[mlp_test_acc2]]</f>
        <v>0.94463869463869465</v>
      </c>
    </row>
    <row r="417" spans="1:26" hidden="1" x14ac:dyDescent="0.25">
      <c r="A417" t="s">
        <v>19</v>
      </c>
      <c r="B417">
        <v>3</v>
      </c>
      <c r="C417">
        <v>4</v>
      </c>
      <c r="D417">
        <v>0</v>
      </c>
      <c r="E417" t="s">
        <v>217</v>
      </c>
      <c r="F417">
        <v>21872</v>
      </c>
      <c r="G417">
        <v>34446705.541666664</v>
      </c>
      <c r="H417">
        <v>0.96707457800706231</v>
      </c>
      <c r="I417">
        <v>0.9306526806526807</v>
      </c>
      <c r="J417">
        <v>9198902.833333334</v>
      </c>
      <c r="K417">
        <v>41177</v>
      </c>
      <c r="L417">
        <v>2</v>
      </c>
      <c r="M417">
        <v>135</v>
      </c>
      <c r="N417">
        <v>0.93240093240093247</v>
      </c>
      <c r="O417">
        <v>9067547.25</v>
      </c>
      <c r="P417">
        <v>41754</v>
      </c>
      <c r="Q417">
        <v>2</v>
      </c>
      <c r="R417">
        <v>136</v>
      </c>
      <c r="S417" t="s">
        <v>389</v>
      </c>
      <c r="W417">
        <f>Cancer_doubles_final2[[#This Row],[mlp_params]]</f>
        <v>41177</v>
      </c>
      <c r="X417">
        <f>Cancer_doubles_final2[[#This Row],[kan_test_acc]]</f>
        <v>0.96707457800706231</v>
      </c>
      <c r="Y417">
        <f>Cancer_doubles_final2[[#This Row],[mlp_test_acc]]</f>
        <v>0.9306526806526807</v>
      </c>
      <c r="Z417">
        <f>Cancer_doubles_final2[[#This Row],[mlp_test_acc2]]</f>
        <v>0.93240093240093247</v>
      </c>
    </row>
    <row r="418" spans="1:26" hidden="1" x14ac:dyDescent="0.25">
      <c r="A418" t="s">
        <v>19</v>
      </c>
      <c r="B418">
        <v>5</v>
      </c>
      <c r="C418">
        <v>2</v>
      </c>
      <c r="D418">
        <v>0</v>
      </c>
      <c r="E418" t="s">
        <v>217</v>
      </c>
      <c r="F418">
        <v>21872</v>
      </c>
      <c r="G418">
        <v>30267670.916666668</v>
      </c>
      <c r="H418">
        <v>0.9720279648900032</v>
      </c>
      <c r="I418">
        <v>0.93298368298368306</v>
      </c>
      <c r="J418">
        <v>8766090</v>
      </c>
      <c r="K418">
        <v>32489</v>
      </c>
      <c r="L418">
        <v>2</v>
      </c>
      <c r="M418">
        <v>119</v>
      </c>
      <c r="N418">
        <v>0.93152680652680653</v>
      </c>
      <c r="O418">
        <v>9725100.4583333321</v>
      </c>
      <c r="P418">
        <v>33002</v>
      </c>
      <c r="Q418">
        <v>2</v>
      </c>
      <c r="R418">
        <v>120</v>
      </c>
      <c r="S418" t="s">
        <v>390</v>
      </c>
      <c r="W418">
        <f>Cancer_doubles_final2[[#This Row],[mlp_params]]</f>
        <v>32489</v>
      </c>
      <c r="X418">
        <f>Cancer_doubles_final2[[#This Row],[kan_test_acc]]</f>
        <v>0.9720279648900032</v>
      </c>
      <c r="Y418">
        <f>Cancer_doubles_final2[[#This Row],[mlp_test_acc]]</f>
        <v>0.93298368298368306</v>
      </c>
      <c r="Z418">
        <f>Cancer_doubles_final2[[#This Row],[mlp_test_acc2]]</f>
        <v>0.93152680652680653</v>
      </c>
    </row>
    <row r="419" spans="1:26" x14ac:dyDescent="0.25">
      <c r="A419" t="s">
        <v>19</v>
      </c>
      <c r="B419">
        <v>3</v>
      </c>
      <c r="C419">
        <v>5</v>
      </c>
      <c r="D419">
        <v>0</v>
      </c>
      <c r="E419" t="s">
        <v>175</v>
      </c>
      <c r="F419">
        <v>21888</v>
      </c>
      <c r="G419">
        <v>30157532.208333336</v>
      </c>
      <c r="H419">
        <v>0.97523309787114454</v>
      </c>
      <c r="I419">
        <v>0.94318181818181812</v>
      </c>
      <c r="J419">
        <v>8887035.25</v>
      </c>
      <c r="K419">
        <v>43509</v>
      </c>
      <c r="L419">
        <v>2</v>
      </c>
      <c r="M419">
        <v>139</v>
      </c>
      <c r="N419">
        <v>0.94638694638694632</v>
      </c>
      <c r="O419">
        <v>8400381.9166666679</v>
      </c>
      <c r="P419">
        <v>44102</v>
      </c>
      <c r="Q419">
        <v>2</v>
      </c>
      <c r="R419">
        <v>140</v>
      </c>
      <c r="S419" t="s">
        <v>391</v>
      </c>
      <c r="W419">
        <f>Cancer_doubles_final2[[#This Row],[mlp_params]]</f>
        <v>43509</v>
      </c>
      <c r="X419">
        <f>Cancer_doubles_final2[[#This Row],[kan_test_acc]]</f>
        <v>0.97523309787114454</v>
      </c>
      <c r="Y419">
        <f>Cancer_doubles_final2[[#This Row],[mlp_test_acc]]</f>
        <v>0.94318181818181812</v>
      </c>
      <c r="Z419">
        <f>Cancer_doubles_final2[[#This Row],[mlp_test_acc2]]</f>
        <v>0.94638694638694632</v>
      </c>
    </row>
    <row r="420" spans="1:26" hidden="1" x14ac:dyDescent="0.25">
      <c r="A420" t="s">
        <v>19</v>
      </c>
      <c r="B420">
        <v>5</v>
      </c>
      <c r="C420">
        <v>3</v>
      </c>
      <c r="D420">
        <v>0</v>
      </c>
      <c r="E420" t="s">
        <v>175</v>
      </c>
      <c r="F420">
        <v>21888</v>
      </c>
      <c r="G420">
        <v>30158428.666666668</v>
      </c>
      <c r="H420">
        <v>0.97523309290409088</v>
      </c>
      <c r="I420">
        <v>0.93851981351981351</v>
      </c>
      <c r="J420">
        <v>8941447.125</v>
      </c>
      <c r="K420">
        <v>35627</v>
      </c>
      <c r="L420">
        <v>2</v>
      </c>
      <c r="M420">
        <v>125</v>
      </c>
      <c r="N420">
        <v>0.94463869463869465</v>
      </c>
      <c r="O420">
        <v>7780665.75</v>
      </c>
      <c r="P420">
        <v>36164</v>
      </c>
      <c r="Q420">
        <v>2</v>
      </c>
      <c r="R420">
        <v>126</v>
      </c>
      <c r="S420" t="s">
        <v>392</v>
      </c>
      <c r="W420">
        <f>Cancer_doubles_final2[[#This Row],[mlp_params]]</f>
        <v>35627</v>
      </c>
      <c r="X420">
        <f>Cancer_doubles_final2[[#This Row],[kan_test_acc]]</f>
        <v>0.97523309290409088</v>
      </c>
      <c r="Y420">
        <f>Cancer_doubles_final2[[#This Row],[mlp_test_acc]]</f>
        <v>0.93851981351981351</v>
      </c>
      <c r="Z420">
        <f>Cancer_doubles_final2[[#This Row],[mlp_test_acc2]]</f>
        <v>0.94463869463869465</v>
      </c>
    </row>
    <row r="421" spans="1:26" x14ac:dyDescent="0.25">
      <c r="A421" t="s">
        <v>19</v>
      </c>
      <c r="B421">
        <v>3</v>
      </c>
      <c r="C421">
        <v>5</v>
      </c>
      <c r="D421">
        <v>0</v>
      </c>
      <c r="E421" t="s">
        <v>175</v>
      </c>
      <c r="F421">
        <v>21888</v>
      </c>
      <c r="G421">
        <v>30821347.583333336</v>
      </c>
      <c r="H421">
        <v>0.97435896346966422</v>
      </c>
      <c r="I421">
        <v>0.92657342657342656</v>
      </c>
      <c r="J421">
        <v>8976734.2916666679</v>
      </c>
      <c r="K421">
        <v>43509</v>
      </c>
      <c r="L421">
        <v>2</v>
      </c>
      <c r="M421">
        <v>139</v>
      </c>
      <c r="N421">
        <v>0.93123543123543118</v>
      </c>
      <c r="O421">
        <v>8412362.5416666679</v>
      </c>
      <c r="P421">
        <v>44102</v>
      </c>
      <c r="Q421">
        <v>2</v>
      </c>
      <c r="R421">
        <v>140</v>
      </c>
      <c r="S421" t="s">
        <v>391</v>
      </c>
      <c r="W421">
        <f>Cancer_doubles_final2[[#This Row],[mlp_params]]</f>
        <v>43509</v>
      </c>
      <c r="X421">
        <f>Cancer_doubles_final2[[#This Row],[kan_test_acc]]</f>
        <v>0.97435896346966422</v>
      </c>
      <c r="Y421">
        <f>Cancer_doubles_final2[[#This Row],[mlp_test_acc]]</f>
        <v>0.92657342657342656</v>
      </c>
      <c r="Z421">
        <f>Cancer_doubles_final2[[#This Row],[mlp_test_acc2]]</f>
        <v>0.93123543123543118</v>
      </c>
    </row>
    <row r="422" spans="1:26" hidden="1" x14ac:dyDescent="0.25">
      <c r="A422" t="s">
        <v>19</v>
      </c>
      <c r="B422">
        <v>5</v>
      </c>
      <c r="C422">
        <v>3</v>
      </c>
      <c r="D422">
        <v>0</v>
      </c>
      <c r="E422" t="s">
        <v>175</v>
      </c>
      <c r="F422">
        <v>21888</v>
      </c>
      <c r="G422">
        <v>28785624.291666668</v>
      </c>
      <c r="H422">
        <v>0.95571094999710715</v>
      </c>
      <c r="I422">
        <v>0.90705128205128205</v>
      </c>
      <c r="J422">
        <v>8959155.458333334</v>
      </c>
      <c r="K422">
        <v>35627</v>
      </c>
      <c r="L422">
        <v>2</v>
      </c>
      <c r="M422">
        <v>125</v>
      </c>
      <c r="N422">
        <v>0.90909090909090917</v>
      </c>
      <c r="O422">
        <v>8540233.375</v>
      </c>
      <c r="P422">
        <v>36164</v>
      </c>
      <c r="Q422">
        <v>2</v>
      </c>
      <c r="R422">
        <v>126</v>
      </c>
      <c r="S422" t="s">
        <v>392</v>
      </c>
      <c r="W422">
        <f>Cancer_doubles_final2[[#This Row],[mlp_params]]</f>
        <v>35627</v>
      </c>
      <c r="X422">
        <f>Cancer_doubles_final2[[#This Row],[kan_test_acc]]</f>
        <v>0.95571094999710715</v>
      </c>
      <c r="Y422">
        <f>Cancer_doubles_final2[[#This Row],[mlp_test_acc]]</f>
        <v>0.90705128205128205</v>
      </c>
      <c r="Z422">
        <f>Cancer_doubles_final2[[#This Row],[mlp_test_acc2]]</f>
        <v>0.90909090909090917</v>
      </c>
    </row>
    <row r="423" spans="1:26" hidden="1" x14ac:dyDescent="0.25">
      <c r="A423" t="s">
        <v>19</v>
      </c>
      <c r="B423">
        <v>3</v>
      </c>
      <c r="C423">
        <v>2</v>
      </c>
      <c r="D423">
        <v>0</v>
      </c>
      <c r="E423" t="s">
        <v>393</v>
      </c>
      <c r="F423">
        <v>21910</v>
      </c>
      <c r="G423">
        <v>27630645.625</v>
      </c>
      <c r="H423">
        <v>0.95279720673958457</v>
      </c>
      <c r="I423">
        <v>0.92103729603729612</v>
      </c>
      <c r="J423">
        <v>8953280.2083333321</v>
      </c>
      <c r="K423">
        <v>35094</v>
      </c>
      <c r="L423">
        <v>2</v>
      </c>
      <c r="M423">
        <v>124</v>
      </c>
      <c r="N423">
        <v>0.92220279720279719</v>
      </c>
      <c r="O423">
        <v>8792477.625</v>
      </c>
      <c r="P423">
        <v>35627</v>
      </c>
      <c r="Q423">
        <v>2</v>
      </c>
      <c r="R423">
        <v>125</v>
      </c>
      <c r="S423" t="s">
        <v>394</v>
      </c>
      <c r="W423">
        <f>Cancer_doubles_final2[[#This Row],[mlp_params]]</f>
        <v>35094</v>
      </c>
      <c r="X423">
        <f>Cancer_doubles_final2[[#This Row],[kan_test_acc]]</f>
        <v>0.95279720673958457</v>
      </c>
      <c r="Y423">
        <f>Cancer_doubles_final2[[#This Row],[mlp_test_acc]]</f>
        <v>0.92103729603729612</v>
      </c>
      <c r="Z423">
        <f>Cancer_doubles_final2[[#This Row],[mlp_test_acc2]]</f>
        <v>0.92220279720279719</v>
      </c>
    </row>
    <row r="424" spans="1:26" hidden="1" x14ac:dyDescent="0.25">
      <c r="A424" t="s">
        <v>19</v>
      </c>
      <c r="B424">
        <v>3</v>
      </c>
      <c r="C424">
        <v>4</v>
      </c>
      <c r="D424">
        <v>0</v>
      </c>
      <c r="E424" t="s">
        <v>220</v>
      </c>
      <c r="F424">
        <v>21910</v>
      </c>
      <c r="G424">
        <v>32133938.791666664</v>
      </c>
      <c r="H424">
        <v>0.97115385035673785</v>
      </c>
      <c r="I424">
        <v>0.94842657342657344</v>
      </c>
      <c r="J424">
        <v>9347085.541666666</v>
      </c>
      <c r="K424">
        <v>41177</v>
      </c>
      <c r="L424">
        <v>2</v>
      </c>
      <c r="M424">
        <v>135</v>
      </c>
      <c r="N424">
        <v>0.95134032634032639</v>
      </c>
      <c r="O424">
        <v>8567386.458333334</v>
      </c>
      <c r="P424">
        <v>41754</v>
      </c>
      <c r="Q424">
        <v>2</v>
      </c>
      <c r="R424">
        <v>136</v>
      </c>
      <c r="S424" t="s">
        <v>395</v>
      </c>
      <c r="W424">
        <f>Cancer_doubles_final2[[#This Row],[mlp_params]]</f>
        <v>41177</v>
      </c>
      <c r="X424">
        <f>Cancer_doubles_final2[[#This Row],[kan_test_acc]]</f>
        <v>0.97115385035673785</v>
      </c>
      <c r="Y424">
        <f>Cancer_doubles_final2[[#This Row],[mlp_test_acc]]</f>
        <v>0.94842657342657344</v>
      </c>
      <c r="Z424">
        <f>Cancer_doubles_final2[[#This Row],[mlp_test_acc2]]</f>
        <v>0.95134032634032639</v>
      </c>
    </row>
    <row r="425" spans="1:26" hidden="1" x14ac:dyDescent="0.25">
      <c r="A425" t="s">
        <v>19</v>
      </c>
      <c r="B425">
        <v>5</v>
      </c>
      <c r="C425">
        <v>2</v>
      </c>
      <c r="D425">
        <v>0</v>
      </c>
      <c r="E425" t="s">
        <v>220</v>
      </c>
      <c r="F425">
        <v>21910</v>
      </c>
      <c r="G425">
        <v>34228674.541666672</v>
      </c>
      <c r="H425">
        <v>0.97435897092024493</v>
      </c>
      <c r="I425">
        <v>0.94347319347319347</v>
      </c>
      <c r="J425">
        <v>9004579.291666666</v>
      </c>
      <c r="K425">
        <v>32489</v>
      </c>
      <c r="L425">
        <v>2</v>
      </c>
      <c r="M425">
        <v>119</v>
      </c>
      <c r="N425">
        <v>0.94609557109557119</v>
      </c>
      <c r="O425">
        <v>8889446.5</v>
      </c>
      <c r="P425">
        <v>33002</v>
      </c>
      <c r="Q425">
        <v>2</v>
      </c>
      <c r="R425">
        <v>120</v>
      </c>
      <c r="S425" t="s">
        <v>396</v>
      </c>
      <c r="W425">
        <f>Cancer_doubles_final2[[#This Row],[mlp_params]]</f>
        <v>32489</v>
      </c>
      <c r="X425">
        <f>Cancer_doubles_final2[[#This Row],[kan_test_acc]]</f>
        <v>0.97435897092024493</v>
      </c>
      <c r="Y425">
        <f>Cancer_doubles_final2[[#This Row],[mlp_test_acc]]</f>
        <v>0.94347319347319347</v>
      </c>
      <c r="Z425">
        <f>Cancer_doubles_final2[[#This Row],[mlp_test_acc2]]</f>
        <v>0.94609557109557119</v>
      </c>
    </row>
    <row r="426" spans="1:26" hidden="1" x14ac:dyDescent="0.25">
      <c r="A426" t="s">
        <v>19</v>
      </c>
      <c r="B426">
        <v>3</v>
      </c>
      <c r="C426">
        <v>2</v>
      </c>
      <c r="D426">
        <v>0</v>
      </c>
      <c r="E426" t="s">
        <v>393</v>
      </c>
      <c r="F426">
        <v>21910</v>
      </c>
      <c r="G426">
        <v>33376063.25</v>
      </c>
      <c r="H426">
        <v>0.95483682552973426</v>
      </c>
      <c r="I426">
        <v>0.93939393939393945</v>
      </c>
      <c r="J426">
        <v>8236789.7499999991</v>
      </c>
      <c r="K426">
        <v>35094</v>
      </c>
      <c r="L426">
        <v>2</v>
      </c>
      <c r="M426">
        <v>124</v>
      </c>
      <c r="N426">
        <v>0.9396853146853148</v>
      </c>
      <c r="O426">
        <v>9948483.2916666679</v>
      </c>
      <c r="P426">
        <v>35627</v>
      </c>
      <c r="Q426">
        <v>2</v>
      </c>
      <c r="R426">
        <v>125</v>
      </c>
      <c r="S426" t="s">
        <v>394</v>
      </c>
      <c r="W426">
        <f>Cancer_doubles_final2[[#This Row],[mlp_params]]</f>
        <v>35094</v>
      </c>
      <c r="X426">
        <f>Cancer_doubles_final2[[#This Row],[kan_test_acc]]</f>
        <v>0.95483682552973426</v>
      </c>
      <c r="Y426">
        <f>Cancer_doubles_final2[[#This Row],[mlp_test_acc]]</f>
        <v>0.93939393939393945</v>
      </c>
      <c r="Z426">
        <f>Cancer_doubles_final2[[#This Row],[mlp_test_acc2]]</f>
        <v>0.9396853146853148</v>
      </c>
    </row>
    <row r="427" spans="1:26" hidden="1" x14ac:dyDescent="0.25">
      <c r="A427" t="s">
        <v>19</v>
      </c>
      <c r="B427">
        <v>3</v>
      </c>
      <c r="C427">
        <v>4</v>
      </c>
      <c r="D427">
        <v>0</v>
      </c>
      <c r="E427" t="s">
        <v>220</v>
      </c>
      <c r="F427">
        <v>21910</v>
      </c>
      <c r="G427">
        <v>30895989.666666664</v>
      </c>
      <c r="H427">
        <v>0.95104895035425818</v>
      </c>
      <c r="I427">
        <v>0.93123543123543129</v>
      </c>
      <c r="J427">
        <v>8691151.8333333321</v>
      </c>
      <c r="K427">
        <v>41177</v>
      </c>
      <c r="L427">
        <v>2</v>
      </c>
      <c r="M427">
        <v>135</v>
      </c>
      <c r="N427">
        <v>0.93036130536130535</v>
      </c>
      <c r="O427">
        <v>9197156.9166666679</v>
      </c>
      <c r="P427">
        <v>41754</v>
      </c>
      <c r="Q427">
        <v>2</v>
      </c>
      <c r="R427">
        <v>136</v>
      </c>
      <c r="S427" t="s">
        <v>395</v>
      </c>
      <c r="W427">
        <f>Cancer_doubles_final2[[#This Row],[mlp_params]]</f>
        <v>41177</v>
      </c>
      <c r="X427">
        <f>Cancer_doubles_final2[[#This Row],[kan_test_acc]]</f>
        <v>0.95104895035425818</v>
      </c>
      <c r="Y427">
        <f>Cancer_doubles_final2[[#This Row],[mlp_test_acc]]</f>
        <v>0.93123543123543129</v>
      </c>
      <c r="Z427">
        <f>Cancer_doubles_final2[[#This Row],[mlp_test_acc2]]</f>
        <v>0.93036130536130535</v>
      </c>
    </row>
    <row r="428" spans="1:26" hidden="1" x14ac:dyDescent="0.25">
      <c r="A428" t="s">
        <v>19</v>
      </c>
      <c r="B428">
        <v>5</v>
      </c>
      <c r="C428">
        <v>2</v>
      </c>
      <c r="D428">
        <v>0</v>
      </c>
      <c r="E428" t="s">
        <v>220</v>
      </c>
      <c r="F428">
        <v>21910</v>
      </c>
      <c r="G428">
        <v>29218091.75</v>
      </c>
      <c r="H428">
        <v>0.97435897092024493</v>
      </c>
      <c r="I428">
        <v>0.93036130536130535</v>
      </c>
      <c r="J428">
        <v>8033413.25</v>
      </c>
      <c r="K428">
        <v>32489</v>
      </c>
      <c r="L428">
        <v>2</v>
      </c>
      <c r="M428">
        <v>119</v>
      </c>
      <c r="N428">
        <v>0.93414918414918413</v>
      </c>
      <c r="O428">
        <v>9026248.583333334</v>
      </c>
      <c r="P428">
        <v>33002</v>
      </c>
      <c r="Q428">
        <v>2</v>
      </c>
      <c r="R428">
        <v>120</v>
      </c>
      <c r="S428" t="s">
        <v>396</v>
      </c>
      <c r="W428">
        <f>Cancer_doubles_final2[[#This Row],[mlp_params]]</f>
        <v>32489</v>
      </c>
      <c r="X428">
        <f>Cancer_doubles_final2[[#This Row],[kan_test_acc]]</f>
        <v>0.97435897092024493</v>
      </c>
      <c r="Y428">
        <f>Cancer_doubles_final2[[#This Row],[mlp_test_acc]]</f>
        <v>0.93036130536130535</v>
      </c>
      <c r="Z428">
        <f>Cancer_doubles_final2[[#This Row],[mlp_test_acc2]]</f>
        <v>0.93414918414918413</v>
      </c>
    </row>
    <row r="429" spans="1:26" x14ac:dyDescent="0.25">
      <c r="A429" t="s">
        <v>19</v>
      </c>
      <c r="B429">
        <v>3</v>
      </c>
      <c r="C429">
        <v>5</v>
      </c>
      <c r="D429">
        <v>0</v>
      </c>
      <c r="E429" t="s">
        <v>177</v>
      </c>
      <c r="F429">
        <v>21934</v>
      </c>
      <c r="G429">
        <v>31671242.791666668</v>
      </c>
      <c r="H429">
        <v>0.97406759609778715</v>
      </c>
      <c r="I429">
        <v>0.9443473193473193</v>
      </c>
      <c r="J429">
        <v>7938940.958333333</v>
      </c>
      <c r="K429">
        <v>43509</v>
      </c>
      <c r="L429">
        <v>2</v>
      </c>
      <c r="M429">
        <v>139</v>
      </c>
      <c r="N429">
        <v>0.94580419580419584</v>
      </c>
      <c r="O429">
        <v>9532335.208333334</v>
      </c>
      <c r="P429">
        <v>44102</v>
      </c>
      <c r="Q429">
        <v>2</v>
      </c>
      <c r="R429">
        <v>140</v>
      </c>
      <c r="S429" t="s">
        <v>397</v>
      </c>
      <c r="W429">
        <f>Cancer_doubles_final2[[#This Row],[mlp_params]]</f>
        <v>43509</v>
      </c>
      <c r="X429">
        <f>Cancer_doubles_final2[[#This Row],[kan_test_acc]]</f>
        <v>0.97406759609778715</v>
      </c>
      <c r="Y429">
        <f>Cancer_doubles_final2[[#This Row],[mlp_test_acc]]</f>
        <v>0.9443473193473193</v>
      </c>
      <c r="Z429">
        <f>Cancer_doubles_final2[[#This Row],[mlp_test_acc2]]</f>
        <v>0.94580419580419584</v>
      </c>
    </row>
    <row r="430" spans="1:26" hidden="1" x14ac:dyDescent="0.25">
      <c r="A430" t="s">
        <v>19</v>
      </c>
      <c r="B430">
        <v>5</v>
      </c>
      <c r="C430">
        <v>3</v>
      </c>
      <c r="D430">
        <v>0</v>
      </c>
      <c r="E430" t="s">
        <v>177</v>
      </c>
      <c r="F430">
        <v>21934</v>
      </c>
      <c r="G430">
        <v>36311085.583333328</v>
      </c>
      <c r="H430">
        <v>0.96853146453698469</v>
      </c>
      <c r="I430">
        <v>0.94376456876456882</v>
      </c>
      <c r="J430">
        <v>9873645.9583333321</v>
      </c>
      <c r="K430">
        <v>35627</v>
      </c>
      <c r="L430">
        <v>2</v>
      </c>
      <c r="M430">
        <v>125</v>
      </c>
      <c r="N430">
        <v>0.94318181818181812</v>
      </c>
      <c r="O430">
        <v>9476583.0833333321</v>
      </c>
      <c r="P430">
        <v>36164</v>
      </c>
      <c r="Q430">
        <v>2</v>
      </c>
      <c r="R430">
        <v>126</v>
      </c>
      <c r="S430" t="s">
        <v>398</v>
      </c>
      <c r="W430">
        <f>Cancer_doubles_final2[[#This Row],[mlp_params]]</f>
        <v>35627</v>
      </c>
      <c r="X430">
        <f>Cancer_doubles_final2[[#This Row],[kan_test_acc]]</f>
        <v>0.96853146453698469</v>
      </c>
      <c r="Y430">
        <f>Cancer_doubles_final2[[#This Row],[mlp_test_acc]]</f>
        <v>0.94376456876456882</v>
      </c>
      <c r="Z430">
        <f>Cancer_doubles_final2[[#This Row],[mlp_test_acc2]]</f>
        <v>0.94318181818181812</v>
      </c>
    </row>
    <row r="431" spans="1:26" x14ac:dyDescent="0.25">
      <c r="A431" t="s">
        <v>19</v>
      </c>
      <c r="B431">
        <v>3</v>
      </c>
      <c r="C431">
        <v>5</v>
      </c>
      <c r="D431">
        <v>0</v>
      </c>
      <c r="E431" t="s">
        <v>177</v>
      </c>
      <c r="F431">
        <v>21934</v>
      </c>
      <c r="G431">
        <v>37957959</v>
      </c>
      <c r="H431">
        <v>0.96824008474747347</v>
      </c>
      <c r="I431">
        <v>0.93123543123543129</v>
      </c>
      <c r="J431">
        <v>9234516.875</v>
      </c>
      <c r="K431">
        <v>43509</v>
      </c>
      <c r="L431">
        <v>2</v>
      </c>
      <c r="M431">
        <v>139</v>
      </c>
      <c r="N431">
        <v>0.93414918414918413</v>
      </c>
      <c r="O431">
        <v>9312832.875</v>
      </c>
      <c r="P431">
        <v>44102</v>
      </c>
      <c r="Q431">
        <v>2</v>
      </c>
      <c r="R431">
        <v>140</v>
      </c>
      <c r="S431" t="s">
        <v>397</v>
      </c>
      <c r="W431">
        <f>Cancer_doubles_final2[[#This Row],[mlp_params]]</f>
        <v>43509</v>
      </c>
      <c r="X431">
        <f>Cancer_doubles_final2[[#This Row],[kan_test_acc]]</f>
        <v>0.96824008474747347</v>
      </c>
      <c r="Y431">
        <f>Cancer_doubles_final2[[#This Row],[mlp_test_acc]]</f>
        <v>0.93123543123543129</v>
      </c>
      <c r="Z431">
        <f>Cancer_doubles_final2[[#This Row],[mlp_test_acc2]]</f>
        <v>0.93414918414918413</v>
      </c>
    </row>
    <row r="432" spans="1:26" hidden="1" x14ac:dyDescent="0.25">
      <c r="A432" t="s">
        <v>19</v>
      </c>
      <c r="B432">
        <v>5</v>
      </c>
      <c r="C432">
        <v>3</v>
      </c>
      <c r="D432">
        <v>0</v>
      </c>
      <c r="E432" t="s">
        <v>177</v>
      </c>
      <c r="F432">
        <v>21934</v>
      </c>
      <c r="G432">
        <v>35896255.666666664</v>
      </c>
      <c r="H432">
        <v>0.94813519716262817</v>
      </c>
      <c r="I432">
        <v>0.91113053613053618</v>
      </c>
      <c r="J432">
        <v>7973359.791666667</v>
      </c>
      <c r="K432">
        <v>35627</v>
      </c>
      <c r="L432">
        <v>2</v>
      </c>
      <c r="M432">
        <v>125</v>
      </c>
      <c r="N432">
        <v>0.90879953379953382</v>
      </c>
      <c r="O432">
        <v>7945024</v>
      </c>
      <c r="P432">
        <v>36164</v>
      </c>
      <c r="Q432">
        <v>2</v>
      </c>
      <c r="R432">
        <v>126</v>
      </c>
      <c r="S432" t="s">
        <v>398</v>
      </c>
      <c r="W432">
        <f>Cancer_doubles_final2[[#This Row],[mlp_params]]</f>
        <v>35627</v>
      </c>
      <c r="X432">
        <f>Cancer_doubles_final2[[#This Row],[kan_test_acc]]</f>
        <v>0.94813519716262817</v>
      </c>
      <c r="Y432">
        <f>Cancer_doubles_final2[[#This Row],[mlp_test_acc]]</f>
        <v>0.91113053613053618</v>
      </c>
      <c r="Z432">
        <f>Cancer_doubles_final2[[#This Row],[mlp_test_acc2]]</f>
        <v>0.90879953379953382</v>
      </c>
    </row>
    <row r="433" spans="1:26" hidden="1" x14ac:dyDescent="0.25">
      <c r="A433" t="s">
        <v>19</v>
      </c>
      <c r="B433">
        <v>3</v>
      </c>
      <c r="C433">
        <v>2</v>
      </c>
      <c r="D433">
        <v>0</v>
      </c>
      <c r="E433" t="s">
        <v>399</v>
      </c>
      <c r="F433">
        <v>22000</v>
      </c>
      <c r="G433">
        <v>35573434.791666672</v>
      </c>
      <c r="H433">
        <v>0.95367132872343063</v>
      </c>
      <c r="I433">
        <v>0.92395104895104896</v>
      </c>
      <c r="J433">
        <v>8693414.333333334</v>
      </c>
      <c r="K433">
        <v>35627</v>
      </c>
      <c r="L433">
        <v>2</v>
      </c>
      <c r="M433">
        <v>125</v>
      </c>
      <c r="N433">
        <v>0.91870629370629375</v>
      </c>
      <c r="O433">
        <v>7805861.4999999991</v>
      </c>
      <c r="P433">
        <v>36164</v>
      </c>
      <c r="Q433">
        <v>2</v>
      </c>
      <c r="R433">
        <v>126</v>
      </c>
      <c r="S433" t="s">
        <v>400</v>
      </c>
      <c r="W433">
        <f>Cancer_doubles_final2[[#This Row],[mlp_params]]</f>
        <v>35627</v>
      </c>
      <c r="X433">
        <f>Cancer_doubles_final2[[#This Row],[kan_test_acc]]</f>
        <v>0.95367132872343063</v>
      </c>
      <c r="Y433">
        <f>Cancer_doubles_final2[[#This Row],[mlp_test_acc]]</f>
        <v>0.92395104895104896</v>
      </c>
      <c r="Z433">
        <f>Cancer_doubles_final2[[#This Row],[mlp_test_acc2]]</f>
        <v>0.91870629370629375</v>
      </c>
    </row>
    <row r="434" spans="1:26" hidden="1" x14ac:dyDescent="0.25">
      <c r="A434" t="s">
        <v>19</v>
      </c>
      <c r="B434">
        <v>3</v>
      </c>
      <c r="C434">
        <v>3</v>
      </c>
      <c r="D434">
        <v>0</v>
      </c>
      <c r="E434" t="s">
        <v>286</v>
      </c>
      <c r="F434">
        <v>22004</v>
      </c>
      <c r="G434">
        <v>36749371.944444448</v>
      </c>
      <c r="H434">
        <v>0.96697746217250824</v>
      </c>
      <c r="I434">
        <v>0.94599844599844596</v>
      </c>
      <c r="J434">
        <v>8443723.694444444</v>
      </c>
      <c r="K434">
        <v>38909</v>
      </c>
      <c r="L434">
        <v>2</v>
      </c>
      <c r="M434">
        <v>131</v>
      </c>
      <c r="N434">
        <v>0.94327894327894335</v>
      </c>
      <c r="O434">
        <v>9214531.472222222</v>
      </c>
      <c r="P434">
        <v>39470</v>
      </c>
      <c r="Q434">
        <v>2</v>
      </c>
      <c r="R434">
        <v>132</v>
      </c>
      <c r="S434" t="s">
        <v>401</v>
      </c>
      <c r="W434">
        <f>Cancer_doubles_final2[[#This Row],[mlp_params]]</f>
        <v>38909</v>
      </c>
      <c r="X434">
        <f>Cancer_doubles_final2[[#This Row],[kan_test_acc]]</f>
        <v>0.96697746217250824</v>
      </c>
      <c r="Y434">
        <f>Cancer_doubles_final2[[#This Row],[mlp_test_acc]]</f>
        <v>0.94599844599844596</v>
      </c>
      <c r="Z434">
        <f>Cancer_doubles_final2[[#This Row],[mlp_test_acc2]]</f>
        <v>0.94327894327894335</v>
      </c>
    </row>
    <row r="435" spans="1:26" hidden="1" x14ac:dyDescent="0.25">
      <c r="A435" t="s">
        <v>19</v>
      </c>
      <c r="B435">
        <v>3</v>
      </c>
      <c r="C435">
        <v>2</v>
      </c>
      <c r="D435">
        <v>0</v>
      </c>
      <c r="E435" t="s">
        <v>402</v>
      </c>
      <c r="F435">
        <v>22068</v>
      </c>
      <c r="G435">
        <v>42571962.111111112</v>
      </c>
      <c r="H435">
        <v>0.96930847234196138</v>
      </c>
      <c r="I435">
        <v>0.94580419580419584</v>
      </c>
      <c r="J435">
        <v>8575930.472222222</v>
      </c>
      <c r="K435">
        <v>35627</v>
      </c>
      <c r="L435">
        <v>2</v>
      </c>
      <c r="M435">
        <v>125</v>
      </c>
      <c r="N435">
        <v>0.94716394716394725</v>
      </c>
      <c r="O435">
        <v>8736570.5</v>
      </c>
      <c r="P435">
        <v>36164</v>
      </c>
      <c r="Q435">
        <v>2</v>
      </c>
      <c r="R435">
        <v>126</v>
      </c>
      <c r="S435" t="s">
        <v>403</v>
      </c>
      <c r="W435">
        <f>Cancer_doubles_final2[[#This Row],[mlp_params]]</f>
        <v>35627</v>
      </c>
      <c r="X435">
        <f>Cancer_doubles_final2[[#This Row],[kan_test_acc]]</f>
        <v>0.96930847234196138</v>
      </c>
      <c r="Y435">
        <f>Cancer_doubles_final2[[#This Row],[mlp_test_acc]]</f>
        <v>0.94580419580419584</v>
      </c>
      <c r="Z435">
        <f>Cancer_doubles_final2[[#This Row],[mlp_test_acc2]]</f>
        <v>0.94716394716394725</v>
      </c>
    </row>
    <row r="436" spans="1:26" hidden="1" x14ac:dyDescent="0.25">
      <c r="A436" t="s">
        <v>19</v>
      </c>
      <c r="B436">
        <v>3</v>
      </c>
      <c r="C436">
        <v>2</v>
      </c>
      <c r="D436">
        <v>0</v>
      </c>
      <c r="E436" t="s">
        <v>404</v>
      </c>
      <c r="F436">
        <v>22098</v>
      </c>
      <c r="G436">
        <v>41059041.805555552</v>
      </c>
      <c r="H436">
        <v>0.96270396146509385</v>
      </c>
      <c r="I436">
        <v>0.94619269619269619</v>
      </c>
      <c r="J436">
        <v>8516127.5833333321</v>
      </c>
      <c r="K436">
        <v>35627</v>
      </c>
      <c r="L436">
        <v>2</v>
      </c>
      <c r="M436">
        <v>125</v>
      </c>
      <c r="N436">
        <v>0.94794094794094796</v>
      </c>
      <c r="O436">
        <v>8231384.805555556</v>
      </c>
      <c r="P436">
        <v>36164</v>
      </c>
      <c r="Q436">
        <v>2</v>
      </c>
      <c r="R436">
        <v>126</v>
      </c>
      <c r="S436" t="s">
        <v>405</v>
      </c>
      <c r="W436">
        <f>Cancer_doubles_final2[[#This Row],[mlp_params]]</f>
        <v>35627</v>
      </c>
      <c r="X436">
        <f>Cancer_doubles_final2[[#This Row],[kan_test_acc]]</f>
        <v>0.96270396146509385</v>
      </c>
      <c r="Y436">
        <f>Cancer_doubles_final2[[#This Row],[mlp_test_acc]]</f>
        <v>0.94619269619269619</v>
      </c>
      <c r="Z436">
        <f>Cancer_doubles_final2[[#This Row],[mlp_test_acc2]]</f>
        <v>0.94794094794094796</v>
      </c>
    </row>
    <row r="437" spans="1:26" hidden="1" x14ac:dyDescent="0.25">
      <c r="A437" t="s">
        <v>19</v>
      </c>
      <c r="B437">
        <v>3</v>
      </c>
      <c r="C437">
        <v>3</v>
      </c>
      <c r="D437">
        <v>0</v>
      </c>
      <c r="E437" t="s">
        <v>290</v>
      </c>
      <c r="F437">
        <v>22106</v>
      </c>
      <c r="G437">
        <v>37809997.472222224</v>
      </c>
      <c r="H437">
        <v>0.96173270708984804</v>
      </c>
      <c r="I437">
        <v>0.9436674436674436</v>
      </c>
      <c r="J437">
        <v>8999180.916666666</v>
      </c>
      <c r="K437">
        <v>38909</v>
      </c>
      <c r="L437">
        <v>2</v>
      </c>
      <c r="M437">
        <v>131</v>
      </c>
      <c r="N437">
        <v>0.94696969696969702</v>
      </c>
      <c r="O437">
        <v>9178284.416666666</v>
      </c>
      <c r="P437">
        <v>39470</v>
      </c>
      <c r="Q437">
        <v>2</v>
      </c>
      <c r="R437">
        <v>132</v>
      </c>
      <c r="S437" t="s">
        <v>406</v>
      </c>
      <c r="W437">
        <f>Cancer_doubles_final2[[#This Row],[mlp_params]]</f>
        <v>38909</v>
      </c>
      <c r="X437">
        <f>Cancer_doubles_final2[[#This Row],[kan_test_acc]]</f>
        <v>0.96173270708984804</v>
      </c>
      <c r="Y437">
        <f>Cancer_doubles_final2[[#This Row],[mlp_test_acc]]</f>
        <v>0.9436674436674436</v>
      </c>
      <c r="Z437">
        <f>Cancer_doubles_final2[[#This Row],[mlp_test_acc2]]</f>
        <v>0.94696969696969702</v>
      </c>
    </row>
    <row r="438" spans="1:26" hidden="1" x14ac:dyDescent="0.25">
      <c r="A438" t="s">
        <v>19</v>
      </c>
      <c r="B438">
        <v>9</v>
      </c>
      <c r="C438">
        <v>3</v>
      </c>
      <c r="D438">
        <v>0</v>
      </c>
      <c r="E438" t="s">
        <v>96</v>
      </c>
      <c r="F438">
        <v>22128</v>
      </c>
      <c r="G438">
        <v>32889813.27777778</v>
      </c>
      <c r="H438">
        <v>0.95318570070796538</v>
      </c>
      <c r="I438">
        <v>0.93084693084693082</v>
      </c>
      <c r="J438">
        <v>8526169.3333333321</v>
      </c>
      <c r="K438">
        <v>31980</v>
      </c>
      <c r="L438">
        <v>2</v>
      </c>
      <c r="M438">
        <v>118</v>
      </c>
      <c r="N438">
        <v>0.93550893550893555</v>
      </c>
      <c r="O438">
        <v>9422551.4444444459</v>
      </c>
      <c r="P438">
        <v>32489</v>
      </c>
      <c r="Q438">
        <v>2</v>
      </c>
      <c r="R438">
        <v>119</v>
      </c>
      <c r="S438" t="s">
        <v>407</v>
      </c>
      <c r="W438">
        <f>Cancer_doubles_final2[[#This Row],[mlp_params]]</f>
        <v>31980</v>
      </c>
      <c r="X438">
        <f>Cancer_doubles_final2[[#This Row],[kan_test_acc]]</f>
        <v>0.95318570070796538</v>
      </c>
      <c r="Y438">
        <f>Cancer_doubles_final2[[#This Row],[mlp_test_acc]]</f>
        <v>0.93084693084693082</v>
      </c>
      <c r="Z438">
        <f>Cancer_doubles_final2[[#This Row],[mlp_test_acc2]]</f>
        <v>0.93550893550893555</v>
      </c>
    </row>
    <row r="439" spans="1:26" hidden="1" x14ac:dyDescent="0.25">
      <c r="A439" t="s">
        <v>19</v>
      </c>
      <c r="B439">
        <v>3</v>
      </c>
      <c r="C439">
        <v>2</v>
      </c>
      <c r="D439">
        <v>0</v>
      </c>
      <c r="E439" t="s">
        <v>408</v>
      </c>
      <c r="F439">
        <v>22138</v>
      </c>
      <c r="G439">
        <v>25788341</v>
      </c>
      <c r="H439">
        <v>0.94386169479952919</v>
      </c>
      <c r="I439">
        <v>0.92288267288267289</v>
      </c>
      <c r="J439">
        <v>7800981.5</v>
      </c>
      <c r="K439">
        <v>35627</v>
      </c>
      <c r="L439">
        <v>2</v>
      </c>
      <c r="M439">
        <v>125</v>
      </c>
      <c r="N439">
        <v>0.92482517482517479</v>
      </c>
      <c r="O439">
        <v>9458431.6388888881</v>
      </c>
      <c r="P439">
        <v>36164</v>
      </c>
      <c r="Q439">
        <v>2</v>
      </c>
      <c r="R439">
        <v>126</v>
      </c>
      <c r="S439" t="s">
        <v>409</v>
      </c>
      <c r="W439">
        <f>Cancer_doubles_final2[[#This Row],[mlp_params]]</f>
        <v>35627</v>
      </c>
      <c r="X439">
        <f>Cancer_doubles_final2[[#This Row],[kan_test_acc]]</f>
        <v>0.94386169479952919</v>
      </c>
      <c r="Y439">
        <f>Cancer_doubles_final2[[#This Row],[mlp_test_acc]]</f>
        <v>0.92288267288267289</v>
      </c>
      <c r="Z439">
        <f>Cancer_doubles_final2[[#This Row],[mlp_test_acc2]]</f>
        <v>0.92482517482517479</v>
      </c>
    </row>
    <row r="440" spans="1:26" hidden="1" x14ac:dyDescent="0.25">
      <c r="A440" t="s">
        <v>19</v>
      </c>
      <c r="B440">
        <v>3</v>
      </c>
      <c r="C440">
        <v>3</v>
      </c>
      <c r="D440">
        <v>0</v>
      </c>
      <c r="E440" t="s">
        <v>293</v>
      </c>
      <c r="F440">
        <v>22182</v>
      </c>
      <c r="G440">
        <v>35728461.111111112</v>
      </c>
      <c r="H440">
        <v>0.96406370732519364</v>
      </c>
      <c r="I440">
        <v>0.94347319347319347</v>
      </c>
      <c r="J440">
        <v>8521956.3333333321</v>
      </c>
      <c r="K440">
        <v>38909</v>
      </c>
      <c r="L440">
        <v>2</v>
      </c>
      <c r="M440">
        <v>131</v>
      </c>
      <c r="N440">
        <v>0.94289044289044288</v>
      </c>
      <c r="O440">
        <v>8865160.1111111119</v>
      </c>
      <c r="P440">
        <v>39470</v>
      </c>
      <c r="Q440">
        <v>2</v>
      </c>
      <c r="R440">
        <v>132</v>
      </c>
      <c r="S440" t="s">
        <v>410</v>
      </c>
      <c r="W440">
        <f>Cancer_doubles_final2[[#This Row],[mlp_params]]</f>
        <v>38909</v>
      </c>
      <c r="X440">
        <f>Cancer_doubles_final2[[#This Row],[kan_test_acc]]</f>
        <v>0.96406370732519364</v>
      </c>
      <c r="Y440">
        <f>Cancer_doubles_final2[[#This Row],[mlp_test_acc]]</f>
        <v>0.94347319347319347</v>
      </c>
      <c r="Z440">
        <f>Cancer_doubles_final2[[#This Row],[mlp_test_acc2]]</f>
        <v>0.94289044289044288</v>
      </c>
    </row>
    <row r="441" spans="1:26" hidden="1" x14ac:dyDescent="0.25">
      <c r="A441" t="s">
        <v>19</v>
      </c>
      <c r="B441">
        <v>3</v>
      </c>
      <c r="C441">
        <v>3</v>
      </c>
      <c r="D441">
        <v>0</v>
      </c>
      <c r="E441" t="s">
        <v>296</v>
      </c>
      <c r="F441">
        <v>22216</v>
      </c>
      <c r="G441">
        <v>40601750.25</v>
      </c>
      <c r="H441">
        <v>0.96872571441862321</v>
      </c>
      <c r="I441">
        <v>0.94386169386169383</v>
      </c>
      <c r="J441">
        <v>8504446.1111111119</v>
      </c>
      <c r="K441">
        <v>38909</v>
      </c>
      <c r="L441">
        <v>2</v>
      </c>
      <c r="M441">
        <v>131</v>
      </c>
      <c r="N441">
        <v>0.94366744366744371</v>
      </c>
      <c r="O441">
        <v>8603006.194444444</v>
      </c>
      <c r="P441">
        <v>39470</v>
      </c>
      <c r="Q441">
        <v>2</v>
      </c>
      <c r="R441">
        <v>132</v>
      </c>
      <c r="S441" t="s">
        <v>411</v>
      </c>
      <c r="W441">
        <f>Cancer_doubles_final2[[#This Row],[mlp_params]]</f>
        <v>38909</v>
      </c>
      <c r="X441">
        <f>Cancer_doubles_final2[[#This Row],[kan_test_acc]]</f>
        <v>0.96872571441862321</v>
      </c>
      <c r="Y441">
        <f>Cancer_doubles_final2[[#This Row],[mlp_test_acc]]</f>
        <v>0.94386169386169383</v>
      </c>
      <c r="Z441">
        <f>Cancer_doubles_final2[[#This Row],[mlp_test_acc2]]</f>
        <v>0.94366744366744371</v>
      </c>
    </row>
    <row r="442" spans="1:26" hidden="1" x14ac:dyDescent="0.25">
      <c r="A442" t="s">
        <v>19</v>
      </c>
      <c r="B442">
        <v>3</v>
      </c>
      <c r="C442">
        <v>4</v>
      </c>
      <c r="D442">
        <v>0</v>
      </c>
      <c r="E442" t="s">
        <v>225</v>
      </c>
      <c r="F442">
        <v>22268</v>
      </c>
      <c r="G442">
        <v>39332470.833333328</v>
      </c>
      <c r="H442">
        <v>0.96542346146371638</v>
      </c>
      <c r="I442">
        <v>0.94638694638694632</v>
      </c>
      <c r="J442">
        <v>8844676.8888888881</v>
      </c>
      <c r="K442">
        <v>41754</v>
      </c>
      <c r="L442">
        <v>2</v>
      </c>
      <c r="M442">
        <v>136</v>
      </c>
      <c r="N442">
        <v>0.94483294483294478</v>
      </c>
      <c r="O442">
        <v>8269946.1111111119</v>
      </c>
      <c r="P442">
        <v>42335</v>
      </c>
      <c r="Q442">
        <v>2</v>
      </c>
      <c r="R442">
        <v>137</v>
      </c>
      <c r="S442" t="s">
        <v>412</v>
      </c>
      <c r="W442">
        <f>Cancer_doubles_final2[[#This Row],[mlp_params]]</f>
        <v>41754</v>
      </c>
      <c r="X442">
        <f>Cancer_doubles_final2[[#This Row],[kan_test_acc]]</f>
        <v>0.96542346146371638</v>
      </c>
      <c r="Y442">
        <f>Cancer_doubles_final2[[#This Row],[mlp_test_acc]]</f>
        <v>0.94638694638694632</v>
      </c>
      <c r="Z442">
        <f>Cancer_doubles_final2[[#This Row],[mlp_test_acc2]]</f>
        <v>0.94483294483294478</v>
      </c>
    </row>
    <row r="443" spans="1:26" hidden="1" x14ac:dyDescent="0.25">
      <c r="A443" t="s">
        <v>19</v>
      </c>
      <c r="B443">
        <v>5</v>
      </c>
      <c r="C443">
        <v>2</v>
      </c>
      <c r="D443">
        <v>0</v>
      </c>
      <c r="E443" t="s">
        <v>225</v>
      </c>
      <c r="F443">
        <v>22268</v>
      </c>
      <c r="G443">
        <v>38408637</v>
      </c>
      <c r="H443">
        <v>0.97348483900229144</v>
      </c>
      <c r="I443">
        <v>0.94667832167832167</v>
      </c>
      <c r="J443">
        <v>9304292.375</v>
      </c>
      <c r="K443">
        <v>33002</v>
      </c>
      <c r="L443">
        <v>2</v>
      </c>
      <c r="M443">
        <v>120</v>
      </c>
      <c r="N443">
        <v>0.94230769230769229</v>
      </c>
      <c r="O443">
        <v>9245803.5416666679</v>
      </c>
      <c r="P443">
        <v>33519</v>
      </c>
      <c r="Q443">
        <v>2</v>
      </c>
      <c r="R443">
        <v>121</v>
      </c>
      <c r="S443" t="s">
        <v>413</v>
      </c>
      <c r="W443">
        <f>Cancer_doubles_final2[[#This Row],[mlp_params]]</f>
        <v>33002</v>
      </c>
      <c r="X443">
        <f>Cancer_doubles_final2[[#This Row],[kan_test_acc]]</f>
        <v>0.97348483900229144</v>
      </c>
      <c r="Y443">
        <f>Cancer_doubles_final2[[#This Row],[mlp_test_acc]]</f>
        <v>0.94667832167832167</v>
      </c>
      <c r="Z443">
        <f>Cancer_doubles_final2[[#This Row],[mlp_test_acc2]]</f>
        <v>0.94230769230769229</v>
      </c>
    </row>
    <row r="444" spans="1:26" hidden="1" x14ac:dyDescent="0.25">
      <c r="A444" t="s">
        <v>19</v>
      </c>
      <c r="B444">
        <v>3</v>
      </c>
      <c r="C444">
        <v>4</v>
      </c>
      <c r="D444">
        <v>0</v>
      </c>
      <c r="E444" t="s">
        <v>225</v>
      </c>
      <c r="F444">
        <v>22268</v>
      </c>
      <c r="G444">
        <v>38721742.166666664</v>
      </c>
      <c r="H444">
        <v>0.9734848365187645</v>
      </c>
      <c r="I444">
        <v>0.93677156177156184</v>
      </c>
      <c r="J444">
        <v>8345978.708333333</v>
      </c>
      <c r="K444">
        <v>41754</v>
      </c>
      <c r="L444">
        <v>2</v>
      </c>
      <c r="M444">
        <v>136</v>
      </c>
      <c r="N444">
        <v>0.93036130536130535</v>
      </c>
      <c r="O444">
        <v>8726674.2916666679</v>
      </c>
      <c r="P444">
        <v>42335</v>
      </c>
      <c r="Q444">
        <v>2</v>
      </c>
      <c r="R444">
        <v>137</v>
      </c>
      <c r="S444" t="s">
        <v>412</v>
      </c>
      <c r="W444">
        <f>Cancer_doubles_final2[[#This Row],[mlp_params]]</f>
        <v>41754</v>
      </c>
      <c r="X444">
        <f>Cancer_doubles_final2[[#This Row],[kan_test_acc]]</f>
        <v>0.9734848365187645</v>
      </c>
      <c r="Y444">
        <f>Cancer_doubles_final2[[#This Row],[mlp_test_acc]]</f>
        <v>0.93677156177156184</v>
      </c>
      <c r="Z444">
        <f>Cancer_doubles_final2[[#This Row],[mlp_test_acc2]]</f>
        <v>0.93036130536130535</v>
      </c>
    </row>
    <row r="445" spans="1:26" hidden="1" x14ac:dyDescent="0.25">
      <c r="A445" t="s">
        <v>19</v>
      </c>
      <c r="B445">
        <v>5</v>
      </c>
      <c r="C445">
        <v>2</v>
      </c>
      <c r="D445">
        <v>0</v>
      </c>
      <c r="E445" t="s">
        <v>225</v>
      </c>
      <c r="F445">
        <v>22268</v>
      </c>
      <c r="G445">
        <v>37356157</v>
      </c>
      <c r="H445">
        <v>0.96153845638036728</v>
      </c>
      <c r="I445">
        <v>0.90967365967365965</v>
      </c>
      <c r="J445">
        <v>7809457.958333334</v>
      </c>
      <c r="K445">
        <v>33002</v>
      </c>
      <c r="L445">
        <v>2</v>
      </c>
      <c r="M445">
        <v>120</v>
      </c>
      <c r="N445">
        <v>0.90879953379953382</v>
      </c>
      <c r="O445">
        <v>8516690.9166666679</v>
      </c>
      <c r="P445">
        <v>33519</v>
      </c>
      <c r="Q445">
        <v>2</v>
      </c>
      <c r="R445">
        <v>121</v>
      </c>
      <c r="S445" t="s">
        <v>413</v>
      </c>
      <c r="W445">
        <f>Cancer_doubles_final2[[#This Row],[mlp_params]]</f>
        <v>33002</v>
      </c>
      <c r="X445">
        <f>Cancer_doubles_final2[[#This Row],[kan_test_acc]]</f>
        <v>0.96153845638036728</v>
      </c>
      <c r="Y445">
        <f>Cancer_doubles_final2[[#This Row],[mlp_test_acc]]</f>
        <v>0.90967365967365965</v>
      </c>
      <c r="Z445">
        <f>Cancer_doubles_final2[[#This Row],[mlp_test_acc2]]</f>
        <v>0.90879953379953382</v>
      </c>
    </row>
    <row r="446" spans="1:26" hidden="1" x14ac:dyDescent="0.25">
      <c r="A446" t="s">
        <v>19</v>
      </c>
      <c r="B446">
        <v>5</v>
      </c>
      <c r="C446">
        <v>4</v>
      </c>
      <c r="D446">
        <v>0</v>
      </c>
      <c r="E446" t="s">
        <v>152</v>
      </c>
      <c r="F446">
        <v>22332</v>
      </c>
      <c r="G446">
        <v>28602693.5</v>
      </c>
      <c r="H446">
        <v>0.9641608397165935</v>
      </c>
      <c r="I446">
        <v>0.92803030303030298</v>
      </c>
      <c r="J446">
        <v>9042728.375</v>
      </c>
      <c r="K446">
        <v>38909</v>
      </c>
      <c r="L446">
        <v>2</v>
      </c>
      <c r="M446">
        <v>131</v>
      </c>
      <c r="N446">
        <v>0.92336829836829837</v>
      </c>
      <c r="O446">
        <v>9840313.375</v>
      </c>
      <c r="P446">
        <v>39470</v>
      </c>
      <c r="Q446">
        <v>2</v>
      </c>
      <c r="R446">
        <v>132</v>
      </c>
      <c r="S446" t="s">
        <v>414</v>
      </c>
      <c r="W446">
        <f>Cancer_doubles_final2[[#This Row],[mlp_params]]</f>
        <v>38909</v>
      </c>
      <c r="X446">
        <f>Cancer_doubles_final2[[#This Row],[kan_test_acc]]</f>
        <v>0.9641608397165935</v>
      </c>
      <c r="Y446">
        <f>Cancer_doubles_final2[[#This Row],[mlp_test_acc]]</f>
        <v>0.92803030303030298</v>
      </c>
      <c r="Z446">
        <f>Cancer_doubles_final2[[#This Row],[mlp_test_acc2]]</f>
        <v>0.92336829836829837</v>
      </c>
    </row>
    <row r="447" spans="1:26" hidden="1" x14ac:dyDescent="0.25">
      <c r="A447" t="s">
        <v>19</v>
      </c>
      <c r="B447">
        <v>5</v>
      </c>
      <c r="C447">
        <v>4</v>
      </c>
      <c r="D447">
        <v>0</v>
      </c>
      <c r="E447" t="s">
        <v>154</v>
      </c>
      <c r="F447">
        <v>22382</v>
      </c>
      <c r="G447">
        <v>25027614.4375</v>
      </c>
      <c r="H447">
        <v>0.96445221826434135</v>
      </c>
      <c r="I447">
        <v>0.93604312354312358</v>
      </c>
      <c r="J447">
        <v>8718521.833333334</v>
      </c>
      <c r="K447">
        <v>38909</v>
      </c>
      <c r="L447">
        <v>2</v>
      </c>
      <c r="M447">
        <v>131</v>
      </c>
      <c r="N447">
        <v>0.93152680652680653</v>
      </c>
      <c r="O447">
        <v>9470923.5833333321</v>
      </c>
      <c r="P447">
        <v>39470</v>
      </c>
      <c r="Q447">
        <v>2</v>
      </c>
      <c r="R447">
        <v>132</v>
      </c>
      <c r="S447" t="s">
        <v>415</v>
      </c>
      <c r="W447">
        <f>Cancer_doubles_final2[[#This Row],[mlp_params]]</f>
        <v>38909</v>
      </c>
      <c r="X447">
        <f>Cancer_doubles_final2[[#This Row],[kan_test_acc]]</f>
        <v>0.96445221826434135</v>
      </c>
      <c r="Y447">
        <f>Cancer_doubles_final2[[#This Row],[mlp_test_acc]]</f>
        <v>0.93604312354312358</v>
      </c>
      <c r="Z447">
        <f>Cancer_doubles_final2[[#This Row],[mlp_test_acc2]]</f>
        <v>0.93152680652680653</v>
      </c>
    </row>
    <row r="448" spans="1:26" hidden="1" x14ac:dyDescent="0.25">
      <c r="A448" t="s">
        <v>19</v>
      </c>
      <c r="B448">
        <v>9</v>
      </c>
      <c r="C448">
        <v>2</v>
      </c>
      <c r="D448">
        <v>0</v>
      </c>
      <c r="E448" t="s">
        <v>116</v>
      </c>
      <c r="F448">
        <v>22452</v>
      </c>
      <c r="G448">
        <v>25767761.583333332</v>
      </c>
      <c r="H448">
        <v>0.95396270230412483</v>
      </c>
      <c r="I448">
        <v>0.9216200466200466</v>
      </c>
      <c r="J448">
        <v>8403323.75</v>
      </c>
      <c r="K448">
        <v>29984</v>
      </c>
      <c r="L448">
        <v>2</v>
      </c>
      <c r="M448">
        <v>114</v>
      </c>
      <c r="N448">
        <v>0.92438811188811187</v>
      </c>
      <c r="O448">
        <v>9254506.875</v>
      </c>
      <c r="P448">
        <v>30477</v>
      </c>
      <c r="Q448">
        <v>2</v>
      </c>
      <c r="R448">
        <v>115</v>
      </c>
      <c r="S448" t="s">
        <v>416</v>
      </c>
      <c r="W448">
        <f>Cancer_doubles_final2[[#This Row],[mlp_params]]</f>
        <v>29984</v>
      </c>
      <c r="X448">
        <f>Cancer_doubles_final2[[#This Row],[kan_test_acc]]</f>
        <v>0.95396270230412483</v>
      </c>
      <c r="Y448">
        <f>Cancer_doubles_final2[[#This Row],[mlp_test_acc]]</f>
        <v>0.9216200466200466</v>
      </c>
      <c r="Z448">
        <f>Cancer_doubles_final2[[#This Row],[mlp_test_acc2]]</f>
        <v>0.92438811188811187</v>
      </c>
    </row>
    <row r="449" spans="1:26" hidden="1" x14ac:dyDescent="0.25">
      <c r="A449" t="s">
        <v>19</v>
      </c>
      <c r="B449">
        <v>3</v>
      </c>
      <c r="C449">
        <v>2</v>
      </c>
      <c r="D449">
        <v>0</v>
      </c>
      <c r="E449" t="s">
        <v>417</v>
      </c>
      <c r="F449">
        <v>22456</v>
      </c>
      <c r="G449">
        <v>24441292.527777776</v>
      </c>
      <c r="H449">
        <v>0.94017093711429167</v>
      </c>
      <c r="I449">
        <v>0.92016317016317006</v>
      </c>
      <c r="J449">
        <v>8883270.3888888881</v>
      </c>
      <c r="K449">
        <v>36164</v>
      </c>
      <c r="L449">
        <v>2</v>
      </c>
      <c r="M449">
        <v>126</v>
      </c>
      <c r="N449">
        <v>0.92599067599067597</v>
      </c>
      <c r="O449">
        <v>9058246.8611111101</v>
      </c>
      <c r="P449">
        <v>36705</v>
      </c>
      <c r="Q449">
        <v>2</v>
      </c>
      <c r="R449">
        <v>127</v>
      </c>
      <c r="S449" t="s">
        <v>418</v>
      </c>
      <c r="W449">
        <f>Cancer_doubles_final2[[#This Row],[mlp_params]]</f>
        <v>36164</v>
      </c>
      <c r="X449">
        <f>Cancer_doubles_final2[[#This Row],[kan_test_acc]]</f>
        <v>0.94017093711429167</v>
      </c>
      <c r="Y449">
        <f>Cancer_doubles_final2[[#This Row],[mlp_test_acc]]</f>
        <v>0.92016317016317006</v>
      </c>
      <c r="Z449">
        <f>Cancer_doubles_final2[[#This Row],[mlp_test_acc2]]</f>
        <v>0.92599067599067597</v>
      </c>
    </row>
    <row r="450" spans="1:26" hidden="1" x14ac:dyDescent="0.25">
      <c r="A450" t="s">
        <v>19</v>
      </c>
      <c r="B450">
        <v>3</v>
      </c>
      <c r="C450">
        <v>4</v>
      </c>
      <c r="D450">
        <v>0</v>
      </c>
      <c r="E450" t="s">
        <v>233</v>
      </c>
      <c r="F450">
        <v>22510</v>
      </c>
      <c r="G450">
        <v>29727273.916666668</v>
      </c>
      <c r="H450">
        <v>0.9559052023622725</v>
      </c>
      <c r="I450">
        <v>0.94483294483294478</v>
      </c>
      <c r="J450">
        <v>8928141.944444444</v>
      </c>
      <c r="K450">
        <v>42335</v>
      </c>
      <c r="L450">
        <v>2</v>
      </c>
      <c r="M450">
        <v>137</v>
      </c>
      <c r="N450">
        <v>0.94696969696969702</v>
      </c>
      <c r="O450">
        <v>9413529.75</v>
      </c>
      <c r="P450">
        <v>42920</v>
      </c>
      <c r="Q450">
        <v>2</v>
      </c>
      <c r="R450">
        <v>138</v>
      </c>
      <c r="S450" t="s">
        <v>419</v>
      </c>
      <c r="W450">
        <f>Cancer_doubles_final2[[#This Row],[mlp_params]]</f>
        <v>42335</v>
      </c>
      <c r="X450">
        <f>Cancer_doubles_final2[[#This Row],[kan_test_acc]]</f>
        <v>0.9559052023622725</v>
      </c>
      <c r="Y450">
        <f>Cancer_doubles_final2[[#This Row],[mlp_test_acc]]</f>
        <v>0.94483294483294478</v>
      </c>
      <c r="Z450">
        <f>Cancer_doubles_final2[[#This Row],[mlp_test_acc2]]</f>
        <v>0.94696969696969702</v>
      </c>
    </row>
    <row r="451" spans="1:26" hidden="1" x14ac:dyDescent="0.25">
      <c r="A451" t="s">
        <v>19</v>
      </c>
      <c r="B451">
        <v>5</v>
      </c>
      <c r="C451">
        <v>2</v>
      </c>
      <c r="D451">
        <v>0</v>
      </c>
      <c r="E451" t="s">
        <v>233</v>
      </c>
      <c r="F451">
        <v>22510</v>
      </c>
      <c r="G451">
        <v>29629798.333333336</v>
      </c>
      <c r="H451">
        <v>0.97319346914688754</v>
      </c>
      <c r="I451">
        <v>0.94376456876456882</v>
      </c>
      <c r="J451">
        <v>8826870.458333334</v>
      </c>
      <c r="K451">
        <v>33519</v>
      </c>
      <c r="L451">
        <v>2</v>
      </c>
      <c r="M451">
        <v>121</v>
      </c>
      <c r="N451">
        <v>0.94463869463869465</v>
      </c>
      <c r="O451">
        <v>9794303.375</v>
      </c>
      <c r="P451">
        <v>34040</v>
      </c>
      <c r="Q451">
        <v>2</v>
      </c>
      <c r="R451">
        <v>122</v>
      </c>
      <c r="S451" t="s">
        <v>420</v>
      </c>
      <c r="W451">
        <f>Cancer_doubles_final2[[#This Row],[mlp_params]]</f>
        <v>33519</v>
      </c>
      <c r="X451">
        <f>Cancer_doubles_final2[[#This Row],[kan_test_acc]]</f>
        <v>0.97319346914688754</v>
      </c>
      <c r="Y451">
        <f>Cancer_doubles_final2[[#This Row],[mlp_test_acc]]</f>
        <v>0.94376456876456882</v>
      </c>
      <c r="Z451">
        <f>Cancer_doubles_final2[[#This Row],[mlp_test_acc2]]</f>
        <v>0.94463869463869465</v>
      </c>
    </row>
    <row r="452" spans="1:26" hidden="1" x14ac:dyDescent="0.25">
      <c r="A452" t="s">
        <v>19</v>
      </c>
      <c r="B452">
        <v>3</v>
      </c>
      <c r="C452">
        <v>4</v>
      </c>
      <c r="D452">
        <v>0</v>
      </c>
      <c r="E452" t="s">
        <v>233</v>
      </c>
      <c r="F452">
        <v>22510</v>
      </c>
      <c r="G452">
        <v>32215752.041666668</v>
      </c>
      <c r="H452">
        <v>0.97144521524508798</v>
      </c>
      <c r="I452">
        <v>0.93036130536130535</v>
      </c>
      <c r="J452">
        <v>8812732.958333334</v>
      </c>
      <c r="K452">
        <v>42335</v>
      </c>
      <c r="L452">
        <v>2</v>
      </c>
      <c r="M452">
        <v>137</v>
      </c>
      <c r="N452">
        <v>0.93094405594405605</v>
      </c>
      <c r="O452">
        <v>9060027.083333334</v>
      </c>
      <c r="P452">
        <v>42920</v>
      </c>
      <c r="Q452">
        <v>2</v>
      </c>
      <c r="R452">
        <v>138</v>
      </c>
      <c r="S452" t="s">
        <v>419</v>
      </c>
      <c r="W452">
        <f>Cancer_doubles_final2[[#This Row],[mlp_params]]</f>
        <v>42335</v>
      </c>
      <c r="X452">
        <f>Cancer_doubles_final2[[#This Row],[kan_test_acc]]</f>
        <v>0.97144521524508798</v>
      </c>
      <c r="Y452">
        <f>Cancer_doubles_final2[[#This Row],[mlp_test_acc]]</f>
        <v>0.93036130536130535</v>
      </c>
      <c r="Z452">
        <f>Cancer_doubles_final2[[#This Row],[mlp_test_acc2]]</f>
        <v>0.93094405594405605</v>
      </c>
    </row>
    <row r="453" spans="1:26" hidden="1" x14ac:dyDescent="0.25">
      <c r="A453" t="s">
        <v>19</v>
      </c>
      <c r="B453">
        <v>5</v>
      </c>
      <c r="C453">
        <v>2</v>
      </c>
      <c r="D453">
        <v>0</v>
      </c>
      <c r="E453" t="s">
        <v>233</v>
      </c>
      <c r="F453">
        <v>22510</v>
      </c>
      <c r="G453">
        <v>31077354.75</v>
      </c>
      <c r="H453">
        <v>0.97231934467951453</v>
      </c>
      <c r="I453">
        <v>0.9306526806526807</v>
      </c>
      <c r="J453">
        <v>8515010</v>
      </c>
      <c r="K453">
        <v>33519</v>
      </c>
      <c r="L453">
        <v>2</v>
      </c>
      <c r="M453">
        <v>121</v>
      </c>
      <c r="N453">
        <v>0.93210955710955712</v>
      </c>
      <c r="O453">
        <v>9182063.875</v>
      </c>
      <c r="P453">
        <v>34040</v>
      </c>
      <c r="Q453">
        <v>2</v>
      </c>
      <c r="R453">
        <v>122</v>
      </c>
      <c r="S453" t="s">
        <v>420</v>
      </c>
      <c r="W453">
        <f>Cancer_doubles_final2[[#This Row],[mlp_params]]</f>
        <v>33519</v>
      </c>
      <c r="X453">
        <f>Cancer_doubles_final2[[#This Row],[kan_test_acc]]</f>
        <v>0.97231934467951453</v>
      </c>
      <c r="Y453">
        <f>Cancer_doubles_final2[[#This Row],[mlp_test_acc]]</f>
        <v>0.9306526806526807</v>
      </c>
      <c r="Z453">
        <f>Cancer_doubles_final2[[#This Row],[mlp_test_acc2]]</f>
        <v>0.93210955710955712</v>
      </c>
    </row>
    <row r="454" spans="1:26" hidden="1" x14ac:dyDescent="0.25">
      <c r="A454" t="s">
        <v>19</v>
      </c>
      <c r="B454">
        <v>3</v>
      </c>
      <c r="C454">
        <v>4</v>
      </c>
      <c r="D454">
        <v>0</v>
      </c>
      <c r="E454" t="s">
        <v>235</v>
      </c>
      <c r="F454">
        <v>22514</v>
      </c>
      <c r="G454">
        <v>28373722.541666668</v>
      </c>
      <c r="H454">
        <v>0.97027972340583801</v>
      </c>
      <c r="I454">
        <v>0.94696969696969691</v>
      </c>
      <c r="J454">
        <v>9005147.791666666</v>
      </c>
      <c r="K454">
        <v>42335</v>
      </c>
      <c r="L454">
        <v>2</v>
      </c>
      <c r="M454">
        <v>137</v>
      </c>
      <c r="N454">
        <v>0.94609557109557108</v>
      </c>
      <c r="O454">
        <v>9014276.666666666</v>
      </c>
      <c r="P454">
        <v>42920</v>
      </c>
      <c r="Q454">
        <v>2</v>
      </c>
      <c r="R454">
        <v>138</v>
      </c>
      <c r="S454" t="s">
        <v>421</v>
      </c>
      <c r="W454">
        <f>Cancer_doubles_final2[[#This Row],[mlp_params]]</f>
        <v>42335</v>
      </c>
      <c r="X454">
        <f>Cancer_doubles_final2[[#This Row],[kan_test_acc]]</f>
        <v>0.97027972340583801</v>
      </c>
      <c r="Y454">
        <f>Cancer_doubles_final2[[#This Row],[mlp_test_acc]]</f>
        <v>0.94696969696969691</v>
      </c>
      <c r="Z454">
        <f>Cancer_doubles_final2[[#This Row],[mlp_test_acc2]]</f>
        <v>0.94609557109557108</v>
      </c>
    </row>
    <row r="455" spans="1:26" hidden="1" x14ac:dyDescent="0.25">
      <c r="A455" t="s">
        <v>19</v>
      </c>
      <c r="B455">
        <v>5</v>
      </c>
      <c r="C455">
        <v>2</v>
      </c>
      <c r="D455">
        <v>0</v>
      </c>
      <c r="E455" t="s">
        <v>235</v>
      </c>
      <c r="F455">
        <v>22514</v>
      </c>
      <c r="G455">
        <v>32184878.458333332</v>
      </c>
      <c r="H455">
        <v>0.96765733758608508</v>
      </c>
      <c r="I455">
        <v>0.94638694638694632</v>
      </c>
      <c r="J455">
        <v>9330060.25</v>
      </c>
      <c r="K455">
        <v>33519</v>
      </c>
      <c r="L455">
        <v>2</v>
      </c>
      <c r="M455">
        <v>121</v>
      </c>
      <c r="N455">
        <v>0.94551282051282048</v>
      </c>
      <c r="O455">
        <v>8161493.25</v>
      </c>
      <c r="P455">
        <v>34040</v>
      </c>
      <c r="Q455">
        <v>2</v>
      </c>
      <c r="R455">
        <v>122</v>
      </c>
      <c r="S455" t="s">
        <v>422</v>
      </c>
      <c r="W455">
        <f>Cancer_doubles_final2[[#This Row],[mlp_params]]</f>
        <v>33519</v>
      </c>
      <c r="X455">
        <f>Cancer_doubles_final2[[#This Row],[kan_test_acc]]</f>
        <v>0.96765733758608508</v>
      </c>
      <c r="Y455">
        <f>Cancer_doubles_final2[[#This Row],[mlp_test_acc]]</f>
        <v>0.94638694638694632</v>
      </c>
      <c r="Z455">
        <f>Cancer_doubles_final2[[#This Row],[mlp_test_acc2]]</f>
        <v>0.94551282051282048</v>
      </c>
    </row>
    <row r="456" spans="1:26" hidden="1" x14ac:dyDescent="0.25">
      <c r="A456" t="s">
        <v>19</v>
      </c>
      <c r="B456">
        <v>3</v>
      </c>
      <c r="C456">
        <v>4</v>
      </c>
      <c r="D456">
        <v>0</v>
      </c>
      <c r="E456" t="s">
        <v>235</v>
      </c>
      <c r="F456">
        <v>22514</v>
      </c>
      <c r="G456">
        <v>35716681.875</v>
      </c>
      <c r="H456">
        <v>0.96911420921484637</v>
      </c>
      <c r="I456">
        <v>0.9306526806526807</v>
      </c>
      <c r="J456">
        <v>9058416.2916666679</v>
      </c>
      <c r="K456">
        <v>42335</v>
      </c>
      <c r="L456">
        <v>2</v>
      </c>
      <c r="M456">
        <v>137</v>
      </c>
      <c r="N456">
        <v>0.93094405594405605</v>
      </c>
      <c r="O456">
        <v>9114565.9583333321</v>
      </c>
      <c r="P456">
        <v>42920</v>
      </c>
      <c r="Q456">
        <v>2</v>
      </c>
      <c r="R456">
        <v>138</v>
      </c>
      <c r="S456" t="s">
        <v>421</v>
      </c>
      <c r="W456">
        <f>Cancer_doubles_final2[[#This Row],[mlp_params]]</f>
        <v>42335</v>
      </c>
      <c r="X456">
        <f>Cancer_doubles_final2[[#This Row],[kan_test_acc]]</f>
        <v>0.96911420921484637</v>
      </c>
      <c r="Y456">
        <f>Cancer_doubles_final2[[#This Row],[mlp_test_acc]]</f>
        <v>0.9306526806526807</v>
      </c>
      <c r="Z456">
        <f>Cancer_doubles_final2[[#This Row],[mlp_test_acc2]]</f>
        <v>0.93094405594405605</v>
      </c>
    </row>
    <row r="457" spans="1:26" hidden="1" x14ac:dyDescent="0.25">
      <c r="A457" t="s">
        <v>19</v>
      </c>
      <c r="B457">
        <v>5</v>
      </c>
      <c r="C457">
        <v>2</v>
      </c>
      <c r="D457">
        <v>0</v>
      </c>
      <c r="E457" t="s">
        <v>235</v>
      </c>
      <c r="F457">
        <v>22514</v>
      </c>
      <c r="G457">
        <v>32345310.208333332</v>
      </c>
      <c r="H457">
        <v>0.97057108084360766</v>
      </c>
      <c r="I457">
        <v>0.92890442890442904</v>
      </c>
      <c r="J457">
        <v>8065500.375</v>
      </c>
      <c r="K457">
        <v>33519</v>
      </c>
      <c r="L457">
        <v>2</v>
      </c>
      <c r="M457">
        <v>121</v>
      </c>
      <c r="N457">
        <v>0.93152680652680653</v>
      </c>
      <c r="O457">
        <v>9529700.791666666</v>
      </c>
      <c r="P457">
        <v>34040</v>
      </c>
      <c r="Q457">
        <v>2</v>
      </c>
      <c r="R457">
        <v>122</v>
      </c>
      <c r="S457" t="s">
        <v>422</v>
      </c>
      <c r="W457">
        <f>Cancer_doubles_final2[[#This Row],[mlp_params]]</f>
        <v>33519</v>
      </c>
      <c r="X457">
        <f>Cancer_doubles_final2[[#This Row],[kan_test_acc]]</f>
        <v>0.97057108084360766</v>
      </c>
      <c r="Y457">
        <f>Cancer_doubles_final2[[#This Row],[mlp_test_acc]]</f>
        <v>0.92890442890442904</v>
      </c>
      <c r="Z457">
        <f>Cancer_doubles_final2[[#This Row],[mlp_test_acc2]]</f>
        <v>0.93152680652680653</v>
      </c>
    </row>
    <row r="458" spans="1:26" hidden="1" x14ac:dyDescent="0.25">
      <c r="A458" t="s">
        <v>19</v>
      </c>
      <c r="B458">
        <v>5</v>
      </c>
      <c r="C458">
        <v>5</v>
      </c>
      <c r="D458">
        <v>0</v>
      </c>
      <c r="E458" t="s">
        <v>133</v>
      </c>
      <c r="F458">
        <v>22520</v>
      </c>
      <c r="G458">
        <v>25974298.291666664</v>
      </c>
      <c r="H458">
        <v>0.96707458297411608</v>
      </c>
      <c r="I458">
        <v>0.93473193473193483</v>
      </c>
      <c r="J458">
        <v>7613252</v>
      </c>
      <c r="K458">
        <v>41177</v>
      </c>
      <c r="L458">
        <v>2</v>
      </c>
      <c r="M458">
        <v>135</v>
      </c>
      <c r="N458">
        <v>0.94055944055944063</v>
      </c>
      <c r="O458">
        <v>9470461.2083333321</v>
      </c>
      <c r="P458">
        <v>41754</v>
      </c>
      <c r="Q458">
        <v>2</v>
      </c>
      <c r="R458">
        <v>136</v>
      </c>
      <c r="S458" t="s">
        <v>423</v>
      </c>
      <c r="W458">
        <f>Cancer_doubles_final2[[#This Row],[mlp_params]]</f>
        <v>41177</v>
      </c>
      <c r="X458">
        <f>Cancer_doubles_final2[[#This Row],[kan_test_acc]]</f>
        <v>0.96707458297411608</v>
      </c>
      <c r="Y458">
        <f>Cancer_doubles_final2[[#This Row],[mlp_test_acc]]</f>
        <v>0.93473193473193483</v>
      </c>
      <c r="Z458">
        <f>Cancer_doubles_final2[[#This Row],[mlp_test_acc2]]</f>
        <v>0.94055944055944063</v>
      </c>
    </row>
    <row r="459" spans="1:26" hidden="1" x14ac:dyDescent="0.25">
      <c r="A459" t="s">
        <v>19</v>
      </c>
      <c r="B459">
        <v>3</v>
      </c>
      <c r="C459">
        <v>3</v>
      </c>
      <c r="D459">
        <v>0</v>
      </c>
      <c r="E459" t="s">
        <v>310</v>
      </c>
      <c r="F459">
        <v>22574</v>
      </c>
      <c r="G459">
        <v>30214994.333333336</v>
      </c>
      <c r="H459">
        <v>0.96794871489206946</v>
      </c>
      <c r="I459">
        <v>0.94289044289044288</v>
      </c>
      <c r="J459">
        <v>8361625.166666667</v>
      </c>
      <c r="K459">
        <v>40035</v>
      </c>
      <c r="L459">
        <v>2</v>
      </c>
      <c r="M459">
        <v>133</v>
      </c>
      <c r="N459">
        <v>0.94522144522144524</v>
      </c>
      <c r="O459">
        <v>8781040.25</v>
      </c>
      <c r="P459">
        <v>40604</v>
      </c>
      <c r="Q459">
        <v>2</v>
      </c>
      <c r="R459">
        <v>134</v>
      </c>
      <c r="S459" t="s">
        <v>424</v>
      </c>
      <c r="W459">
        <f>Cancer_doubles_final2[[#This Row],[mlp_params]]</f>
        <v>40035</v>
      </c>
      <c r="X459">
        <f>Cancer_doubles_final2[[#This Row],[kan_test_acc]]</f>
        <v>0.96794871489206946</v>
      </c>
      <c r="Y459">
        <f>Cancer_doubles_final2[[#This Row],[mlp_test_acc]]</f>
        <v>0.94289044289044288</v>
      </c>
      <c r="Z459">
        <f>Cancer_doubles_final2[[#This Row],[mlp_test_acc2]]</f>
        <v>0.94522144522144524</v>
      </c>
    </row>
    <row r="460" spans="1:26" hidden="1" x14ac:dyDescent="0.25">
      <c r="A460" t="s">
        <v>19</v>
      </c>
      <c r="B460">
        <v>9</v>
      </c>
      <c r="C460">
        <v>4</v>
      </c>
      <c r="D460">
        <v>0</v>
      </c>
      <c r="E460" t="s">
        <v>87</v>
      </c>
      <c r="F460">
        <v>22574</v>
      </c>
      <c r="G460">
        <v>30838974.916666668</v>
      </c>
      <c r="H460">
        <v>0.97115383793910337</v>
      </c>
      <c r="I460">
        <v>0.95833333333333326</v>
      </c>
      <c r="J460">
        <v>8308719.625</v>
      </c>
      <c r="K460">
        <v>35094</v>
      </c>
      <c r="L460">
        <v>2</v>
      </c>
      <c r="M460">
        <v>124</v>
      </c>
      <c r="N460">
        <v>0.95891608391608385</v>
      </c>
      <c r="O460">
        <v>9352007.458333334</v>
      </c>
      <c r="P460">
        <v>35627</v>
      </c>
      <c r="Q460">
        <v>2</v>
      </c>
      <c r="R460">
        <v>125</v>
      </c>
      <c r="S460" t="s">
        <v>425</v>
      </c>
      <c r="W460">
        <f>Cancer_doubles_final2[[#This Row],[mlp_params]]</f>
        <v>35094</v>
      </c>
      <c r="X460">
        <f>Cancer_doubles_final2[[#This Row],[kan_test_acc]]</f>
        <v>0.97115383793910337</v>
      </c>
      <c r="Y460">
        <f>Cancer_doubles_final2[[#This Row],[mlp_test_acc]]</f>
        <v>0.95833333333333326</v>
      </c>
      <c r="Z460">
        <f>Cancer_doubles_final2[[#This Row],[mlp_test_acc2]]</f>
        <v>0.95891608391608385</v>
      </c>
    </row>
    <row r="461" spans="1:26" hidden="1" x14ac:dyDescent="0.25">
      <c r="A461" t="s">
        <v>19</v>
      </c>
      <c r="B461">
        <v>3</v>
      </c>
      <c r="C461">
        <v>3</v>
      </c>
      <c r="D461">
        <v>0</v>
      </c>
      <c r="E461" t="s">
        <v>310</v>
      </c>
      <c r="F461">
        <v>22574</v>
      </c>
      <c r="G461">
        <v>30386275.541666664</v>
      </c>
      <c r="H461">
        <v>0.97027971595525742</v>
      </c>
      <c r="I461">
        <v>0.94726107226107226</v>
      </c>
      <c r="J461">
        <v>9553099.916666666</v>
      </c>
      <c r="K461">
        <v>40035</v>
      </c>
      <c r="L461">
        <v>2</v>
      </c>
      <c r="M461">
        <v>133</v>
      </c>
      <c r="N461">
        <v>0.94842657342657344</v>
      </c>
      <c r="O461">
        <v>8711814.7916666679</v>
      </c>
      <c r="P461">
        <v>40604</v>
      </c>
      <c r="Q461">
        <v>2</v>
      </c>
      <c r="R461">
        <v>134</v>
      </c>
      <c r="S461" t="s">
        <v>424</v>
      </c>
      <c r="W461">
        <f>Cancer_doubles_final2[[#This Row],[mlp_params]]</f>
        <v>40035</v>
      </c>
      <c r="X461">
        <f>Cancer_doubles_final2[[#This Row],[kan_test_acc]]</f>
        <v>0.97027971595525742</v>
      </c>
      <c r="Y461">
        <f>Cancer_doubles_final2[[#This Row],[mlp_test_acc]]</f>
        <v>0.94726107226107226</v>
      </c>
      <c r="Z461">
        <f>Cancer_doubles_final2[[#This Row],[mlp_test_acc2]]</f>
        <v>0.94842657342657344</v>
      </c>
    </row>
    <row r="462" spans="1:26" hidden="1" x14ac:dyDescent="0.25">
      <c r="A462" t="s">
        <v>19</v>
      </c>
      <c r="B462">
        <v>3</v>
      </c>
      <c r="C462">
        <v>3</v>
      </c>
      <c r="D462">
        <v>0</v>
      </c>
      <c r="E462" t="s">
        <v>312</v>
      </c>
      <c r="F462">
        <v>22582</v>
      </c>
      <c r="G462">
        <v>40390823.333333328</v>
      </c>
      <c r="H462">
        <v>0.97902098049720121</v>
      </c>
      <c r="I462">
        <v>0.93502331002331007</v>
      </c>
      <c r="J462">
        <v>8968703</v>
      </c>
      <c r="K462">
        <v>40035</v>
      </c>
      <c r="L462">
        <v>2</v>
      </c>
      <c r="M462">
        <v>133</v>
      </c>
      <c r="N462">
        <v>0.93648018648018649</v>
      </c>
      <c r="O462">
        <v>8033398.791666666</v>
      </c>
      <c r="P462">
        <v>40604</v>
      </c>
      <c r="Q462">
        <v>2</v>
      </c>
      <c r="R462">
        <v>134</v>
      </c>
      <c r="S462" t="s">
        <v>426</v>
      </c>
      <c r="W462">
        <f>Cancer_doubles_final2[[#This Row],[mlp_params]]</f>
        <v>40035</v>
      </c>
      <c r="X462">
        <f>Cancer_doubles_final2[[#This Row],[kan_test_acc]]</f>
        <v>0.97902098049720121</v>
      </c>
      <c r="Y462">
        <f>Cancer_doubles_final2[[#This Row],[mlp_test_acc]]</f>
        <v>0.93502331002331007</v>
      </c>
      <c r="Z462">
        <f>Cancer_doubles_final2[[#This Row],[mlp_test_acc2]]</f>
        <v>0.93648018648018649</v>
      </c>
    </row>
    <row r="463" spans="1:26" hidden="1" x14ac:dyDescent="0.25">
      <c r="A463" t="s">
        <v>19</v>
      </c>
      <c r="B463">
        <v>3</v>
      </c>
      <c r="C463">
        <v>4</v>
      </c>
      <c r="D463">
        <v>0</v>
      </c>
      <c r="E463" t="s">
        <v>237</v>
      </c>
      <c r="F463">
        <v>22592</v>
      </c>
      <c r="G463">
        <v>36496717.166666664</v>
      </c>
      <c r="H463">
        <v>0.96348096264733207</v>
      </c>
      <c r="I463">
        <v>0.94347319347319347</v>
      </c>
      <c r="J463">
        <v>9246090.277777778</v>
      </c>
      <c r="K463">
        <v>42335</v>
      </c>
      <c r="L463">
        <v>2</v>
      </c>
      <c r="M463">
        <v>137</v>
      </c>
      <c r="N463">
        <v>0.94871794871794868</v>
      </c>
      <c r="O463">
        <v>8415525.1111111119</v>
      </c>
      <c r="P463">
        <v>42920</v>
      </c>
      <c r="Q463">
        <v>2</v>
      </c>
      <c r="R463">
        <v>138</v>
      </c>
      <c r="S463" t="s">
        <v>427</v>
      </c>
      <c r="W463">
        <f>Cancer_doubles_final2[[#This Row],[mlp_params]]</f>
        <v>42335</v>
      </c>
      <c r="X463">
        <f>Cancer_doubles_final2[[#This Row],[kan_test_acc]]</f>
        <v>0.96348096264733207</v>
      </c>
      <c r="Y463">
        <f>Cancer_doubles_final2[[#This Row],[mlp_test_acc]]</f>
        <v>0.94347319347319347</v>
      </c>
      <c r="Z463">
        <f>Cancer_doubles_final2[[#This Row],[mlp_test_acc2]]</f>
        <v>0.94871794871794868</v>
      </c>
    </row>
    <row r="464" spans="1:26" hidden="1" x14ac:dyDescent="0.25">
      <c r="A464" t="s">
        <v>19</v>
      </c>
      <c r="B464">
        <v>5</v>
      </c>
      <c r="C464">
        <v>2</v>
      </c>
      <c r="D464">
        <v>0</v>
      </c>
      <c r="E464" t="s">
        <v>237</v>
      </c>
      <c r="F464">
        <v>22592</v>
      </c>
      <c r="G464">
        <v>38835505.75</v>
      </c>
      <c r="H464">
        <v>0.9717365950345993</v>
      </c>
      <c r="I464">
        <v>0.94347319347319347</v>
      </c>
      <c r="J464">
        <v>8291138.166666667</v>
      </c>
      <c r="K464">
        <v>33519</v>
      </c>
      <c r="L464">
        <v>2</v>
      </c>
      <c r="M464">
        <v>121</v>
      </c>
      <c r="N464">
        <v>0.94638694638694632</v>
      </c>
      <c r="O464">
        <v>8620284</v>
      </c>
      <c r="P464">
        <v>34040</v>
      </c>
      <c r="Q464">
        <v>2</v>
      </c>
      <c r="R464">
        <v>122</v>
      </c>
      <c r="S464" t="s">
        <v>428</v>
      </c>
      <c r="W464">
        <f>Cancer_doubles_final2[[#This Row],[mlp_params]]</f>
        <v>33519</v>
      </c>
      <c r="X464">
        <f>Cancer_doubles_final2[[#This Row],[kan_test_acc]]</f>
        <v>0.9717365950345993</v>
      </c>
      <c r="Y464">
        <f>Cancer_doubles_final2[[#This Row],[mlp_test_acc]]</f>
        <v>0.94347319347319347</v>
      </c>
      <c r="Z464">
        <f>Cancer_doubles_final2[[#This Row],[mlp_test_acc2]]</f>
        <v>0.94638694638694632</v>
      </c>
    </row>
    <row r="465" spans="1:26" hidden="1" x14ac:dyDescent="0.25">
      <c r="A465" t="s">
        <v>19</v>
      </c>
      <c r="B465">
        <v>3</v>
      </c>
      <c r="C465">
        <v>4</v>
      </c>
      <c r="D465">
        <v>0</v>
      </c>
      <c r="E465" t="s">
        <v>237</v>
      </c>
      <c r="F465">
        <v>22592</v>
      </c>
      <c r="G465">
        <v>40324365.291666672</v>
      </c>
      <c r="H465">
        <v>0.97989510248104739</v>
      </c>
      <c r="I465">
        <v>0.92977855477855487</v>
      </c>
      <c r="J465">
        <v>7940259.333333333</v>
      </c>
      <c r="K465">
        <v>42335</v>
      </c>
      <c r="L465">
        <v>2</v>
      </c>
      <c r="M465">
        <v>137</v>
      </c>
      <c r="N465">
        <v>0.93123543123543118</v>
      </c>
      <c r="O465">
        <v>9157079.5</v>
      </c>
      <c r="P465">
        <v>42920</v>
      </c>
      <c r="Q465">
        <v>2</v>
      </c>
      <c r="R465">
        <v>138</v>
      </c>
      <c r="S465" t="s">
        <v>427</v>
      </c>
      <c r="W465">
        <f>Cancer_doubles_final2[[#This Row],[mlp_params]]</f>
        <v>42335</v>
      </c>
      <c r="X465">
        <f>Cancer_doubles_final2[[#This Row],[kan_test_acc]]</f>
        <v>0.97989510248104739</v>
      </c>
      <c r="Y465">
        <f>Cancer_doubles_final2[[#This Row],[mlp_test_acc]]</f>
        <v>0.92977855477855487</v>
      </c>
      <c r="Z465">
        <f>Cancer_doubles_final2[[#This Row],[mlp_test_acc2]]</f>
        <v>0.93123543123543118</v>
      </c>
    </row>
    <row r="466" spans="1:26" hidden="1" x14ac:dyDescent="0.25">
      <c r="A466" t="s">
        <v>19</v>
      </c>
      <c r="B466">
        <v>5</v>
      </c>
      <c r="C466">
        <v>2</v>
      </c>
      <c r="D466">
        <v>0</v>
      </c>
      <c r="E466" t="s">
        <v>237</v>
      </c>
      <c r="F466">
        <v>22592</v>
      </c>
      <c r="G466">
        <v>30686828.375</v>
      </c>
      <c r="H466">
        <v>0.97494172553221392</v>
      </c>
      <c r="I466">
        <v>0.9332750582750583</v>
      </c>
      <c r="J466">
        <v>8663766.375</v>
      </c>
      <c r="K466">
        <v>33519</v>
      </c>
      <c r="L466">
        <v>2</v>
      </c>
      <c r="M466">
        <v>121</v>
      </c>
      <c r="N466">
        <v>0.93414918414918424</v>
      </c>
      <c r="O466">
        <v>8972817.541666666</v>
      </c>
      <c r="P466">
        <v>34040</v>
      </c>
      <c r="Q466">
        <v>2</v>
      </c>
      <c r="R466">
        <v>122</v>
      </c>
      <c r="S466" t="s">
        <v>428</v>
      </c>
      <c r="W466">
        <f>Cancer_doubles_final2[[#This Row],[mlp_params]]</f>
        <v>33519</v>
      </c>
      <c r="X466">
        <f>Cancer_doubles_final2[[#This Row],[kan_test_acc]]</f>
        <v>0.97494172553221392</v>
      </c>
      <c r="Y466">
        <f>Cancer_doubles_final2[[#This Row],[mlp_test_acc]]</f>
        <v>0.9332750582750583</v>
      </c>
      <c r="Z466">
        <f>Cancer_doubles_final2[[#This Row],[mlp_test_acc2]]</f>
        <v>0.93414918414918424</v>
      </c>
    </row>
    <row r="467" spans="1:26" x14ac:dyDescent="0.25">
      <c r="A467" t="s">
        <v>19</v>
      </c>
      <c r="B467">
        <v>3</v>
      </c>
      <c r="C467">
        <v>5</v>
      </c>
      <c r="D467">
        <v>0</v>
      </c>
      <c r="E467" t="s">
        <v>189</v>
      </c>
      <c r="F467">
        <v>22594</v>
      </c>
      <c r="G467">
        <v>33300726.791666668</v>
      </c>
      <c r="H467">
        <v>0.96998834609985352</v>
      </c>
      <c r="I467">
        <v>0.94230769230769229</v>
      </c>
      <c r="J467">
        <v>9212890.083333334</v>
      </c>
      <c r="K467">
        <v>44699</v>
      </c>
      <c r="L467">
        <v>2</v>
      </c>
      <c r="M467">
        <v>141</v>
      </c>
      <c r="N467">
        <v>0.94201631701631705</v>
      </c>
      <c r="O467">
        <v>9411104.125</v>
      </c>
      <c r="P467">
        <v>45300</v>
      </c>
      <c r="Q467">
        <v>2</v>
      </c>
      <c r="R467">
        <v>142</v>
      </c>
      <c r="S467" t="s">
        <v>429</v>
      </c>
      <c r="W467">
        <f>Cancer_doubles_final2[[#This Row],[mlp_params]]</f>
        <v>44699</v>
      </c>
      <c r="X467">
        <f>Cancer_doubles_final2[[#This Row],[kan_test_acc]]</f>
        <v>0.96998834609985352</v>
      </c>
      <c r="Y467">
        <f>Cancer_doubles_final2[[#This Row],[mlp_test_acc]]</f>
        <v>0.94230769230769229</v>
      </c>
      <c r="Z467">
        <f>Cancer_doubles_final2[[#This Row],[mlp_test_acc2]]</f>
        <v>0.94201631701631705</v>
      </c>
    </row>
    <row r="468" spans="1:26" hidden="1" x14ac:dyDescent="0.25">
      <c r="A468" t="s">
        <v>19</v>
      </c>
      <c r="B468">
        <v>5</v>
      </c>
      <c r="C468">
        <v>3</v>
      </c>
      <c r="D468">
        <v>0</v>
      </c>
      <c r="E468" t="s">
        <v>189</v>
      </c>
      <c r="F468">
        <v>22594</v>
      </c>
      <c r="G468">
        <v>40966213.666666672</v>
      </c>
      <c r="H468">
        <v>0.96620046595732378</v>
      </c>
      <c r="I468">
        <v>0.93822843822843827</v>
      </c>
      <c r="J468">
        <v>9486963.5416666679</v>
      </c>
      <c r="K468">
        <v>36705</v>
      </c>
      <c r="L468">
        <v>2</v>
      </c>
      <c r="M468">
        <v>127</v>
      </c>
      <c r="N468">
        <v>0.93677156177156173</v>
      </c>
      <c r="O468">
        <v>9382164.083333334</v>
      </c>
      <c r="P468">
        <v>37250</v>
      </c>
      <c r="Q468">
        <v>2</v>
      </c>
      <c r="R468">
        <v>128</v>
      </c>
      <c r="S468" t="s">
        <v>430</v>
      </c>
      <c r="W468">
        <f>Cancer_doubles_final2[[#This Row],[mlp_params]]</f>
        <v>36705</v>
      </c>
      <c r="X468">
        <f>Cancer_doubles_final2[[#This Row],[kan_test_acc]]</f>
        <v>0.96620046595732378</v>
      </c>
      <c r="Y468">
        <f>Cancer_doubles_final2[[#This Row],[mlp_test_acc]]</f>
        <v>0.93822843822843827</v>
      </c>
      <c r="Z468">
        <f>Cancer_doubles_final2[[#This Row],[mlp_test_acc2]]</f>
        <v>0.93677156177156173</v>
      </c>
    </row>
    <row r="469" spans="1:26" x14ac:dyDescent="0.25">
      <c r="A469" t="s">
        <v>19</v>
      </c>
      <c r="B469">
        <v>3</v>
      </c>
      <c r="C469">
        <v>5</v>
      </c>
      <c r="D469">
        <v>0</v>
      </c>
      <c r="E469" t="s">
        <v>189</v>
      </c>
      <c r="F469">
        <v>22594</v>
      </c>
      <c r="G469">
        <v>49653327.375</v>
      </c>
      <c r="H469">
        <v>0.95279720177253091</v>
      </c>
      <c r="I469">
        <v>0.9391025641025641</v>
      </c>
      <c r="J469">
        <v>8715455.416666666</v>
      </c>
      <c r="K469">
        <v>44699</v>
      </c>
      <c r="L469">
        <v>2</v>
      </c>
      <c r="M469">
        <v>141</v>
      </c>
      <c r="N469">
        <v>0.93851981351981351</v>
      </c>
      <c r="O469">
        <v>10008375.708333334</v>
      </c>
      <c r="P469">
        <v>45300</v>
      </c>
      <c r="Q469">
        <v>2</v>
      </c>
      <c r="R469">
        <v>142</v>
      </c>
      <c r="S469" t="s">
        <v>429</v>
      </c>
      <c r="W469">
        <f>Cancer_doubles_final2[[#This Row],[mlp_params]]</f>
        <v>44699</v>
      </c>
      <c r="X469">
        <f>Cancer_doubles_final2[[#This Row],[kan_test_acc]]</f>
        <v>0.95279720177253091</v>
      </c>
      <c r="Y469">
        <f>Cancer_doubles_final2[[#This Row],[mlp_test_acc]]</f>
        <v>0.9391025641025641</v>
      </c>
      <c r="Z469">
        <f>Cancer_doubles_final2[[#This Row],[mlp_test_acc2]]</f>
        <v>0.93851981351981351</v>
      </c>
    </row>
    <row r="470" spans="1:26" hidden="1" x14ac:dyDescent="0.25">
      <c r="A470" t="s">
        <v>19</v>
      </c>
      <c r="B470">
        <v>5</v>
      </c>
      <c r="C470">
        <v>3</v>
      </c>
      <c r="D470">
        <v>0</v>
      </c>
      <c r="E470" t="s">
        <v>189</v>
      </c>
      <c r="F470">
        <v>22594</v>
      </c>
      <c r="G470">
        <v>46418325.791666672</v>
      </c>
      <c r="H470">
        <v>0.94318181524674105</v>
      </c>
      <c r="I470">
        <v>0.9184149184149184</v>
      </c>
      <c r="J470">
        <v>8248552.083333334</v>
      </c>
      <c r="K470">
        <v>36705</v>
      </c>
      <c r="L470">
        <v>2</v>
      </c>
      <c r="M470">
        <v>127</v>
      </c>
      <c r="N470">
        <v>0.91928904428904423</v>
      </c>
      <c r="O470">
        <v>9648681.6666666679</v>
      </c>
      <c r="P470">
        <v>37250</v>
      </c>
      <c r="Q470">
        <v>2</v>
      </c>
      <c r="R470">
        <v>128</v>
      </c>
      <c r="S470" t="s">
        <v>430</v>
      </c>
      <c r="W470">
        <f>Cancer_doubles_final2[[#This Row],[mlp_params]]</f>
        <v>36705</v>
      </c>
      <c r="X470">
        <f>Cancer_doubles_final2[[#This Row],[kan_test_acc]]</f>
        <v>0.94318181524674105</v>
      </c>
      <c r="Y470">
        <f>Cancer_doubles_final2[[#This Row],[mlp_test_acc]]</f>
        <v>0.9184149184149184</v>
      </c>
      <c r="Z470">
        <f>Cancer_doubles_final2[[#This Row],[mlp_test_acc2]]</f>
        <v>0.91928904428904423</v>
      </c>
    </row>
    <row r="471" spans="1:26" x14ac:dyDescent="0.25">
      <c r="A471" t="s">
        <v>19</v>
      </c>
      <c r="B471">
        <v>3</v>
      </c>
      <c r="C471">
        <v>5</v>
      </c>
      <c r="D471">
        <v>0</v>
      </c>
      <c r="E471" t="s">
        <v>191</v>
      </c>
      <c r="F471">
        <v>22640</v>
      </c>
      <c r="G471">
        <v>39326677.75</v>
      </c>
      <c r="H471">
        <v>0.95920746028423309</v>
      </c>
      <c r="I471">
        <v>0.91958041958041958</v>
      </c>
      <c r="J471">
        <v>8793321.4583333321</v>
      </c>
      <c r="K471">
        <v>44699</v>
      </c>
      <c r="L471">
        <v>2</v>
      </c>
      <c r="M471">
        <v>141</v>
      </c>
      <c r="N471">
        <v>0.91870629370629375</v>
      </c>
      <c r="O471">
        <v>8898366.5416666679</v>
      </c>
      <c r="P471">
        <v>45300</v>
      </c>
      <c r="Q471">
        <v>2</v>
      </c>
      <c r="R471">
        <v>142</v>
      </c>
      <c r="S471" t="s">
        <v>431</v>
      </c>
      <c r="W471">
        <f>Cancer_doubles_final2[[#This Row],[mlp_params]]</f>
        <v>44699</v>
      </c>
      <c r="X471">
        <f>Cancer_doubles_final2[[#This Row],[kan_test_acc]]</f>
        <v>0.95920746028423309</v>
      </c>
      <c r="Y471">
        <f>Cancer_doubles_final2[[#This Row],[mlp_test_acc]]</f>
        <v>0.91958041958041958</v>
      </c>
      <c r="Z471">
        <f>Cancer_doubles_final2[[#This Row],[mlp_test_acc2]]</f>
        <v>0.91870629370629375</v>
      </c>
    </row>
    <row r="472" spans="1:26" hidden="1" x14ac:dyDescent="0.25">
      <c r="A472" t="s">
        <v>19</v>
      </c>
      <c r="B472">
        <v>5</v>
      </c>
      <c r="C472">
        <v>3</v>
      </c>
      <c r="D472">
        <v>0</v>
      </c>
      <c r="E472" t="s">
        <v>191</v>
      </c>
      <c r="F472">
        <v>22640</v>
      </c>
      <c r="G472">
        <v>35899017.541666664</v>
      </c>
      <c r="H472">
        <v>0.97173659255107236</v>
      </c>
      <c r="I472">
        <v>0.94055944055944063</v>
      </c>
      <c r="J472">
        <v>9432633.1666666679</v>
      </c>
      <c r="K472">
        <v>36705</v>
      </c>
      <c r="L472">
        <v>2</v>
      </c>
      <c r="M472">
        <v>127</v>
      </c>
      <c r="N472">
        <v>0.93939393939393945</v>
      </c>
      <c r="O472">
        <v>9281733.4583333321</v>
      </c>
      <c r="P472">
        <v>37250</v>
      </c>
      <c r="Q472">
        <v>2</v>
      </c>
      <c r="R472">
        <v>128</v>
      </c>
      <c r="S472" t="s">
        <v>432</v>
      </c>
      <c r="W472">
        <f>Cancer_doubles_final2[[#This Row],[mlp_params]]</f>
        <v>36705</v>
      </c>
      <c r="X472">
        <f>Cancer_doubles_final2[[#This Row],[kan_test_acc]]</f>
        <v>0.97173659255107236</v>
      </c>
      <c r="Y472">
        <f>Cancer_doubles_final2[[#This Row],[mlp_test_acc]]</f>
        <v>0.94055944055944063</v>
      </c>
      <c r="Z472">
        <f>Cancer_doubles_final2[[#This Row],[mlp_test_acc2]]</f>
        <v>0.93939393939393945</v>
      </c>
    </row>
    <row r="473" spans="1:26" x14ac:dyDescent="0.25">
      <c r="A473" t="s">
        <v>19</v>
      </c>
      <c r="B473">
        <v>3</v>
      </c>
      <c r="C473">
        <v>5</v>
      </c>
      <c r="D473">
        <v>0</v>
      </c>
      <c r="E473" t="s">
        <v>191</v>
      </c>
      <c r="F473">
        <v>22640</v>
      </c>
      <c r="G473">
        <v>34937338.583333328</v>
      </c>
      <c r="H473">
        <v>0.97173658510049177</v>
      </c>
      <c r="I473">
        <v>0.93006993006993011</v>
      </c>
      <c r="J473">
        <v>8536475</v>
      </c>
      <c r="K473">
        <v>44699</v>
      </c>
      <c r="L473">
        <v>2</v>
      </c>
      <c r="M473">
        <v>141</v>
      </c>
      <c r="N473">
        <v>0.92948717948717952</v>
      </c>
      <c r="O473">
        <v>9257542.1666666679</v>
      </c>
      <c r="P473">
        <v>45300</v>
      </c>
      <c r="Q473">
        <v>2</v>
      </c>
      <c r="R473">
        <v>142</v>
      </c>
      <c r="S473" t="s">
        <v>431</v>
      </c>
      <c r="W473">
        <f>Cancer_doubles_final2[[#This Row],[mlp_params]]</f>
        <v>44699</v>
      </c>
      <c r="X473">
        <f>Cancer_doubles_final2[[#This Row],[kan_test_acc]]</f>
        <v>0.97173658510049177</v>
      </c>
      <c r="Y473">
        <f>Cancer_doubles_final2[[#This Row],[mlp_test_acc]]</f>
        <v>0.93006993006993011</v>
      </c>
      <c r="Z473">
        <f>Cancer_doubles_final2[[#This Row],[mlp_test_acc2]]</f>
        <v>0.92948717948717952</v>
      </c>
    </row>
    <row r="474" spans="1:26" hidden="1" x14ac:dyDescent="0.25">
      <c r="A474" t="s">
        <v>19</v>
      </c>
      <c r="B474">
        <v>5</v>
      </c>
      <c r="C474">
        <v>3</v>
      </c>
      <c r="D474">
        <v>0</v>
      </c>
      <c r="E474" t="s">
        <v>191</v>
      </c>
      <c r="F474">
        <v>22640</v>
      </c>
      <c r="G474">
        <v>34537930</v>
      </c>
      <c r="H474">
        <v>0.95891608049472166</v>
      </c>
      <c r="I474">
        <v>0.90763403263403264</v>
      </c>
      <c r="J474">
        <v>7492721.5</v>
      </c>
      <c r="K474">
        <v>36705</v>
      </c>
      <c r="L474">
        <v>2</v>
      </c>
      <c r="M474">
        <v>127</v>
      </c>
      <c r="N474">
        <v>0.90967365967365965</v>
      </c>
      <c r="O474">
        <v>8428815.6666666679</v>
      </c>
      <c r="P474">
        <v>37250</v>
      </c>
      <c r="Q474">
        <v>2</v>
      </c>
      <c r="R474">
        <v>128</v>
      </c>
      <c r="S474" t="s">
        <v>432</v>
      </c>
      <c r="W474">
        <f>Cancer_doubles_final2[[#This Row],[mlp_params]]</f>
        <v>36705</v>
      </c>
      <c r="X474">
        <f>Cancer_doubles_final2[[#This Row],[kan_test_acc]]</f>
        <v>0.95891608049472166</v>
      </c>
      <c r="Y474">
        <f>Cancer_doubles_final2[[#This Row],[mlp_test_acc]]</f>
        <v>0.90763403263403264</v>
      </c>
      <c r="Z474">
        <f>Cancer_doubles_final2[[#This Row],[mlp_test_acc2]]</f>
        <v>0.90967365967365965</v>
      </c>
    </row>
    <row r="475" spans="1:26" hidden="1" x14ac:dyDescent="0.25">
      <c r="A475" t="s">
        <v>19</v>
      </c>
      <c r="B475">
        <v>3</v>
      </c>
      <c r="C475">
        <v>2</v>
      </c>
      <c r="D475">
        <v>0</v>
      </c>
      <c r="E475" t="s">
        <v>433</v>
      </c>
      <c r="F475">
        <v>22642</v>
      </c>
      <c r="G475">
        <v>39944266.75</v>
      </c>
      <c r="H475">
        <v>0.96474358936150861</v>
      </c>
      <c r="I475">
        <v>0.92045454545454541</v>
      </c>
      <c r="J475">
        <v>7981340.0416666679</v>
      </c>
      <c r="K475">
        <v>36705</v>
      </c>
      <c r="L475">
        <v>2</v>
      </c>
      <c r="M475">
        <v>127</v>
      </c>
      <c r="N475">
        <v>0.92220279720279719</v>
      </c>
      <c r="O475">
        <v>8339256.791666666</v>
      </c>
      <c r="P475">
        <v>37250</v>
      </c>
      <c r="Q475">
        <v>2</v>
      </c>
      <c r="R475">
        <v>128</v>
      </c>
      <c r="S475" t="s">
        <v>434</v>
      </c>
      <c r="W475">
        <f>Cancer_doubles_final2[[#This Row],[mlp_params]]</f>
        <v>36705</v>
      </c>
      <c r="X475">
        <f>Cancer_doubles_final2[[#This Row],[kan_test_acc]]</f>
        <v>0.96474358936150861</v>
      </c>
      <c r="Y475">
        <f>Cancer_doubles_final2[[#This Row],[mlp_test_acc]]</f>
        <v>0.92045454545454541</v>
      </c>
      <c r="Z475">
        <f>Cancer_doubles_final2[[#This Row],[mlp_test_acc2]]</f>
        <v>0.92220279720279719</v>
      </c>
    </row>
    <row r="476" spans="1:26" hidden="1" x14ac:dyDescent="0.25">
      <c r="A476" t="s">
        <v>19</v>
      </c>
      <c r="B476">
        <v>3</v>
      </c>
      <c r="C476">
        <v>2</v>
      </c>
      <c r="D476">
        <v>0</v>
      </c>
      <c r="E476" t="s">
        <v>435</v>
      </c>
      <c r="F476">
        <v>22646</v>
      </c>
      <c r="G476">
        <v>42964195.138888888</v>
      </c>
      <c r="H476">
        <v>0.97261072529686821</v>
      </c>
      <c r="I476">
        <v>0.94580419580419584</v>
      </c>
      <c r="J476">
        <v>8426560.333333334</v>
      </c>
      <c r="K476">
        <v>36705</v>
      </c>
      <c r="L476">
        <v>2</v>
      </c>
      <c r="M476">
        <v>127</v>
      </c>
      <c r="N476">
        <v>0.94347319347319347</v>
      </c>
      <c r="O476">
        <v>9048085.833333334</v>
      </c>
      <c r="P476">
        <v>37250</v>
      </c>
      <c r="Q476">
        <v>2</v>
      </c>
      <c r="R476">
        <v>128</v>
      </c>
      <c r="S476" t="s">
        <v>436</v>
      </c>
      <c r="W476">
        <f>Cancer_doubles_final2[[#This Row],[mlp_params]]</f>
        <v>36705</v>
      </c>
      <c r="X476">
        <f>Cancer_doubles_final2[[#This Row],[kan_test_acc]]</f>
        <v>0.97261072529686821</v>
      </c>
      <c r="Y476">
        <f>Cancer_doubles_final2[[#This Row],[mlp_test_acc]]</f>
        <v>0.94580419580419584</v>
      </c>
      <c r="Z476">
        <f>Cancer_doubles_final2[[#This Row],[mlp_test_acc2]]</f>
        <v>0.94347319347319347</v>
      </c>
    </row>
    <row r="477" spans="1:26" hidden="1" x14ac:dyDescent="0.25">
      <c r="A477" t="s">
        <v>19</v>
      </c>
      <c r="B477">
        <v>3</v>
      </c>
      <c r="C477">
        <v>2</v>
      </c>
      <c r="D477">
        <v>0</v>
      </c>
      <c r="E477" t="s">
        <v>437</v>
      </c>
      <c r="F477">
        <v>22652</v>
      </c>
      <c r="G477">
        <v>38834028.694444448</v>
      </c>
      <c r="H477">
        <v>0.96581196453836227</v>
      </c>
      <c r="I477">
        <v>0.94230769230769229</v>
      </c>
      <c r="J477">
        <v>8532436.166666666</v>
      </c>
      <c r="K477">
        <v>36705</v>
      </c>
      <c r="L477">
        <v>2</v>
      </c>
      <c r="M477">
        <v>127</v>
      </c>
      <c r="N477">
        <v>0.94463869463869465</v>
      </c>
      <c r="O477">
        <v>8635831.527777778</v>
      </c>
      <c r="P477">
        <v>37250</v>
      </c>
      <c r="Q477">
        <v>2</v>
      </c>
      <c r="R477">
        <v>128</v>
      </c>
      <c r="S477" t="s">
        <v>438</v>
      </c>
      <c r="W477">
        <f>Cancer_doubles_final2[[#This Row],[mlp_params]]</f>
        <v>36705</v>
      </c>
      <c r="X477">
        <f>Cancer_doubles_final2[[#This Row],[kan_test_acc]]</f>
        <v>0.96581196453836227</v>
      </c>
      <c r="Y477">
        <f>Cancer_doubles_final2[[#This Row],[mlp_test_acc]]</f>
        <v>0.94230769230769229</v>
      </c>
      <c r="Z477">
        <f>Cancer_doubles_final2[[#This Row],[mlp_test_acc2]]</f>
        <v>0.94463869463869465</v>
      </c>
    </row>
    <row r="478" spans="1:26" hidden="1" x14ac:dyDescent="0.25">
      <c r="A478" t="s">
        <v>19</v>
      </c>
      <c r="B478">
        <v>3</v>
      </c>
      <c r="C478">
        <v>2</v>
      </c>
      <c r="D478">
        <v>0</v>
      </c>
      <c r="E478" t="s">
        <v>439</v>
      </c>
      <c r="F478">
        <v>22708</v>
      </c>
      <c r="G478">
        <v>35147841.361111112</v>
      </c>
      <c r="H478">
        <v>0.95804194774892593</v>
      </c>
      <c r="I478">
        <v>0.94211344211344217</v>
      </c>
      <c r="J478">
        <v>8691743.472222222</v>
      </c>
      <c r="K478">
        <v>36705</v>
      </c>
      <c r="L478">
        <v>2</v>
      </c>
      <c r="M478">
        <v>127</v>
      </c>
      <c r="N478">
        <v>0.94191919191919193</v>
      </c>
      <c r="O478">
        <v>8957217.972222222</v>
      </c>
      <c r="P478">
        <v>37250</v>
      </c>
      <c r="Q478">
        <v>2</v>
      </c>
      <c r="R478">
        <v>128</v>
      </c>
      <c r="S478" t="s">
        <v>440</v>
      </c>
      <c r="W478">
        <f>Cancer_doubles_final2[[#This Row],[mlp_params]]</f>
        <v>36705</v>
      </c>
      <c r="X478">
        <f>Cancer_doubles_final2[[#This Row],[kan_test_acc]]</f>
        <v>0.95804194774892593</v>
      </c>
      <c r="Y478">
        <f>Cancer_doubles_final2[[#This Row],[mlp_test_acc]]</f>
        <v>0.94211344211344217</v>
      </c>
      <c r="Z478">
        <f>Cancer_doubles_final2[[#This Row],[mlp_test_acc2]]</f>
        <v>0.94191919191919193</v>
      </c>
    </row>
    <row r="479" spans="1:26" hidden="1" x14ac:dyDescent="0.25">
      <c r="A479" t="s">
        <v>19</v>
      </c>
      <c r="B479">
        <v>3</v>
      </c>
      <c r="C479">
        <v>3</v>
      </c>
      <c r="D479">
        <v>0</v>
      </c>
      <c r="E479" t="s">
        <v>316</v>
      </c>
      <c r="F479">
        <v>22792</v>
      </c>
      <c r="G479">
        <v>36617634.027777784</v>
      </c>
      <c r="H479">
        <v>0.95862470070521033</v>
      </c>
      <c r="I479">
        <v>0.94463869463869465</v>
      </c>
      <c r="J479">
        <v>9008856.694444444</v>
      </c>
      <c r="K479">
        <v>40035</v>
      </c>
      <c r="L479">
        <v>2</v>
      </c>
      <c r="M479">
        <v>133</v>
      </c>
      <c r="N479">
        <v>0.94114219114219122</v>
      </c>
      <c r="O479">
        <v>9165812.222222222</v>
      </c>
      <c r="P479">
        <v>40604</v>
      </c>
      <c r="Q479">
        <v>2</v>
      </c>
      <c r="R479">
        <v>134</v>
      </c>
      <c r="S479" t="s">
        <v>441</v>
      </c>
      <c r="W479">
        <f>Cancer_doubles_final2[[#This Row],[mlp_params]]</f>
        <v>40035</v>
      </c>
      <c r="X479">
        <f>Cancer_doubles_final2[[#This Row],[kan_test_acc]]</f>
        <v>0.95862470070521033</v>
      </c>
      <c r="Y479">
        <f>Cancer_doubles_final2[[#This Row],[mlp_test_acc]]</f>
        <v>0.94463869463869465</v>
      </c>
      <c r="Z479">
        <f>Cancer_doubles_final2[[#This Row],[mlp_test_acc2]]</f>
        <v>0.94114219114219122</v>
      </c>
    </row>
    <row r="480" spans="1:26" hidden="1" x14ac:dyDescent="0.25">
      <c r="A480" t="s">
        <v>19</v>
      </c>
      <c r="B480">
        <v>3</v>
      </c>
      <c r="C480">
        <v>3</v>
      </c>
      <c r="D480">
        <v>0</v>
      </c>
      <c r="E480" t="s">
        <v>319</v>
      </c>
      <c r="F480">
        <v>22796</v>
      </c>
      <c r="G480">
        <v>42474989.888888888</v>
      </c>
      <c r="H480">
        <v>0.97571871346897554</v>
      </c>
      <c r="I480">
        <v>0.93958818958818957</v>
      </c>
      <c r="J480">
        <v>8757228.1111111119</v>
      </c>
      <c r="K480">
        <v>40035</v>
      </c>
      <c r="L480">
        <v>2</v>
      </c>
      <c r="M480">
        <v>133</v>
      </c>
      <c r="N480">
        <v>0.93919968919968921</v>
      </c>
      <c r="O480">
        <v>8758435.694444444</v>
      </c>
      <c r="P480">
        <v>40604</v>
      </c>
      <c r="Q480">
        <v>2</v>
      </c>
      <c r="R480">
        <v>134</v>
      </c>
      <c r="S480" t="s">
        <v>442</v>
      </c>
      <c r="W480">
        <f>Cancer_doubles_final2[[#This Row],[mlp_params]]</f>
        <v>40035</v>
      </c>
      <c r="X480">
        <f>Cancer_doubles_final2[[#This Row],[kan_test_acc]]</f>
        <v>0.97571871346897554</v>
      </c>
      <c r="Y480">
        <f>Cancer_doubles_final2[[#This Row],[mlp_test_acc]]</f>
        <v>0.93958818958818957</v>
      </c>
      <c r="Z480">
        <f>Cancer_doubles_final2[[#This Row],[mlp_test_acc2]]</f>
        <v>0.93919968919968921</v>
      </c>
    </row>
    <row r="481" spans="1:26" hidden="1" x14ac:dyDescent="0.25">
      <c r="A481" t="s">
        <v>19</v>
      </c>
      <c r="B481">
        <v>3</v>
      </c>
      <c r="C481">
        <v>3</v>
      </c>
      <c r="D481">
        <v>0</v>
      </c>
      <c r="E481" t="s">
        <v>321</v>
      </c>
      <c r="F481">
        <v>22866</v>
      </c>
      <c r="G481">
        <v>40706667.611111112</v>
      </c>
      <c r="H481">
        <v>0.96891996098889244</v>
      </c>
      <c r="I481">
        <v>0.94327894327894324</v>
      </c>
      <c r="J481">
        <v>8179779.944444445</v>
      </c>
      <c r="K481">
        <v>40035</v>
      </c>
      <c r="L481">
        <v>2</v>
      </c>
      <c r="M481">
        <v>133</v>
      </c>
      <c r="N481">
        <v>0.94502719502719501</v>
      </c>
      <c r="O481">
        <v>9254294.194444444</v>
      </c>
      <c r="P481">
        <v>40604</v>
      </c>
      <c r="Q481">
        <v>2</v>
      </c>
      <c r="R481">
        <v>134</v>
      </c>
      <c r="S481" t="s">
        <v>443</v>
      </c>
      <c r="W481">
        <f>Cancer_doubles_final2[[#This Row],[mlp_params]]</f>
        <v>40035</v>
      </c>
      <c r="X481">
        <f>Cancer_doubles_final2[[#This Row],[kan_test_acc]]</f>
        <v>0.96891996098889244</v>
      </c>
      <c r="Y481">
        <f>Cancer_doubles_final2[[#This Row],[mlp_test_acc]]</f>
        <v>0.94327894327894324</v>
      </c>
      <c r="Z481">
        <f>Cancer_doubles_final2[[#This Row],[mlp_test_acc2]]</f>
        <v>0.94502719502719501</v>
      </c>
    </row>
    <row r="482" spans="1:26" hidden="1" x14ac:dyDescent="0.25">
      <c r="A482" t="s">
        <v>19</v>
      </c>
      <c r="B482">
        <v>9</v>
      </c>
      <c r="C482">
        <v>5</v>
      </c>
      <c r="D482">
        <v>0</v>
      </c>
      <c r="E482" t="s">
        <v>78</v>
      </c>
      <c r="F482">
        <v>22892</v>
      </c>
      <c r="G482">
        <v>36473892.916666664</v>
      </c>
      <c r="H482">
        <v>0.95299145082632697</v>
      </c>
      <c r="I482">
        <v>0.94716394716394714</v>
      </c>
      <c r="J482">
        <v>8641906.555555556</v>
      </c>
      <c r="K482">
        <v>37250</v>
      </c>
      <c r="L482">
        <v>2</v>
      </c>
      <c r="M482">
        <v>128</v>
      </c>
      <c r="N482">
        <v>0.94755244755244761</v>
      </c>
      <c r="O482">
        <v>9597209.444444444</v>
      </c>
      <c r="P482">
        <v>37799</v>
      </c>
      <c r="Q482">
        <v>2</v>
      </c>
      <c r="R482">
        <v>129</v>
      </c>
      <c r="S482" t="s">
        <v>444</v>
      </c>
      <c r="W482">
        <f>Cancer_doubles_final2[[#This Row],[mlp_params]]</f>
        <v>37250</v>
      </c>
      <c r="X482">
        <f>Cancer_doubles_final2[[#This Row],[kan_test_acc]]</f>
        <v>0.95299145082632697</v>
      </c>
      <c r="Y482">
        <f>Cancer_doubles_final2[[#This Row],[mlp_test_acc]]</f>
        <v>0.94716394716394714</v>
      </c>
      <c r="Z482">
        <f>Cancer_doubles_final2[[#This Row],[mlp_test_acc2]]</f>
        <v>0.94755244755244761</v>
      </c>
    </row>
    <row r="483" spans="1:26" hidden="1" x14ac:dyDescent="0.25">
      <c r="A483" t="s">
        <v>19</v>
      </c>
      <c r="B483">
        <v>3</v>
      </c>
      <c r="C483">
        <v>2</v>
      </c>
      <c r="D483">
        <v>0</v>
      </c>
      <c r="E483" t="s">
        <v>445</v>
      </c>
      <c r="F483">
        <v>23002</v>
      </c>
      <c r="G483">
        <v>31552997.875</v>
      </c>
      <c r="H483">
        <v>0.9536713262399038</v>
      </c>
      <c r="I483">
        <v>0.95163170163170163</v>
      </c>
      <c r="J483">
        <v>8847541.7083333321</v>
      </c>
      <c r="K483">
        <v>37250</v>
      </c>
      <c r="L483">
        <v>2</v>
      </c>
      <c r="M483">
        <v>128</v>
      </c>
      <c r="N483">
        <v>0.94988344988344986</v>
      </c>
      <c r="O483">
        <v>9738738.0833333321</v>
      </c>
      <c r="P483">
        <v>37799</v>
      </c>
      <c r="Q483">
        <v>2</v>
      </c>
      <c r="R483">
        <v>129</v>
      </c>
      <c r="S483" t="s">
        <v>446</v>
      </c>
      <c r="W483">
        <f>Cancer_doubles_final2[[#This Row],[mlp_params]]</f>
        <v>37250</v>
      </c>
      <c r="X483">
        <f>Cancer_doubles_final2[[#This Row],[kan_test_acc]]</f>
        <v>0.9536713262399038</v>
      </c>
      <c r="Y483">
        <f>Cancer_doubles_final2[[#This Row],[mlp_test_acc]]</f>
        <v>0.95163170163170163</v>
      </c>
      <c r="Z483">
        <f>Cancer_doubles_final2[[#This Row],[mlp_test_acc2]]</f>
        <v>0.94988344988344986</v>
      </c>
    </row>
    <row r="484" spans="1:26" hidden="1" x14ac:dyDescent="0.25">
      <c r="A484" t="s">
        <v>19</v>
      </c>
      <c r="B484">
        <v>3</v>
      </c>
      <c r="C484">
        <v>4</v>
      </c>
      <c r="D484">
        <v>0</v>
      </c>
      <c r="E484" t="s">
        <v>243</v>
      </c>
      <c r="F484">
        <v>23030</v>
      </c>
      <c r="G484">
        <v>33365360.722222224</v>
      </c>
      <c r="H484">
        <v>0.95901320377985633</v>
      </c>
      <c r="I484">
        <v>0.9494949494949495</v>
      </c>
      <c r="J484">
        <v>8937209.083333334</v>
      </c>
      <c r="K484">
        <v>43509</v>
      </c>
      <c r="L484">
        <v>2</v>
      </c>
      <c r="M484">
        <v>139</v>
      </c>
      <c r="N484">
        <v>0.94386169386169383</v>
      </c>
      <c r="O484">
        <v>9372996.722222222</v>
      </c>
      <c r="P484">
        <v>44102</v>
      </c>
      <c r="Q484">
        <v>2</v>
      </c>
      <c r="R484">
        <v>140</v>
      </c>
      <c r="S484" t="s">
        <v>447</v>
      </c>
      <c r="W484">
        <f>Cancer_doubles_final2[[#This Row],[mlp_params]]</f>
        <v>43509</v>
      </c>
      <c r="X484">
        <f>Cancer_doubles_final2[[#This Row],[kan_test_acc]]</f>
        <v>0.95901320377985633</v>
      </c>
      <c r="Y484">
        <f>Cancer_doubles_final2[[#This Row],[mlp_test_acc]]</f>
        <v>0.9494949494949495</v>
      </c>
      <c r="Z484">
        <f>Cancer_doubles_final2[[#This Row],[mlp_test_acc2]]</f>
        <v>0.94386169386169383</v>
      </c>
    </row>
    <row r="485" spans="1:26" hidden="1" x14ac:dyDescent="0.25">
      <c r="A485" t="s">
        <v>19</v>
      </c>
      <c r="B485">
        <v>5</v>
      </c>
      <c r="C485">
        <v>2</v>
      </c>
      <c r="D485">
        <v>0</v>
      </c>
      <c r="E485" t="s">
        <v>243</v>
      </c>
      <c r="F485">
        <v>23030</v>
      </c>
      <c r="G485">
        <v>36159703.291666672</v>
      </c>
      <c r="H485">
        <v>0.96794871489206946</v>
      </c>
      <c r="I485">
        <v>0.94930069930069938</v>
      </c>
      <c r="J485">
        <v>9175162</v>
      </c>
      <c r="K485">
        <v>34040</v>
      </c>
      <c r="L485">
        <v>2</v>
      </c>
      <c r="M485">
        <v>122</v>
      </c>
      <c r="N485">
        <v>0.93997668997668993</v>
      </c>
      <c r="O485">
        <v>9335141.5833333321</v>
      </c>
      <c r="P485">
        <v>34565</v>
      </c>
      <c r="Q485">
        <v>2</v>
      </c>
      <c r="R485">
        <v>123</v>
      </c>
      <c r="S485" t="s">
        <v>448</v>
      </c>
      <c r="W485">
        <f>Cancer_doubles_final2[[#This Row],[mlp_params]]</f>
        <v>34040</v>
      </c>
      <c r="X485">
        <f>Cancer_doubles_final2[[#This Row],[kan_test_acc]]</f>
        <v>0.96794871489206946</v>
      </c>
      <c r="Y485">
        <f>Cancer_doubles_final2[[#This Row],[mlp_test_acc]]</f>
        <v>0.94930069930069938</v>
      </c>
      <c r="Z485">
        <f>Cancer_doubles_final2[[#This Row],[mlp_test_acc2]]</f>
        <v>0.93997668997668993</v>
      </c>
    </row>
    <row r="486" spans="1:26" hidden="1" x14ac:dyDescent="0.25">
      <c r="A486" t="s">
        <v>19</v>
      </c>
      <c r="B486">
        <v>3</v>
      </c>
      <c r="C486">
        <v>4</v>
      </c>
      <c r="D486">
        <v>0</v>
      </c>
      <c r="E486" t="s">
        <v>243</v>
      </c>
      <c r="F486">
        <v>23030</v>
      </c>
      <c r="G486">
        <v>34214870.625</v>
      </c>
      <c r="H486">
        <v>0.9673659627636273</v>
      </c>
      <c r="I486">
        <v>0.93385780885780889</v>
      </c>
      <c r="J486">
        <v>9005475.7083333321</v>
      </c>
      <c r="K486">
        <v>43509</v>
      </c>
      <c r="L486">
        <v>2</v>
      </c>
      <c r="M486">
        <v>139</v>
      </c>
      <c r="N486">
        <v>0.92832167832167833</v>
      </c>
      <c r="O486">
        <v>9069396</v>
      </c>
      <c r="P486">
        <v>44102</v>
      </c>
      <c r="Q486">
        <v>2</v>
      </c>
      <c r="R486">
        <v>140</v>
      </c>
      <c r="S486" t="s">
        <v>447</v>
      </c>
      <c r="W486">
        <f>Cancer_doubles_final2[[#This Row],[mlp_params]]</f>
        <v>43509</v>
      </c>
      <c r="X486">
        <f>Cancer_doubles_final2[[#This Row],[kan_test_acc]]</f>
        <v>0.9673659627636273</v>
      </c>
      <c r="Y486">
        <f>Cancer_doubles_final2[[#This Row],[mlp_test_acc]]</f>
        <v>0.93385780885780889</v>
      </c>
      <c r="Z486">
        <f>Cancer_doubles_final2[[#This Row],[mlp_test_acc2]]</f>
        <v>0.92832167832167833</v>
      </c>
    </row>
    <row r="487" spans="1:26" hidden="1" x14ac:dyDescent="0.25">
      <c r="A487" t="s">
        <v>19</v>
      </c>
      <c r="B487">
        <v>5</v>
      </c>
      <c r="C487">
        <v>2</v>
      </c>
      <c r="D487">
        <v>0</v>
      </c>
      <c r="E487" t="s">
        <v>243</v>
      </c>
      <c r="F487">
        <v>23030</v>
      </c>
      <c r="G487">
        <v>32905666.166666664</v>
      </c>
      <c r="H487">
        <v>0.94930069645245863</v>
      </c>
      <c r="I487">
        <v>0.9093822843822843</v>
      </c>
      <c r="J487">
        <v>7430245.833333333</v>
      </c>
      <c r="K487">
        <v>34040</v>
      </c>
      <c r="L487">
        <v>2</v>
      </c>
      <c r="M487">
        <v>122</v>
      </c>
      <c r="N487">
        <v>0.90792540792540799</v>
      </c>
      <c r="O487">
        <v>8852200.5</v>
      </c>
      <c r="P487">
        <v>34565</v>
      </c>
      <c r="Q487">
        <v>2</v>
      </c>
      <c r="R487">
        <v>123</v>
      </c>
      <c r="S487" t="s">
        <v>448</v>
      </c>
      <c r="W487">
        <f>Cancer_doubles_final2[[#This Row],[mlp_params]]</f>
        <v>34040</v>
      </c>
      <c r="X487">
        <f>Cancer_doubles_final2[[#This Row],[kan_test_acc]]</f>
        <v>0.94930069645245863</v>
      </c>
      <c r="Y487">
        <f>Cancer_doubles_final2[[#This Row],[mlp_test_acc]]</f>
        <v>0.9093822843822843</v>
      </c>
      <c r="Z487">
        <f>Cancer_doubles_final2[[#This Row],[mlp_test_acc2]]</f>
        <v>0.90792540792540799</v>
      </c>
    </row>
    <row r="488" spans="1:26" hidden="1" x14ac:dyDescent="0.25">
      <c r="A488" t="s">
        <v>19</v>
      </c>
      <c r="B488">
        <v>9</v>
      </c>
      <c r="C488">
        <v>3</v>
      </c>
      <c r="D488">
        <v>0</v>
      </c>
      <c r="E488" t="s">
        <v>106</v>
      </c>
      <c r="F488">
        <v>23090</v>
      </c>
      <c r="G488">
        <v>27963606.833333332</v>
      </c>
      <c r="H488">
        <v>0.92045455177625013</v>
      </c>
      <c r="I488">
        <v>0.90384615384615374</v>
      </c>
      <c r="J488">
        <v>6982048.208333333</v>
      </c>
      <c r="K488">
        <v>33519</v>
      </c>
      <c r="L488">
        <v>2</v>
      </c>
      <c r="M488">
        <v>121</v>
      </c>
      <c r="N488">
        <v>0.90501165501165504</v>
      </c>
      <c r="O488">
        <v>8906974.4583333321</v>
      </c>
      <c r="P488">
        <v>34040</v>
      </c>
      <c r="Q488">
        <v>2</v>
      </c>
      <c r="R488">
        <v>122</v>
      </c>
      <c r="S488" t="s">
        <v>449</v>
      </c>
      <c r="W488">
        <f>Cancer_doubles_final2[[#This Row],[mlp_params]]</f>
        <v>33519</v>
      </c>
      <c r="X488">
        <f>Cancer_doubles_final2[[#This Row],[kan_test_acc]]</f>
        <v>0.92045455177625013</v>
      </c>
      <c r="Y488">
        <f>Cancer_doubles_final2[[#This Row],[mlp_test_acc]]</f>
        <v>0.90384615384615374</v>
      </c>
      <c r="Z488">
        <f>Cancer_doubles_final2[[#This Row],[mlp_test_acc2]]</f>
        <v>0.90501165501165504</v>
      </c>
    </row>
    <row r="489" spans="1:26" hidden="1" x14ac:dyDescent="0.25">
      <c r="A489" t="s">
        <v>19</v>
      </c>
      <c r="B489">
        <v>5</v>
      </c>
      <c r="C489">
        <v>4</v>
      </c>
      <c r="D489">
        <v>0</v>
      </c>
      <c r="E489" t="s">
        <v>165</v>
      </c>
      <c r="F489">
        <v>23102</v>
      </c>
      <c r="G489">
        <v>27338501.75</v>
      </c>
      <c r="H489">
        <v>0.94774670071072042</v>
      </c>
      <c r="I489">
        <v>0.92909867909867905</v>
      </c>
      <c r="J489">
        <v>9087933.027777778</v>
      </c>
      <c r="K489">
        <v>40035</v>
      </c>
      <c r="L489">
        <v>2</v>
      </c>
      <c r="M489">
        <v>133</v>
      </c>
      <c r="N489">
        <v>0.92735042735042728</v>
      </c>
      <c r="O489">
        <v>9403875.472222222</v>
      </c>
      <c r="P489">
        <v>40604</v>
      </c>
      <c r="Q489">
        <v>2</v>
      </c>
      <c r="R489">
        <v>134</v>
      </c>
      <c r="S489" t="s">
        <v>450</v>
      </c>
      <c r="W489">
        <f>Cancer_doubles_final2[[#This Row],[mlp_params]]</f>
        <v>40035</v>
      </c>
      <c r="X489">
        <f>Cancer_doubles_final2[[#This Row],[kan_test_acc]]</f>
        <v>0.94774670071072042</v>
      </c>
      <c r="Y489">
        <f>Cancer_doubles_final2[[#This Row],[mlp_test_acc]]</f>
        <v>0.92909867909867905</v>
      </c>
      <c r="Z489">
        <f>Cancer_doubles_final2[[#This Row],[mlp_test_acc2]]</f>
        <v>0.92735042735042728</v>
      </c>
    </row>
    <row r="490" spans="1:26" hidden="1" x14ac:dyDescent="0.25">
      <c r="A490" t="s">
        <v>19</v>
      </c>
      <c r="B490">
        <v>5</v>
      </c>
      <c r="C490">
        <v>4</v>
      </c>
      <c r="D490">
        <v>0</v>
      </c>
      <c r="E490" t="s">
        <v>167</v>
      </c>
      <c r="F490">
        <v>23152</v>
      </c>
      <c r="G490">
        <v>25113598.291666668</v>
      </c>
      <c r="H490">
        <v>0.9611014028390249</v>
      </c>
      <c r="I490">
        <v>0.93502331002331007</v>
      </c>
      <c r="J490">
        <v>8813124.0833333321</v>
      </c>
      <c r="K490">
        <v>40035</v>
      </c>
      <c r="L490">
        <v>2</v>
      </c>
      <c r="M490">
        <v>133</v>
      </c>
      <c r="N490">
        <v>0.93254662004662003</v>
      </c>
      <c r="O490">
        <v>8819818.770833334</v>
      </c>
      <c r="P490">
        <v>40604</v>
      </c>
      <c r="Q490">
        <v>2</v>
      </c>
      <c r="R490">
        <v>134</v>
      </c>
      <c r="S490" t="s">
        <v>451</v>
      </c>
      <c r="W490">
        <f>Cancer_doubles_final2[[#This Row],[mlp_params]]</f>
        <v>40035</v>
      </c>
      <c r="X490">
        <f>Cancer_doubles_final2[[#This Row],[kan_test_acc]]</f>
        <v>0.9611014028390249</v>
      </c>
      <c r="Y490">
        <f>Cancer_doubles_final2[[#This Row],[mlp_test_acc]]</f>
        <v>0.93502331002331007</v>
      </c>
      <c r="Z490">
        <f>Cancer_doubles_final2[[#This Row],[mlp_test_acc2]]</f>
        <v>0.93254662004662003</v>
      </c>
    </row>
    <row r="491" spans="1:26" hidden="1" x14ac:dyDescent="0.25">
      <c r="A491" t="s">
        <v>19</v>
      </c>
      <c r="B491">
        <v>3</v>
      </c>
      <c r="C491">
        <v>4</v>
      </c>
      <c r="D491">
        <v>0</v>
      </c>
      <c r="E491" t="s">
        <v>250</v>
      </c>
      <c r="F491">
        <v>23156</v>
      </c>
      <c r="G491">
        <v>31603328.541666664</v>
      </c>
      <c r="H491">
        <v>0.94536713634928071</v>
      </c>
      <c r="I491">
        <v>0.93079836829836826</v>
      </c>
      <c r="J491">
        <v>8765416.9375</v>
      </c>
      <c r="K491">
        <v>43509</v>
      </c>
      <c r="L491">
        <v>2</v>
      </c>
      <c r="M491">
        <v>139</v>
      </c>
      <c r="N491">
        <v>0.93458624708624716</v>
      </c>
      <c r="O491">
        <v>9334412.770833334</v>
      </c>
      <c r="P491">
        <v>44102</v>
      </c>
      <c r="Q491">
        <v>2</v>
      </c>
      <c r="R491">
        <v>140</v>
      </c>
      <c r="S491" t="s">
        <v>452</v>
      </c>
      <c r="W491">
        <f>Cancer_doubles_final2[[#This Row],[mlp_params]]</f>
        <v>43509</v>
      </c>
      <c r="X491">
        <f>Cancer_doubles_final2[[#This Row],[kan_test_acc]]</f>
        <v>0.94536713634928071</v>
      </c>
      <c r="Y491">
        <f>Cancer_doubles_final2[[#This Row],[mlp_test_acc]]</f>
        <v>0.93079836829836826</v>
      </c>
      <c r="Z491">
        <f>Cancer_doubles_final2[[#This Row],[mlp_test_acc2]]</f>
        <v>0.93458624708624716</v>
      </c>
    </row>
    <row r="492" spans="1:26" hidden="1" x14ac:dyDescent="0.25">
      <c r="A492" t="s">
        <v>19</v>
      </c>
      <c r="B492">
        <v>5</v>
      </c>
      <c r="C492">
        <v>2</v>
      </c>
      <c r="D492">
        <v>0</v>
      </c>
      <c r="E492" t="s">
        <v>250</v>
      </c>
      <c r="F492">
        <v>23156</v>
      </c>
      <c r="G492">
        <v>31275312.291666668</v>
      </c>
      <c r="H492">
        <v>0.96182983120282484</v>
      </c>
      <c r="I492">
        <v>0.9481351981351982</v>
      </c>
      <c r="J492">
        <v>8737818.25</v>
      </c>
      <c r="K492">
        <v>34565</v>
      </c>
      <c r="L492">
        <v>2</v>
      </c>
      <c r="M492">
        <v>123</v>
      </c>
      <c r="N492">
        <v>0.94201631701631705</v>
      </c>
      <c r="O492">
        <v>9095853.25</v>
      </c>
      <c r="P492">
        <v>35094</v>
      </c>
      <c r="Q492">
        <v>2</v>
      </c>
      <c r="R492">
        <v>124</v>
      </c>
      <c r="S492" t="s">
        <v>453</v>
      </c>
      <c r="W492">
        <f>Cancer_doubles_final2[[#This Row],[mlp_params]]</f>
        <v>34565</v>
      </c>
      <c r="X492">
        <f>Cancer_doubles_final2[[#This Row],[kan_test_acc]]</f>
        <v>0.96182983120282484</v>
      </c>
      <c r="Y492">
        <f>Cancer_doubles_final2[[#This Row],[mlp_test_acc]]</f>
        <v>0.9481351981351982</v>
      </c>
      <c r="Z492">
        <f>Cancer_doubles_final2[[#This Row],[mlp_test_acc2]]</f>
        <v>0.94201631701631705</v>
      </c>
    </row>
    <row r="493" spans="1:26" hidden="1" x14ac:dyDescent="0.25">
      <c r="A493" t="s">
        <v>19</v>
      </c>
      <c r="B493">
        <v>3</v>
      </c>
      <c r="C493">
        <v>4</v>
      </c>
      <c r="D493">
        <v>0</v>
      </c>
      <c r="E493" t="s">
        <v>250</v>
      </c>
      <c r="F493">
        <v>23156</v>
      </c>
      <c r="G493">
        <v>35314643.25</v>
      </c>
      <c r="H493">
        <v>0.9676573326190312</v>
      </c>
      <c r="I493">
        <v>0.9306526806526807</v>
      </c>
      <c r="J493">
        <v>8975998.291666666</v>
      </c>
      <c r="K493">
        <v>43509</v>
      </c>
      <c r="L493">
        <v>2</v>
      </c>
      <c r="M493">
        <v>139</v>
      </c>
      <c r="N493">
        <v>0.92948717948717952</v>
      </c>
      <c r="O493">
        <v>9131611.875</v>
      </c>
      <c r="P493">
        <v>44102</v>
      </c>
      <c r="Q493">
        <v>2</v>
      </c>
      <c r="R493">
        <v>140</v>
      </c>
      <c r="S493" t="s">
        <v>452</v>
      </c>
      <c r="W493">
        <f>Cancer_doubles_final2[[#This Row],[mlp_params]]</f>
        <v>43509</v>
      </c>
      <c r="X493">
        <f>Cancer_doubles_final2[[#This Row],[kan_test_acc]]</f>
        <v>0.9676573326190312</v>
      </c>
      <c r="Y493">
        <f>Cancer_doubles_final2[[#This Row],[mlp_test_acc]]</f>
        <v>0.9306526806526807</v>
      </c>
      <c r="Z493">
        <f>Cancer_doubles_final2[[#This Row],[mlp_test_acc2]]</f>
        <v>0.92948717948717952</v>
      </c>
    </row>
    <row r="494" spans="1:26" hidden="1" x14ac:dyDescent="0.25">
      <c r="A494" t="s">
        <v>19</v>
      </c>
      <c r="B494">
        <v>5</v>
      </c>
      <c r="C494">
        <v>2</v>
      </c>
      <c r="D494">
        <v>0</v>
      </c>
      <c r="E494" t="s">
        <v>250</v>
      </c>
      <c r="F494">
        <v>23156</v>
      </c>
      <c r="G494">
        <v>32987782.208333332</v>
      </c>
      <c r="H494">
        <v>0.97027970850467682</v>
      </c>
      <c r="I494">
        <v>0.92919580419580416</v>
      </c>
      <c r="J494">
        <v>7949241.4999999991</v>
      </c>
      <c r="K494">
        <v>34565</v>
      </c>
      <c r="L494">
        <v>2</v>
      </c>
      <c r="M494">
        <v>123</v>
      </c>
      <c r="N494">
        <v>0.93123543123543129</v>
      </c>
      <c r="O494">
        <v>8966235.0416666679</v>
      </c>
      <c r="P494">
        <v>35094</v>
      </c>
      <c r="Q494">
        <v>2</v>
      </c>
      <c r="R494">
        <v>124</v>
      </c>
      <c r="S494" t="s">
        <v>453</v>
      </c>
      <c r="W494">
        <f>Cancer_doubles_final2[[#This Row],[mlp_params]]</f>
        <v>34565</v>
      </c>
      <c r="X494">
        <f>Cancer_doubles_final2[[#This Row],[kan_test_acc]]</f>
        <v>0.97027970850467682</v>
      </c>
      <c r="Y494">
        <f>Cancer_doubles_final2[[#This Row],[mlp_test_acc]]</f>
        <v>0.92919580419580416</v>
      </c>
      <c r="Z494">
        <f>Cancer_doubles_final2[[#This Row],[mlp_test_acc2]]</f>
        <v>0.93123543123543129</v>
      </c>
    </row>
    <row r="495" spans="1:26" hidden="1" x14ac:dyDescent="0.25">
      <c r="A495" t="s">
        <v>19</v>
      </c>
      <c r="B495">
        <v>3</v>
      </c>
      <c r="C495">
        <v>3</v>
      </c>
      <c r="D495">
        <v>0</v>
      </c>
      <c r="E495" t="s">
        <v>333</v>
      </c>
      <c r="F495">
        <v>23160</v>
      </c>
      <c r="G495">
        <v>37397241</v>
      </c>
      <c r="H495">
        <v>0.9778554762403171</v>
      </c>
      <c r="I495">
        <v>0.94085081585081587</v>
      </c>
      <c r="J495">
        <v>7897370.583333333</v>
      </c>
      <c r="K495">
        <v>40604</v>
      </c>
      <c r="L495">
        <v>2</v>
      </c>
      <c r="M495">
        <v>134</v>
      </c>
      <c r="N495">
        <v>0.94172494172494181</v>
      </c>
      <c r="O495">
        <v>8879218.25</v>
      </c>
      <c r="P495">
        <v>41177</v>
      </c>
      <c r="Q495">
        <v>2</v>
      </c>
      <c r="R495">
        <v>135</v>
      </c>
      <c r="S495" t="s">
        <v>454</v>
      </c>
      <c r="W495">
        <f>Cancer_doubles_final2[[#This Row],[mlp_params]]</f>
        <v>40604</v>
      </c>
      <c r="X495">
        <f>Cancer_doubles_final2[[#This Row],[kan_test_acc]]</f>
        <v>0.9778554762403171</v>
      </c>
      <c r="Y495">
        <f>Cancer_doubles_final2[[#This Row],[mlp_test_acc]]</f>
        <v>0.94085081585081587</v>
      </c>
      <c r="Z495">
        <f>Cancer_doubles_final2[[#This Row],[mlp_test_acc2]]</f>
        <v>0.94172494172494181</v>
      </c>
    </row>
    <row r="496" spans="1:26" x14ac:dyDescent="0.25">
      <c r="A496" t="s">
        <v>19</v>
      </c>
      <c r="B496">
        <v>3</v>
      </c>
      <c r="C496">
        <v>5</v>
      </c>
      <c r="D496">
        <v>0</v>
      </c>
      <c r="E496" t="s">
        <v>198</v>
      </c>
      <c r="F496">
        <v>23166</v>
      </c>
      <c r="G496">
        <v>50290131.75</v>
      </c>
      <c r="H496">
        <v>0.96872571772999239</v>
      </c>
      <c r="I496">
        <v>0.94094794094794099</v>
      </c>
      <c r="J496">
        <v>9805542.527777778</v>
      </c>
      <c r="K496">
        <v>45905</v>
      </c>
      <c r="L496">
        <v>2</v>
      </c>
      <c r="M496">
        <v>143</v>
      </c>
      <c r="N496">
        <v>0.94114219114219122</v>
      </c>
      <c r="O496">
        <v>9292083.722222222</v>
      </c>
      <c r="P496">
        <v>46514</v>
      </c>
      <c r="Q496">
        <v>2</v>
      </c>
      <c r="R496">
        <v>144</v>
      </c>
      <c r="S496" t="s">
        <v>455</v>
      </c>
      <c r="W496">
        <f>Cancer_doubles_final2[[#This Row],[mlp_params]]</f>
        <v>45905</v>
      </c>
      <c r="X496">
        <f>Cancer_doubles_final2[[#This Row],[kan_test_acc]]</f>
        <v>0.96872571772999239</v>
      </c>
      <c r="Y496">
        <f>Cancer_doubles_final2[[#This Row],[mlp_test_acc]]</f>
        <v>0.94094794094794099</v>
      </c>
      <c r="Z496">
        <f>Cancer_doubles_final2[[#This Row],[mlp_test_acc2]]</f>
        <v>0.94114219114219122</v>
      </c>
    </row>
    <row r="497" spans="1:26" hidden="1" x14ac:dyDescent="0.25">
      <c r="A497" t="s">
        <v>19</v>
      </c>
      <c r="B497">
        <v>5</v>
      </c>
      <c r="C497">
        <v>3</v>
      </c>
      <c r="D497">
        <v>0</v>
      </c>
      <c r="E497" t="s">
        <v>198</v>
      </c>
      <c r="F497">
        <v>23166</v>
      </c>
      <c r="G497">
        <v>55755368.958333336</v>
      </c>
      <c r="H497">
        <v>0.97348484148581815</v>
      </c>
      <c r="I497">
        <v>0.93968531468531469</v>
      </c>
      <c r="J497">
        <v>9500188.7083333321</v>
      </c>
      <c r="K497">
        <v>37799</v>
      </c>
      <c r="L497">
        <v>2</v>
      </c>
      <c r="M497">
        <v>129</v>
      </c>
      <c r="N497">
        <v>0.93851981351981362</v>
      </c>
      <c r="O497">
        <v>10064188.958333334</v>
      </c>
      <c r="P497">
        <v>38352</v>
      </c>
      <c r="Q497">
        <v>2</v>
      </c>
      <c r="R497">
        <v>130</v>
      </c>
      <c r="S497" t="s">
        <v>456</v>
      </c>
      <c r="W497">
        <f>Cancer_doubles_final2[[#This Row],[mlp_params]]</f>
        <v>37799</v>
      </c>
      <c r="X497">
        <f>Cancer_doubles_final2[[#This Row],[kan_test_acc]]</f>
        <v>0.97348484148581815</v>
      </c>
      <c r="Y497">
        <f>Cancer_doubles_final2[[#This Row],[mlp_test_acc]]</f>
        <v>0.93968531468531469</v>
      </c>
      <c r="Z497">
        <f>Cancer_doubles_final2[[#This Row],[mlp_test_acc2]]</f>
        <v>0.93851981351981362</v>
      </c>
    </row>
    <row r="498" spans="1:26" x14ac:dyDescent="0.25">
      <c r="A498" t="s">
        <v>19</v>
      </c>
      <c r="B498">
        <v>3</v>
      </c>
      <c r="C498">
        <v>5</v>
      </c>
      <c r="D498">
        <v>0</v>
      </c>
      <c r="E498" t="s">
        <v>198</v>
      </c>
      <c r="F498">
        <v>23166</v>
      </c>
      <c r="G498">
        <v>53042836</v>
      </c>
      <c r="H498">
        <v>0.94463869432608283</v>
      </c>
      <c r="I498">
        <v>0.93648018648018649</v>
      </c>
      <c r="J498">
        <v>9144658.4583333321</v>
      </c>
      <c r="K498">
        <v>45905</v>
      </c>
      <c r="L498">
        <v>2</v>
      </c>
      <c r="M498">
        <v>143</v>
      </c>
      <c r="N498">
        <v>0.94114219114219122</v>
      </c>
      <c r="O498">
        <v>11053774.666666668</v>
      </c>
      <c r="P498">
        <v>46514</v>
      </c>
      <c r="Q498">
        <v>2</v>
      </c>
      <c r="R498">
        <v>144</v>
      </c>
      <c r="S498" t="s">
        <v>455</v>
      </c>
      <c r="W498">
        <f>Cancer_doubles_final2[[#This Row],[mlp_params]]</f>
        <v>45905</v>
      </c>
      <c r="X498">
        <f>Cancer_doubles_final2[[#This Row],[kan_test_acc]]</f>
        <v>0.94463869432608283</v>
      </c>
      <c r="Y498">
        <f>Cancer_doubles_final2[[#This Row],[mlp_test_acc]]</f>
        <v>0.93648018648018649</v>
      </c>
      <c r="Z498">
        <f>Cancer_doubles_final2[[#This Row],[mlp_test_acc2]]</f>
        <v>0.94114219114219122</v>
      </c>
    </row>
    <row r="499" spans="1:26" hidden="1" x14ac:dyDescent="0.25">
      <c r="A499" t="s">
        <v>19</v>
      </c>
      <c r="B499">
        <v>5</v>
      </c>
      <c r="C499">
        <v>3</v>
      </c>
      <c r="D499">
        <v>0</v>
      </c>
      <c r="E499" t="s">
        <v>198</v>
      </c>
      <c r="F499">
        <v>23166</v>
      </c>
      <c r="G499">
        <v>50701922.25</v>
      </c>
      <c r="H499">
        <v>0.94026806950569153</v>
      </c>
      <c r="I499">
        <v>0.9157925407925408</v>
      </c>
      <c r="J499">
        <v>8970469.541666666</v>
      </c>
      <c r="K499">
        <v>37799</v>
      </c>
      <c r="L499">
        <v>2</v>
      </c>
      <c r="M499">
        <v>129</v>
      </c>
      <c r="N499">
        <v>0.92395104895104896</v>
      </c>
      <c r="O499">
        <v>11342140.541666668</v>
      </c>
      <c r="P499">
        <v>38352</v>
      </c>
      <c r="Q499">
        <v>2</v>
      </c>
      <c r="R499">
        <v>130</v>
      </c>
      <c r="S499" t="s">
        <v>456</v>
      </c>
      <c r="W499">
        <f>Cancer_doubles_final2[[#This Row],[mlp_params]]</f>
        <v>37799</v>
      </c>
      <c r="X499">
        <f>Cancer_doubles_final2[[#This Row],[kan_test_acc]]</f>
        <v>0.94026806950569153</v>
      </c>
      <c r="Y499">
        <f>Cancer_doubles_final2[[#This Row],[mlp_test_acc]]</f>
        <v>0.9157925407925408</v>
      </c>
      <c r="Z499">
        <f>Cancer_doubles_final2[[#This Row],[mlp_test_acc2]]</f>
        <v>0.92395104895104896</v>
      </c>
    </row>
    <row r="500" spans="1:26" hidden="1" x14ac:dyDescent="0.25">
      <c r="A500" t="s">
        <v>19</v>
      </c>
      <c r="B500">
        <v>3</v>
      </c>
      <c r="C500">
        <v>2</v>
      </c>
      <c r="D500">
        <v>0</v>
      </c>
      <c r="E500" t="s">
        <v>457</v>
      </c>
      <c r="F500">
        <v>23224</v>
      </c>
      <c r="G500">
        <v>41778106.375</v>
      </c>
      <c r="H500">
        <v>0.9723193496465683</v>
      </c>
      <c r="I500">
        <v>0.92191142191142195</v>
      </c>
      <c r="J500">
        <v>8260907.625</v>
      </c>
      <c r="K500">
        <v>37250</v>
      </c>
      <c r="L500">
        <v>2</v>
      </c>
      <c r="M500">
        <v>128</v>
      </c>
      <c r="N500">
        <v>0.92540792540792549</v>
      </c>
      <c r="O500">
        <v>9516043.5416666679</v>
      </c>
      <c r="P500">
        <v>37799</v>
      </c>
      <c r="Q500">
        <v>2</v>
      </c>
      <c r="R500">
        <v>129</v>
      </c>
      <c r="S500" t="s">
        <v>458</v>
      </c>
      <c r="W500">
        <f>Cancer_doubles_final2[[#This Row],[mlp_params]]</f>
        <v>37250</v>
      </c>
      <c r="X500">
        <f>Cancer_doubles_final2[[#This Row],[kan_test_acc]]</f>
        <v>0.9723193496465683</v>
      </c>
      <c r="Y500">
        <f>Cancer_doubles_final2[[#This Row],[mlp_test_acc]]</f>
        <v>0.92191142191142195</v>
      </c>
      <c r="Z500">
        <f>Cancer_doubles_final2[[#This Row],[mlp_test_acc2]]</f>
        <v>0.92540792540792549</v>
      </c>
    </row>
    <row r="501" spans="1:26" hidden="1" x14ac:dyDescent="0.25">
      <c r="A501" t="s">
        <v>19</v>
      </c>
      <c r="B501">
        <v>3</v>
      </c>
      <c r="C501">
        <v>4</v>
      </c>
      <c r="D501">
        <v>0</v>
      </c>
      <c r="E501" t="s">
        <v>252</v>
      </c>
      <c r="F501">
        <v>23232</v>
      </c>
      <c r="G501">
        <v>35957067.75</v>
      </c>
      <c r="H501">
        <v>0.96522921489344704</v>
      </c>
      <c r="I501">
        <v>0.94619269619269619</v>
      </c>
      <c r="J501">
        <v>8321384.194444444</v>
      </c>
      <c r="K501">
        <v>43509</v>
      </c>
      <c r="L501">
        <v>2</v>
      </c>
      <c r="M501">
        <v>139</v>
      </c>
      <c r="N501">
        <v>0.94463869463869465</v>
      </c>
      <c r="O501">
        <v>8893529.1388888881</v>
      </c>
      <c r="P501">
        <v>44102</v>
      </c>
      <c r="Q501">
        <v>2</v>
      </c>
      <c r="R501">
        <v>140</v>
      </c>
      <c r="S501" t="s">
        <v>459</v>
      </c>
      <c r="W501">
        <f>Cancer_doubles_final2[[#This Row],[mlp_params]]</f>
        <v>43509</v>
      </c>
      <c r="X501">
        <f>Cancer_doubles_final2[[#This Row],[kan_test_acc]]</f>
        <v>0.96522921489344704</v>
      </c>
      <c r="Y501">
        <f>Cancer_doubles_final2[[#This Row],[mlp_test_acc]]</f>
        <v>0.94619269619269619</v>
      </c>
      <c r="Z501">
        <f>Cancer_doubles_final2[[#This Row],[mlp_test_acc2]]</f>
        <v>0.94463869463869465</v>
      </c>
    </row>
    <row r="502" spans="1:26" hidden="1" x14ac:dyDescent="0.25">
      <c r="A502" t="s">
        <v>19</v>
      </c>
      <c r="B502">
        <v>5</v>
      </c>
      <c r="C502">
        <v>2</v>
      </c>
      <c r="D502">
        <v>0</v>
      </c>
      <c r="E502" t="s">
        <v>252</v>
      </c>
      <c r="F502">
        <v>23232</v>
      </c>
      <c r="G502">
        <v>32145195.5</v>
      </c>
      <c r="H502">
        <v>0.97552447269360221</v>
      </c>
      <c r="I502">
        <v>0.9475524475524475</v>
      </c>
      <c r="J502">
        <v>8871945.25</v>
      </c>
      <c r="K502">
        <v>34565</v>
      </c>
      <c r="L502">
        <v>2</v>
      </c>
      <c r="M502">
        <v>123</v>
      </c>
      <c r="N502">
        <v>0.94522144522144524</v>
      </c>
      <c r="O502">
        <v>8780330.4166666679</v>
      </c>
      <c r="P502">
        <v>35094</v>
      </c>
      <c r="Q502">
        <v>2</v>
      </c>
      <c r="R502">
        <v>124</v>
      </c>
      <c r="S502" t="s">
        <v>460</v>
      </c>
      <c r="W502">
        <f>Cancer_doubles_final2[[#This Row],[mlp_params]]</f>
        <v>34565</v>
      </c>
      <c r="X502">
        <f>Cancer_doubles_final2[[#This Row],[kan_test_acc]]</f>
        <v>0.97552447269360221</v>
      </c>
      <c r="Y502">
        <f>Cancer_doubles_final2[[#This Row],[mlp_test_acc]]</f>
        <v>0.9475524475524475</v>
      </c>
      <c r="Z502">
        <f>Cancer_doubles_final2[[#This Row],[mlp_test_acc2]]</f>
        <v>0.94522144522144524</v>
      </c>
    </row>
    <row r="503" spans="1:26" hidden="1" x14ac:dyDescent="0.25">
      <c r="A503" t="s">
        <v>19</v>
      </c>
      <c r="B503">
        <v>3</v>
      </c>
      <c r="C503">
        <v>4</v>
      </c>
      <c r="D503">
        <v>0</v>
      </c>
      <c r="E503" t="s">
        <v>252</v>
      </c>
      <c r="F503">
        <v>23232</v>
      </c>
      <c r="G503">
        <v>34131276.833333328</v>
      </c>
      <c r="H503">
        <v>0.97406758864720655</v>
      </c>
      <c r="I503">
        <v>0.93036130536130535</v>
      </c>
      <c r="J503">
        <v>9180731.791666666</v>
      </c>
      <c r="K503">
        <v>43509</v>
      </c>
      <c r="L503">
        <v>2</v>
      </c>
      <c r="M503">
        <v>139</v>
      </c>
      <c r="N503">
        <v>0.9306526806526807</v>
      </c>
      <c r="O503">
        <v>7994145.041666667</v>
      </c>
      <c r="P503">
        <v>44102</v>
      </c>
      <c r="Q503">
        <v>2</v>
      </c>
      <c r="R503">
        <v>140</v>
      </c>
      <c r="S503" t="s">
        <v>459</v>
      </c>
      <c r="W503">
        <f>Cancer_doubles_final2[[#This Row],[mlp_params]]</f>
        <v>43509</v>
      </c>
      <c r="X503">
        <f>Cancer_doubles_final2[[#This Row],[kan_test_acc]]</f>
        <v>0.97406758864720655</v>
      </c>
      <c r="Y503">
        <f>Cancer_doubles_final2[[#This Row],[mlp_test_acc]]</f>
        <v>0.93036130536130535</v>
      </c>
      <c r="Z503">
        <f>Cancer_doubles_final2[[#This Row],[mlp_test_acc2]]</f>
        <v>0.9306526806526807</v>
      </c>
    </row>
    <row r="504" spans="1:26" hidden="1" x14ac:dyDescent="0.25">
      <c r="A504" t="s">
        <v>19</v>
      </c>
      <c r="B504">
        <v>5</v>
      </c>
      <c r="C504">
        <v>2</v>
      </c>
      <c r="D504">
        <v>0</v>
      </c>
      <c r="E504" t="s">
        <v>252</v>
      </c>
      <c r="F504">
        <v>23232</v>
      </c>
      <c r="G504">
        <v>32335185.291666664</v>
      </c>
      <c r="H504">
        <v>0.96532633155584335</v>
      </c>
      <c r="I504">
        <v>0.92074592074592077</v>
      </c>
      <c r="J504">
        <v>8517988.125</v>
      </c>
      <c r="K504">
        <v>34565</v>
      </c>
      <c r="L504">
        <v>2</v>
      </c>
      <c r="M504">
        <v>123</v>
      </c>
      <c r="N504">
        <v>0.92074592074592077</v>
      </c>
      <c r="O504">
        <v>8237977.041666666</v>
      </c>
      <c r="P504">
        <v>35094</v>
      </c>
      <c r="Q504">
        <v>2</v>
      </c>
      <c r="R504">
        <v>124</v>
      </c>
      <c r="S504" t="s">
        <v>460</v>
      </c>
      <c r="W504">
        <f>Cancer_doubles_final2[[#This Row],[mlp_params]]</f>
        <v>34565</v>
      </c>
      <c r="X504">
        <f>Cancer_doubles_final2[[#This Row],[kan_test_acc]]</f>
        <v>0.96532633155584335</v>
      </c>
      <c r="Y504">
        <f>Cancer_doubles_final2[[#This Row],[mlp_test_acc]]</f>
        <v>0.92074592074592077</v>
      </c>
      <c r="Z504">
        <f>Cancer_doubles_final2[[#This Row],[mlp_test_acc2]]</f>
        <v>0.92074592074592077</v>
      </c>
    </row>
    <row r="505" spans="1:26" hidden="1" x14ac:dyDescent="0.25">
      <c r="A505" t="s">
        <v>19</v>
      </c>
      <c r="B505">
        <v>3</v>
      </c>
      <c r="C505">
        <v>4</v>
      </c>
      <c r="D505">
        <v>0</v>
      </c>
      <c r="E505" t="s">
        <v>256</v>
      </c>
      <c r="F505">
        <v>23274</v>
      </c>
      <c r="G505">
        <v>30225958.916666664</v>
      </c>
      <c r="H505">
        <v>0.96182983616987872</v>
      </c>
      <c r="I505">
        <v>0.93706293706293708</v>
      </c>
      <c r="J505">
        <v>8431039.6666666679</v>
      </c>
      <c r="K505">
        <v>44102</v>
      </c>
      <c r="L505">
        <v>2</v>
      </c>
      <c r="M505">
        <v>140</v>
      </c>
      <c r="N505">
        <v>0.93414918414918413</v>
      </c>
      <c r="O505">
        <v>8845086.625</v>
      </c>
      <c r="P505">
        <v>44699</v>
      </c>
      <c r="Q505">
        <v>2</v>
      </c>
      <c r="R505">
        <v>141</v>
      </c>
      <c r="S505" t="s">
        <v>461</v>
      </c>
      <c r="W505">
        <f>Cancer_doubles_final2[[#This Row],[mlp_params]]</f>
        <v>44102</v>
      </c>
      <c r="X505">
        <f>Cancer_doubles_final2[[#This Row],[kan_test_acc]]</f>
        <v>0.96182983616987872</v>
      </c>
      <c r="Y505">
        <f>Cancer_doubles_final2[[#This Row],[mlp_test_acc]]</f>
        <v>0.93706293706293708</v>
      </c>
      <c r="Z505">
        <f>Cancer_doubles_final2[[#This Row],[mlp_test_acc2]]</f>
        <v>0.93414918414918413</v>
      </c>
    </row>
    <row r="506" spans="1:26" hidden="1" x14ac:dyDescent="0.25">
      <c r="A506" t="s">
        <v>19</v>
      </c>
      <c r="B506">
        <v>5</v>
      </c>
      <c r="C506">
        <v>2</v>
      </c>
      <c r="D506">
        <v>0</v>
      </c>
      <c r="E506" t="s">
        <v>256</v>
      </c>
      <c r="F506">
        <v>23274</v>
      </c>
      <c r="G506">
        <v>35295265.333333336</v>
      </c>
      <c r="H506">
        <v>0.97465034325917566</v>
      </c>
      <c r="I506">
        <v>0.94696969696969702</v>
      </c>
      <c r="J506">
        <v>8096913.041666667</v>
      </c>
      <c r="K506">
        <v>34565</v>
      </c>
      <c r="L506">
        <v>2</v>
      </c>
      <c r="M506">
        <v>123</v>
      </c>
      <c r="N506">
        <v>0.94318181818181812</v>
      </c>
      <c r="O506">
        <v>9224079</v>
      </c>
      <c r="P506">
        <v>35094</v>
      </c>
      <c r="Q506">
        <v>2</v>
      </c>
      <c r="R506">
        <v>124</v>
      </c>
      <c r="S506" t="s">
        <v>462</v>
      </c>
      <c r="W506">
        <f>Cancer_doubles_final2[[#This Row],[mlp_params]]</f>
        <v>34565</v>
      </c>
      <c r="X506">
        <f>Cancer_doubles_final2[[#This Row],[kan_test_acc]]</f>
        <v>0.97465034325917566</v>
      </c>
      <c r="Y506">
        <f>Cancer_doubles_final2[[#This Row],[mlp_test_acc]]</f>
        <v>0.94696969696969702</v>
      </c>
      <c r="Z506">
        <f>Cancer_doubles_final2[[#This Row],[mlp_test_acc2]]</f>
        <v>0.94318181818181812</v>
      </c>
    </row>
    <row r="507" spans="1:26" hidden="1" x14ac:dyDescent="0.25">
      <c r="A507" t="s">
        <v>19</v>
      </c>
      <c r="B507">
        <v>3</v>
      </c>
      <c r="C507">
        <v>4</v>
      </c>
      <c r="D507">
        <v>0</v>
      </c>
      <c r="E507" t="s">
        <v>256</v>
      </c>
      <c r="F507">
        <v>23274</v>
      </c>
      <c r="G507">
        <v>36911975.958333336</v>
      </c>
      <c r="H507">
        <v>0.97843821843465173</v>
      </c>
      <c r="I507">
        <v>0.93152680652680653</v>
      </c>
      <c r="J507">
        <v>7824403.791666666</v>
      </c>
      <c r="K507">
        <v>44102</v>
      </c>
      <c r="L507">
        <v>2</v>
      </c>
      <c r="M507">
        <v>140</v>
      </c>
      <c r="N507">
        <v>0.93152680652680653</v>
      </c>
      <c r="O507">
        <v>9101405.541666666</v>
      </c>
      <c r="P507">
        <v>44699</v>
      </c>
      <c r="Q507">
        <v>2</v>
      </c>
      <c r="R507">
        <v>141</v>
      </c>
      <c r="S507" t="s">
        <v>461</v>
      </c>
      <c r="W507">
        <f>Cancer_doubles_final2[[#This Row],[mlp_params]]</f>
        <v>44102</v>
      </c>
      <c r="X507">
        <f>Cancer_doubles_final2[[#This Row],[kan_test_acc]]</f>
        <v>0.97843821843465173</v>
      </c>
      <c r="Y507">
        <f>Cancer_doubles_final2[[#This Row],[mlp_test_acc]]</f>
        <v>0.93152680652680653</v>
      </c>
      <c r="Z507">
        <f>Cancer_doubles_final2[[#This Row],[mlp_test_acc2]]</f>
        <v>0.93152680652680653</v>
      </c>
    </row>
    <row r="508" spans="1:26" hidden="1" x14ac:dyDescent="0.25">
      <c r="A508" t="s">
        <v>19</v>
      </c>
      <c r="B508">
        <v>5</v>
      </c>
      <c r="C508">
        <v>2</v>
      </c>
      <c r="D508">
        <v>0</v>
      </c>
      <c r="E508" t="s">
        <v>256</v>
      </c>
      <c r="F508">
        <v>23274</v>
      </c>
      <c r="G508">
        <v>30689678.958333336</v>
      </c>
      <c r="H508">
        <v>0.97377621382474899</v>
      </c>
      <c r="I508">
        <v>0.93648018648018649</v>
      </c>
      <c r="J508">
        <v>8317380.791666666</v>
      </c>
      <c r="K508">
        <v>34565</v>
      </c>
      <c r="L508">
        <v>2</v>
      </c>
      <c r="M508">
        <v>123</v>
      </c>
      <c r="N508">
        <v>0.93385780885780889</v>
      </c>
      <c r="O508">
        <v>8710134.041666666</v>
      </c>
      <c r="P508">
        <v>35094</v>
      </c>
      <c r="Q508">
        <v>2</v>
      </c>
      <c r="R508">
        <v>124</v>
      </c>
      <c r="S508" t="s">
        <v>462</v>
      </c>
      <c r="W508">
        <f>Cancer_doubles_final2[[#This Row],[mlp_params]]</f>
        <v>34565</v>
      </c>
      <c r="X508">
        <f>Cancer_doubles_final2[[#This Row],[kan_test_acc]]</f>
        <v>0.97377621382474899</v>
      </c>
      <c r="Y508">
        <f>Cancer_doubles_final2[[#This Row],[mlp_test_acc]]</f>
        <v>0.93648018648018649</v>
      </c>
      <c r="Z508">
        <f>Cancer_doubles_final2[[#This Row],[mlp_test_acc2]]</f>
        <v>0.93385780885780889</v>
      </c>
    </row>
    <row r="509" spans="1:26" hidden="1" x14ac:dyDescent="0.25">
      <c r="A509" t="s">
        <v>19</v>
      </c>
      <c r="B509">
        <v>3</v>
      </c>
      <c r="C509">
        <v>2</v>
      </c>
      <c r="D509">
        <v>0</v>
      </c>
      <c r="E509" t="s">
        <v>463</v>
      </c>
      <c r="F509">
        <v>23284</v>
      </c>
      <c r="G509">
        <v>41344181.875</v>
      </c>
      <c r="H509">
        <v>0.97465034325917554</v>
      </c>
      <c r="I509">
        <v>0.94871794871794868</v>
      </c>
      <c r="J509">
        <v>7919184.541666667</v>
      </c>
      <c r="K509">
        <v>37250</v>
      </c>
      <c r="L509">
        <v>2</v>
      </c>
      <c r="M509">
        <v>128</v>
      </c>
      <c r="N509">
        <v>0.94318181818181812</v>
      </c>
      <c r="O509">
        <v>8963658.625</v>
      </c>
      <c r="P509">
        <v>37799</v>
      </c>
      <c r="Q509">
        <v>2</v>
      </c>
      <c r="R509">
        <v>129</v>
      </c>
      <c r="S509" t="s">
        <v>464</v>
      </c>
      <c r="W509">
        <f>Cancer_doubles_final2[[#This Row],[mlp_params]]</f>
        <v>37250</v>
      </c>
      <c r="X509">
        <f>Cancer_doubles_final2[[#This Row],[kan_test_acc]]</f>
        <v>0.97465034325917554</v>
      </c>
      <c r="Y509">
        <f>Cancer_doubles_final2[[#This Row],[mlp_test_acc]]</f>
        <v>0.94871794871794868</v>
      </c>
      <c r="Z509">
        <f>Cancer_doubles_final2[[#This Row],[mlp_test_acc2]]</f>
        <v>0.94318181818181812</v>
      </c>
    </row>
    <row r="510" spans="1:26" hidden="1" x14ac:dyDescent="0.25">
      <c r="A510" t="s">
        <v>19</v>
      </c>
      <c r="B510">
        <v>3</v>
      </c>
      <c r="C510">
        <v>3</v>
      </c>
      <c r="D510">
        <v>0</v>
      </c>
      <c r="E510" t="s">
        <v>337</v>
      </c>
      <c r="F510">
        <v>23296</v>
      </c>
      <c r="G510">
        <v>42227336</v>
      </c>
      <c r="H510">
        <v>0.96717171370983124</v>
      </c>
      <c r="I510">
        <v>0.94541569541569537</v>
      </c>
      <c r="J510">
        <v>8586574</v>
      </c>
      <c r="K510">
        <v>41177</v>
      </c>
      <c r="L510">
        <v>2</v>
      </c>
      <c r="M510">
        <v>135</v>
      </c>
      <c r="N510">
        <v>0.94191919191919193</v>
      </c>
      <c r="O510">
        <v>8805427.972222222</v>
      </c>
      <c r="P510">
        <v>41754</v>
      </c>
      <c r="Q510">
        <v>2</v>
      </c>
      <c r="R510">
        <v>136</v>
      </c>
      <c r="S510" t="s">
        <v>465</v>
      </c>
      <c r="W510">
        <f>Cancer_doubles_final2[[#This Row],[mlp_params]]</f>
        <v>41177</v>
      </c>
      <c r="X510">
        <f>Cancer_doubles_final2[[#This Row],[kan_test_acc]]</f>
        <v>0.96717171370983124</v>
      </c>
      <c r="Y510">
        <f>Cancer_doubles_final2[[#This Row],[mlp_test_acc]]</f>
        <v>0.94541569541569537</v>
      </c>
      <c r="Z510">
        <f>Cancer_doubles_final2[[#This Row],[mlp_test_acc2]]</f>
        <v>0.94191919191919193</v>
      </c>
    </row>
    <row r="511" spans="1:26" hidden="1" x14ac:dyDescent="0.25">
      <c r="A511" t="s">
        <v>19</v>
      </c>
      <c r="B511">
        <v>3</v>
      </c>
      <c r="C511">
        <v>2</v>
      </c>
      <c r="D511">
        <v>0</v>
      </c>
      <c r="E511" t="s">
        <v>466</v>
      </c>
      <c r="F511">
        <v>23318</v>
      </c>
      <c r="G511">
        <v>40815763.166666664</v>
      </c>
      <c r="H511">
        <v>0.97397046784559882</v>
      </c>
      <c r="I511">
        <v>0.93919968919968921</v>
      </c>
      <c r="J511">
        <v>8736201</v>
      </c>
      <c r="K511">
        <v>37799</v>
      </c>
      <c r="L511">
        <v>2</v>
      </c>
      <c r="M511">
        <v>129</v>
      </c>
      <c r="N511">
        <v>0.93648018648018649</v>
      </c>
      <c r="O511">
        <v>9006524.083333334</v>
      </c>
      <c r="P511">
        <v>38352</v>
      </c>
      <c r="Q511">
        <v>2</v>
      </c>
      <c r="R511">
        <v>130</v>
      </c>
      <c r="S511" t="s">
        <v>467</v>
      </c>
      <c r="W511">
        <f>Cancer_doubles_final2[[#This Row],[mlp_params]]</f>
        <v>37799</v>
      </c>
      <c r="X511">
        <f>Cancer_doubles_final2[[#This Row],[kan_test_acc]]</f>
        <v>0.97397046784559882</v>
      </c>
      <c r="Y511">
        <f>Cancer_doubles_final2[[#This Row],[mlp_test_acc]]</f>
        <v>0.93919968919968921</v>
      </c>
      <c r="Z511">
        <f>Cancer_doubles_final2[[#This Row],[mlp_test_acc2]]</f>
        <v>0.93648018648018649</v>
      </c>
    </row>
    <row r="512" spans="1:26" x14ac:dyDescent="0.25">
      <c r="A512" t="s">
        <v>19</v>
      </c>
      <c r="B512">
        <v>3</v>
      </c>
      <c r="C512">
        <v>5</v>
      </c>
      <c r="D512">
        <v>0</v>
      </c>
      <c r="E512" t="s">
        <v>203</v>
      </c>
      <c r="F512">
        <v>23344</v>
      </c>
      <c r="G512">
        <v>39732338.222222224</v>
      </c>
      <c r="H512">
        <v>0.95260294609599638</v>
      </c>
      <c r="I512">
        <v>0.94133644133644134</v>
      </c>
      <c r="J512">
        <v>8713086.75</v>
      </c>
      <c r="K512">
        <v>46514</v>
      </c>
      <c r="L512">
        <v>2</v>
      </c>
      <c r="M512">
        <v>144</v>
      </c>
      <c r="N512">
        <v>0.93900543900543909</v>
      </c>
      <c r="O512">
        <v>9617455.972222222</v>
      </c>
      <c r="P512">
        <v>47127</v>
      </c>
      <c r="Q512">
        <v>2</v>
      </c>
      <c r="R512">
        <v>145</v>
      </c>
      <c r="S512" t="s">
        <v>468</v>
      </c>
      <c r="W512">
        <f>Cancer_doubles_final2[[#This Row],[mlp_params]]</f>
        <v>46514</v>
      </c>
      <c r="X512">
        <f>Cancer_doubles_final2[[#This Row],[kan_test_acc]]</f>
        <v>0.95260294609599638</v>
      </c>
      <c r="Y512">
        <f>Cancer_doubles_final2[[#This Row],[mlp_test_acc]]</f>
        <v>0.94133644133644134</v>
      </c>
      <c r="Z512">
        <f>Cancer_doubles_final2[[#This Row],[mlp_test_acc2]]</f>
        <v>0.93900543900543909</v>
      </c>
    </row>
    <row r="513" spans="1:26" hidden="1" x14ac:dyDescent="0.25">
      <c r="A513" t="s">
        <v>19</v>
      </c>
      <c r="B513">
        <v>5</v>
      </c>
      <c r="C513">
        <v>3</v>
      </c>
      <c r="D513">
        <v>0</v>
      </c>
      <c r="E513" t="s">
        <v>203</v>
      </c>
      <c r="F513">
        <v>23344</v>
      </c>
      <c r="G513">
        <v>36921451.833333336</v>
      </c>
      <c r="H513">
        <v>0.96037295460700989</v>
      </c>
      <c r="I513">
        <v>0.93764568764568768</v>
      </c>
      <c r="J513">
        <v>9468817.583333334</v>
      </c>
      <c r="K513">
        <v>37799</v>
      </c>
      <c r="L513">
        <v>2</v>
      </c>
      <c r="M513">
        <v>129</v>
      </c>
      <c r="N513">
        <v>0.93706293706293708</v>
      </c>
      <c r="O513">
        <v>9419981.166666666</v>
      </c>
      <c r="P513">
        <v>38352</v>
      </c>
      <c r="Q513">
        <v>2</v>
      </c>
      <c r="R513">
        <v>130</v>
      </c>
      <c r="S513" t="s">
        <v>469</v>
      </c>
      <c r="W513">
        <f>Cancer_doubles_final2[[#This Row],[mlp_params]]</f>
        <v>37799</v>
      </c>
      <c r="X513">
        <f>Cancer_doubles_final2[[#This Row],[kan_test_acc]]</f>
        <v>0.96037295460700989</v>
      </c>
      <c r="Y513">
        <f>Cancer_doubles_final2[[#This Row],[mlp_test_acc]]</f>
        <v>0.93764568764568768</v>
      </c>
      <c r="Z513">
        <f>Cancer_doubles_final2[[#This Row],[mlp_test_acc2]]</f>
        <v>0.93706293706293708</v>
      </c>
    </row>
    <row r="514" spans="1:26" x14ac:dyDescent="0.25">
      <c r="A514" t="s">
        <v>19</v>
      </c>
      <c r="B514">
        <v>3</v>
      </c>
      <c r="C514">
        <v>5</v>
      </c>
      <c r="D514">
        <v>0</v>
      </c>
      <c r="E514" t="s">
        <v>203</v>
      </c>
      <c r="F514">
        <v>23344</v>
      </c>
      <c r="G514">
        <v>44413723.916666672</v>
      </c>
      <c r="H514">
        <v>0.95396270106236147</v>
      </c>
      <c r="I514">
        <v>0.93735431235431244</v>
      </c>
      <c r="J514">
        <v>8870427.041666666</v>
      </c>
      <c r="K514">
        <v>46514</v>
      </c>
      <c r="L514">
        <v>2</v>
      </c>
      <c r="M514">
        <v>144</v>
      </c>
      <c r="N514">
        <v>0.93648018648018649</v>
      </c>
      <c r="O514">
        <v>9631147.416666666</v>
      </c>
      <c r="P514">
        <v>47127</v>
      </c>
      <c r="Q514">
        <v>2</v>
      </c>
      <c r="R514">
        <v>145</v>
      </c>
      <c r="S514" t="s">
        <v>468</v>
      </c>
      <c r="W514">
        <f>Cancer_doubles_final2[[#This Row],[mlp_params]]</f>
        <v>46514</v>
      </c>
      <c r="X514">
        <f>Cancer_doubles_final2[[#This Row],[kan_test_acc]]</f>
        <v>0.95396270106236147</v>
      </c>
      <c r="Y514">
        <f>Cancer_doubles_final2[[#This Row],[mlp_test_acc]]</f>
        <v>0.93735431235431244</v>
      </c>
      <c r="Z514">
        <f>Cancer_doubles_final2[[#This Row],[mlp_test_acc2]]</f>
        <v>0.93648018648018649</v>
      </c>
    </row>
    <row r="515" spans="1:26" hidden="1" x14ac:dyDescent="0.25">
      <c r="A515" t="s">
        <v>19</v>
      </c>
      <c r="B515">
        <v>5</v>
      </c>
      <c r="C515">
        <v>3</v>
      </c>
      <c r="D515">
        <v>0</v>
      </c>
      <c r="E515" t="s">
        <v>203</v>
      </c>
      <c r="F515">
        <v>23344</v>
      </c>
      <c r="G515">
        <v>41507020.958333328</v>
      </c>
      <c r="H515">
        <v>0.94114219148953759</v>
      </c>
      <c r="I515">
        <v>0.91491841491841497</v>
      </c>
      <c r="J515">
        <v>8545224.416666666</v>
      </c>
      <c r="K515">
        <v>37799</v>
      </c>
      <c r="L515">
        <v>2</v>
      </c>
      <c r="M515">
        <v>129</v>
      </c>
      <c r="N515">
        <v>0.91724941724941722</v>
      </c>
      <c r="O515">
        <v>8653840.5</v>
      </c>
      <c r="P515">
        <v>38352</v>
      </c>
      <c r="Q515">
        <v>2</v>
      </c>
      <c r="R515">
        <v>130</v>
      </c>
      <c r="S515" t="s">
        <v>469</v>
      </c>
      <c r="W515">
        <f>Cancer_doubles_final2[[#This Row],[mlp_params]]</f>
        <v>37799</v>
      </c>
      <c r="X515">
        <f>Cancer_doubles_final2[[#This Row],[kan_test_acc]]</f>
        <v>0.94114219148953759</v>
      </c>
      <c r="Y515">
        <f>Cancer_doubles_final2[[#This Row],[mlp_test_acc]]</f>
        <v>0.91491841491841497</v>
      </c>
      <c r="Z515">
        <f>Cancer_doubles_final2[[#This Row],[mlp_test_acc2]]</f>
        <v>0.91724941724941722</v>
      </c>
    </row>
    <row r="516" spans="1:26" x14ac:dyDescent="0.25">
      <c r="A516" t="s">
        <v>19</v>
      </c>
      <c r="B516">
        <v>3</v>
      </c>
      <c r="C516">
        <v>5</v>
      </c>
      <c r="D516">
        <v>0</v>
      </c>
      <c r="E516" t="s">
        <v>205</v>
      </c>
      <c r="F516">
        <v>23346</v>
      </c>
      <c r="G516">
        <v>36985629.625</v>
      </c>
      <c r="H516">
        <v>0.95483683049678802</v>
      </c>
      <c r="I516">
        <v>0.9189976689976691</v>
      </c>
      <c r="J516">
        <v>8976729.2083333321</v>
      </c>
      <c r="K516">
        <v>46514</v>
      </c>
      <c r="L516">
        <v>2</v>
      </c>
      <c r="M516">
        <v>144</v>
      </c>
      <c r="N516">
        <v>0.92074592074592077</v>
      </c>
      <c r="O516">
        <v>8115582.666666667</v>
      </c>
      <c r="P516">
        <v>47127</v>
      </c>
      <c r="Q516">
        <v>2</v>
      </c>
      <c r="R516">
        <v>145</v>
      </c>
      <c r="S516" t="s">
        <v>470</v>
      </c>
      <c r="W516">
        <f>Cancer_doubles_final2[[#This Row],[mlp_params]]</f>
        <v>46514</v>
      </c>
      <c r="X516">
        <f>Cancer_doubles_final2[[#This Row],[kan_test_acc]]</f>
        <v>0.95483683049678802</v>
      </c>
      <c r="Y516">
        <f>Cancer_doubles_final2[[#This Row],[mlp_test_acc]]</f>
        <v>0.9189976689976691</v>
      </c>
      <c r="Z516">
        <f>Cancer_doubles_final2[[#This Row],[mlp_test_acc2]]</f>
        <v>0.92074592074592077</v>
      </c>
    </row>
    <row r="517" spans="1:26" hidden="1" x14ac:dyDescent="0.25">
      <c r="A517" t="s">
        <v>19</v>
      </c>
      <c r="B517">
        <v>5</v>
      </c>
      <c r="C517">
        <v>3</v>
      </c>
      <c r="D517">
        <v>0</v>
      </c>
      <c r="E517" t="s">
        <v>205</v>
      </c>
      <c r="F517">
        <v>23346</v>
      </c>
      <c r="G517">
        <v>38328387.791666664</v>
      </c>
      <c r="H517">
        <v>0.9720279648900032</v>
      </c>
      <c r="I517">
        <v>0.94230769230769229</v>
      </c>
      <c r="J517">
        <v>8880366.5</v>
      </c>
      <c r="K517">
        <v>37799</v>
      </c>
      <c r="L517">
        <v>2</v>
      </c>
      <c r="M517">
        <v>129</v>
      </c>
      <c r="N517">
        <v>0.94201631701631694</v>
      </c>
      <c r="O517">
        <v>8824572.4166666679</v>
      </c>
      <c r="P517">
        <v>38352</v>
      </c>
      <c r="Q517">
        <v>2</v>
      </c>
      <c r="R517">
        <v>130</v>
      </c>
      <c r="S517" t="s">
        <v>471</v>
      </c>
      <c r="W517">
        <f>Cancer_doubles_final2[[#This Row],[mlp_params]]</f>
        <v>37799</v>
      </c>
      <c r="X517">
        <f>Cancer_doubles_final2[[#This Row],[kan_test_acc]]</f>
        <v>0.9720279648900032</v>
      </c>
      <c r="Y517">
        <f>Cancer_doubles_final2[[#This Row],[mlp_test_acc]]</f>
        <v>0.94230769230769229</v>
      </c>
      <c r="Z517">
        <f>Cancer_doubles_final2[[#This Row],[mlp_test_acc2]]</f>
        <v>0.94201631701631694</v>
      </c>
    </row>
    <row r="518" spans="1:26" x14ac:dyDescent="0.25">
      <c r="A518" t="s">
        <v>19</v>
      </c>
      <c r="B518">
        <v>3</v>
      </c>
      <c r="C518">
        <v>5</v>
      </c>
      <c r="D518">
        <v>0</v>
      </c>
      <c r="E518" t="s">
        <v>205</v>
      </c>
      <c r="F518">
        <v>23346</v>
      </c>
      <c r="G518">
        <v>36662691.541666664</v>
      </c>
      <c r="H518">
        <v>0.97115383545557654</v>
      </c>
      <c r="I518">
        <v>0.93094405594405605</v>
      </c>
      <c r="J518">
        <v>8254782</v>
      </c>
      <c r="K518">
        <v>46514</v>
      </c>
      <c r="L518">
        <v>2</v>
      </c>
      <c r="M518">
        <v>144</v>
      </c>
      <c r="N518">
        <v>0.9274475524475525</v>
      </c>
      <c r="O518">
        <v>9021724.458333334</v>
      </c>
      <c r="P518">
        <v>47127</v>
      </c>
      <c r="Q518">
        <v>2</v>
      </c>
      <c r="R518">
        <v>145</v>
      </c>
      <c r="S518" t="s">
        <v>470</v>
      </c>
      <c r="W518">
        <f>Cancer_doubles_final2[[#This Row],[mlp_params]]</f>
        <v>46514</v>
      </c>
      <c r="X518">
        <f>Cancer_doubles_final2[[#This Row],[kan_test_acc]]</f>
        <v>0.97115383545557654</v>
      </c>
      <c r="Y518">
        <f>Cancer_doubles_final2[[#This Row],[mlp_test_acc]]</f>
        <v>0.93094405594405605</v>
      </c>
      <c r="Z518">
        <f>Cancer_doubles_final2[[#This Row],[mlp_test_acc2]]</f>
        <v>0.9274475524475525</v>
      </c>
    </row>
    <row r="519" spans="1:26" hidden="1" x14ac:dyDescent="0.25">
      <c r="A519" t="s">
        <v>19</v>
      </c>
      <c r="B519">
        <v>5</v>
      </c>
      <c r="C519">
        <v>3</v>
      </c>
      <c r="D519">
        <v>0</v>
      </c>
      <c r="E519" t="s">
        <v>205</v>
      </c>
      <c r="F519">
        <v>23346</v>
      </c>
      <c r="G519">
        <v>36667447.083333328</v>
      </c>
      <c r="H519">
        <v>0.9621212060252825</v>
      </c>
      <c r="I519">
        <v>0.90588578088578098</v>
      </c>
      <c r="J519">
        <v>7963349.958333334</v>
      </c>
      <c r="K519">
        <v>37799</v>
      </c>
      <c r="L519">
        <v>2</v>
      </c>
      <c r="M519">
        <v>129</v>
      </c>
      <c r="N519">
        <v>0.90967365967365965</v>
      </c>
      <c r="O519">
        <v>8785894.6666666679</v>
      </c>
      <c r="P519">
        <v>38352</v>
      </c>
      <c r="Q519">
        <v>2</v>
      </c>
      <c r="R519">
        <v>130</v>
      </c>
      <c r="S519" t="s">
        <v>471</v>
      </c>
      <c r="W519">
        <f>Cancer_doubles_final2[[#This Row],[mlp_params]]</f>
        <v>37799</v>
      </c>
      <c r="X519">
        <f>Cancer_doubles_final2[[#This Row],[kan_test_acc]]</f>
        <v>0.9621212060252825</v>
      </c>
      <c r="Y519">
        <f>Cancer_doubles_final2[[#This Row],[mlp_test_acc]]</f>
        <v>0.90588578088578098</v>
      </c>
      <c r="Z519">
        <f>Cancer_doubles_final2[[#This Row],[mlp_test_acc2]]</f>
        <v>0.90967365967365965</v>
      </c>
    </row>
    <row r="520" spans="1:26" hidden="1" x14ac:dyDescent="0.25">
      <c r="A520" t="s">
        <v>19</v>
      </c>
      <c r="B520">
        <v>9</v>
      </c>
      <c r="C520">
        <v>2</v>
      </c>
      <c r="D520">
        <v>0</v>
      </c>
      <c r="E520" t="s">
        <v>123</v>
      </c>
      <c r="F520">
        <v>23350</v>
      </c>
      <c r="G520">
        <v>26573400.083333336</v>
      </c>
      <c r="H520">
        <v>0.94609555850426352</v>
      </c>
      <c r="I520">
        <v>0.90238927738927743</v>
      </c>
      <c r="J520">
        <v>8964068.6666666679</v>
      </c>
      <c r="K520">
        <v>31475</v>
      </c>
      <c r="L520">
        <v>2</v>
      </c>
      <c r="M520">
        <v>117</v>
      </c>
      <c r="N520">
        <v>0.91113053613053618</v>
      </c>
      <c r="O520">
        <v>8588146.7916666679</v>
      </c>
      <c r="P520">
        <v>31980</v>
      </c>
      <c r="Q520">
        <v>2</v>
      </c>
      <c r="R520">
        <v>118</v>
      </c>
      <c r="S520" t="s">
        <v>472</v>
      </c>
      <c r="W520">
        <f>Cancer_doubles_final2[[#This Row],[mlp_params]]</f>
        <v>31475</v>
      </c>
      <c r="X520">
        <f>Cancer_doubles_final2[[#This Row],[kan_test_acc]]</f>
        <v>0.94609555850426352</v>
      </c>
      <c r="Y520">
        <f>Cancer_doubles_final2[[#This Row],[mlp_test_acc]]</f>
        <v>0.90238927738927743</v>
      </c>
      <c r="Z520">
        <f>Cancer_doubles_final2[[#This Row],[mlp_test_acc2]]</f>
        <v>0.91113053613053618</v>
      </c>
    </row>
    <row r="521" spans="1:26" hidden="1" x14ac:dyDescent="0.25">
      <c r="A521" t="s">
        <v>19</v>
      </c>
      <c r="B521">
        <v>5</v>
      </c>
      <c r="C521">
        <v>5</v>
      </c>
      <c r="D521">
        <v>0</v>
      </c>
      <c r="E521" t="s">
        <v>143</v>
      </c>
      <c r="F521">
        <v>23354</v>
      </c>
      <c r="G521">
        <v>23494100.805555556</v>
      </c>
      <c r="H521">
        <v>0.94386168486542166</v>
      </c>
      <c r="I521">
        <v>0.91627816627816627</v>
      </c>
      <c r="J521">
        <v>8703526.583333334</v>
      </c>
      <c r="K521">
        <v>42920</v>
      </c>
      <c r="L521">
        <v>2</v>
      </c>
      <c r="M521">
        <v>138</v>
      </c>
      <c r="N521">
        <v>0.92132867132867136</v>
      </c>
      <c r="O521">
        <v>9436647.777777778</v>
      </c>
      <c r="P521">
        <v>43509</v>
      </c>
      <c r="Q521">
        <v>2</v>
      </c>
      <c r="R521">
        <v>139</v>
      </c>
      <c r="S521" t="s">
        <v>473</v>
      </c>
      <c r="W521">
        <f>Cancer_doubles_final2[[#This Row],[mlp_params]]</f>
        <v>42920</v>
      </c>
      <c r="X521">
        <f>Cancer_doubles_final2[[#This Row],[kan_test_acc]]</f>
        <v>0.94386168486542166</v>
      </c>
      <c r="Y521">
        <f>Cancer_doubles_final2[[#This Row],[mlp_test_acc]]</f>
        <v>0.91627816627816627</v>
      </c>
      <c r="Z521">
        <f>Cancer_doubles_final2[[#This Row],[mlp_test_acc2]]</f>
        <v>0.92132867132867136</v>
      </c>
    </row>
    <row r="522" spans="1:26" hidden="1" x14ac:dyDescent="0.25">
      <c r="A522" t="s">
        <v>19</v>
      </c>
      <c r="B522">
        <v>3</v>
      </c>
      <c r="C522">
        <v>3</v>
      </c>
      <c r="D522">
        <v>0</v>
      </c>
      <c r="E522" t="s">
        <v>341</v>
      </c>
      <c r="F522">
        <v>23410</v>
      </c>
      <c r="G522">
        <v>32910508.361111112</v>
      </c>
      <c r="H522">
        <v>0.97066821157932281</v>
      </c>
      <c r="I522">
        <v>0.9417249417249417</v>
      </c>
      <c r="J522">
        <v>8822214.055555556</v>
      </c>
      <c r="K522">
        <v>41177</v>
      </c>
      <c r="L522">
        <v>2</v>
      </c>
      <c r="M522">
        <v>135</v>
      </c>
      <c r="N522">
        <v>0.94405594405594406</v>
      </c>
      <c r="O522">
        <v>8849494.5</v>
      </c>
      <c r="P522">
        <v>41754</v>
      </c>
      <c r="Q522">
        <v>2</v>
      </c>
      <c r="R522">
        <v>136</v>
      </c>
      <c r="S522" t="s">
        <v>474</v>
      </c>
      <c r="W522">
        <f>Cancer_doubles_final2[[#This Row],[mlp_params]]</f>
        <v>41177</v>
      </c>
      <c r="X522">
        <f>Cancer_doubles_final2[[#This Row],[kan_test_acc]]</f>
        <v>0.97066821157932281</v>
      </c>
      <c r="Y522">
        <f>Cancer_doubles_final2[[#This Row],[mlp_test_acc]]</f>
        <v>0.9417249417249417</v>
      </c>
      <c r="Z522">
        <f>Cancer_doubles_final2[[#This Row],[mlp_test_acc2]]</f>
        <v>0.94405594405594406</v>
      </c>
    </row>
    <row r="523" spans="1:26" hidden="1" x14ac:dyDescent="0.25">
      <c r="A523" t="s">
        <v>19</v>
      </c>
      <c r="B523">
        <v>3</v>
      </c>
      <c r="C523">
        <v>4</v>
      </c>
      <c r="D523">
        <v>0</v>
      </c>
      <c r="E523" t="s">
        <v>260</v>
      </c>
      <c r="F523">
        <v>23470</v>
      </c>
      <c r="G523">
        <v>40764090.972222224</v>
      </c>
      <c r="H523">
        <v>0.96425795720683205</v>
      </c>
      <c r="I523">
        <v>0.94522144522144524</v>
      </c>
      <c r="J523">
        <v>8848450.444444444</v>
      </c>
      <c r="K523">
        <v>44102</v>
      </c>
      <c r="L523">
        <v>2</v>
      </c>
      <c r="M523">
        <v>140</v>
      </c>
      <c r="N523">
        <v>0.94483294483294489</v>
      </c>
      <c r="O523">
        <v>9829176.1388888881</v>
      </c>
      <c r="P523">
        <v>44699</v>
      </c>
      <c r="Q523">
        <v>2</v>
      </c>
      <c r="R523">
        <v>141</v>
      </c>
      <c r="S523" t="s">
        <v>475</v>
      </c>
      <c r="W523">
        <f>Cancer_doubles_final2[[#This Row],[mlp_params]]</f>
        <v>44102</v>
      </c>
      <c r="X523">
        <f>Cancer_doubles_final2[[#This Row],[kan_test_acc]]</f>
        <v>0.96425795720683205</v>
      </c>
      <c r="Y523">
        <f>Cancer_doubles_final2[[#This Row],[mlp_test_acc]]</f>
        <v>0.94522144522144524</v>
      </c>
      <c r="Z523">
        <f>Cancer_doubles_final2[[#This Row],[mlp_test_acc2]]</f>
        <v>0.94483294483294489</v>
      </c>
    </row>
    <row r="524" spans="1:26" hidden="1" x14ac:dyDescent="0.25">
      <c r="A524" t="s">
        <v>19</v>
      </c>
      <c r="B524">
        <v>5</v>
      </c>
      <c r="C524">
        <v>2</v>
      </c>
      <c r="D524">
        <v>0</v>
      </c>
      <c r="E524" t="s">
        <v>260</v>
      </c>
      <c r="F524">
        <v>23470</v>
      </c>
      <c r="G524">
        <v>42748066.291666672</v>
      </c>
      <c r="H524">
        <v>0.97027971347173059</v>
      </c>
      <c r="I524">
        <v>0.94376456876456882</v>
      </c>
      <c r="J524">
        <v>9487780.7083333321</v>
      </c>
      <c r="K524">
        <v>35094</v>
      </c>
      <c r="L524">
        <v>2</v>
      </c>
      <c r="M524">
        <v>124</v>
      </c>
      <c r="N524">
        <v>0.93851981351981362</v>
      </c>
      <c r="O524">
        <v>10314768</v>
      </c>
      <c r="P524">
        <v>35627</v>
      </c>
      <c r="Q524">
        <v>2</v>
      </c>
      <c r="R524">
        <v>125</v>
      </c>
      <c r="S524" t="s">
        <v>476</v>
      </c>
      <c r="W524">
        <f>Cancer_doubles_final2[[#This Row],[mlp_params]]</f>
        <v>35094</v>
      </c>
      <c r="X524">
        <f>Cancer_doubles_final2[[#This Row],[kan_test_acc]]</f>
        <v>0.97027971347173059</v>
      </c>
      <c r="Y524">
        <f>Cancer_doubles_final2[[#This Row],[mlp_test_acc]]</f>
        <v>0.94376456876456882</v>
      </c>
      <c r="Z524">
        <f>Cancer_doubles_final2[[#This Row],[mlp_test_acc2]]</f>
        <v>0.93851981351981362</v>
      </c>
    </row>
    <row r="525" spans="1:26" hidden="1" x14ac:dyDescent="0.25">
      <c r="A525" t="s">
        <v>19</v>
      </c>
      <c r="B525">
        <v>3</v>
      </c>
      <c r="C525">
        <v>4</v>
      </c>
      <c r="D525">
        <v>0</v>
      </c>
      <c r="E525" t="s">
        <v>260</v>
      </c>
      <c r="F525">
        <v>23470</v>
      </c>
      <c r="G525">
        <v>42602527.416666672</v>
      </c>
      <c r="H525">
        <v>0.97348483900229144</v>
      </c>
      <c r="I525">
        <v>0.92919580419580428</v>
      </c>
      <c r="J525">
        <v>9612362.958333334</v>
      </c>
      <c r="K525">
        <v>44102</v>
      </c>
      <c r="L525">
        <v>2</v>
      </c>
      <c r="M525">
        <v>140</v>
      </c>
      <c r="N525">
        <v>0.9274475524475525</v>
      </c>
      <c r="O525">
        <v>8665022.791666666</v>
      </c>
      <c r="P525">
        <v>44699</v>
      </c>
      <c r="Q525">
        <v>2</v>
      </c>
      <c r="R525">
        <v>141</v>
      </c>
      <c r="S525" t="s">
        <v>475</v>
      </c>
      <c r="W525">
        <f>Cancer_doubles_final2[[#This Row],[mlp_params]]</f>
        <v>44102</v>
      </c>
      <c r="X525">
        <f>Cancer_doubles_final2[[#This Row],[kan_test_acc]]</f>
        <v>0.97348483900229144</v>
      </c>
      <c r="Y525">
        <f>Cancer_doubles_final2[[#This Row],[mlp_test_acc]]</f>
        <v>0.92919580419580428</v>
      </c>
      <c r="Z525">
        <f>Cancer_doubles_final2[[#This Row],[mlp_test_acc2]]</f>
        <v>0.9274475524475525</v>
      </c>
    </row>
    <row r="526" spans="1:26" hidden="1" x14ac:dyDescent="0.25">
      <c r="A526" t="s">
        <v>19</v>
      </c>
      <c r="B526">
        <v>5</v>
      </c>
      <c r="C526">
        <v>2</v>
      </c>
      <c r="D526">
        <v>0</v>
      </c>
      <c r="E526" t="s">
        <v>260</v>
      </c>
      <c r="F526">
        <v>23470</v>
      </c>
      <c r="G526">
        <v>37219525.166666672</v>
      </c>
      <c r="H526">
        <v>0.95920744786659884</v>
      </c>
      <c r="I526">
        <v>0.91200466200466201</v>
      </c>
      <c r="J526">
        <v>9490391.458333334</v>
      </c>
      <c r="K526">
        <v>35094</v>
      </c>
      <c r="L526">
        <v>2</v>
      </c>
      <c r="M526">
        <v>124</v>
      </c>
      <c r="N526">
        <v>0.91113053613053618</v>
      </c>
      <c r="O526">
        <v>8442342.875</v>
      </c>
      <c r="P526">
        <v>35627</v>
      </c>
      <c r="Q526">
        <v>2</v>
      </c>
      <c r="R526">
        <v>125</v>
      </c>
      <c r="S526" t="s">
        <v>476</v>
      </c>
      <c r="W526">
        <f>Cancer_doubles_final2[[#This Row],[mlp_params]]</f>
        <v>35094</v>
      </c>
      <c r="X526">
        <f>Cancer_doubles_final2[[#This Row],[kan_test_acc]]</f>
        <v>0.95920744786659884</v>
      </c>
      <c r="Y526">
        <f>Cancer_doubles_final2[[#This Row],[mlp_test_acc]]</f>
        <v>0.91200466200466201</v>
      </c>
      <c r="Z526">
        <f>Cancer_doubles_final2[[#This Row],[mlp_test_acc2]]</f>
        <v>0.91113053613053618</v>
      </c>
    </row>
    <row r="527" spans="1:26" hidden="1" x14ac:dyDescent="0.25">
      <c r="A527" t="s">
        <v>19</v>
      </c>
      <c r="B527">
        <v>3</v>
      </c>
      <c r="C527">
        <v>3</v>
      </c>
      <c r="D527">
        <v>0</v>
      </c>
      <c r="E527" t="s">
        <v>345</v>
      </c>
      <c r="F527">
        <v>23478</v>
      </c>
      <c r="G527">
        <v>33451717.25</v>
      </c>
      <c r="H527">
        <v>0.9644522095719974</v>
      </c>
      <c r="I527">
        <v>0.92482517482517479</v>
      </c>
      <c r="J527">
        <v>9376284.1666666679</v>
      </c>
      <c r="K527">
        <v>41177</v>
      </c>
      <c r="L527">
        <v>2</v>
      </c>
      <c r="M527">
        <v>135</v>
      </c>
      <c r="N527">
        <v>0.92453379953379955</v>
      </c>
      <c r="O527">
        <v>8231750.25</v>
      </c>
      <c r="P527">
        <v>41754</v>
      </c>
      <c r="Q527">
        <v>2</v>
      </c>
      <c r="R527">
        <v>136</v>
      </c>
      <c r="S527" t="s">
        <v>477</v>
      </c>
      <c r="W527">
        <f>Cancer_doubles_final2[[#This Row],[mlp_params]]</f>
        <v>41177</v>
      </c>
      <c r="X527">
        <f>Cancer_doubles_final2[[#This Row],[kan_test_acc]]</f>
        <v>0.9644522095719974</v>
      </c>
      <c r="Y527">
        <f>Cancer_doubles_final2[[#This Row],[mlp_test_acc]]</f>
        <v>0.92482517482517479</v>
      </c>
      <c r="Z527">
        <f>Cancer_doubles_final2[[#This Row],[mlp_test_acc2]]</f>
        <v>0.92453379953379955</v>
      </c>
    </row>
    <row r="528" spans="1:26" hidden="1" x14ac:dyDescent="0.25">
      <c r="A528" t="s">
        <v>19</v>
      </c>
      <c r="B528">
        <v>3</v>
      </c>
      <c r="C528">
        <v>3</v>
      </c>
      <c r="D528">
        <v>0</v>
      </c>
      <c r="E528" t="s">
        <v>347</v>
      </c>
      <c r="F528">
        <v>23516</v>
      </c>
      <c r="G528">
        <v>40333491.611111112</v>
      </c>
      <c r="H528">
        <v>0.97843821843465173</v>
      </c>
      <c r="I528">
        <v>0.93803418803418803</v>
      </c>
      <c r="J528">
        <v>8794118.027777778</v>
      </c>
      <c r="K528">
        <v>41177</v>
      </c>
      <c r="L528">
        <v>2</v>
      </c>
      <c r="M528">
        <v>135</v>
      </c>
      <c r="N528">
        <v>0.93997668997668993</v>
      </c>
      <c r="O528">
        <v>8997589.472222222</v>
      </c>
      <c r="P528">
        <v>41754</v>
      </c>
      <c r="Q528">
        <v>2</v>
      </c>
      <c r="R528">
        <v>136</v>
      </c>
      <c r="S528" t="s">
        <v>478</v>
      </c>
      <c r="W528">
        <f>Cancer_doubles_final2[[#This Row],[mlp_params]]</f>
        <v>41177</v>
      </c>
      <c r="X528">
        <f>Cancer_doubles_final2[[#This Row],[kan_test_acc]]</f>
        <v>0.97843821843465173</v>
      </c>
      <c r="Y528">
        <f>Cancer_doubles_final2[[#This Row],[mlp_test_acc]]</f>
        <v>0.93803418803418803</v>
      </c>
      <c r="Z528">
        <f>Cancer_doubles_final2[[#This Row],[mlp_test_acc2]]</f>
        <v>0.93997668997668993</v>
      </c>
    </row>
    <row r="529" spans="1:26" hidden="1" x14ac:dyDescent="0.25">
      <c r="A529" t="s">
        <v>19</v>
      </c>
      <c r="B529">
        <v>3</v>
      </c>
      <c r="C529">
        <v>2</v>
      </c>
      <c r="D529">
        <v>0</v>
      </c>
      <c r="E529" t="s">
        <v>479</v>
      </c>
      <c r="F529">
        <v>23548</v>
      </c>
      <c r="G529">
        <v>38607981.305555552</v>
      </c>
      <c r="H529">
        <v>0.96736596193578506</v>
      </c>
      <c r="I529">
        <v>0.94327894327894324</v>
      </c>
      <c r="J529">
        <v>8620599.1388888899</v>
      </c>
      <c r="K529">
        <v>37799</v>
      </c>
      <c r="L529">
        <v>2</v>
      </c>
      <c r="M529">
        <v>129</v>
      </c>
      <c r="N529">
        <v>0.94463869463869465</v>
      </c>
      <c r="O529">
        <v>9156892.2222222239</v>
      </c>
      <c r="P529">
        <v>38352</v>
      </c>
      <c r="Q529">
        <v>2</v>
      </c>
      <c r="R529">
        <v>130</v>
      </c>
      <c r="S529" t="s">
        <v>480</v>
      </c>
      <c r="W529">
        <f>Cancer_doubles_final2[[#This Row],[mlp_params]]</f>
        <v>37799</v>
      </c>
      <c r="X529">
        <f>Cancer_doubles_final2[[#This Row],[kan_test_acc]]</f>
        <v>0.96736596193578506</v>
      </c>
      <c r="Y529">
        <f>Cancer_doubles_final2[[#This Row],[mlp_test_acc]]</f>
        <v>0.94327894327894324</v>
      </c>
      <c r="Z529">
        <f>Cancer_doubles_final2[[#This Row],[mlp_test_acc2]]</f>
        <v>0.94463869463869465</v>
      </c>
    </row>
    <row r="530" spans="1:26" hidden="1" x14ac:dyDescent="0.25">
      <c r="A530" t="s">
        <v>19</v>
      </c>
      <c r="B530">
        <v>9</v>
      </c>
      <c r="C530">
        <v>4</v>
      </c>
      <c r="D530">
        <v>0</v>
      </c>
      <c r="E530" t="s">
        <v>96</v>
      </c>
      <c r="F530">
        <v>23600</v>
      </c>
      <c r="G530">
        <v>28656036.499999996</v>
      </c>
      <c r="H530">
        <v>0.95920745697286391</v>
      </c>
      <c r="I530">
        <v>0.95707070707070707</v>
      </c>
      <c r="J530">
        <v>8821224.444444444</v>
      </c>
      <c r="K530">
        <v>36705</v>
      </c>
      <c r="L530">
        <v>2</v>
      </c>
      <c r="M530">
        <v>127</v>
      </c>
      <c r="N530">
        <v>0.95163170163170163</v>
      </c>
      <c r="O530">
        <v>9376851.9444444459</v>
      </c>
      <c r="P530">
        <v>37250</v>
      </c>
      <c r="Q530">
        <v>2</v>
      </c>
      <c r="R530">
        <v>128</v>
      </c>
      <c r="S530" t="s">
        <v>481</v>
      </c>
      <c r="W530">
        <f>Cancer_doubles_final2[[#This Row],[mlp_params]]</f>
        <v>36705</v>
      </c>
      <c r="X530">
        <f>Cancer_doubles_final2[[#This Row],[kan_test_acc]]</f>
        <v>0.95920745697286391</v>
      </c>
      <c r="Y530">
        <f>Cancer_doubles_final2[[#This Row],[mlp_test_acc]]</f>
        <v>0.95707070707070707</v>
      </c>
      <c r="Z530">
        <f>Cancer_doubles_final2[[#This Row],[mlp_test_acc2]]</f>
        <v>0.95163170163170163</v>
      </c>
    </row>
    <row r="531" spans="1:26" hidden="1" x14ac:dyDescent="0.25">
      <c r="A531" t="s">
        <v>19</v>
      </c>
      <c r="B531">
        <v>3</v>
      </c>
      <c r="C531">
        <v>3</v>
      </c>
      <c r="D531">
        <v>0</v>
      </c>
      <c r="E531" t="s">
        <v>353</v>
      </c>
      <c r="F531">
        <v>23738</v>
      </c>
      <c r="G531">
        <v>33277287.166666668</v>
      </c>
      <c r="H531">
        <v>0.9729020968079567</v>
      </c>
      <c r="I531">
        <v>0.95775058275058278</v>
      </c>
      <c r="J531">
        <v>8840649.9583333321</v>
      </c>
      <c r="K531">
        <v>41754</v>
      </c>
      <c r="L531">
        <v>2</v>
      </c>
      <c r="M531">
        <v>136</v>
      </c>
      <c r="N531">
        <v>0.95833333333333337</v>
      </c>
      <c r="O531">
        <v>9290213.8333333321</v>
      </c>
      <c r="P531">
        <v>42335</v>
      </c>
      <c r="Q531">
        <v>2</v>
      </c>
      <c r="R531">
        <v>137</v>
      </c>
      <c r="S531" t="s">
        <v>482</v>
      </c>
      <c r="W531">
        <f>Cancer_doubles_final2[[#This Row],[mlp_params]]</f>
        <v>41754</v>
      </c>
      <c r="X531">
        <f>Cancer_doubles_final2[[#This Row],[kan_test_acc]]</f>
        <v>0.9729020968079567</v>
      </c>
      <c r="Y531">
        <f>Cancer_doubles_final2[[#This Row],[mlp_test_acc]]</f>
        <v>0.95775058275058278</v>
      </c>
      <c r="Z531">
        <f>Cancer_doubles_final2[[#This Row],[mlp_test_acc2]]</f>
        <v>0.95833333333333337</v>
      </c>
    </row>
    <row r="532" spans="1:26" hidden="1" x14ac:dyDescent="0.25">
      <c r="A532" t="s">
        <v>19</v>
      </c>
      <c r="B532">
        <v>3</v>
      </c>
      <c r="C532">
        <v>4</v>
      </c>
      <c r="D532">
        <v>0</v>
      </c>
      <c r="E532" t="s">
        <v>264</v>
      </c>
      <c r="F532">
        <v>23792</v>
      </c>
      <c r="G532">
        <v>39333301.611111112</v>
      </c>
      <c r="H532">
        <v>0.96697746548387742</v>
      </c>
      <c r="I532">
        <v>0.94327894327894335</v>
      </c>
      <c r="J532">
        <v>9086667.8888888899</v>
      </c>
      <c r="K532">
        <v>44699</v>
      </c>
      <c r="L532">
        <v>2</v>
      </c>
      <c r="M532">
        <v>141</v>
      </c>
      <c r="N532">
        <v>0.9417249417249417</v>
      </c>
      <c r="O532">
        <v>9172210.1111111101</v>
      </c>
      <c r="P532">
        <v>45300</v>
      </c>
      <c r="Q532">
        <v>2</v>
      </c>
      <c r="R532">
        <v>142</v>
      </c>
      <c r="S532" t="s">
        <v>483</v>
      </c>
      <c r="W532">
        <f>Cancer_doubles_final2[[#This Row],[mlp_params]]</f>
        <v>44699</v>
      </c>
      <c r="X532">
        <f>Cancer_doubles_final2[[#This Row],[kan_test_acc]]</f>
        <v>0.96697746548387742</v>
      </c>
      <c r="Y532">
        <f>Cancer_doubles_final2[[#This Row],[mlp_test_acc]]</f>
        <v>0.94327894327894335</v>
      </c>
      <c r="Z532">
        <f>Cancer_doubles_final2[[#This Row],[mlp_test_acc2]]</f>
        <v>0.9417249417249417</v>
      </c>
    </row>
    <row r="533" spans="1:26" hidden="1" x14ac:dyDescent="0.25">
      <c r="A533" t="s">
        <v>19</v>
      </c>
      <c r="B533">
        <v>5</v>
      </c>
      <c r="C533">
        <v>2</v>
      </c>
      <c r="D533">
        <v>0</v>
      </c>
      <c r="E533" t="s">
        <v>264</v>
      </c>
      <c r="F533">
        <v>23792</v>
      </c>
      <c r="G533">
        <v>30255681.583333336</v>
      </c>
      <c r="H533">
        <v>0.96474359184503555</v>
      </c>
      <c r="I533">
        <v>0.94289044289044299</v>
      </c>
      <c r="J533">
        <v>9150047.4166666679</v>
      </c>
      <c r="K533">
        <v>35627</v>
      </c>
      <c r="L533">
        <v>2</v>
      </c>
      <c r="M533">
        <v>125</v>
      </c>
      <c r="N533">
        <v>0.93822843822843827</v>
      </c>
      <c r="O533">
        <v>9540854.541666666</v>
      </c>
      <c r="P533">
        <v>36164</v>
      </c>
      <c r="Q533">
        <v>2</v>
      </c>
      <c r="R533">
        <v>126</v>
      </c>
      <c r="S533" t="s">
        <v>484</v>
      </c>
      <c r="W533">
        <f>Cancer_doubles_final2[[#This Row],[mlp_params]]</f>
        <v>35627</v>
      </c>
      <c r="X533">
        <f>Cancer_doubles_final2[[#This Row],[kan_test_acc]]</f>
        <v>0.96474359184503555</v>
      </c>
      <c r="Y533">
        <f>Cancer_doubles_final2[[#This Row],[mlp_test_acc]]</f>
        <v>0.94289044289044299</v>
      </c>
      <c r="Z533">
        <f>Cancer_doubles_final2[[#This Row],[mlp_test_acc2]]</f>
        <v>0.93822843822843827</v>
      </c>
    </row>
    <row r="534" spans="1:26" hidden="1" x14ac:dyDescent="0.25">
      <c r="A534" t="s">
        <v>19</v>
      </c>
      <c r="B534">
        <v>3</v>
      </c>
      <c r="C534">
        <v>4</v>
      </c>
      <c r="D534">
        <v>0</v>
      </c>
      <c r="E534" t="s">
        <v>264</v>
      </c>
      <c r="F534">
        <v>23792</v>
      </c>
      <c r="G534">
        <v>28537656.75</v>
      </c>
      <c r="H534">
        <v>0.96445221453905106</v>
      </c>
      <c r="I534">
        <v>0.93210955710955723</v>
      </c>
      <c r="J534">
        <v>9280711.041666666</v>
      </c>
      <c r="K534">
        <v>44699</v>
      </c>
      <c r="L534">
        <v>2</v>
      </c>
      <c r="M534">
        <v>141</v>
      </c>
      <c r="N534">
        <v>0.92628205128205132</v>
      </c>
      <c r="O534">
        <v>9329675.75</v>
      </c>
      <c r="P534">
        <v>45300</v>
      </c>
      <c r="Q534">
        <v>2</v>
      </c>
      <c r="R534">
        <v>142</v>
      </c>
      <c r="S534" t="s">
        <v>483</v>
      </c>
      <c r="W534">
        <f>Cancer_doubles_final2[[#This Row],[mlp_params]]</f>
        <v>44699</v>
      </c>
      <c r="X534">
        <f>Cancer_doubles_final2[[#This Row],[kan_test_acc]]</f>
        <v>0.96445221453905106</v>
      </c>
      <c r="Y534">
        <f>Cancer_doubles_final2[[#This Row],[mlp_test_acc]]</f>
        <v>0.93210955710955723</v>
      </c>
      <c r="Z534">
        <f>Cancer_doubles_final2[[#This Row],[mlp_test_acc2]]</f>
        <v>0.92628205128205132</v>
      </c>
    </row>
    <row r="535" spans="1:26" hidden="1" x14ac:dyDescent="0.25">
      <c r="A535" t="s">
        <v>19</v>
      </c>
      <c r="B535">
        <v>5</v>
      </c>
      <c r="C535">
        <v>2</v>
      </c>
      <c r="D535">
        <v>0</v>
      </c>
      <c r="E535" t="s">
        <v>264</v>
      </c>
      <c r="F535">
        <v>23792</v>
      </c>
      <c r="G535">
        <v>29264384.708333336</v>
      </c>
      <c r="H535">
        <v>0.94551282127698255</v>
      </c>
      <c r="I535">
        <v>0.91083916083916083</v>
      </c>
      <c r="J535">
        <v>7560799.416666666</v>
      </c>
      <c r="K535">
        <v>35627</v>
      </c>
      <c r="L535">
        <v>2</v>
      </c>
      <c r="M535">
        <v>125</v>
      </c>
      <c r="N535">
        <v>0.90034965034965042</v>
      </c>
      <c r="O535">
        <v>8316553.5000000009</v>
      </c>
      <c r="P535">
        <v>36164</v>
      </c>
      <c r="Q535">
        <v>2</v>
      </c>
      <c r="R535">
        <v>126</v>
      </c>
      <c r="S535" t="s">
        <v>484</v>
      </c>
      <c r="W535">
        <f>Cancer_doubles_final2[[#This Row],[mlp_params]]</f>
        <v>35627</v>
      </c>
      <c r="X535">
        <f>Cancer_doubles_final2[[#This Row],[kan_test_acc]]</f>
        <v>0.94551282127698255</v>
      </c>
      <c r="Y535">
        <f>Cancer_doubles_final2[[#This Row],[mlp_test_acc]]</f>
        <v>0.91083916083916083</v>
      </c>
      <c r="Z535">
        <f>Cancer_doubles_final2[[#This Row],[mlp_test_acc2]]</f>
        <v>0.90034965034965042</v>
      </c>
    </row>
    <row r="536" spans="1:26" hidden="1" x14ac:dyDescent="0.25">
      <c r="A536" t="s">
        <v>19</v>
      </c>
      <c r="B536">
        <v>3</v>
      </c>
      <c r="C536">
        <v>4</v>
      </c>
      <c r="D536">
        <v>0</v>
      </c>
      <c r="E536" t="s">
        <v>266</v>
      </c>
      <c r="F536">
        <v>23798</v>
      </c>
      <c r="G536">
        <v>28881640.166666668</v>
      </c>
      <c r="H536">
        <v>0.94609557588895166</v>
      </c>
      <c r="I536">
        <v>0.92278554778554778</v>
      </c>
      <c r="J536">
        <v>6582624.791666666</v>
      </c>
      <c r="K536">
        <v>44699</v>
      </c>
      <c r="L536">
        <v>2</v>
      </c>
      <c r="M536">
        <v>141</v>
      </c>
      <c r="N536">
        <v>0.91229603729603737</v>
      </c>
      <c r="O536">
        <v>8874529.708333334</v>
      </c>
      <c r="P536">
        <v>45300</v>
      </c>
      <c r="Q536">
        <v>2</v>
      </c>
      <c r="R536">
        <v>142</v>
      </c>
      <c r="S536" t="s">
        <v>485</v>
      </c>
      <c r="W536">
        <f>Cancer_doubles_final2[[#This Row],[mlp_params]]</f>
        <v>44699</v>
      </c>
      <c r="X536">
        <f>Cancer_doubles_final2[[#This Row],[kan_test_acc]]</f>
        <v>0.94609557588895166</v>
      </c>
      <c r="Y536">
        <f>Cancer_doubles_final2[[#This Row],[mlp_test_acc]]</f>
        <v>0.92278554778554778</v>
      </c>
      <c r="Z536">
        <f>Cancer_doubles_final2[[#This Row],[mlp_test_acc2]]</f>
        <v>0.91229603729603737</v>
      </c>
    </row>
    <row r="537" spans="1:26" hidden="1" x14ac:dyDescent="0.25">
      <c r="A537" t="s">
        <v>19</v>
      </c>
      <c r="B537">
        <v>5</v>
      </c>
      <c r="C537">
        <v>2</v>
      </c>
      <c r="D537">
        <v>0</v>
      </c>
      <c r="E537" t="s">
        <v>266</v>
      </c>
      <c r="F537">
        <v>23798</v>
      </c>
      <c r="G537">
        <v>30839669.541666668</v>
      </c>
      <c r="H537">
        <v>0.96707458545764291</v>
      </c>
      <c r="I537">
        <v>0.94318181818181812</v>
      </c>
      <c r="J537">
        <v>7426517.416666666</v>
      </c>
      <c r="K537">
        <v>35627</v>
      </c>
      <c r="L537">
        <v>2</v>
      </c>
      <c r="M537">
        <v>125</v>
      </c>
      <c r="N537">
        <v>0.93793706293706292</v>
      </c>
      <c r="O537">
        <v>10068856.541666668</v>
      </c>
      <c r="P537">
        <v>36164</v>
      </c>
      <c r="Q537">
        <v>2</v>
      </c>
      <c r="R537">
        <v>126</v>
      </c>
      <c r="S537" t="s">
        <v>486</v>
      </c>
      <c r="W537">
        <f>Cancer_doubles_final2[[#This Row],[mlp_params]]</f>
        <v>35627</v>
      </c>
      <c r="X537">
        <f>Cancer_doubles_final2[[#This Row],[kan_test_acc]]</f>
        <v>0.96707458545764291</v>
      </c>
      <c r="Y537">
        <f>Cancer_doubles_final2[[#This Row],[mlp_test_acc]]</f>
        <v>0.94318181818181812</v>
      </c>
      <c r="Z537">
        <f>Cancer_doubles_final2[[#This Row],[mlp_test_acc2]]</f>
        <v>0.93793706293706292</v>
      </c>
    </row>
    <row r="538" spans="1:26" hidden="1" x14ac:dyDescent="0.25">
      <c r="A538" t="s">
        <v>19</v>
      </c>
      <c r="B538">
        <v>3</v>
      </c>
      <c r="C538">
        <v>4</v>
      </c>
      <c r="D538">
        <v>0</v>
      </c>
      <c r="E538" t="s">
        <v>266</v>
      </c>
      <c r="F538">
        <v>23798</v>
      </c>
      <c r="G538">
        <v>33388918.875</v>
      </c>
      <c r="H538">
        <v>0.96765732765197754</v>
      </c>
      <c r="I538">
        <v>0.9306526806526807</v>
      </c>
      <c r="J538">
        <v>8240617.291666667</v>
      </c>
      <c r="K538">
        <v>44699</v>
      </c>
      <c r="L538">
        <v>2</v>
      </c>
      <c r="M538">
        <v>141</v>
      </c>
      <c r="N538">
        <v>0.92599067599067597</v>
      </c>
      <c r="O538">
        <v>9912563.125</v>
      </c>
      <c r="P538">
        <v>45300</v>
      </c>
      <c r="Q538">
        <v>2</v>
      </c>
      <c r="R538">
        <v>142</v>
      </c>
      <c r="S538" t="s">
        <v>485</v>
      </c>
      <c r="W538">
        <f>Cancer_doubles_final2[[#This Row],[mlp_params]]</f>
        <v>44699</v>
      </c>
      <c r="X538">
        <f>Cancer_doubles_final2[[#This Row],[kan_test_acc]]</f>
        <v>0.96765732765197754</v>
      </c>
      <c r="Y538">
        <f>Cancer_doubles_final2[[#This Row],[mlp_test_acc]]</f>
        <v>0.9306526806526807</v>
      </c>
      <c r="Z538">
        <f>Cancer_doubles_final2[[#This Row],[mlp_test_acc2]]</f>
        <v>0.92599067599067597</v>
      </c>
    </row>
    <row r="539" spans="1:26" hidden="1" x14ac:dyDescent="0.25">
      <c r="A539" t="s">
        <v>19</v>
      </c>
      <c r="B539">
        <v>5</v>
      </c>
      <c r="C539">
        <v>2</v>
      </c>
      <c r="D539">
        <v>0</v>
      </c>
      <c r="E539" t="s">
        <v>266</v>
      </c>
      <c r="F539">
        <v>23798</v>
      </c>
      <c r="G539">
        <v>33284655.041666664</v>
      </c>
      <c r="H539">
        <v>0.96474358191092802</v>
      </c>
      <c r="I539">
        <v>0.9332750582750583</v>
      </c>
      <c r="J539">
        <v>8756052.5416666679</v>
      </c>
      <c r="K539">
        <v>35627</v>
      </c>
      <c r="L539">
        <v>2</v>
      </c>
      <c r="M539">
        <v>125</v>
      </c>
      <c r="N539">
        <v>0.93006993006993011</v>
      </c>
      <c r="O539">
        <v>9128216.375</v>
      </c>
      <c r="P539">
        <v>36164</v>
      </c>
      <c r="Q539">
        <v>2</v>
      </c>
      <c r="R539">
        <v>126</v>
      </c>
      <c r="S539" t="s">
        <v>486</v>
      </c>
      <c r="W539">
        <f>Cancer_doubles_final2[[#This Row],[mlp_params]]</f>
        <v>35627</v>
      </c>
      <c r="X539">
        <f>Cancer_doubles_final2[[#This Row],[kan_test_acc]]</f>
        <v>0.96474358191092802</v>
      </c>
      <c r="Y539">
        <f>Cancer_doubles_final2[[#This Row],[mlp_test_acc]]</f>
        <v>0.9332750582750583</v>
      </c>
      <c r="Z539">
        <f>Cancer_doubles_final2[[#This Row],[mlp_test_acc2]]</f>
        <v>0.93006993006993011</v>
      </c>
    </row>
    <row r="540" spans="1:26" hidden="1" x14ac:dyDescent="0.25">
      <c r="A540" t="s">
        <v>19</v>
      </c>
      <c r="B540">
        <v>3</v>
      </c>
      <c r="C540">
        <v>2</v>
      </c>
      <c r="D540">
        <v>0</v>
      </c>
      <c r="E540" t="s">
        <v>487</v>
      </c>
      <c r="F540">
        <v>23802</v>
      </c>
      <c r="G540">
        <v>35299761.875</v>
      </c>
      <c r="H540">
        <v>0.96561771382888151</v>
      </c>
      <c r="I540">
        <v>0.94784382284382285</v>
      </c>
      <c r="J540">
        <v>8430097.083333334</v>
      </c>
      <c r="K540">
        <v>38352</v>
      </c>
      <c r="L540">
        <v>2</v>
      </c>
      <c r="M540">
        <v>130</v>
      </c>
      <c r="N540">
        <v>0.94347319347319347</v>
      </c>
      <c r="O540">
        <v>8548600.1666666679</v>
      </c>
      <c r="P540">
        <v>38909</v>
      </c>
      <c r="Q540">
        <v>2</v>
      </c>
      <c r="R540">
        <v>131</v>
      </c>
      <c r="S540" t="s">
        <v>488</v>
      </c>
      <c r="W540">
        <f>Cancer_doubles_final2[[#This Row],[mlp_params]]</f>
        <v>38352</v>
      </c>
      <c r="X540">
        <f>Cancer_doubles_final2[[#This Row],[kan_test_acc]]</f>
        <v>0.96561771382888151</v>
      </c>
      <c r="Y540">
        <f>Cancer_doubles_final2[[#This Row],[mlp_test_acc]]</f>
        <v>0.94784382284382285</v>
      </c>
      <c r="Z540">
        <f>Cancer_doubles_final2[[#This Row],[mlp_test_acc2]]</f>
        <v>0.94347319347319347</v>
      </c>
    </row>
    <row r="541" spans="1:26" hidden="1" x14ac:dyDescent="0.25">
      <c r="A541" t="s">
        <v>19</v>
      </c>
      <c r="B541">
        <v>5</v>
      </c>
      <c r="C541">
        <v>4</v>
      </c>
      <c r="D541">
        <v>0</v>
      </c>
      <c r="E541" t="s">
        <v>173</v>
      </c>
      <c r="F541">
        <v>23824</v>
      </c>
      <c r="G541">
        <v>40634523</v>
      </c>
      <c r="H541">
        <v>0.95881895555390251</v>
      </c>
      <c r="I541">
        <v>0.94463869463869465</v>
      </c>
      <c r="J541">
        <v>8894957.277777778</v>
      </c>
      <c r="K541">
        <v>41177</v>
      </c>
      <c r="L541">
        <v>2</v>
      </c>
      <c r="M541">
        <v>135</v>
      </c>
      <c r="N541">
        <v>0.94677544677544678</v>
      </c>
      <c r="O541">
        <v>10427399.333333334</v>
      </c>
      <c r="P541">
        <v>41754</v>
      </c>
      <c r="Q541">
        <v>2</v>
      </c>
      <c r="R541">
        <v>136</v>
      </c>
      <c r="S541" t="s">
        <v>489</v>
      </c>
      <c r="W541">
        <f>Cancer_doubles_final2[[#This Row],[mlp_params]]</f>
        <v>41177</v>
      </c>
      <c r="X541">
        <f>Cancer_doubles_final2[[#This Row],[kan_test_acc]]</f>
        <v>0.95881895555390251</v>
      </c>
      <c r="Y541">
        <f>Cancer_doubles_final2[[#This Row],[mlp_test_acc]]</f>
        <v>0.94463869463869465</v>
      </c>
      <c r="Z541">
        <f>Cancer_doubles_final2[[#This Row],[mlp_test_acc2]]</f>
        <v>0.94677544677544678</v>
      </c>
    </row>
    <row r="542" spans="1:26" hidden="1" x14ac:dyDescent="0.25">
      <c r="A542" t="s">
        <v>19</v>
      </c>
      <c r="B542">
        <v>5</v>
      </c>
      <c r="C542">
        <v>4</v>
      </c>
      <c r="D542">
        <v>0</v>
      </c>
      <c r="E542" t="s">
        <v>175</v>
      </c>
      <c r="F542">
        <v>23872</v>
      </c>
      <c r="G542">
        <v>37107325.75</v>
      </c>
      <c r="H542">
        <v>0.95833333084980654</v>
      </c>
      <c r="I542">
        <v>0.94478438228438233</v>
      </c>
      <c r="J542">
        <v>9546258.4791666679</v>
      </c>
      <c r="K542">
        <v>41177</v>
      </c>
      <c r="L542">
        <v>2</v>
      </c>
      <c r="M542">
        <v>135</v>
      </c>
      <c r="N542">
        <v>0.9497377622377623</v>
      </c>
      <c r="O542">
        <v>10153451.4375</v>
      </c>
      <c r="P542">
        <v>41754</v>
      </c>
      <c r="Q542">
        <v>2</v>
      </c>
      <c r="R542">
        <v>136</v>
      </c>
      <c r="S542" t="s">
        <v>490</v>
      </c>
      <c r="W542">
        <f>Cancer_doubles_final2[[#This Row],[mlp_params]]</f>
        <v>41177</v>
      </c>
      <c r="X542">
        <f>Cancer_doubles_final2[[#This Row],[kan_test_acc]]</f>
        <v>0.95833333084980654</v>
      </c>
      <c r="Y542">
        <f>Cancer_doubles_final2[[#This Row],[mlp_test_acc]]</f>
        <v>0.94478438228438233</v>
      </c>
      <c r="Z542">
        <f>Cancer_doubles_final2[[#This Row],[mlp_test_acc2]]</f>
        <v>0.9497377622377623</v>
      </c>
    </row>
    <row r="543" spans="1:26" hidden="1" x14ac:dyDescent="0.25">
      <c r="A543" t="s">
        <v>19</v>
      </c>
      <c r="B543">
        <v>5</v>
      </c>
      <c r="C543">
        <v>4</v>
      </c>
      <c r="D543">
        <v>0</v>
      </c>
      <c r="E543" t="s">
        <v>177</v>
      </c>
      <c r="F543">
        <v>23922</v>
      </c>
      <c r="G543">
        <v>26488889.020833336</v>
      </c>
      <c r="H543">
        <v>0.96081002429127693</v>
      </c>
      <c r="I543">
        <v>0.93356643356643354</v>
      </c>
      <c r="J543">
        <v>8786181.895833334</v>
      </c>
      <c r="K543">
        <v>41754</v>
      </c>
      <c r="L543">
        <v>2</v>
      </c>
      <c r="M543">
        <v>136</v>
      </c>
      <c r="N543">
        <v>0.93152680652680653</v>
      </c>
      <c r="O543">
        <v>8597360.270833334</v>
      </c>
      <c r="P543">
        <v>42335</v>
      </c>
      <c r="Q543">
        <v>2</v>
      </c>
      <c r="R543">
        <v>137</v>
      </c>
      <c r="S543" t="s">
        <v>491</v>
      </c>
      <c r="W543">
        <f>Cancer_doubles_final2[[#This Row],[mlp_params]]</f>
        <v>41754</v>
      </c>
      <c r="X543">
        <f>Cancer_doubles_final2[[#This Row],[kan_test_acc]]</f>
        <v>0.96081002429127693</v>
      </c>
      <c r="Y543">
        <f>Cancer_doubles_final2[[#This Row],[mlp_test_acc]]</f>
        <v>0.93356643356643354</v>
      </c>
      <c r="Z543">
        <f>Cancer_doubles_final2[[#This Row],[mlp_test_acc2]]</f>
        <v>0.93152680652680653</v>
      </c>
    </row>
    <row r="544" spans="1:26" hidden="1" x14ac:dyDescent="0.25">
      <c r="A544" t="s">
        <v>19</v>
      </c>
      <c r="B544">
        <v>3</v>
      </c>
      <c r="C544">
        <v>2</v>
      </c>
      <c r="D544">
        <v>0</v>
      </c>
      <c r="E544" t="s">
        <v>492</v>
      </c>
      <c r="F544">
        <v>23926</v>
      </c>
      <c r="G544">
        <v>37931538.458333328</v>
      </c>
      <c r="H544">
        <v>0.94609556968013442</v>
      </c>
      <c r="I544">
        <v>0.93079836829836826</v>
      </c>
      <c r="J544">
        <v>8964882.166666666</v>
      </c>
      <c r="K544">
        <v>38352</v>
      </c>
      <c r="L544">
        <v>2</v>
      </c>
      <c r="M544">
        <v>130</v>
      </c>
      <c r="N544">
        <v>0.93108974358974361</v>
      </c>
      <c r="O544">
        <v>8689179.4791666679</v>
      </c>
      <c r="P544">
        <v>38909</v>
      </c>
      <c r="Q544">
        <v>2</v>
      </c>
      <c r="R544">
        <v>131</v>
      </c>
      <c r="S544" t="s">
        <v>493</v>
      </c>
      <c r="W544">
        <f>Cancer_doubles_final2[[#This Row],[mlp_params]]</f>
        <v>38352</v>
      </c>
      <c r="X544">
        <f>Cancer_doubles_final2[[#This Row],[kan_test_acc]]</f>
        <v>0.94609556968013442</v>
      </c>
      <c r="Y544">
        <f>Cancer_doubles_final2[[#This Row],[mlp_test_acc]]</f>
        <v>0.93079836829836826</v>
      </c>
      <c r="Z544">
        <f>Cancer_doubles_final2[[#This Row],[mlp_test_acc2]]</f>
        <v>0.93108974358974361</v>
      </c>
    </row>
    <row r="545" spans="1:26" hidden="1" x14ac:dyDescent="0.25">
      <c r="A545" t="s">
        <v>19</v>
      </c>
      <c r="B545">
        <v>3</v>
      </c>
      <c r="C545">
        <v>2</v>
      </c>
      <c r="D545">
        <v>0</v>
      </c>
      <c r="E545" t="s">
        <v>494</v>
      </c>
      <c r="F545">
        <v>23928</v>
      </c>
      <c r="G545">
        <v>46904223.888888888</v>
      </c>
      <c r="H545">
        <v>0.96464646028147805</v>
      </c>
      <c r="I545">
        <v>0.94638694638694632</v>
      </c>
      <c r="J545">
        <v>8749056.972222222</v>
      </c>
      <c r="K545">
        <v>38352</v>
      </c>
      <c r="L545">
        <v>2</v>
      </c>
      <c r="M545">
        <v>130</v>
      </c>
      <c r="N545">
        <v>0.94386169386169383</v>
      </c>
      <c r="O545">
        <v>9080512.583333334</v>
      </c>
      <c r="P545">
        <v>38909</v>
      </c>
      <c r="Q545">
        <v>2</v>
      </c>
      <c r="R545">
        <v>131</v>
      </c>
      <c r="S545" t="s">
        <v>495</v>
      </c>
      <c r="W545">
        <f>Cancer_doubles_final2[[#This Row],[mlp_params]]</f>
        <v>38352</v>
      </c>
      <c r="X545">
        <f>Cancer_doubles_final2[[#This Row],[kan_test_acc]]</f>
        <v>0.96464646028147805</v>
      </c>
      <c r="Y545">
        <f>Cancer_doubles_final2[[#This Row],[mlp_test_acc]]</f>
        <v>0.94638694638694632</v>
      </c>
      <c r="Z545">
        <f>Cancer_doubles_final2[[#This Row],[mlp_test_acc2]]</f>
        <v>0.94386169386169383</v>
      </c>
    </row>
    <row r="546" spans="1:26" hidden="1" x14ac:dyDescent="0.25">
      <c r="A546" t="s">
        <v>19</v>
      </c>
      <c r="B546">
        <v>3</v>
      </c>
      <c r="C546">
        <v>4</v>
      </c>
      <c r="D546">
        <v>0</v>
      </c>
      <c r="E546" t="s">
        <v>272</v>
      </c>
      <c r="F546">
        <v>23954</v>
      </c>
      <c r="G546">
        <v>40429413.694444448</v>
      </c>
      <c r="H546">
        <v>0.9638694607549243</v>
      </c>
      <c r="I546">
        <v>0.94599844599844596</v>
      </c>
      <c r="J546">
        <v>8945788.277777778</v>
      </c>
      <c r="K546">
        <v>45300</v>
      </c>
      <c r="L546">
        <v>2</v>
      </c>
      <c r="M546">
        <v>142</v>
      </c>
      <c r="N546">
        <v>0.94405594405594406</v>
      </c>
      <c r="O546">
        <v>9208169.6388888899</v>
      </c>
      <c r="P546">
        <v>45905</v>
      </c>
      <c r="Q546">
        <v>2</v>
      </c>
      <c r="R546">
        <v>143</v>
      </c>
      <c r="S546" t="s">
        <v>496</v>
      </c>
      <c r="W546">
        <f>Cancer_doubles_final2[[#This Row],[mlp_params]]</f>
        <v>45300</v>
      </c>
      <c r="X546">
        <f>Cancer_doubles_final2[[#This Row],[kan_test_acc]]</f>
        <v>0.9638694607549243</v>
      </c>
      <c r="Y546">
        <f>Cancer_doubles_final2[[#This Row],[mlp_test_acc]]</f>
        <v>0.94599844599844596</v>
      </c>
      <c r="Z546">
        <f>Cancer_doubles_final2[[#This Row],[mlp_test_acc2]]</f>
        <v>0.94405594405594406</v>
      </c>
    </row>
    <row r="547" spans="1:26" hidden="1" x14ac:dyDescent="0.25">
      <c r="A547" t="s">
        <v>19</v>
      </c>
      <c r="B547">
        <v>5</v>
      </c>
      <c r="C547">
        <v>2</v>
      </c>
      <c r="D547">
        <v>0</v>
      </c>
      <c r="E547" t="s">
        <v>272</v>
      </c>
      <c r="F547">
        <v>23954</v>
      </c>
      <c r="G547">
        <v>34834213.125</v>
      </c>
      <c r="H547">
        <v>0.97406759609778715</v>
      </c>
      <c r="I547">
        <v>0.94318181818181812</v>
      </c>
      <c r="J547">
        <v>9188767.416666666</v>
      </c>
      <c r="K547">
        <v>35627</v>
      </c>
      <c r="L547">
        <v>2</v>
      </c>
      <c r="M547">
        <v>125</v>
      </c>
      <c r="N547">
        <v>0.94230769230769229</v>
      </c>
      <c r="O547">
        <v>8556528.5833333321</v>
      </c>
      <c r="P547">
        <v>36164</v>
      </c>
      <c r="Q547">
        <v>2</v>
      </c>
      <c r="R547">
        <v>126</v>
      </c>
      <c r="S547" t="s">
        <v>497</v>
      </c>
      <c r="W547">
        <f>Cancer_doubles_final2[[#This Row],[mlp_params]]</f>
        <v>35627</v>
      </c>
      <c r="X547">
        <f>Cancer_doubles_final2[[#This Row],[kan_test_acc]]</f>
        <v>0.97406759609778715</v>
      </c>
      <c r="Y547">
        <f>Cancer_doubles_final2[[#This Row],[mlp_test_acc]]</f>
        <v>0.94318181818181812</v>
      </c>
      <c r="Z547">
        <f>Cancer_doubles_final2[[#This Row],[mlp_test_acc2]]</f>
        <v>0.94230769230769229</v>
      </c>
    </row>
    <row r="548" spans="1:26" hidden="1" x14ac:dyDescent="0.25">
      <c r="A548" t="s">
        <v>19</v>
      </c>
      <c r="B548">
        <v>3</v>
      </c>
      <c r="C548">
        <v>4</v>
      </c>
      <c r="D548">
        <v>0</v>
      </c>
      <c r="E548" t="s">
        <v>272</v>
      </c>
      <c r="F548">
        <v>23954</v>
      </c>
      <c r="G548">
        <v>36073862.583333328</v>
      </c>
      <c r="H548">
        <v>0.9723193347454071</v>
      </c>
      <c r="I548">
        <v>0.93006993006993011</v>
      </c>
      <c r="J548">
        <v>8834168.75</v>
      </c>
      <c r="K548">
        <v>45300</v>
      </c>
      <c r="L548">
        <v>2</v>
      </c>
      <c r="M548">
        <v>142</v>
      </c>
      <c r="N548">
        <v>0.92861305361305368</v>
      </c>
      <c r="O548">
        <v>8488572.625</v>
      </c>
      <c r="P548">
        <v>45905</v>
      </c>
      <c r="Q548">
        <v>2</v>
      </c>
      <c r="R548">
        <v>143</v>
      </c>
      <c r="S548" t="s">
        <v>496</v>
      </c>
      <c r="W548">
        <f>Cancer_doubles_final2[[#This Row],[mlp_params]]</f>
        <v>45300</v>
      </c>
      <c r="X548">
        <f>Cancer_doubles_final2[[#This Row],[kan_test_acc]]</f>
        <v>0.9723193347454071</v>
      </c>
      <c r="Y548">
        <f>Cancer_doubles_final2[[#This Row],[mlp_test_acc]]</f>
        <v>0.93006993006993011</v>
      </c>
      <c r="Z548">
        <f>Cancer_doubles_final2[[#This Row],[mlp_test_acc2]]</f>
        <v>0.92861305361305368</v>
      </c>
    </row>
    <row r="549" spans="1:26" hidden="1" x14ac:dyDescent="0.25">
      <c r="A549" t="s">
        <v>19</v>
      </c>
      <c r="B549">
        <v>5</v>
      </c>
      <c r="C549">
        <v>2</v>
      </c>
      <c r="D549">
        <v>0</v>
      </c>
      <c r="E549" t="s">
        <v>272</v>
      </c>
      <c r="F549">
        <v>23954</v>
      </c>
      <c r="G549">
        <v>33005956.124999996</v>
      </c>
      <c r="H549">
        <v>0.95367131382226944</v>
      </c>
      <c r="I549">
        <v>0.90850815850815847</v>
      </c>
      <c r="J549">
        <v>8135811.291666666</v>
      </c>
      <c r="K549">
        <v>35627</v>
      </c>
      <c r="L549">
        <v>2</v>
      </c>
      <c r="M549">
        <v>125</v>
      </c>
      <c r="N549">
        <v>0.90734265734265729</v>
      </c>
      <c r="O549">
        <v>8344698.416666667</v>
      </c>
      <c r="P549">
        <v>36164</v>
      </c>
      <c r="Q549">
        <v>2</v>
      </c>
      <c r="R549">
        <v>126</v>
      </c>
      <c r="S549" t="s">
        <v>497</v>
      </c>
      <c r="W549">
        <f>Cancer_doubles_final2[[#This Row],[mlp_params]]</f>
        <v>35627</v>
      </c>
      <c r="X549">
        <f>Cancer_doubles_final2[[#This Row],[kan_test_acc]]</f>
        <v>0.95367131382226944</v>
      </c>
      <c r="Y549">
        <f>Cancer_doubles_final2[[#This Row],[mlp_test_acc]]</f>
        <v>0.90850815850815847</v>
      </c>
      <c r="Z549">
        <f>Cancer_doubles_final2[[#This Row],[mlp_test_acc2]]</f>
        <v>0.90734265734265729</v>
      </c>
    </row>
    <row r="550" spans="1:26" hidden="1" x14ac:dyDescent="0.25">
      <c r="A550" t="s">
        <v>19</v>
      </c>
      <c r="B550">
        <v>3</v>
      </c>
      <c r="C550">
        <v>4</v>
      </c>
      <c r="D550">
        <v>0</v>
      </c>
      <c r="E550" t="s">
        <v>274</v>
      </c>
      <c r="F550">
        <v>23956</v>
      </c>
      <c r="G550">
        <v>31978270.083333332</v>
      </c>
      <c r="H550">
        <v>0.95600232730309176</v>
      </c>
      <c r="I550">
        <v>0.92220279720279719</v>
      </c>
      <c r="J550">
        <v>8146783.458333333</v>
      </c>
      <c r="K550">
        <v>45300</v>
      </c>
      <c r="L550">
        <v>2</v>
      </c>
      <c r="M550">
        <v>142</v>
      </c>
      <c r="N550">
        <v>0.91899766899766899</v>
      </c>
      <c r="O550">
        <v>8286369.791666667</v>
      </c>
      <c r="P550">
        <v>45905</v>
      </c>
      <c r="Q550">
        <v>2</v>
      </c>
      <c r="R550">
        <v>143</v>
      </c>
      <c r="S550" t="s">
        <v>498</v>
      </c>
      <c r="W550">
        <f>Cancer_doubles_final2[[#This Row],[mlp_params]]</f>
        <v>45300</v>
      </c>
      <c r="X550">
        <f>Cancer_doubles_final2[[#This Row],[kan_test_acc]]</f>
        <v>0.95600232730309176</v>
      </c>
      <c r="Y550">
        <f>Cancer_doubles_final2[[#This Row],[mlp_test_acc]]</f>
        <v>0.92220279720279719</v>
      </c>
      <c r="Z550">
        <f>Cancer_doubles_final2[[#This Row],[mlp_test_acc2]]</f>
        <v>0.91899766899766899</v>
      </c>
    </row>
    <row r="551" spans="1:26" hidden="1" x14ac:dyDescent="0.25">
      <c r="A551" t="s">
        <v>19</v>
      </c>
      <c r="B551">
        <v>5</v>
      </c>
      <c r="C551">
        <v>2</v>
      </c>
      <c r="D551">
        <v>0</v>
      </c>
      <c r="E551" t="s">
        <v>274</v>
      </c>
      <c r="F551">
        <v>23956</v>
      </c>
      <c r="G551">
        <v>32311154.916666664</v>
      </c>
      <c r="H551">
        <v>0.97698134680589033</v>
      </c>
      <c r="I551">
        <v>0.94609557109557108</v>
      </c>
      <c r="J551">
        <v>8413737.0833333321</v>
      </c>
      <c r="K551">
        <v>35627</v>
      </c>
      <c r="L551">
        <v>2</v>
      </c>
      <c r="M551">
        <v>125</v>
      </c>
      <c r="N551">
        <v>0.93881118881118875</v>
      </c>
      <c r="O551">
        <v>9411396.3333333321</v>
      </c>
      <c r="P551">
        <v>36164</v>
      </c>
      <c r="Q551">
        <v>2</v>
      </c>
      <c r="R551">
        <v>126</v>
      </c>
      <c r="S551" t="s">
        <v>499</v>
      </c>
      <c r="W551">
        <f>Cancer_doubles_final2[[#This Row],[mlp_params]]</f>
        <v>35627</v>
      </c>
      <c r="X551">
        <f>Cancer_doubles_final2[[#This Row],[kan_test_acc]]</f>
        <v>0.97698134680589033</v>
      </c>
      <c r="Y551">
        <f>Cancer_doubles_final2[[#This Row],[mlp_test_acc]]</f>
        <v>0.94609557109557108</v>
      </c>
      <c r="Z551">
        <f>Cancer_doubles_final2[[#This Row],[mlp_test_acc2]]</f>
        <v>0.93881118881118875</v>
      </c>
    </row>
    <row r="552" spans="1:26" hidden="1" x14ac:dyDescent="0.25">
      <c r="A552" t="s">
        <v>19</v>
      </c>
      <c r="B552">
        <v>3</v>
      </c>
      <c r="C552">
        <v>4</v>
      </c>
      <c r="D552">
        <v>0</v>
      </c>
      <c r="E552" t="s">
        <v>274</v>
      </c>
      <c r="F552">
        <v>23956</v>
      </c>
      <c r="G552">
        <v>32900969</v>
      </c>
      <c r="H552">
        <v>0.97581583758195234</v>
      </c>
      <c r="I552">
        <v>0.93385780885780889</v>
      </c>
      <c r="J552">
        <v>8245678</v>
      </c>
      <c r="K552">
        <v>45300</v>
      </c>
      <c r="L552">
        <v>2</v>
      </c>
      <c r="M552">
        <v>142</v>
      </c>
      <c r="N552">
        <v>0.93036130536130535</v>
      </c>
      <c r="O552">
        <v>9665866.7083333321</v>
      </c>
      <c r="P552">
        <v>45905</v>
      </c>
      <c r="Q552">
        <v>2</v>
      </c>
      <c r="R552">
        <v>143</v>
      </c>
      <c r="S552" t="s">
        <v>498</v>
      </c>
      <c r="W552">
        <f>Cancer_doubles_final2[[#This Row],[mlp_params]]</f>
        <v>45300</v>
      </c>
      <c r="X552">
        <f>Cancer_doubles_final2[[#This Row],[kan_test_acc]]</f>
        <v>0.97581583758195234</v>
      </c>
      <c r="Y552">
        <f>Cancer_doubles_final2[[#This Row],[mlp_test_acc]]</f>
        <v>0.93385780885780889</v>
      </c>
      <c r="Z552">
        <f>Cancer_doubles_final2[[#This Row],[mlp_test_acc2]]</f>
        <v>0.93036130536130535</v>
      </c>
    </row>
    <row r="553" spans="1:26" hidden="1" x14ac:dyDescent="0.25">
      <c r="A553" t="s">
        <v>19</v>
      </c>
      <c r="B553">
        <v>5</v>
      </c>
      <c r="C553">
        <v>2</v>
      </c>
      <c r="D553">
        <v>0</v>
      </c>
      <c r="E553" t="s">
        <v>274</v>
      </c>
      <c r="F553">
        <v>23956</v>
      </c>
      <c r="G553">
        <v>30338992.666666672</v>
      </c>
      <c r="H553">
        <v>0.97727270921071363</v>
      </c>
      <c r="I553">
        <v>0.93735431235431244</v>
      </c>
      <c r="J553">
        <v>7980052.25</v>
      </c>
      <c r="K553">
        <v>35627</v>
      </c>
      <c r="L553">
        <v>2</v>
      </c>
      <c r="M553">
        <v>125</v>
      </c>
      <c r="N553">
        <v>0.93240093240093247</v>
      </c>
      <c r="O553">
        <v>9276165.666666666</v>
      </c>
      <c r="P553">
        <v>36164</v>
      </c>
      <c r="Q553">
        <v>2</v>
      </c>
      <c r="R553">
        <v>126</v>
      </c>
      <c r="S553" t="s">
        <v>499</v>
      </c>
      <c r="W553">
        <f>Cancer_doubles_final2[[#This Row],[mlp_params]]</f>
        <v>35627</v>
      </c>
      <c r="X553">
        <f>Cancer_doubles_final2[[#This Row],[kan_test_acc]]</f>
        <v>0.97727270921071363</v>
      </c>
      <c r="Y553">
        <f>Cancer_doubles_final2[[#This Row],[mlp_test_acc]]</f>
        <v>0.93735431235431244</v>
      </c>
      <c r="Z553">
        <f>Cancer_doubles_final2[[#This Row],[mlp_test_acc2]]</f>
        <v>0.93240093240093247</v>
      </c>
    </row>
    <row r="554" spans="1:26" x14ac:dyDescent="0.25">
      <c r="A554" t="s">
        <v>19</v>
      </c>
      <c r="B554">
        <v>3</v>
      </c>
      <c r="C554">
        <v>5</v>
      </c>
      <c r="D554">
        <v>0</v>
      </c>
      <c r="E554" t="s">
        <v>214</v>
      </c>
      <c r="F554">
        <v>23960</v>
      </c>
      <c r="G554">
        <v>43529089.333333336</v>
      </c>
      <c r="H554">
        <v>0.97785546630620956</v>
      </c>
      <c r="I554">
        <v>0.94318181818181812</v>
      </c>
      <c r="J554">
        <v>8557477.916666666</v>
      </c>
      <c r="K554">
        <v>47744</v>
      </c>
      <c r="L554">
        <v>2</v>
      </c>
      <c r="M554">
        <v>146</v>
      </c>
      <c r="N554">
        <v>0.93881118881118886</v>
      </c>
      <c r="O554">
        <v>9116439.666666666</v>
      </c>
      <c r="P554">
        <v>48365</v>
      </c>
      <c r="Q554">
        <v>2</v>
      </c>
      <c r="R554">
        <v>147</v>
      </c>
      <c r="S554" t="s">
        <v>500</v>
      </c>
      <c r="W554">
        <f>Cancer_doubles_final2[[#This Row],[mlp_params]]</f>
        <v>47744</v>
      </c>
      <c r="X554">
        <f>Cancer_doubles_final2[[#This Row],[kan_test_acc]]</f>
        <v>0.97785546630620956</v>
      </c>
      <c r="Y554">
        <f>Cancer_doubles_final2[[#This Row],[mlp_test_acc]]</f>
        <v>0.94318181818181812</v>
      </c>
      <c r="Z554">
        <f>Cancer_doubles_final2[[#This Row],[mlp_test_acc2]]</f>
        <v>0.93881118881118886</v>
      </c>
    </row>
    <row r="555" spans="1:26" hidden="1" x14ac:dyDescent="0.25">
      <c r="A555" t="s">
        <v>19</v>
      </c>
      <c r="B555">
        <v>5</v>
      </c>
      <c r="C555">
        <v>3</v>
      </c>
      <c r="D555">
        <v>0</v>
      </c>
      <c r="E555" t="s">
        <v>214</v>
      </c>
      <c r="F555">
        <v>23960</v>
      </c>
      <c r="G555">
        <v>51892750.125</v>
      </c>
      <c r="H555">
        <v>0.97173659255107236</v>
      </c>
      <c r="I555">
        <v>0.93851981351981362</v>
      </c>
      <c r="J555">
        <v>8814650</v>
      </c>
      <c r="K555">
        <v>38909</v>
      </c>
      <c r="L555">
        <v>2</v>
      </c>
      <c r="M555">
        <v>131</v>
      </c>
      <c r="N555">
        <v>0.9391025641025641</v>
      </c>
      <c r="O555">
        <v>9459353.75</v>
      </c>
      <c r="P555">
        <v>39470</v>
      </c>
      <c r="Q555">
        <v>2</v>
      </c>
      <c r="R555">
        <v>132</v>
      </c>
      <c r="S555" t="s">
        <v>501</v>
      </c>
      <c r="W555">
        <f>Cancer_doubles_final2[[#This Row],[mlp_params]]</f>
        <v>38909</v>
      </c>
      <c r="X555">
        <f>Cancer_doubles_final2[[#This Row],[kan_test_acc]]</f>
        <v>0.97173659255107236</v>
      </c>
      <c r="Y555">
        <f>Cancer_doubles_final2[[#This Row],[mlp_test_acc]]</f>
        <v>0.93851981351981362</v>
      </c>
      <c r="Z555">
        <f>Cancer_doubles_final2[[#This Row],[mlp_test_acc2]]</f>
        <v>0.9391025641025641</v>
      </c>
    </row>
    <row r="556" spans="1:26" x14ac:dyDescent="0.25">
      <c r="A556" t="s">
        <v>19</v>
      </c>
      <c r="B556">
        <v>3</v>
      </c>
      <c r="C556">
        <v>5</v>
      </c>
      <c r="D556">
        <v>0</v>
      </c>
      <c r="E556" t="s">
        <v>214</v>
      </c>
      <c r="F556">
        <v>23960</v>
      </c>
      <c r="G556">
        <v>47075712.958333328</v>
      </c>
      <c r="H556">
        <v>0.96095571170250571</v>
      </c>
      <c r="I556">
        <v>0.93851981351981362</v>
      </c>
      <c r="J556">
        <v>8938406.9583333321</v>
      </c>
      <c r="K556">
        <v>47744</v>
      </c>
      <c r="L556">
        <v>2</v>
      </c>
      <c r="M556">
        <v>146</v>
      </c>
      <c r="N556">
        <v>0.9417249417249417</v>
      </c>
      <c r="O556">
        <v>11006019.083333334</v>
      </c>
      <c r="P556">
        <v>48365</v>
      </c>
      <c r="Q556">
        <v>2</v>
      </c>
      <c r="R556">
        <v>147</v>
      </c>
      <c r="S556" t="s">
        <v>500</v>
      </c>
      <c r="W556">
        <f>Cancer_doubles_final2[[#This Row],[mlp_params]]</f>
        <v>47744</v>
      </c>
      <c r="X556">
        <f>Cancer_doubles_final2[[#This Row],[kan_test_acc]]</f>
        <v>0.96095571170250571</v>
      </c>
      <c r="Y556">
        <f>Cancer_doubles_final2[[#This Row],[mlp_test_acc]]</f>
        <v>0.93851981351981362</v>
      </c>
      <c r="Z556">
        <f>Cancer_doubles_final2[[#This Row],[mlp_test_acc2]]</f>
        <v>0.9417249417249417</v>
      </c>
    </row>
    <row r="557" spans="1:26" hidden="1" x14ac:dyDescent="0.25">
      <c r="A557" t="s">
        <v>19</v>
      </c>
      <c r="B557">
        <v>5</v>
      </c>
      <c r="C557">
        <v>3</v>
      </c>
      <c r="D557">
        <v>0</v>
      </c>
      <c r="E557" t="s">
        <v>214</v>
      </c>
      <c r="F557">
        <v>23960</v>
      </c>
      <c r="G557">
        <v>41718436.041666664</v>
      </c>
      <c r="H557">
        <v>0.95891608546177554</v>
      </c>
      <c r="I557">
        <v>0.91637529137529139</v>
      </c>
      <c r="J557">
        <v>9444079.541666666</v>
      </c>
      <c r="K557">
        <v>38909</v>
      </c>
      <c r="L557">
        <v>2</v>
      </c>
      <c r="M557">
        <v>131</v>
      </c>
      <c r="N557">
        <v>0.92045454545454541</v>
      </c>
      <c r="O557">
        <v>11107387.583333334</v>
      </c>
      <c r="P557">
        <v>39470</v>
      </c>
      <c r="Q557">
        <v>2</v>
      </c>
      <c r="R557">
        <v>132</v>
      </c>
      <c r="S557" t="s">
        <v>501</v>
      </c>
      <c r="W557">
        <f>Cancer_doubles_final2[[#This Row],[mlp_params]]</f>
        <v>38909</v>
      </c>
      <c r="X557">
        <f>Cancer_doubles_final2[[#This Row],[kan_test_acc]]</f>
        <v>0.95891608546177554</v>
      </c>
      <c r="Y557">
        <f>Cancer_doubles_final2[[#This Row],[mlp_test_acc]]</f>
        <v>0.91637529137529139</v>
      </c>
      <c r="Z557">
        <f>Cancer_doubles_final2[[#This Row],[mlp_test_acc2]]</f>
        <v>0.92045454545454541</v>
      </c>
    </row>
    <row r="558" spans="1:26" hidden="1" x14ac:dyDescent="0.25">
      <c r="A558" t="s">
        <v>19</v>
      </c>
      <c r="B558">
        <v>9</v>
      </c>
      <c r="C558">
        <v>5</v>
      </c>
      <c r="D558">
        <v>0</v>
      </c>
      <c r="E558" t="s">
        <v>87</v>
      </c>
      <c r="F558">
        <v>23982</v>
      </c>
      <c r="G558">
        <v>30722130.833333336</v>
      </c>
      <c r="H558">
        <v>0.94609557092189789</v>
      </c>
      <c r="I558">
        <v>0.92307692307692313</v>
      </c>
      <c r="J558">
        <v>9468057.541666666</v>
      </c>
      <c r="K558">
        <v>38909</v>
      </c>
      <c r="L558">
        <v>2</v>
      </c>
      <c r="M558">
        <v>131</v>
      </c>
      <c r="N558">
        <v>0.92307692307692313</v>
      </c>
      <c r="O558">
        <v>10616750.958333334</v>
      </c>
      <c r="P558">
        <v>39470</v>
      </c>
      <c r="Q558">
        <v>2</v>
      </c>
      <c r="R558">
        <v>132</v>
      </c>
      <c r="S558" t="s">
        <v>502</v>
      </c>
      <c r="W558">
        <f>Cancer_doubles_final2[[#This Row],[mlp_params]]</f>
        <v>38909</v>
      </c>
      <c r="X558">
        <f>Cancer_doubles_final2[[#This Row],[kan_test_acc]]</f>
        <v>0.94609557092189789</v>
      </c>
      <c r="Y558">
        <f>Cancer_doubles_final2[[#This Row],[mlp_test_acc]]</f>
        <v>0.92307692307692313</v>
      </c>
      <c r="Z558">
        <f>Cancer_doubles_final2[[#This Row],[mlp_test_acc2]]</f>
        <v>0.92307692307692313</v>
      </c>
    </row>
    <row r="559" spans="1:26" hidden="1" x14ac:dyDescent="0.25">
      <c r="A559" t="s">
        <v>19</v>
      </c>
      <c r="B559">
        <v>3</v>
      </c>
      <c r="C559">
        <v>3</v>
      </c>
      <c r="D559">
        <v>0</v>
      </c>
      <c r="E559" t="s">
        <v>365</v>
      </c>
      <c r="F559">
        <v>24018</v>
      </c>
      <c r="G559">
        <v>35116434.5</v>
      </c>
      <c r="H559">
        <v>0.95629370957612991</v>
      </c>
      <c r="I559">
        <v>0.94871794871794868</v>
      </c>
      <c r="J559">
        <v>9694167.7083333321</v>
      </c>
      <c r="K559">
        <v>42335</v>
      </c>
      <c r="L559">
        <v>2</v>
      </c>
      <c r="M559">
        <v>137</v>
      </c>
      <c r="N559">
        <v>0.94609557109557108</v>
      </c>
      <c r="O559">
        <v>9485207.375</v>
      </c>
      <c r="P559">
        <v>42920</v>
      </c>
      <c r="Q559">
        <v>2</v>
      </c>
      <c r="R559">
        <v>138</v>
      </c>
      <c r="S559" t="s">
        <v>503</v>
      </c>
      <c r="W559">
        <f>Cancer_doubles_final2[[#This Row],[mlp_params]]</f>
        <v>42335</v>
      </c>
      <c r="X559">
        <f>Cancer_doubles_final2[[#This Row],[kan_test_acc]]</f>
        <v>0.95629370957612991</v>
      </c>
      <c r="Y559">
        <f>Cancer_doubles_final2[[#This Row],[mlp_test_acc]]</f>
        <v>0.94871794871794868</v>
      </c>
      <c r="Z559">
        <f>Cancer_doubles_final2[[#This Row],[mlp_test_acc2]]</f>
        <v>0.94609557109557108</v>
      </c>
    </row>
    <row r="560" spans="1:26" hidden="1" x14ac:dyDescent="0.25">
      <c r="A560" t="s">
        <v>19</v>
      </c>
      <c r="B560">
        <v>3</v>
      </c>
      <c r="C560">
        <v>3</v>
      </c>
      <c r="D560">
        <v>0</v>
      </c>
      <c r="E560" t="s">
        <v>367</v>
      </c>
      <c r="F560">
        <v>24024</v>
      </c>
      <c r="G560">
        <v>40452807.583333336</v>
      </c>
      <c r="H560">
        <v>0.97533021867275238</v>
      </c>
      <c r="I560">
        <v>0.93803418803418803</v>
      </c>
      <c r="J560">
        <v>9341466.777777778</v>
      </c>
      <c r="K560">
        <v>42335</v>
      </c>
      <c r="L560">
        <v>2</v>
      </c>
      <c r="M560">
        <v>137</v>
      </c>
      <c r="N560">
        <v>0.93842268842268839</v>
      </c>
      <c r="O560">
        <v>8859751.666666666</v>
      </c>
      <c r="P560">
        <v>42920</v>
      </c>
      <c r="Q560">
        <v>2</v>
      </c>
      <c r="R560">
        <v>138</v>
      </c>
      <c r="S560" t="s">
        <v>504</v>
      </c>
      <c r="W560">
        <f>Cancer_doubles_final2[[#This Row],[mlp_params]]</f>
        <v>42335</v>
      </c>
      <c r="X560">
        <f>Cancer_doubles_final2[[#This Row],[kan_test_acc]]</f>
        <v>0.97533021867275238</v>
      </c>
      <c r="Y560">
        <f>Cancer_doubles_final2[[#This Row],[mlp_test_acc]]</f>
        <v>0.93803418803418803</v>
      </c>
      <c r="Z560">
        <f>Cancer_doubles_final2[[#This Row],[mlp_test_acc2]]</f>
        <v>0.93842268842268839</v>
      </c>
    </row>
    <row r="561" spans="1:26" x14ac:dyDescent="0.25">
      <c r="A561" t="s">
        <v>19</v>
      </c>
      <c r="B561">
        <v>3</v>
      </c>
      <c r="C561">
        <v>5</v>
      </c>
      <c r="D561">
        <v>0</v>
      </c>
      <c r="E561" t="s">
        <v>217</v>
      </c>
      <c r="F561">
        <v>24052</v>
      </c>
      <c r="G561">
        <v>39956782.222222224</v>
      </c>
      <c r="H561">
        <v>0.96600621110863161</v>
      </c>
      <c r="I561">
        <v>0.94522144522144524</v>
      </c>
      <c r="J561">
        <v>9328071.166666666</v>
      </c>
      <c r="K561">
        <v>47744</v>
      </c>
      <c r="L561">
        <v>2</v>
      </c>
      <c r="M561">
        <v>146</v>
      </c>
      <c r="N561">
        <v>0.94658119658119666</v>
      </c>
      <c r="O561">
        <v>9307752.083333334</v>
      </c>
      <c r="P561">
        <v>48365</v>
      </c>
      <c r="Q561">
        <v>2</v>
      </c>
      <c r="R561">
        <v>147</v>
      </c>
      <c r="S561" t="s">
        <v>505</v>
      </c>
      <c r="W561">
        <f>Cancer_doubles_final2[[#This Row],[mlp_params]]</f>
        <v>47744</v>
      </c>
      <c r="X561">
        <f>Cancer_doubles_final2[[#This Row],[kan_test_acc]]</f>
        <v>0.96600621110863161</v>
      </c>
      <c r="Y561">
        <f>Cancer_doubles_final2[[#This Row],[mlp_test_acc]]</f>
        <v>0.94522144522144524</v>
      </c>
      <c r="Z561">
        <f>Cancer_doubles_final2[[#This Row],[mlp_test_acc2]]</f>
        <v>0.94658119658119666</v>
      </c>
    </row>
    <row r="562" spans="1:26" hidden="1" x14ac:dyDescent="0.25">
      <c r="A562" t="s">
        <v>19</v>
      </c>
      <c r="B562">
        <v>5</v>
      </c>
      <c r="C562">
        <v>3</v>
      </c>
      <c r="D562">
        <v>0</v>
      </c>
      <c r="E562" t="s">
        <v>217</v>
      </c>
      <c r="F562">
        <v>24052</v>
      </c>
      <c r="G562">
        <v>41286672.333333336</v>
      </c>
      <c r="H562">
        <v>0.96853146205345786</v>
      </c>
      <c r="I562">
        <v>0.94405594405594406</v>
      </c>
      <c r="J562">
        <v>7975434.416666666</v>
      </c>
      <c r="K562">
        <v>38909</v>
      </c>
      <c r="L562">
        <v>2</v>
      </c>
      <c r="M562">
        <v>131</v>
      </c>
      <c r="N562">
        <v>0.94289044289044299</v>
      </c>
      <c r="O562">
        <v>9000178.4166666679</v>
      </c>
      <c r="P562">
        <v>39470</v>
      </c>
      <c r="Q562">
        <v>2</v>
      </c>
      <c r="R562">
        <v>132</v>
      </c>
      <c r="S562" t="s">
        <v>506</v>
      </c>
      <c r="W562">
        <f>Cancer_doubles_final2[[#This Row],[mlp_params]]</f>
        <v>38909</v>
      </c>
      <c r="X562">
        <f>Cancer_doubles_final2[[#This Row],[kan_test_acc]]</f>
        <v>0.96853146205345786</v>
      </c>
      <c r="Y562">
        <f>Cancer_doubles_final2[[#This Row],[mlp_test_acc]]</f>
        <v>0.94405594405594406</v>
      </c>
      <c r="Z562">
        <f>Cancer_doubles_final2[[#This Row],[mlp_test_acc2]]</f>
        <v>0.94289044289044299</v>
      </c>
    </row>
    <row r="563" spans="1:26" hidden="1" x14ac:dyDescent="0.25">
      <c r="A563" t="s">
        <v>19</v>
      </c>
      <c r="B563">
        <v>9</v>
      </c>
      <c r="C563">
        <v>3</v>
      </c>
      <c r="D563">
        <v>0</v>
      </c>
      <c r="E563" t="s">
        <v>116</v>
      </c>
      <c r="F563">
        <v>24052</v>
      </c>
      <c r="G563">
        <v>35279362.083333336</v>
      </c>
      <c r="H563">
        <v>0.94638694077730179</v>
      </c>
      <c r="I563">
        <v>0.92599067599067597</v>
      </c>
      <c r="J563">
        <v>7486841.541666666</v>
      </c>
      <c r="K563">
        <v>35094</v>
      </c>
      <c r="L563">
        <v>2</v>
      </c>
      <c r="M563">
        <v>124</v>
      </c>
      <c r="N563">
        <v>0.92715617715617715</v>
      </c>
      <c r="O563">
        <v>9378591.875</v>
      </c>
      <c r="P563">
        <v>35627</v>
      </c>
      <c r="Q563">
        <v>2</v>
      </c>
      <c r="R563">
        <v>125</v>
      </c>
      <c r="S563" t="s">
        <v>507</v>
      </c>
      <c r="W563">
        <f>Cancer_doubles_final2[[#This Row],[mlp_params]]</f>
        <v>35094</v>
      </c>
      <c r="X563">
        <f>Cancer_doubles_final2[[#This Row],[kan_test_acc]]</f>
        <v>0.94638694077730179</v>
      </c>
      <c r="Y563">
        <f>Cancer_doubles_final2[[#This Row],[mlp_test_acc]]</f>
        <v>0.92599067599067597</v>
      </c>
      <c r="Z563">
        <f>Cancer_doubles_final2[[#This Row],[mlp_test_acc2]]</f>
        <v>0.92715617715617715</v>
      </c>
    </row>
    <row r="564" spans="1:26" x14ac:dyDescent="0.25">
      <c r="A564" t="s">
        <v>19</v>
      </c>
      <c r="B564">
        <v>3</v>
      </c>
      <c r="C564">
        <v>5</v>
      </c>
      <c r="D564">
        <v>0</v>
      </c>
      <c r="E564" t="s">
        <v>217</v>
      </c>
      <c r="F564">
        <v>24052</v>
      </c>
      <c r="G564">
        <v>36037077</v>
      </c>
      <c r="H564">
        <v>0.94522144148747134</v>
      </c>
      <c r="I564">
        <v>0.91870629370629375</v>
      </c>
      <c r="J564">
        <v>8456949.166666666</v>
      </c>
      <c r="K564">
        <v>47744</v>
      </c>
      <c r="L564">
        <v>2</v>
      </c>
      <c r="M564">
        <v>146</v>
      </c>
      <c r="N564">
        <v>0.91958041958041958</v>
      </c>
      <c r="O564">
        <v>8873720.125</v>
      </c>
      <c r="P564">
        <v>48365</v>
      </c>
      <c r="Q564">
        <v>2</v>
      </c>
      <c r="R564">
        <v>147</v>
      </c>
      <c r="S564" t="s">
        <v>505</v>
      </c>
      <c r="W564">
        <f>Cancer_doubles_final2[[#This Row],[mlp_params]]</f>
        <v>47744</v>
      </c>
      <c r="X564">
        <f>Cancer_doubles_final2[[#This Row],[kan_test_acc]]</f>
        <v>0.94522144148747134</v>
      </c>
      <c r="Y564">
        <f>Cancer_doubles_final2[[#This Row],[mlp_test_acc]]</f>
        <v>0.91870629370629375</v>
      </c>
      <c r="Z564">
        <f>Cancer_doubles_final2[[#This Row],[mlp_test_acc2]]</f>
        <v>0.91958041958041958</v>
      </c>
    </row>
    <row r="565" spans="1:26" hidden="1" x14ac:dyDescent="0.25">
      <c r="A565" t="s">
        <v>19</v>
      </c>
      <c r="B565">
        <v>5</v>
      </c>
      <c r="C565">
        <v>3</v>
      </c>
      <c r="D565">
        <v>0</v>
      </c>
      <c r="E565" t="s">
        <v>217</v>
      </c>
      <c r="F565">
        <v>24052</v>
      </c>
      <c r="G565">
        <v>38162522.833333336</v>
      </c>
      <c r="H565">
        <v>0.95716782907644915</v>
      </c>
      <c r="I565">
        <v>0.90850815850815847</v>
      </c>
      <c r="J565">
        <v>8439471.75</v>
      </c>
      <c r="K565">
        <v>38909</v>
      </c>
      <c r="L565">
        <v>2</v>
      </c>
      <c r="M565">
        <v>131</v>
      </c>
      <c r="N565">
        <v>0.91025641025641035</v>
      </c>
      <c r="O565">
        <v>8312856</v>
      </c>
      <c r="P565">
        <v>39470</v>
      </c>
      <c r="Q565">
        <v>2</v>
      </c>
      <c r="R565">
        <v>132</v>
      </c>
      <c r="S565" t="s">
        <v>506</v>
      </c>
      <c r="W565">
        <f>Cancer_doubles_final2[[#This Row],[mlp_params]]</f>
        <v>38909</v>
      </c>
      <c r="X565">
        <f>Cancer_doubles_final2[[#This Row],[kan_test_acc]]</f>
        <v>0.95716782907644915</v>
      </c>
      <c r="Y565">
        <f>Cancer_doubles_final2[[#This Row],[mlp_test_acc]]</f>
        <v>0.90850815850815847</v>
      </c>
      <c r="Z565">
        <f>Cancer_doubles_final2[[#This Row],[mlp_test_acc2]]</f>
        <v>0.91025641025641035</v>
      </c>
    </row>
    <row r="566" spans="1:26" hidden="1" x14ac:dyDescent="0.25">
      <c r="A566" t="s">
        <v>19</v>
      </c>
      <c r="B566">
        <v>9</v>
      </c>
      <c r="C566">
        <v>3</v>
      </c>
      <c r="D566">
        <v>0</v>
      </c>
      <c r="E566" t="s">
        <v>116</v>
      </c>
      <c r="F566">
        <v>24052</v>
      </c>
      <c r="G566">
        <v>38693427.541666672</v>
      </c>
      <c r="H566">
        <v>0.94201631347338366</v>
      </c>
      <c r="I566">
        <v>0.90005827505827507</v>
      </c>
      <c r="J566">
        <v>9050498.875</v>
      </c>
      <c r="K566">
        <v>35094</v>
      </c>
      <c r="L566">
        <v>2</v>
      </c>
      <c r="M566">
        <v>124</v>
      </c>
      <c r="N566">
        <v>0.9015151515151516</v>
      </c>
      <c r="O566">
        <v>8461045.916666666</v>
      </c>
      <c r="P566">
        <v>35627</v>
      </c>
      <c r="Q566">
        <v>2</v>
      </c>
      <c r="R566">
        <v>125</v>
      </c>
      <c r="S566" t="s">
        <v>507</v>
      </c>
      <c r="W566">
        <f>Cancer_doubles_final2[[#This Row],[mlp_params]]</f>
        <v>35094</v>
      </c>
      <c r="X566">
        <f>Cancer_doubles_final2[[#This Row],[kan_test_acc]]</f>
        <v>0.94201631347338366</v>
      </c>
      <c r="Y566">
        <f>Cancer_doubles_final2[[#This Row],[mlp_test_acc]]</f>
        <v>0.90005827505827507</v>
      </c>
      <c r="Z566">
        <f>Cancer_doubles_final2[[#This Row],[mlp_test_acc2]]</f>
        <v>0.9015151515151516</v>
      </c>
    </row>
    <row r="567" spans="1:26" hidden="1" x14ac:dyDescent="0.25">
      <c r="A567" t="s">
        <v>19</v>
      </c>
      <c r="B567">
        <v>3</v>
      </c>
      <c r="C567">
        <v>2</v>
      </c>
      <c r="D567">
        <v>0</v>
      </c>
      <c r="E567" t="s">
        <v>508</v>
      </c>
      <c r="F567">
        <v>24094</v>
      </c>
      <c r="G567">
        <v>45349715.666666664</v>
      </c>
      <c r="H567">
        <v>0.96008158475160599</v>
      </c>
      <c r="I567">
        <v>0.92948717948717952</v>
      </c>
      <c r="J567">
        <v>9263290.333333334</v>
      </c>
      <c r="K567">
        <v>38909</v>
      </c>
      <c r="L567">
        <v>2</v>
      </c>
      <c r="M567">
        <v>131</v>
      </c>
      <c r="N567">
        <v>0.92482517482517479</v>
      </c>
      <c r="O567">
        <v>8370301.9999999991</v>
      </c>
      <c r="P567">
        <v>39470</v>
      </c>
      <c r="Q567">
        <v>2</v>
      </c>
      <c r="R567">
        <v>132</v>
      </c>
      <c r="S567" t="s">
        <v>509</v>
      </c>
      <c r="W567">
        <f>Cancer_doubles_final2[[#This Row],[mlp_params]]</f>
        <v>38909</v>
      </c>
      <c r="X567">
        <f>Cancer_doubles_final2[[#This Row],[kan_test_acc]]</f>
        <v>0.96008158475160599</v>
      </c>
      <c r="Y567">
        <f>Cancer_doubles_final2[[#This Row],[mlp_test_acc]]</f>
        <v>0.92948717948717952</v>
      </c>
      <c r="Z567">
        <f>Cancer_doubles_final2[[#This Row],[mlp_test_acc2]]</f>
        <v>0.92482517482517479</v>
      </c>
    </row>
    <row r="568" spans="1:26" x14ac:dyDescent="0.25">
      <c r="A568" t="s">
        <v>19</v>
      </c>
      <c r="B568">
        <v>3</v>
      </c>
      <c r="C568">
        <v>5</v>
      </c>
      <c r="D568">
        <v>0</v>
      </c>
      <c r="E568" t="s">
        <v>220</v>
      </c>
      <c r="F568">
        <v>24094</v>
      </c>
      <c r="G568">
        <v>47800254.583333328</v>
      </c>
      <c r="H568">
        <v>0.97231934716304147</v>
      </c>
      <c r="I568">
        <v>0.94551282051282048</v>
      </c>
      <c r="J568">
        <v>8883008.7916666679</v>
      </c>
      <c r="K568">
        <v>47744</v>
      </c>
      <c r="L568">
        <v>2</v>
      </c>
      <c r="M568">
        <v>146</v>
      </c>
      <c r="N568">
        <v>0.9443473193473193</v>
      </c>
      <c r="O568">
        <v>8676701.9583333321</v>
      </c>
      <c r="P568">
        <v>48365</v>
      </c>
      <c r="Q568">
        <v>2</v>
      </c>
      <c r="R568">
        <v>147</v>
      </c>
      <c r="S568" t="s">
        <v>510</v>
      </c>
      <c r="W568">
        <f>Cancer_doubles_final2[[#This Row],[mlp_params]]</f>
        <v>47744</v>
      </c>
      <c r="X568">
        <f>Cancer_doubles_final2[[#This Row],[kan_test_acc]]</f>
        <v>0.97231934716304147</v>
      </c>
      <c r="Y568">
        <f>Cancer_doubles_final2[[#This Row],[mlp_test_acc]]</f>
        <v>0.94551282051282048</v>
      </c>
      <c r="Z568">
        <f>Cancer_doubles_final2[[#This Row],[mlp_test_acc2]]</f>
        <v>0.9443473193473193</v>
      </c>
    </row>
    <row r="569" spans="1:26" hidden="1" x14ac:dyDescent="0.25">
      <c r="A569" t="s">
        <v>19</v>
      </c>
      <c r="B569">
        <v>5</v>
      </c>
      <c r="C569">
        <v>3</v>
      </c>
      <c r="D569">
        <v>0</v>
      </c>
      <c r="E569" t="s">
        <v>220</v>
      </c>
      <c r="F569">
        <v>24094</v>
      </c>
      <c r="G569">
        <v>38680324.041666664</v>
      </c>
      <c r="H569">
        <v>0.96357808262109756</v>
      </c>
      <c r="I569">
        <v>0.93939393939393934</v>
      </c>
      <c r="J569">
        <v>8944482.083333334</v>
      </c>
      <c r="K569">
        <v>38909</v>
      </c>
      <c r="L569">
        <v>2</v>
      </c>
      <c r="M569">
        <v>131</v>
      </c>
      <c r="N569">
        <v>0.93764568764568756</v>
      </c>
      <c r="O569">
        <v>9718180.5</v>
      </c>
      <c r="P569">
        <v>39470</v>
      </c>
      <c r="Q569">
        <v>2</v>
      </c>
      <c r="R569">
        <v>132</v>
      </c>
      <c r="S569" t="s">
        <v>511</v>
      </c>
      <c r="W569">
        <f>Cancer_doubles_final2[[#This Row],[mlp_params]]</f>
        <v>38909</v>
      </c>
      <c r="X569">
        <f>Cancer_doubles_final2[[#This Row],[kan_test_acc]]</f>
        <v>0.96357808262109756</v>
      </c>
      <c r="Y569">
        <f>Cancer_doubles_final2[[#This Row],[mlp_test_acc]]</f>
        <v>0.93939393939393934</v>
      </c>
      <c r="Z569">
        <f>Cancer_doubles_final2[[#This Row],[mlp_test_acc2]]</f>
        <v>0.93764568764568756</v>
      </c>
    </row>
    <row r="570" spans="1:26" hidden="1" x14ac:dyDescent="0.25">
      <c r="A570" t="s">
        <v>19</v>
      </c>
      <c r="B570">
        <v>3</v>
      </c>
      <c r="C570">
        <v>2</v>
      </c>
      <c r="D570">
        <v>0</v>
      </c>
      <c r="E570" t="s">
        <v>508</v>
      </c>
      <c r="F570">
        <v>24094</v>
      </c>
      <c r="G570">
        <v>32105738.333333332</v>
      </c>
      <c r="H570">
        <v>0.95308856914440798</v>
      </c>
      <c r="I570">
        <v>0.94143356643356646</v>
      </c>
      <c r="J570">
        <v>9292088.958333334</v>
      </c>
      <c r="K570">
        <v>38909</v>
      </c>
      <c r="L570">
        <v>2</v>
      </c>
      <c r="M570">
        <v>131</v>
      </c>
      <c r="N570">
        <v>0.93618881118881114</v>
      </c>
      <c r="O570">
        <v>9339092.375</v>
      </c>
      <c r="P570">
        <v>39470</v>
      </c>
      <c r="Q570">
        <v>2</v>
      </c>
      <c r="R570">
        <v>132</v>
      </c>
      <c r="S570" t="s">
        <v>509</v>
      </c>
      <c r="W570">
        <f>Cancer_doubles_final2[[#This Row],[mlp_params]]</f>
        <v>38909</v>
      </c>
      <c r="X570">
        <f>Cancer_doubles_final2[[#This Row],[kan_test_acc]]</f>
        <v>0.95308856914440798</v>
      </c>
      <c r="Y570">
        <f>Cancer_doubles_final2[[#This Row],[mlp_test_acc]]</f>
        <v>0.94143356643356646</v>
      </c>
      <c r="Z570">
        <f>Cancer_doubles_final2[[#This Row],[mlp_test_acc2]]</f>
        <v>0.93618881118881114</v>
      </c>
    </row>
    <row r="571" spans="1:26" x14ac:dyDescent="0.25">
      <c r="A571" t="s">
        <v>19</v>
      </c>
      <c r="B571">
        <v>3</v>
      </c>
      <c r="C571">
        <v>5</v>
      </c>
      <c r="D571">
        <v>0</v>
      </c>
      <c r="E571" t="s">
        <v>220</v>
      </c>
      <c r="F571">
        <v>24094</v>
      </c>
      <c r="G571">
        <v>42635575.708333328</v>
      </c>
      <c r="H571">
        <v>0.941142184038957</v>
      </c>
      <c r="I571">
        <v>0.94114219114219111</v>
      </c>
      <c r="J571">
        <v>9651846.375</v>
      </c>
      <c r="K571">
        <v>47744</v>
      </c>
      <c r="L571">
        <v>2</v>
      </c>
      <c r="M571">
        <v>146</v>
      </c>
      <c r="N571">
        <v>0.94026806526806528</v>
      </c>
      <c r="O571">
        <v>9193084.416666666</v>
      </c>
      <c r="P571">
        <v>48365</v>
      </c>
      <c r="Q571">
        <v>2</v>
      </c>
      <c r="R571">
        <v>147</v>
      </c>
      <c r="S571" t="s">
        <v>510</v>
      </c>
      <c r="W571">
        <f>Cancer_doubles_final2[[#This Row],[mlp_params]]</f>
        <v>47744</v>
      </c>
      <c r="X571">
        <f>Cancer_doubles_final2[[#This Row],[kan_test_acc]]</f>
        <v>0.941142184038957</v>
      </c>
      <c r="Y571">
        <f>Cancer_doubles_final2[[#This Row],[mlp_test_acc]]</f>
        <v>0.94114219114219111</v>
      </c>
      <c r="Z571">
        <f>Cancer_doubles_final2[[#This Row],[mlp_test_acc2]]</f>
        <v>0.94026806526806528</v>
      </c>
    </row>
    <row r="572" spans="1:26" hidden="1" x14ac:dyDescent="0.25">
      <c r="A572" t="s">
        <v>19</v>
      </c>
      <c r="B572">
        <v>5</v>
      </c>
      <c r="C572">
        <v>3</v>
      </c>
      <c r="D572">
        <v>0</v>
      </c>
      <c r="E572" t="s">
        <v>220</v>
      </c>
      <c r="F572">
        <v>24094</v>
      </c>
      <c r="G572">
        <v>42136809.666666664</v>
      </c>
      <c r="H572">
        <v>0.93968531489372253</v>
      </c>
      <c r="I572">
        <v>0.91724941724941722</v>
      </c>
      <c r="J572">
        <v>9179172.4583333321</v>
      </c>
      <c r="K572">
        <v>38909</v>
      </c>
      <c r="L572">
        <v>2</v>
      </c>
      <c r="M572">
        <v>131</v>
      </c>
      <c r="N572">
        <v>0.91666666666666674</v>
      </c>
      <c r="O572">
        <v>8848650.916666666</v>
      </c>
      <c r="P572">
        <v>39470</v>
      </c>
      <c r="Q572">
        <v>2</v>
      </c>
      <c r="R572">
        <v>132</v>
      </c>
      <c r="S572" t="s">
        <v>511</v>
      </c>
      <c r="W572">
        <f>Cancer_doubles_final2[[#This Row],[mlp_params]]</f>
        <v>38909</v>
      </c>
      <c r="X572">
        <f>Cancer_doubles_final2[[#This Row],[kan_test_acc]]</f>
        <v>0.93968531489372253</v>
      </c>
      <c r="Y572">
        <f>Cancer_doubles_final2[[#This Row],[mlp_test_acc]]</f>
        <v>0.91724941724941722</v>
      </c>
      <c r="Z572">
        <f>Cancer_doubles_final2[[#This Row],[mlp_test_acc2]]</f>
        <v>0.91666666666666674</v>
      </c>
    </row>
    <row r="573" spans="1:26" hidden="1" x14ac:dyDescent="0.25">
      <c r="A573" t="s">
        <v>19</v>
      </c>
      <c r="B573">
        <v>3</v>
      </c>
      <c r="C573">
        <v>3</v>
      </c>
      <c r="D573">
        <v>0</v>
      </c>
      <c r="E573" t="s">
        <v>371</v>
      </c>
      <c r="F573">
        <v>24164</v>
      </c>
      <c r="G573">
        <v>36826641.166666664</v>
      </c>
      <c r="H573">
        <v>0.96124709149201715</v>
      </c>
      <c r="I573">
        <v>0.92191142191142184</v>
      </c>
      <c r="J573">
        <v>9045331.041666666</v>
      </c>
      <c r="K573">
        <v>42335</v>
      </c>
      <c r="L573">
        <v>2</v>
      </c>
      <c r="M573">
        <v>137</v>
      </c>
      <c r="N573">
        <v>0.91870629370629375</v>
      </c>
      <c r="O573">
        <v>7512986.375</v>
      </c>
      <c r="P573">
        <v>42920</v>
      </c>
      <c r="Q573">
        <v>2</v>
      </c>
      <c r="R573">
        <v>138</v>
      </c>
      <c r="S573" t="s">
        <v>512</v>
      </c>
      <c r="W573">
        <f>Cancer_doubles_final2[[#This Row],[mlp_params]]</f>
        <v>42335</v>
      </c>
      <c r="X573">
        <f>Cancer_doubles_final2[[#This Row],[kan_test_acc]]</f>
        <v>0.96124709149201715</v>
      </c>
      <c r="Y573">
        <f>Cancer_doubles_final2[[#This Row],[mlp_test_acc]]</f>
        <v>0.92191142191142184</v>
      </c>
      <c r="Z573">
        <f>Cancer_doubles_final2[[#This Row],[mlp_test_acc2]]</f>
        <v>0.91870629370629375</v>
      </c>
    </row>
    <row r="574" spans="1:26" hidden="1" x14ac:dyDescent="0.25">
      <c r="A574" t="s">
        <v>19</v>
      </c>
      <c r="B574">
        <v>3</v>
      </c>
      <c r="C574">
        <v>3</v>
      </c>
      <c r="D574">
        <v>0</v>
      </c>
      <c r="E574" t="s">
        <v>373</v>
      </c>
      <c r="F574">
        <v>24166</v>
      </c>
      <c r="G574">
        <v>41003692.5</v>
      </c>
      <c r="H574">
        <v>0.97785547210110557</v>
      </c>
      <c r="I574">
        <v>0.93706293706293708</v>
      </c>
      <c r="J574">
        <v>9156040.472222222</v>
      </c>
      <c r="K574">
        <v>42335</v>
      </c>
      <c r="L574">
        <v>2</v>
      </c>
      <c r="M574">
        <v>137</v>
      </c>
      <c r="N574">
        <v>0.94036519036519028</v>
      </c>
      <c r="O574">
        <v>8557923.472222222</v>
      </c>
      <c r="P574">
        <v>42920</v>
      </c>
      <c r="Q574">
        <v>2</v>
      </c>
      <c r="R574">
        <v>138</v>
      </c>
      <c r="S574" t="s">
        <v>513</v>
      </c>
      <c r="W574">
        <f>Cancer_doubles_final2[[#This Row],[mlp_params]]</f>
        <v>42335</v>
      </c>
      <c r="X574">
        <f>Cancer_doubles_final2[[#This Row],[kan_test_acc]]</f>
        <v>0.97785547210110557</v>
      </c>
      <c r="Y574">
        <f>Cancer_doubles_final2[[#This Row],[mlp_test_acc]]</f>
        <v>0.93706293706293708</v>
      </c>
      <c r="Z574">
        <f>Cancer_doubles_final2[[#This Row],[mlp_test_acc2]]</f>
        <v>0.94036519036519028</v>
      </c>
    </row>
    <row r="575" spans="1:26" hidden="1" x14ac:dyDescent="0.25">
      <c r="A575" t="s">
        <v>19</v>
      </c>
      <c r="B575">
        <v>5</v>
      </c>
      <c r="C575">
        <v>5</v>
      </c>
      <c r="D575">
        <v>0</v>
      </c>
      <c r="E575" t="s">
        <v>152</v>
      </c>
      <c r="F575">
        <v>24188</v>
      </c>
      <c r="G575">
        <v>35226540.388888888</v>
      </c>
      <c r="H575">
        <v>0.96289820306830942</v>
      </c>
      <c r="I575">
        <v>0.93706293706293697</v>
      </c>
      <c r="J575">
        <v>9358379.777777778</v>
      </c>
      <c r="K575">
        <v>44102</v>
      </c>
      <c r="L575">
        <v>2</v>
      </c>
      <c r="M575">
        <v>140</v>
      </c>
      <c r="N575">
        <v>0.94327894327894324</v>
      </c>
      <c r="O575">
        <v>9524078.722222222</v>
      </c>
      <c r="P575">
        <v>44699</v>
      </c>
      <c r="Q575">
        <v>2</v>
      </c>
      <c r="R575">
        <v>141</v>
      </c>
      <c r="S575" t="s">
        <v>514</v>
      </c>
      <c r="W575">
        <f>Cancer_doubles_final2[[#This Row],[mlp_params]]</f>
        <v>44102</v>
      </c>
      <c r="X575">
        <f>Cancer_doubles_final2[[#This Row],[kan_test_acc]]</f>
        <v>0.96289820306830942</v>
      </c>
      <c r="Y575">
        <f>Cancer_doubles_final2[[#This Row],[mlp_test_acc]]</f>
        <v>0.93706293706293697</v>
      </c>
      <c r="Z575">
        <f>Cancer_doubles_final2[[#This Row],[mlp_test_acc2]]</f>
        <v>0.94327894327894324</v>
      </c>
    </row>
    <row r="576" spans="1:26" hidden="1" x14ac:dyDescent="0.25">
      <c r="A576" t="s">
        <v>19</v>
      </c>
      <c r="B576">
        <v>5</v>
      </c>
      <c r="C576">
        <v>5</v>
      </c>
      <c r="D576">
        <v>0</v>
      </c>
      <c r="E576" t="s">
        <v>154</v>
      </c>
      <c r="F576">
        <v>24242</v>
      </c>
      <c r="G576">
        <v>30334178.416666668</v>
      </c>
      <c r="H576">
        <v>0.96425795389546287</v>
      </c>
      <c r="I576">
        <v>0.93725718725718721</v>
      </c>
      <c r="J576">
        <v>8904161.6388888899</v>
      </c>
      <c r="K576">
        <v>44699</v>
      </c>
      <c r="L576">
        <v>2</v>
      </c>
      <c r="M576">
        <v>141</v>
      </c>
      <c r="N576">
        <v>0.94094794094794099</v>
      </c>
      <c r="O576">
        <v>9804292.472222222</v>
      </c>
      <c r="P576">
        <v>45300</v>
      </c>
      <c r="Q576">
        <v>2</v>
      </c>
      <c r="R576">
        <v>142</v>
      </c>
      <c r="S576" t="s">
        <v>515</v>
      </c>
      <c r="W576">
        <f>Cancer_doubles_final2[[#This Row],[mlp_params]]</f>
        <v>44699</v>
      </c>
      <c r="X576">
        <f>Cancer_doubles_final2[[#This Row],[kan_test_acc]]</f>
        <v>0.96425795389546287</v>
      </c>
      <c r="Y576">
        <f>Cancer_doubles_final2[[#This Row],[mlp_test_acc]]</f>
        <v>0.93725718725718721</v>
      </c>
      <c r="Z576">
        <f>Cancer_doubles_final2[[#This Row],[mlp_test_acc2]]</f>
        <v>0.94094794094794099</v>
      </c>
    </row>
    <row r="577" spans="1:26" hidden="1" x14ac:dyDescent="0.25">
      <c r="A577" t="s">
        <v>19</v>
      </c>
      <c r="B577">
        <v>9</v>
      </c>
      <c r="C577">
        <v>2</v>
      </c>
      <c r="D577">
        <v>0</v>
      </c>
      <c r="E577" t="s">
        <v>133</v>
      </c>
      <c r="F577">
        <v>24248</v>
      </c>
      <c r="G577">
        <v>26382948.611111112</v>
      </c>
      <c r="H577">
        <v>0.947163936164644</v>
      </c>
      <c r="I577">
        <v>0.93181818181818177</v>
      </c>
      <c r="J577">
        <v>9556983.3888888899</v>
      </c>
      <c r="K577">
        <v>32489</v>
      </c>
      <c r="L577">
        <v>2</v>
      </c>
      <c r="M577">
        <v>119</v>
      </c>
      <c r="N577">
        <v>0.93570318570318578</v>
      </c>
      <c r="O577">
        <v>9608184.9444444459</v>
      </c>
      <c r="P577">
        <v>33002</v>
      </c>
      <c r="Q577">
        <v>2</v>
      </c>
      <c r="R577">
        <v>120</v>
      </c>
      <c r="S577" t="s">
        <v>516</v>
      </c>
      <c r="W577">
        <f>Cancer_doubles_final2[[#This Row],[mlp_params]]</f>
        <v>32489</v>
      </c>
      <c r="X577">
        <f>Cancer_doubles_final2[[#This Row],[kan_test_acc]]</f>
        <v>0.947163936164644</v>
      </c>
      <c r="Y577">
        <f>Cancer_doubles_final2[[#This Row],[mlp_test_acc]]</f>
        <v>0.93181818181818177</v>
      </c>
      <c r="Z577">
        <f>Cancer_doubles_final2[[#This Row],[mlp_test_acc2]]</f>
        <v>0.93570318570318578</v>
      </c>
    </row>
    <row r="578" spans="1:26" hidden="1" x14ac:dyDescent="0.25">
      <c r="A578" t="s">
        <v>19</v>
      </c>
      <c r="B578">
        <v>3</v>
      </c>
      <c r="C578">
        <v>4</v>
      </c>
      <c r="D578">
        <v>0</v>
      </c>
      <c r="E578" t="s">
        <v>283</v>
      </c>
      <c r="F578">
        <v>24272</v>
      </c>
      <c r="G578">
        <v>26350973.694444444</v>
      </c>
      <c r="H578">
        <v>0.94153068463007605</v>
      </c>
      <c r="I578">
        <v>0.9222999222999223</v>
      </c>
      <c r="J578">
        <v>9328663.6666666679</v>
      </c>
      <c r="K578">
        <v>45905</v>
      </c>
      <c r="L578">
        <v>2</v>
      </c>
      <c r="M578">
        <v>143</v>
      </c>
      <c r="N578">
        <v>0.92599067599067597</v>
      </c>
      <c r="O578">
        <v>9654899.9444444459</v>
      </c>
      <c r="P578">
        <v>46514</v>
      </c>
      <c r="Q578">
        <v>2</v>
      </c>
      <c r="R578">
        <v>144</v>
      </c>
      <c r="S578" t="s">
        <v>517</v>
      </c>
      <c r="W578">
        <f>Cancer_doubles_final2[[#This Row],[mlp_params]]</f>
        <v>45905</v>
      </c>
      <c r="X578">
        <f>Cancer_doubles_final2[[#This Row],[kan_test_acc]]</f>
        <v>0.94153068463007605</v>
      </c>
      <c r="Y578">
        <f>Cancer_doubles_final2[[#This Row],[mlp_test_acc]]</f>
        <v>0.9222999222999223</v>
      </c>
      <c r="Z578">
        <f>Cancer_doubles_final2[[#This Row],[mlp_test_acc2]]</f>
        <v>0.92599067599067597</v>
      </c>
    </row>
    <row r="579" spans="1:26" hidden="1" x14ac:dyDescent="0.25">
      <c r="A579" t="s">
        <v>19</v>
      </c>
      <c r="B579">
        <v>5</v>
      </c>
      <c r="C579">
        <v>2</v>
      </c>
      <c r="D579">
        <v>0</v>
      </c>
      <c r="E579" t="s">
        <v>283</v>
      </c>
      <c r="F579">
        <v>24272</v>
      </c>
      <c r="G579">
        <v>35251504</v>
      </c>
      <c r="H579">
        <v>0.96824008474747347</v>
      </c>
      <c r="I579">
        <v>0.93939393939393945</v>
      </c>
      <c r="J579">
        <v>9361693.791666666</v>
      </c>
      <c r="K579">
        <v>36164</v>
      </c>
      <c r="L579">
        <v>2</v>
      </c>
      <c r="M579">
        <v>126</v>
      </c>
      <c r="N579">
        <v>0.93997668997668993</v>
      </c>
      <c r="O579">
        <v>9628741.583333334</v>
      </c>
      <c r="P579">
        <v>36705</v>
      </c>
      <c r="Q579">
        <v>2</v>
      </c>
      <c r="R579">
        <v>127</v>
      </c>
      <c r="S579" t="s">
        <v>518</v>
      </c>
      <c r="W579">
        <f>Cancer_doubles_final2[[#This Row],[mlp_params]]</f>
        <v>36164</v>
      </c>
      <c r="X579">
        <f>Cancer_doubles_final2[[#This Row],[kan_test_acc]]</f>
        <v>0.96824008474747347</v>
      </c>
      <c r="Y579">
        <f>Cancer_doubles_final2[[#This Row],[mlp_test_acc]]</f>
        <v>0.93939393939393945</v>
      </c>
      <c r="Z579">
        <f>Cancer_doubles_final2[[#This Row],[mlp_test_acc2]]</f>
        <v>0.93997668997668993</v>
      </c>
    </row>
    <row r="580" spans="1:26" hidden="1" x14ac:dyDescent="0.25">
      <c r="A580" t="s">
        <v>19</v>
      </c>
      <c r="B580">
        <v>3</v>
      </c>
      <c r="C580">
        <v>4</v>
      </c>
      <c r="D580">
        <v>0</v>
      </c>
      <c r="E580" t="s">
        <v>283</v>
      </c>
      <c r="F580">
        <v>24272</v>
      </c>
      <c r="G580">
        <v>35067363.583333336</v>
      </c>
      <c r="H580">
        <v>0.97086246063311898</v>
      </c>
      <c r="I580">
        <v>0.92977855477855487</v>
      </c>
      <c r="J580">
        <v>9423970.5833333321</v>
      </c>
      <c r="K580">
        <v>45905</v>
      </c>
      <c r="L580">
        <v>2</v>
      </c>
      <c r="M580">
        <v>143</v>
      </c>
      <c r="N580">
        <v>0.92977855477855476</v>
      </c>
      <c r="O580">
        <v>8696281.208333334</v>
      </c>
      <c r="P580">
        <v>46514</v>
      </c>
      <c r="Q580">
        <v>2</v>
      </c>
      <c r="R580">
        <v>144</v>
      </c>
      <c r="S580" t="s">
        <v>517</v>
      </c>
      <c r="W580">
        <f>Cancer_doubles_final2[[#This Row],[mlp_params]]</f>
        <v>45905</v>
      </c>
      <c r="X580">
        <f>Cancer_doubles_final2[[#This Row],[kan_test_acc]]</f>
        <v>0.97086246063311898</v>
      </c>
      <c r="Y580">
        <f>Cancer_doubles_final2[[#This Row],[mlp_test_acc]]</f>
        <v>0.92977855477855487</v>
      </c>
      <c r="Z580">
        <f>Cancer_doubles_final2[[#This Row],[mlp_test_acc2]]</f>
        <v>0.92977855477855476</v>
      </c>
    </row>
    <row r="581" spans="1:26" hidden="1" x14ac:dyDescent="0.25">
      <c r="A581" t="s">
        <v>19</v>
      </c>
      <c r="B581">
        <v>5</v>
      </c>
      <c r="C581">
        <v>2</v>
      </c>
      <c r="D581">
        <v>0</v>
      </c>
      <c r="E581" t="s">
        <v>283</v>
      </c>
      <c r="F581">
        <v>24272</v>
      </c>
      <c r="G581">
        <v>33439930.416666668</v>
      </c>
      <c r="H581">
        <v>0.96445220460494363</v>
      </c>
      <c r="I581">
        <v>0.91346153846153855</v>
      </c>
      <c r="J581">
        <v>8862435.125</v>
      </c>
      <c r="K581">
        <v>36164</v>
      </c>
      <c r="L581">
        <v>2</v>
      </c>
      <c r="M581">
        <v>126</v>
      </c>
      <c r="N581">
        <v>0.91375291375291368</v>
      </c>
      <c r="O581">
        <v>8644142.9583333321</v>
      </c>
      <c r="P581">
        <v>36705</v>
      </c>
      <c r="Q581">
        <v>2</v>
      </c>
      <c r="R581">
        <v>127</v>
      </c>
      <c r="S581" t="s">
        <v>518</v>
      </c>
      <c r="W581">
        <f>Cancer_doubles_final2[[#This Row],[mlp_params]]</f>
        <v>36164</v>
      </c>
      <c r="X581">
        <f>Cancer_doubles_final2[[#This Row],[kan_test_acc]]</f>
        <v>0.96445220460494363</v>
      </c>
      <c r="Y581">
        <f>Cancer_doubles_final2[[#This Row],[mlp_test_acc]]</f>
        <v>0.91346153846153855</v>
      </c>
      <c r="Z581">
        <f>Cancer_doubles_final2[[#This Row],[mlp_test_acc2]]</f>
        <v>0.91375291375291368</v>
      </c>
    </row>
    <row r="582" spans="1:26" hidden="1" x14ac:dyDescent="0.25">
      <c r="A582" t="s">
        <v>19</v>
      </c>
      <c r="B582">
        <v>3</v>
      </c>
      <c r="C582">
        <v>3</v>
      </c>
      <c r="D582">
        <v>0</v>
      </c>
      <c r="E582" t="s">
        <v>380</v>
      </c>
      <c r="F582">
        <v>24316</v>
      </c>
      <c r="G582">
        <v>35603045.708333336</v>
      </c>
      <c r="H582">
        <v>0.96736596028010058</v>
      </c>
      <c r="I582">
        <v>0.92453379953379944</v>
      </c>
      <c r="J582">
        <v>8052961.041666666</v>
      </c>
      <c r="K582">
        <v>42920</v>
      </c>
      <c r="L582">
        <v>2</v>
      </c>
      <c r="M582">
        <v>138</v>
      </c>
      <c r="N582">
        <v>0.92336829836829837</v>
      </c>
      <c r="O582">
        <v>8838102.9583333321</v>
      </c>
      <c r="P582">
        <v>43509</v>
      </c>
      <c r="Q582">
        <v>2</v>
      </c>
      <c r="R582">
        <v>139</v>
      </c>
      <c r="S582" t="s">
        <v>519</v>
      </c>
      <c r="W582">
        <f>Cancer_doubles_final2[[#This Row],[mlp_params]]</f>
        <v>42920</v>
      </c>
      <c r="X582">
        <f>Cancer_doubles_final2[[#This Row],[kan_test_acc]]</f>
        <v>0.96736596028010058</v>
      </c>
      <c r="Y582">
        <f>Cancer_doubles_final2[[#This Row],[mlp_test_acc]]</f>
        <v>0.92453379953379944</v>
      </c>
      <c r="Z582">
        <f>Cancer_doubles_final2[[#This Row],[mlp_test_acc2]]</f>
        <v>0.92336829836829837</v>
      </c>
    </row>
    <row r="583" spans="1:26" hidden="1" x14ac:dyDescent="0.25">
      <c r="A583" t="s">
        <v>19</v>
      </c>
      <c r="B583">
        <v>3</v>
      </c>
      <c r="C583">
        <v>2</v>
      </c>
      <c r="D583">
        <v>0</v>
      </c>
      <c r="E583" t="s">
        <v>520</v>
      </c>
      <c r="F583">
        <v>24380</v>
      </c>
      <c r="G583">
        <v>41328310.166666672</v>
      </c>
      <c r="H583">
        <v>0.97086247139506876</v>
      </c>
      <c r="I583">
        <v>0.94677544677544678</v>
      </c>
      <c r="J583">
        <v>8283589.861111111</v>
      </c>
      <c r="K583">
        <v>39470</v>
      </c>
      <c r="L583">
        <v>2</v>
      </c>
      <c r="M583">
        <v>132</v>
      </c>
      <c r="N583">
        <v>0.94289044289044288</v>
      </c>
      <c r="O583">
        <v>8881059.3611111101</v>
      </c>
      <c r="P583">
        <v>40035</v>
      </c>
      <c r="Q583">
        <v>2</v>
      </c>
      <c r="R583">
        <v>133</v>
      </c>
      <c r="S583" t="s">
        <v>521</v>
      </c>
      <c r="W583">
        <f>Cancer_doubles_final2[[#This Row],[mlp_params]]</f>
        <v>39470</v>
      </c>
      <c r="X583">
        <f>Cancer_doubles_final2[[#This Row],[kan_test_acc]]</f>
        <v>0.97086247139506876</v>
      </c>
      <c r="Y583">
        <f>Cancer_doubles_final2[[#This Row],[mlp_test_acc]]</f>
        <v>0.94677544677544678</v>
      </c>
      <c r="Z583">
        <f>Cancer_doubles_final2[[#This Row],[mlp_test_acc2]]</f>
        <v>0.94289044289044288</v>
      </c>
    </row>
    <row r="584" spans="1:26" hidden="1" x14ac:dyDescent="0.25">
      <c r="A584" t="s">
        <v>19</v>
      </c>
      <c r="B584">
        <v>3</v>
      </c>
      <c r="C584">
        <v>4</v>
      </c>
      <c r="D584">
        <v>0</v>
      </c>
      <c r="E584" t="s">
        <v>286</v>
      </c>
      <c r="F584">
        <v>24440</v>
      </c>
      <c r="G584">
        <v>37485828.611111112</v>
      </c>
      <c r="H584">
        <v>0.96017871300379432</v>
      </c>
      <c r="I584">
        <v>0.94677544677544678</v>
      </c>
      <c r="J584">
        <v>7973790.055555555</v>
      </c>
      <c r="K584">
        <v>45905</v>
      </c>
      <c r="L584">
        <v>2</v>
      </c>
      <c r="M584">
        <v>143</v>
      </c>
      <c r="N584">
        <v>0.9442501942501943</v>
      </c>
      <c r="O584">
        <v>9517294.972222222</v>
      </c>
      <c r="P584">
        <v>46514</v>
      </c>
      <c r="Q584">
        <v>2</v>
      </c>
      <c r="R584">
        <v>144</v>
      </c>
      <c r="S584" t="s">
        <v>522</v>
      </c>
      <c r="W584">
        <f>Cancer_doubles_final2[[#This Row],[mlp_params]]</f>
        <v>45905</v>
      </c>
      <c r="X584">
        <f>Cancer_doubles_final2[[#This Row],[kan_test_acc]]</f>
        <v>0.96017871300379432</v>
      </c>
      <c r="Y584">
        <f>Cancer_doubles_final2[[#This Row],[mlp_test_acc]]</f>
        <v>0.94677544677544678</v>
      </c>
      <c r="Z584">
        <f>Cancer_doubles_final2[[#This Row],[mlp_test_acc2]]</f>
        <v>0.9442501942501943</v>
      </c>
    </row>
    <row r="585" spans="1:26" hidden="1" x14ac:dyDescent="0.25">
      <c r="A585" t="s">
        <v>19</v>
      </c>
      <c r="B585">
        <v>5</v>
      </c>
      <c r="C585">
        <v>2</v>
      </c>
      <c r="D585">
        <v>0</v>
      </c>
      <c r="E585" t="s">
        <v>286</v>
      </c>
      <c r="F585">
        <v>24440</v>
      </c>
      <c r="G585">
        <v>32026170.666666668</v>
      </c>
      <c r="H585">
        <v>0.97027971595525742</v>
      </c>
      <c r="I585">
        <v>0.94201631701631705</v>
      </c>
      <c r="J585">
        <v>7496896.291666666</v>
      </c>
      <c r="K585">
        <v>36164</v>
      </c>
      <c r="L585">
        <v>2</v>
      </c>
      <c r="M585">
        <v>126</v>
      </c>
      <c r="N585">
        <v>0.94318181818181823</v>
      </c>
      <c r="O585">
        <v>9446426.208333334</v>
      </c>
      <c r="P585">
        <v>36705</v>
      </c>
      <c r="Q585">
        <v>2</v>
      </c>
      <c r="R585">
        <v>127</v>
      </c>
      <c r="S585" t="s">
        <v>523</v>
      </c>
      <c r="W585">
        <f>Cancer_doubles_final2[[#This Row],[mlp_params]]</f>
        <v>36164</v>
      </c>
      <c r="X585">
        <f>Cancer_doubles_final2[[#This Row],[kan_test_acc]]</f>
        <v>0.97027971595525742</v>
      </c>
      <c r="Y585">
        <f>Cancer_doubles_final2[[#This Row],[mlp_test_acc]]</f>
        <v>0.94201631701631705</v>
      </c>
      <c r="Z585">
        <f>Cancer_doubles_final2[[#This Row],[mlp_test_acc2]]</f>
        <v>0.94318181818181823</v>
      </c>
    </row>
    <row r="586" spans="1:26" hidden="1" x14ac:dyDescent="0.25">
      <c r="A586" t="s">
        <v>19</v>
      </c>
      <c r="B586">
        <v>3</v>
      </c>
      <c r="C586">
        <v>4</v>
      </c>
      <c r="D586">
        <v>0</v>
      </c>
      <c r="E586" t="s">
        <v>286</v>
      </c>
      <c r="F586">
        <v>24440</v>
      </c>
      <c r="G586">
        <v>32412139.875</v>
      </c>
      <c r="H586">
        <v>0.97435895850261056</v>
      </c>
      <c r="I586">
        <v>0.93036130536130535</v>
      </c>
      <c r="J586">
        <v>8137458.875</v>
      </c>
      <c r="K586">
        <v>45905</v>
      </c>
      <c r="L586">
        <v>2</v>
      </c>
      <c r="M586">
        <v>143</v>
      </c>
      <c r="N586">
        <v>0.92628205128205132</v>
      </c>
      <c r="O586">
        <v>9928569.4583333321</v>
      </c>
      <c r="P586">
        <v>46514</v>
      </c>
      <c r="Q586">
        <v>2</v>
      </c>
      <c r="R586">
        <v>144</v>
      </c>
      <c r="S586" t="s">
        <v>522</v>
      </c>
      <c r="W586">
        <f>Cancer_doubles_final2[[#This Row],[mlp_params]]</f>
        <v>45905</v>
      </c>
      <c r="X586">
        <f>Cancer_doubles_final2[[#This Row],[kan_test_acc]]</f>
        <v>0.97435895850261056</v>
      </c>
      <c r="Y586">
        <f>Cancer_doubles_final2[[#This Row],[mlp_test_acc]]</f>
        <v>0.93036130536130535</v>
      </c>
      <c r="Z586">
        <f>Cancer_doubles_final2[[#This Row],[mlp_test_acc2]]</f>
        <v>0.92628205128205132</v>
      </c>
    </row>
    <row r="587" spans="1:26" hidden="1" x14ac:dyDescent="0.25">
      <c r="A587" t="s">
        <v>19</v>
      </c>
      <c r="B587">
        <v>5</v>
      </c>
      <c r="C587">
        <v>2</v>
      </c>
      <c r="D587">
        <v>0</v>
      </c>
      <c r="E587" t="s">
        <v>286</v>
      </c>
      <c r="F587">
        <v>24440</v>
      </c>
      <c r="G587">
        <v>31561848.458333332</v>
      </c>
      <c r="H587">
        <v>0.96998832871516538</v>
      </c>
      <c r="I587">
        <v>0.93560606060606066</v>
      </c>
      <c r="J587">
        <v>9279981.25</v>
      </c>
      <c r="K587">
        <v>36164</v>
      </c>
      <c r="L587">
        <v>2</v>
      </c>
      <c r="M587">
        <v>126</v>
      </c>
      <c r="N587">
        <v>0.92948717948717952</v>
      </c>
      <c r="O587">
        <v>8690870.375</v>
      </c>
      <c r="P587">
        <v>36705</v>
      </c>
      <c r="Q587">
        <v>2</v>
      </c>
      <c r="R587">
        <v>127</v>
      </c>
      <c r="S587" t="s">
        <v>523</v>
      </c>
      <c r="W587">
        <f>Cancer_doubles_final2[[#This Row],[mlp_params]]</f>
        <v>36164</v>
      </c>
      <c r="X587">
        <f>Cancer_doubles_final2[[#This Row],[kan_test_acc]]</f>
        <v>0.96998832871516538</v>
      </c>
      <c r="Y587">
        <f>Cancer_doubles_final2[[#This Row],[mlp_test_acc]]</f>
        <v>0.93560606060606066</v>
      </c>
      <c r="Z587">
        <f>Cancer_doubles_final2[[#This Row],[mlp_test_acc2]]</f>
        <v>0.92948717948717952</v>
      </c>
    </row>
    <row r="588" spans="1:26" x14ac:dyDescent="0.25">
      <c r="A588" t="s">
        <v>19</v>
      </c>
      <c r="B588">
        <v>3</v>
      </c>
      <c r="C588">
        <v>5</v>
      </c>
      <c r="D588">
        <v>0</v>
      </c>
      <c r="E588" t="s">
        <v>225</v>
      </c>
      <c r="F588">
        <v>24488</v>
      </c>
      <c r="G588">
        <v>48240722.958333336</v>
      </c>
      <c r="H588">
        <v>0.97086246560017275</v>
      </c>
      <c r="I588">
        <v>0.94318181818181823</v>
      </c>
      <c r="J588">
        <v>9821928.458333334</v>
      </c>
      <c r="K588">
        <v>48365</v>
      </c>
      <c r="L588">
        <v>2</v>
      </c>
      <c r="M588">
        <v>147</v>
      </c>
      <c r="N588">
        <v>0.9396853146853148</v>
      </c>
      <c r="O588">
        <v>8952195.7916666679</v>
      </c>
      <c r="P588">
        <v>48990</v>
      </c>
      <c r="Q588">
        <v>2</v>
      </c>
      <c r="R588">
        <v>148</v>
      </c>
      <c r="S588" t="s">
        <v>524</v>
      </c>
      <c r="W588">
        <f>Cancer_doubles_final2[[#This Row],[mlp_params]]</f>
        <v>48365</v>
      </c>
      <c r="X588">
        <f>Cancer_doubles_final2[[#This Row],[kan_test_acc]]</f>
        <v>0.97086246560017275</v>
      </c>
      <c r="Y588">
        <f>Cancer_doubles_final2[[#This Row],[mlp_test_acc]]</f>
        <v>0.94318181818181823</v>
      </c>
      <c r="Z588">
        <f>Cancer_doubles_final2[[#This Row],[mlp_test_acc2]]</f>
        <v>0.9396853146853148</v>
      </c>
    </row>
    <row r="589" spans="1:26" hidden="1" x14ac:dyDescent="0.25">
      <c r="A589" t="s">
        <v>19</v>
      </c>
      <c r="B589">
        <v>5</v>
      </c>
      <c r="C589">
        <v>3</v>
      </c>
      <c r="D589">
        <v>0</v>
      </c>
      <c r="E589" t="s">
        <v>225</v>
      </c>
      <c r="F589">
        <v>24488</v>
      </c>
      <c r="G589">
        <v>56828333.916666672</v>
      </c>
      <c r="H589">
        <v>0.97377621630827593</v>
      </c>
      <c r="I589">
        <v>0.93881118881118886</v>
      </c>
      <c r="J589">
        <v>10315655.666666668</v>
      </c>
      <c r="K589">
        <v>39470</v>
      </c>
      <c r="L589">
        <v>2</v>
      </c>
      <c r="M589">
        <v>132</v>
      </c>
      <c r="N589">
        <v>0.9364801864801866</v>
      </c>
      <c r="O589">
        <v>10115000.666666666</v>
      </c>
      <c r="P589">
        <v>40035</v>
      </c>
      <c r="Q589">
        <v>2</v>
      </c>
      <c r="R589">
        <v>133</v>
      </c>
      <c r="S589" t="s">
        <v>525</v>
      </c>
      <c r="W589">
        <f>Cancer_doubles_final2[[#This Row],[mlp_params]]</f>
        <v>39470</v>
      </c>
      <c r="X589">
        <f>Cancer_doubles_final2[[#This Row],[kan_test_acc]]</f>
        <v>0.97377621630827593</v>
      </c>
      <c r="Y589">
        <f>Cancer_doubles_final2[[#This Row],[mlp_test_acc]]</f>
        <v>0.93881118881118886</v>
      </c>
      <c r="Z589">
        <f>Cancer_doubles_final2[[#This Row],[mlp_test_acc2]]</f>
        <v>0.9364801864801866</v>
      </c>
    </row>
    <row r="590" spans="1:26" x14ac:dyDescent="0.25">
      <c r="A590" t="s">
        <v>19</v>
      </c>
      <c r="B590">
        <v>3</v>
      </c>
      <c r="C590">
        <v>5</v>
      </c>
      <c r="D590">
        <v>0</v>
      </c>
      <c r="E590" t="s">
        <v>225</v>
      </c>
      <c r="F590">
        <v>24488</v>
      </c>
      <c r="G590">
        <v>53536196.666666672</v>
      </c>
      <c r="H590">
        <v>0.9548368205626806</v>
      </c>
      <c r="I590">
        <v>0.94085081585081587</v>
      </c>
      <c r="J590">
        <v>10914630.625</v>
      </c>
      <c r="K590">
        <v>48365</v>
      </c>
      <c r="L590">
        <v>2</v>
      </c>
      <c r="M590">
        <v>147</v>
      </c>
      <c r="N590">
        <v>0.93997668997669004</v>
      </c>
      <c r="O590">
        <v>11050915.166666666</v>
      </c>
      <c r="P590">
        <v>48990</v>
      </c>
      <c r="Q590">
        <v>2</v>
      </c>
      <c r="R590">
        <v>148</v>
      </c>
      <c r="S590" t="s">
        <v>524</v>
      </c>
      <c r="W590">
        <f>Cancer_doubles_final2[[#This Row],[mlp_params]]</f>
        <v>48365</v>
      </c>
      <c r="X590">
        <f>Cancer_doubles_final2[[#This Row],[kan_test_acc]]</f>
        <v>0.9548368205626806</v>
      </c>
      <c r="Y590">
        <f>Cancer_doubles_final2[[#This Row],[mlp_test_acc]]</f>
        <v>0.94085081585081587</v>
      </c>
      <c r="Z590">
        <f>Cancer_doubles_final2[[#This Row],[mlp_test_acc2]]</f>
        <v>0.93997668997669004</v>
      </c>
    </row>
    <row r="591" spans="1:26" hidden="1" x14ac:dyDescent="0.25">
      <c r="A591" t="s">
        <v>19</v>
      </c>
      <c r="B591">
        <v>5</v>
      </c>
      <c r="C591">
        <v>3</v>
      </c>
      <c r="D591">
        <v>0</v>
      </c>
      <c r="E591" t="s">
        <v>225</v>
      </c>
      <c r="F591">
        <v>24488</v>
      </c>
      <c r="G591">
        <v>53773686.416666672</v>
      </c>
      <c r="H591">
        <v>0.93618881205717719</v>
      </c>
      <c r="I591">
        <v>0.91695804195804198</v>
      </c>
      <c r="J591">
        <v>9874296.4166666679</v>
      </c>
      <c r="K591">
        <v>39470</v>
      </c>
      <c r="L591">
        <v>2</v>
      </c>
      <c r="M591">
        <v>132</v>
      </c>
      <c r="N591">
        <v>0.9216200466200466</v>
      </c>
      <c r="O591">
        <v>10812807.541666666</v>
      </c>
      <c r="P591">
        <v>40035</v>
      </c>
      <c r="Q591">
        <v>2</v>
      </c>
      <c r="R591">
        <v>133</v>
      </c>
      <c r="S591" t="s">
        <v>525</v>
      </c>
      <c r="W591">
        <f>Cancer_doubles_final2[[#This Row],[mlp_params]]</f>
        <v>39470</v>
      </c>
      <c r="X591">
        <f>Cancer_doubles_final2[[#This Row],[kan_test_acc]]</f>
        <v>0.93618881205717719</v>
      </c>
      <c r="Y591">
        <f>Cancer_doubles_final2[[#This Row],[mlp_test_acc]]</f>
        <v>0.91695804195804198</v>
      </c>
      <c r="Z591">
        <f>Cancer_doubles_final2[[#This Row],[mlp_test_acc2]]</f>
        <v>0.9216200466200466</v>
      </c>
    </row>
    <row r="592" spans="1:26" hidden="1" x14ac:dyDescent="0.25">
      <c r="A592" t="s">
        <v>19</v>
      </c>
      <c r="B592">
        <v>3</v>
      </c>
      <c r="C592">
        <v>2</v>
      </c>
      <c r="D592">
        <v>0</v>
      </c>
      <c r="E592" t="s">
        <v>526</v>
      </c>
      <c r="F592">
        <v>24538</v>
      </c>
      <c r="G592">
        <v>50181796.875</v>
      </c>
      <c r="H592">
        <v>0.95862470815579093</v>
      </c>
      <c r="I592">
        <v>0.9216200466200466</v>
      </c>
      <c r="J592">
        <v>8486571.25</v>
      </c>
      <c r="K592">
        <v>39470</v>
      </c>
      <c r="L592">
        <v>2</v>
      </c>
      <c r="M592">
        <v>132</v>
      </c>
      <c r="N592">
        <v>0.92278554778554778</v>
      </c>
      <c r="O592">
        <v>9181900.4583333321</v>
      </c>
      <c r="P592">
        <v>40035</v>
      </c>
      <c r="Q592">
        <v>2</v>
      </c>
      <c r="R592">
        <v>133</v>
      </c>
      <c r="S592" t="s">
        <v>527</v>
      </c>
      <c r="W592">
        <f>Cancer_doubles_final2[[#This Row],[mlp_params]]</f>
        <v>39470</v>
      </c>
      <c r="X592">
        <f>Cancer_doubles_final2[[#This Row],[kan_test_acc]]</f>
        <v>0.95862470815579093</v>
      </c>
      <c r="Y592">
        <f>Cancer_doubles_final2[[#This Row],[mlp_test_acc]]</f>
        <v>0.9216200466200466</v>
      </c>
      <c r="Z592">
        <f>Cancer_doubles_final2[[#This Row],[mlp_test_acc2]]</f>
        <v>0.92278554778554778</v>
      </c>
    </row>
    <row r="593" spans="1:26" hidden="1" x14ac:dyDescent="0.25">
      <c r="A593" t="s">
        <v>19</v>
      </c>
      <c r="B593">
        <v>3</v>
      </c>
      <c r="C593">
        <v>4</v>
      </c>
      <c r="D593">
        <v>0</v>
      </c>
      <c r="E593" t="s">
        <v>290</v>
      </c>
      <c r="F593">
        <v>24554</v>
      </c>
      <c r="G593">
        <v>38832642.916666672</v>
      </c>
      <c r="H593">
        <v>0.96173270874553252</v>
      </c>
      <c r="I593">
        <v>0.94638694638694632</v>
      </c>
      <c r="J593">
        <v>9133239.805555556</v>
      </c>
      <c r="K593">
        <v>46514</v>
      </c>
      <c r="L593">
        <v>2</v>
      </c>
      <c r="M593">
        <v>144</v>
      </c>
      <c r="N593">
        <v>0.94327894327894335</v>
      </c>
      <c r="O593">
        <v>9044800.777777778</v>
      </c>
      <c r="P593">
        <v>47127</v>
      </c>
      <c r="Q593">
        <v>2</v>
      </c>
      <c r="R593">
        <v>145</v>
      </c>
      <c r="S593" t="s">
        <v>528</v>
      </c>
      <c r="W593">
        <f>Cancer_doubles_final2[[#This Row],[mlp_params]]</f>
        <v>46514</v>
      </c>
      <c r="X593">
        <f>Cancer_doubles_final2[[#This Row],[kan_test_acc]]</f>
        <v>0.96173270874553252</v>
      </c>
      <c r="Y593">
        <f>Cancer_doubles_final2[[#This Row],[mlp_test_acc]]</f>
        <v>0.94638694638694632</v>
      </c>
      <c r="Z593">
        <f>Cancer_doubles_final2[[#This Row],[mlp_test_acc2]]</f>
        <v>0.94327894327894335</v>
      </c>
    </row>
    <row r="594" spans="1:26" hidden="1" x14ac:dyDescent="0.25">
      <c r="A594" t="s">
        <v>19</v>
      </c>
      <c r="B594">
        <v>5</v>
      </c>
      <c r="C594">
        <v>2</v>
      </c>
      <c r="D594">
        <v>0</v>
      </c>
      <c r="E594" t="s">
        <v>290</v>
      </c>
      <c r="F594">
        <v>24554</v>
      </c>
      <c r="G594">
        <v>28226008.5</v>
      </c>
      <c r="H594">
        <v>0.96969696631034208</v>
      </c>
      <c r="I594">
        <v>0.94318181818181812</v>
      </c>
      <c r="J594">
        <v>9124529.2083333321</v>
      </c>
      <c r="K594">
        <v>36705</v>
      </c>
      <c r="L594">
        <v>2</v>
      </c>
      <c r="M594">
        <v>127</v>
      </c>
      <c r="N594">
        <v>0.93997668997668993</v>
      </c>
      <c r="O594">
        <v>9362481.625</v>
      </c>
      <c r="P594">
        <v>37250</v>
      </c>
      <c r="Q594">
        <v>2</v>
      </c>
      <c r="R594">
        <v>128</v>
      </c>
      <c r="S594" t="s">
        <v>529</v>
      </c>
      <c r="W594">
        <f>Cancer_doubles_final2[[#This Row],[mlp_params]]</f>
        <v>36705</v>
      </c>
      <c r="X594">
        <f>Cancer_doubles_final2[[#This Row],[kan_test_acc]]</f>
        <v>0.96969696631034208</v>
      </c>
      <c r="Y594">
        <f>Cancer_doubles_final2[[#This Row],[mlp_test_acc]]</f>
        <v>0.94318181818181812</v>
      </c>
      <c r="Z594">
        <f>Cancer_doubles_final2[[#This Row],[mlp_test_acc2]]</f>
        <v>0.93997668997668993</v>
      </c>
    </row>
    <row r="595" spans="1:26" hidden="1" x14ac:dyDescent="0.25">
      <c r="A595" t="s">
        <v>19</v>
      </c>
      <c r="B595">
        <v>3</v>
      </c>
      <c r="C595">
        <v>4</v>
      </c>
      <c r="D595">
        <v>0</v>
      </c>
      <c r="E595" t="s">
        <v>290</v>
      </c>
      <c r="F595">
        <v>24554</v>
      </c>
      <c r="G595">
        <v>28223891.583333336</v>
      </c>
      <c r="H595">
        <v>0.96940558900435758</v>
      </c>
      <c r="I595">
        <v>0.93181818181818188</v>
      </c>
      <c r="J595">
        <v>9300408.8333333321</v>
      </c>
      <c r="K595">
        <v>46514</v>
      </c>
      <c r="L595">
        <v>2</v>
      </c>
      <c r="M595">
        <v>144</v>
      </c>
      <c r="N595">
        <v>0.92599067599067597</v>
      </c>
      <c r="O595">
        <v>9475803.6666666679</v>
      </c>
      <c r="P595">
        <v>47127</v>
      </c>
      <c r="Q595">
        <v>2</v>
      </c>
      <c r="R595">
        <v>145</v>
      </c>
      <c r="S595" t="s">
        <v>528</v>
      </c>
      <c r="W595">
        <f>Cancer_doubles_final2[[#This Row],[mlp_params]]</f>
        <v>46514</v>
      </c>
      <c r="X595">
        <f>Cancer_doubles_final2[[#This Row],[kan_test_acc]]</f>
        <v>0.96940558900435758</v>
      </c>
      <c r="Y595">
        <f>Cancer_doubles_final2[[#This Row],[mlp_test_acc]]</f>
        <v>0.93181818181818188</v>
      </c>
      <c r="Z595">
        <f>Cancer_doubles_final2[[#This Row],[mlp_test_acc2]]</f>
        <v>0.92599067599067597</v>
      </c>
    </row>
    <row r="596" spans="1:26" hidden="1" x14ac:dyDescent="0.25">
      <c r="A596" t="s">
        <v>19</v>
      </c>
      <c r="B596">
        <v>5</v>
      </c>
      <c r="C596">
        <v>2</v>
      </c>
      <c r="D596">
        <v>0</v>
      </c>
      <c r="E596" t="s">
        <v>290</v>
      </c>
      <c r="F596">
        <v>24554</v>
      </c>
      <c r="G596">
        <v>27760777.125</v>
      </c>
      <c r="H596">
        <v>0.95804195354382193</v>
      </c>
      <c r="I596">
        <v>0.90967365967365965</v>
      </c>
      <c r="J596">
        <v>8427087.791666666</v>
      </c>
      <c r="K596">
        <v>36705</v>
      </c>
      <c r="L596">
        <v>2</v>
      </c>
      <c r="M596">
        <v>127</v>
      </c>
      <c r="N596">
        <v>0.90005827505827507</v>
      </c>
      <c r="O596">
        <v>7719494.208333334</v>
      </c>
      <c r="P596">
        <v>37250</v>
      </c>
      <c r="Q596">
        <v>2</v>
      </c>
      <c r="R596">
        <v>128</v>
      </c>
      <c r="S596" t="s">
        <v>529</v>
      </c>
      <c r="W596">
        <f>Cancer_doubles_final2[[#This Row],[mlp_params]]</f>
        <v>36705</v>
      </c>
      <c r="X596">
        <f>Cancer_doubles_final2[[#This Row],[kan_test_acc]]</f>
        <v>0.95804195354382193</v>
      </c>
      <c r="Y596">
        <f>Cancer_doubles_final2[[#This Row],[mlp_test_acc]]</f>
        <v>0.90967365967365965</v>
      </c>
      <c r="Z596">
        <f>Cancer_doubles_final2[[#This Row],[mlp_test_acc2]]</f>
        <v>0.90005827505827507</v>
      </c>
    </row>
    <row r="597" spans="1:26" hidden="1" x14ac:dyDescent="0.25">
      <c r="A597" t="s">
        <v>19</v>
      </c>
      <c r="B597">
        <v>3</v>
      </c>
      <c r="C597">
        <v>2</v>
      </c>
      <c r="D597">
        <v>0</v>
      </c>
      <c r="E597" t="s">
        <v>530</v>
      </c>
      <c r="F597">
        <v>24568</v>
      </c>
      <c r="G597">
        <v>33633070.125</v>
      </c>
      <c r="H597">
        <v>0.96037295709053672</v>
      </c>
      <c r="I597">
        <v>0.9216200466200466</v>
      </c>
      <c r="J597">
        <v>7416480.125</v>
      </c>
      <c r="K597">
        <v>39470</v>
      </c>
      <c r="L597">
        <v>2</v>
      </c>
      <c r="M597">
        <v>132</v>
      </c>
      <c r="N597">
        <v>0.9131701631701632</v>
      </c>
      <c r="O597">
        <v>7939782.083333334</v>
      </c>
      <c r="P597">
        <v>40035</v>
      </c>
      <c r="Q597">
        <v>2</v>
      </c>
      <c r="R597">
        <v>133</v>
      </c>
      <c r="S597" t="s">
        <v>531</v>
      </c>
      <c r="W597">
        <f>Cancer_doubles_final2[[#This Row],[mlp_params]]</f>
        <v>39470</v>
      </c>
      <c r="X597">
        <f>Cancer_doubles_final2[[#This Row],[kan_test_acc]]</f>
        <v>0.96037295709053672</v>
      </c>
      <c r="Y597">
        <f>Cancer_doubles_final2[[#This Row],[mlp_test_acc]]</f>
        <v>0.9216200466200466</v>
      </c>
      <c r="Z597">
        <f>Cancer_doubles_final2[[#This Row],[mlp_test_acc2]]</f>
        <v>0.9131701631701632</v>
      </c>
    </row>
    <row r="598" spans="1:26" hidden="1" x14ac:dyDescent="0.25">
      <c r="A598" t="s">
        <v>19</v>
      </c>
      <c r="B598">
        <v>9</v>
      </c>
      <c r="C598">
        <v>4</v>
      </c>
      <c r="D598">
        <v>0</v>
      </c>
      <c r="E598" t="s">
        <v>106</v>
      </c>
      <c r="F598">
        <v>24626</v>
      </c>
      <c r="G598">
        <v>33768038.388888888</v>
      </c>
      <c r="H598">
        <v>0.95396270189020371</v>
      </c>
      <c r="I598">
        <v>0.95221445221445222</v>
      </c>
      <c r="J598">
        <v>8581104.694444444</v>
      </c>
      <c r="K598">
        <v>38352</v>
      </c>
      <c r="L598">
        <v>2</v>
      </c>
      <c r="M598">
        <v>130</v>
      </c>
      <c r="N598">
        <v>0.95182595182595187</v>
      </c>
      <c r="O598">
        <v>9033442.055555556</v>
      </c>
      <c r="P598">
        <v>38909</v>
      </c>
      <c r="Q598">
        <v>2</v>
      </c>
      <c r="R598">
        <v>131</v>
      </c>
      <c r="S598" t="s">
        <v>532</v>
      </c>
      <c r="W598">
        <f>Cancer_doubles_final2[[#This Row],[mlp_params]]</f>
        <v>38352</v>
      </c>
      <c r="X598">
        <f>Cancer_doubles_final2[[#This Row],[kan_test_acc]]</f>
        <v>0.95396270189020371</v>
      </c>
      <c r="Y598">
        <f>Cancer_doubles_final2[[#This Row],[mlp_test_acc]]</f>
        <v>0.95221445221445222</v>
      </c>
      <c r="Z598">
        <f>Cancer_doubles_final2[[#This Row],[mlp_test_acc2]]</f>
        <v>0.95182595182595187</v>
      </c>
    </row>
    <row r="599" spans="1:26" hidden="1" x14ac:dyDescent="0.25">
      <c r="A599" t="s">
        <v>19</v>
      </c>
      <c r="B599">
        <v>3</v>
      </c>
      <c r="C599">
        <v>3</v>
      </c>
      <c r="D599">
        <v>0</v>
      </c>
      <c r="E599" t="s">
        <v>393</v>
      </c>
      <c r="F599">
        <v>24638</v>
      </c>
      <c r="G599">
        <v>36525505.666666664</v>
      </c>
      <c r="H599">
        <v>0.96561771382888151</v>
      </c>
      <c r="I599">
        <v>0.95629370629370625</v>
      </c>
      <c r="J599">
        <v>8591484.875</v>
      </c>
      <c r="K599">
        <v>43509</v>
      </c>
      <c r="L599">
        <v>2</v>
      </c>
      <c r="M599">
        <v>139</v>
      </c>
      <c r="N599">
        <v>0.95949883449883455</v>
      </c>
      <c r="O599">
        <v>9917790.041666666</v>
      </c>
      <c r="P599">
        <v>44102</v>
      </c>
      <c r="Q599">
        <v>2</v>
      </c>
      <c r="R599">
        <v>140</v>
      </c>
      <c r="S599" t="s">
        <v>533</v>
      </c>
      <c r="W599">
        <f>Cancer_doubles_final2[[#This Row],[mlp_params]]</f>
        <v>43509</v>
      </c>
      <c r="X599">
        <f>Cancer_doubles_final2[[#This Row],[kan_test_acc]]</f>
        <v>0.96561771382888151</v>
      </c>
      <c r="Y599">
        <f>Cancer_doubles_final2[[#This Row],[mlp_test_acc]]</f>
        <v>0.95629370629370625</v>
      </c>
      <c r="Z599">
        <f>Cancer_doubles_final2[[#This Row],[mlp_test_acc2]]</f>
        <v>0.95949883449883455</v>
      </c>
    </row>
    <row r="600" spans="1:26" hidden="1" x14ac:dyDescent="0.25">
      <c r="A600" t="s">
        <v>19</v>
      </c>
      <c r="B600">
        <v>3</v>
      </c>
      <c r="C600">
        <v>4</v>
      </c>
      <c r="D600">
        <v>0</v>
      </c>
      <c r="E600" t="s">
        <v>293</v>
      </c>
      <c r="F600">
        <v>24638</v>
      </c>
      <c r="G600">
        <v>41128468.583333328</v>
      </c>
      <c r="H600">
        <v>0.97843822340170539</v>
      </c>
      <c r="I600">
        <v>0.94784382284382285</v>
      </c>
      <c r="J600">
        <v>8483216.4583333321</v>
      </c>
      <c r="K600">
        <v>46514</v>
      </c>
      <c r="L600">
        <v>2</v>
      </c>
      <c r="M600">
        <v>144</v>
      </c>
      <c r="N600">
        <v>0.94784382284382285</v>
      </c>
      <c r="O600">
        <v>9366989.2083333321</v>
      </c>
      <c r="P600">
        <v>47127</v>
      </c>
      <c r="Q600">
        <v>2</v>
      </c>
      <c r="R600">
        <v>145</v>
      </c>
      <c r="S600" t="s">
        <v>534</v>
      </c>
      <c r="W600">
        <f>Cancer_doubles_final2[[#This Row],[mlp_params]]</f>
        <v>46514</v>
      </c>
      <c r="X600">
        <f>Cancer_doubles_final2[[#This Row],[kan_test_acc]]</f>
        <v>0.97843822340170539</v>
      </c>
      <c r="Y600">
        <f>Cancer_doubles_final2[[#This Row],[mlp_test_acc]]</f>
        <v>0.94784382284382285</v>
      </c>
      <c r="Z600">
        <f>Cancer_doubles_final2[[#This Row],[mlp_test_acc2]]</f>
        <v>0.94784382284382285</v>
      </c>
    </row>
    <row r="601" spans="1:26" hidden="1" x14ac:dyDescent="0.25">
      <c r="A601" t="s">
        <v>19</v>
      </c>
      <c r="B601">
        <v>5</v>
      </c>
      <c r="C601">
        <v>2</v>
      </c>
      <c r="D601">
        <v>0</v>
      </c>
      <c r="E601" t="s">
        <v>293</v>
      </c>
      <c r="F601">
        <v>24638</v>
      </c>
      <c r="G601">
        <v>36123910.416666664</v>
      </c>
      <c r="H601">
        <v>0.97465034325917554</v>
      </c>
      <c r="I601">
        <v>0.94522144522144524</v>
      </c>
      <c r="J601">
        <v>8438197.75</v>
      </c>
      <c r="K601">
        <v>36705</v>
      </c>
      <c r="L601">
        <v>2</v>
      </c>
      <c r="M601">
        <v>127</v>
      </c>
      <c r="N601">
        <v>0.94230769230769229</v>
      </c>
      <c r="O601">
        <v>9194964.4583333321</v>
      </c>
      <c r="P601">
        <v>37250</v>
      </c>
      <c r="Q601">
        <v>2</v>
      </c>
      <c r="R601">
        <v>128</v>
      </c>
      <c r="S601" t="s">
        <v>535</v>
      </c>
      <c r="W601">
        <f>Cancer_doubles_final2[[#This Row],[mlp_params]]</f>
        <v>36705</v>
      </c>
      <c r="X601">
        <f>Cancer_doubles_final2[[#This Row],[kan_test_acc]]</f>
        <v>0.97465034325917554</v>
      </c>
      <c r="Y601">
        <f>Cancer_doubles_final2[[#This Row],[mlp_test_acc]]</f>
        <v>0.94522144522144524</v>
      </c>
      <c r="Z601">
        <f>Cancer_doubles_final2[[#This Row],[mlp_test_acc2]]</f>
        <v>0.94230769230769229</v>
      </c>
    </row>
    <row r="602" spans="1:26" hidden="1" x14ac:dyDescent="0.25">
      <c r="A602" t="s">
        <v>19</v>
      </c>
      <c r="B602">
        <v>3</v>
      </c>
      <c r="C602">
        <v>3</v>
      </c>
      <c r="D602">
        <v>0</v>
      </c>
      <c r="E602" t="s">
        <v>393</v>
      </c>
      <c r="F602">
        <v>24638</v>
      </c>
      <c r="G602">
        <v>35892841.875</v>
      </c>
      <c r="H602">
        <v>0.96008157730102539</v>
      </c>
      <c r="I602">
        <v>0.94026806526806528</v>
      </c>
      <c r="J602">
        <v>9319831.4583333321</v>
      </c>
      <c r="K602">
        <v>43509</v>
      </c>
      <c r="L602">
        <v>2</v>
      </c>
      <c r="M602">
        <v>139</v>
      </c>
      <c r="N602">
        <v>0.93968531468531469</v>
      </c>
      <c r="O602">
        <v>9632464.5</v>
      </c>
      <c r="P602">
        <v>44102</v>
      </c>
      <c r="Q602">
        <v>2</v>
      </c>
      <c r="R602">
        <v>140</v>
      </c>
      <c r="S602" t="s">
        <v>533</v>
      </c>
      <c r="W602">
        <f>Cancer_doubles_final2[[#This Row],[mlp_params]]</f>
        <v>43509</v>
      </c>
      <c r="X602">
        <f>Cancer_doubles_final2[[#This Row],[kan_test_acc]]</f>
        <v>0.96008157730102539</v>
      </c>
      <c r="Y602">
        <f>Cancer_doubles_final2[[#This Row],[mlp_test_acc]]</f>
        <v>0.94026806526806528</v>
      </c>
      <c r="Z602">
        <f>Cancer_doubles_final2[[#This Row],[mlp_test_acc2]]</f>
        <v>0.93968531468531469</v>
      </c>
    </row>
    <row r="603" spans="1:26" hidden="1" x14ac:dyDescent="0.25">
      <c r="A603" t="s">
        <v>19</v>
      </c>
      <c r="B603">
        <v>3</v>
      </c>
      <c r="C603">
        <v>4</v>
      </c>
      <c r="D603">
        <v>0</v>
      </c>
      <c r="E603" t="s">
        <v>293</v>
      </c>
      <c r="F603">
        <v>24638</v>
      </c>
      <c r="G603">
        <v>34524737.708333336</v>
      </c>
      <c r="H603">
        <v>0.96445220708847046</v>
      </c>
      <c r="I603">
        <v>0.93473193473193472</v>
      </c>
      <c r="J603">
        <v>9419536.8333333321</v>
      </c>
      <c r="K603">
        <v>46514</v>
      </c>
      <c r="L603">
        <v>2</v>
      </c>
      <c r="M603">
        <v>144</v>
      </c>
      <c r="N603">
        <v>0.93269230769230771</v>
      </c>
      <c r="O603">
        <v>9324085.25</v>
      </c>
      <c r="P603">
        <v>47127</v>
      </c>
      <c r="Q603">
        <v>2</v>
      </c>
      <c r="R603">
        <v>145</v>
      </c>
      <c r="S603" t="s">
        <v>534</v>
      </c>
      <c r="W603">
        <f>Cancer_doubles_final2[[#This Row],[mlp_params]]</f>
        <v>46514</v>
      </c>
      <c r="X603">
        <f>Cancer_doubles_final2[[#This Row],[kan_test_acc]]</f>
        <v>0.96445220708847046</v>
      </c>
      <c r="Y603">
        <f>Cancer_doubles_final2[[#This Row],[mlp_test_acc]]</f>
        <v>0.93473193473193472</v>
      </c>
      <c r="Z603">
        <f>Cancer_doubles_final2[[#This Row],[mlp_test_acc2]]</f>
        <v>0.93269230769230771</v>
      </c>
    </row>
    <row r="604" spans="1:26" hidden="1" x14ac:dyDescent="0.25">
      <c r="A604" t="s">
        <v>19</v>
      </c>
      <c r="B604">
        <v>5</v>
      </c>
      <c r="C604">
        <v>2</v>
      </c>
      <c r="D604">
        <v>0</v>
      </c>
      <c r="E604" t="s">
        <v>293</v>
      </c>
      <c r="F604">
        <v>24638</v>
      </c>
      <c r="G604">
        <v>30835269.583333336</v>
      </c>
      <c r="H604">
        <v>0.97494171311457944</v>
      </c>
      <c r="I604">
        <v>0.93735431235431232</v>
      </c>
      <c r="J604">
        <v>8251090.375</v>
      </c>
      <c r="K604">
        <v>36705</v>
      </c>
      <c r="L604">
        <v>2</v>
      </c>
      <c r="M604">
        <v>127</v>
      </c>
      <c r="N604">
        <v>0.93210955710955712</v>
      </c>
      <c r="O604">
        <v>9255767.666666666</v>
      </c>
      <c r="P604">
        <v>37250</v>
      </c>
      <c r="Q604">
        <v>2</v>
      </c>
      <c r="R604">
        <v>128</v>
      </c>
      <c r="S604" t="s">
        <v>535</v>
      </c>
      <c r="W604">
        <f>Cancer_doubles_final2[[#This Row],[mlp_params]]</f>
        <v>36705</v>
      </c>
      <c r="X604">
        <f>Cancer_doubles_final2[[#This Row],[kan_test_acc]]</f>
        <v>0.97494171311457944</v>
      </c>
      <c r="Y604">
        <f>Cancer_doubles_final2[[#This Row],[mlp_test_acc]]</f>
        <v>0.93735431235431232</v>
      </c>
      <c r="Z604">
        <f>Cancer_doubles_final2[[#This Row],[mlp_test_acc2]]</f>
        <v>0.93210955710955712</v>
      </c>
    </row>
    <row r="605" spans="1:26" hidden="1" x14ac:dyDescent="0.25">
      <c r="A605" t="s">
        <v>19</v>
      </c>
      <c r="B605">
        <v>5</v>
      </c>
      <c r="C605">
        <v>4</v>
      </c>
      <c r="D605">
        <v>0</v>
      </c>
      <c r="E605" t="s">
        <v>189</v>
      </c>
      <c r="F605">
        <v>24642</v>
      </c>
      <c r="G605">
        <v>35145320.833333328</v>
      </c>
      <c r="H605">
        <v>0.96649183332920074</v>
      </c>
      <c r="I605">
        <v>0.94580419580419572</v>
      </c>
      <c r="J605">
        <v>9198409.25</v>
      </c>
      <c r="K605">
        <v>42920</v>
      </c>
      <c r="L605">
        <v>2</v>
      </c>
      <c r="M605">
        <v>138</v>
      </c>
      <c r="N605">
        <v>0.94988344988344986</v>
      </c>
      <c r="O605">
        <v>10183175.75</v>
      </c>
      <c r="P605">
        <v>43509</v>
      </c>
      <c r="Q605">
        <v>2</v>
      </c>
      <c r="R605">
        <v>139</v>
      </c>
      <c r="S605" t="s">
        <v>536</v>
      </c>
      <c r="W605">
        <f>Cancer_doubles_final2[[#This Row],[mlp_params]]</f>
        <v>42920</v>
      </c>
      <c r="X605">
        <f>Cancer_doubles_final2[[#This Row],[kan_test_acc]]</f>
        <v>0.96649183332920074</v>
      </c>
      <c r="Y605">
        <f>Cancer_doubles_final2[[#This Row],[mlp_test_acc]]</f>
        <v>0.94580419580419572</v>
      </c>
      <c r="Z605">
        <f>Cancer_doubles_final2[[#This Row],[mlp_test_acc2]]</f>
        <v>0.94988344988344986</v>
      </c>
    </row>
    <row r="606" spans="1:26" hidden="1" x14ac:dyDescent="0.25">
      <c r="A606" t="s">
        <v>19</v>
      </c>
      <c r="B606">
        <v>3</v>
      </c>
      <c r="C606">
        <v>4</v>
      </c>
      <c r="D606">
        <v>0</v>
      </c>
      <c r="E606" t="s">
        <v>296</v>
      </c>
      <c r="F606">
        <v>24676</v>
      </c>
      <c r="G606">
        <v>38289029.583333336</v>
      </c>
      <c r="H606">
        <v>0.96051864574352908</v>
      </c>
      <c r="I606">
        <v>0.93997668997668993</v>
      </c>
      <c r="J606">
        <v>9326116.75</v>
      </c>
      <c r="K606">
        <v>46514</v>
      </c>
      <c r="L606">
        <v>2</v>
      </c>
      <c r="M606">
        <v>144</v>
      </c>
      <c r="N606">
        <v>0.94696969696969702</v>
      </c>
      <c r="O606">
        <v>9717585.291666666</v>
      </c>
      <c r="P606">
        <v>47127</v>
      </c>
      <c r="Q606">
        <v>2</v>
      </c>
      <c r="R606">
        <v>145</v>
      </c>
      <c r="S606" t="s">
        <v>537</v>
      </c>
      <c r="W606">
        <f>Cancer_doubles_final2[[#This Row],[mlp_params]]</f>
        <v>46514</v>
      </c>
      <c r="X606">
        <f>Cancer_doubles_final2[[#This Row],[kan_test_acc]]</f>
        <v>0.96051864574352908</v>
      </c>
      <c r="Y606">
        <f>Cancer_doubles_final2[[#This Row],[mlp_test_acc]]</f>
        <v>0.93997668997668993</v>
      </c>
      <c r="Z606">
        <f>Cancer_doubles_final2[[#This Row],[mlp_test_acc2]]</f>
        <v>0.94696969696969702</v>
      </c>
    </row>
    <row r="607" spans="1:26" hidden="1" x14ac:dyDescent="0.25">
      <c r="A607" t="s">
        <v>19</v>
      </c>
      <c r="B607">
        <v>5</v>
      </c>
      <c r="C607">
        <v>2</v>
      </c>
      <c r="D607">
        <v>0</v>
      </c>
      <c r="E607" t="s">
        <v>296</v>
      </c>
      <c r="F607">
        <v>24676</v>
      </c>
      <c r="G607">
        <v>37824211.333333328</v>
      </c>
      <c r="H607">
        <v>0.96882283935944247</v>
      </c>
      <c r="I607">
        <v>0.93851981351981351</v>
      </c>
      <c r="J607">
        <v>8617782.0833333321</v>
      </c>
      <c r="K607">
        <v>36705</v>
      </c>
      <c r="L607">
        <v>2</v>
      </c>
      <c r="M607">
        <v>127</v>
      </c>
      <c r="N607">
        <v>0.9417249417249417</v>
      </c>
      <c r="O607">
        <v>9783864.0416666679</v>
      </c>
      <c r="P607">
        <v>37250</v>
      </c>
      <c r="Q607">
        <v>2</v>
      </c>
      <c r="R607">
        <v>128</v>
      </c>
      <c r="S607" t="s">
        <v>538</v>
      </c>
      <c r="W607">
        <f>Cancer_doubles_final2[[#This Row],[mlp_params]]</f>
        <v>36705</v>
      </c>
      <c r="X607">
        <f>Cancer_doubles_final2[[#This Row],[kan_test_acc]]</f>
        <v>0.96882283935944247</v>
      </c>
      <c r="Y607">
        <f>Cancer_doubles_final2[[#This Row],[mlp_test_acc]]</f>
        <v>0.93851981351981351</v>
      </c>
      <c r="Z607">
        <f>Cancer_doubles_final2[[#This Row],[mlp_test_acc2]]</f>
        <v>0.9417249417249417</v>
      </c>
    </row>
    <row r="608" spans="1:26" hidden="1" x14ac:dyDescent="0.25">
      <c r="A608" t="s">
        <v>19</v>
      </c>
      <c r="B608">
        <v>3</v>
      </c>
      <c r="C608">
        <v>4</v>
      </c>
      <c r="D608">
        <v>0</v>
      </c>
      <c r="E608" t="s">
        <v>296</v>
      </c>
      <c r="F608">
        <v>24676</v>
      </c>
      <c r="G608">
        <v>35958027.625</v>
      </c>
      <c r="H608">
        <v>0.9641608322660129</v>
      </c>
      <c r="I608">
        <v>0.9306526806526807</v>
      </c>
      <c r="J608">
        <v>8098637.166666667</v>
      </c>
      <c r="K608">
        <v>46514</v>
      </c>
      <c r="L608">
        <v>2</v>
      </c>
      <c r="M608">
        <v>144</v>
      </c>
      <c r="N608">
        <v>0.92628205128205132</v>
      </c>
      <c r="O608">
        <v>9645711.4166666679</v>
      </c>
      <c r="P608">
        <v>47127</v>
      </c>
      <c r="Q608">
        <v>2</v>
      </c>
      <c r="R608">
        <v>145</v>
      </c>
      <c r="S608" t="s">
        <v>537</v>
      </c>
      <c r="W608">
        <f>Cancer_doubles_final2[[#This Row],[mlp_params]]</f>
        <v>46514</v>
      </c>
      <c r="X608">
        <f>Cancer_doubles_final2[[#This Row],[kan_test_acc]]</f>
        <v>0.9641608322660129</v>
      </c>
      <c r="Y608">
        <f>Cancer_doubles_final2[[#This Row],[mlp_test_acc]]</f>
        <v>0.9306526806526807</v>
      </c>
      <c r="Z608">
        <f>Cancer_doubles_final2[[#This Row],[mlp_test_acc2]]</f>
        <v>0.92628205128205132</v>
      </c>
    </row>
    <row r="609" spans="1:26" hidden="1" x14ac:dyDescent="0.25">
      <c r="A609" t="s">
        <v>19</v>
      </c>
      <c r="B609">
        <v>5</v>
      </c>
      <c r="C609">
        <v>2</v>
      </c>
      <c r="D609">
        <v>0</v>
      </c>
      <c r="E609" t="s">
        <v>296</v>
      </c>
      <c r="F609">
        <v>24676</v>
      </c>
      <c r="G609">
        <v>32365993.875</v>
      </c>
      <c r="H609">
        <v>0.94959206630786253</v>
      </c>
      <c r="I609">
        <v>0.90588578088578098</v>
      </c>
      <c r="J609">
        <v>7316118.583333333</v>
      </c>
      <c r="K609">
        <v>36705</v>
      </c>
      <c r="L609">
        <v>2</v>
      </c>
      <c r="M609">
        <v>127</v>
      </c>
      <c r="N609">
        <v>0.90734265734265729</v>
      </c>
      <c r="O609">
        <v>8779869.125</v>
      </c>
      <c r="P609">
        <v>37250</v>
      </c>
      <c r="Q609">
        <v>2</v>
      </c>
      <c r="R609">
        <v>128</v>
      </c>
      <c r="S609" t="s">
        <v>538</v>
      </c>
      <c r="W609">
        <f>Cancer_doubles_final2[[#This Row],[mlp_params]]</f>
        <v>36705</v>
      </c>
      <c r="X609">
        <f>Cancer_doubles_final2[[#This Row],[kan_test_acc]]</f>
        <v>0.94959206630786253</v>
      </c>
      <c r="Y609">
        <f>Cancer_doubles_final2[[#This Row],[mlp_test_acc]]</f>
        <v>0.90588578088578098</v>
      </c>
      <c r="Z609">
        <f>Cancer_doubles_final2[[#This Row],[mlp_test_acc2]]</f>
        <v>0.90734265734265729</v>
      </c>
    </row>
    <row r="610" spans="1:26" hidden="1" x14ac:dyDescent="0.25">
      <c r="A610" t="s">
        <v>19</v>
      </c>
      <c r="B610">
        <v>5</v>
      </c>
      <c r="C610">
        <v>4</v>
      </c>
      <c r="D610">
        <v>0</v>
      </c>
      <c r="E610" t="s">
        <v>191</v>
      </c>
      <c r="F610">
        <v>24692</v>
      </c>
      <c r="G610">
        <v>32500509.791666668</v>
      </c>
      <c r="H610">
        <v>0.94609556595484412</v>
      </c>
      <c r="I610">
        <v>0.921037296037296</v>
      </c>
      <c r="J610">
        <v>8256374</v>
      </c>
      <c r="K610">
        <v>42920</v>
      </c>
      <c r="L610">
        <v>2</v>
      </c>
      <c r="M610">
        <v>138</v>
      </c>
      <c r="N610">
        <v>0.92336829836829837</v>
      </c>
      <c r="O610">
        <v>8696839.4166666679</v>
      </c>
      <c r="P610">
        <v>43509</v>
      </c>
      <c r="Q610">
        <v>2</v>
      </c>
      <c r="R610">
        <v>139</v>
      </c>
      <c r="S610" t="s">
        <v>539</v>
      </c>
      <c r="W610">
        <f>Cancer_doubles_final2[[#This Row],[mlp_params]]</f>
        <v>42920</v>
      </c>
      <c r="X610">
        <f>Cancer_doubles_final2[[#This Row],[kan_test_acc]]</f>
        <v>0.94609556595484412</v>
      </c>
      <c r="Y610">
        <f>Cancer_doubles_final2[[#This Row],[mlp_test_acc]]</f>
        <v>0.921037296037296</v>
      </c>
      <c r="Z610">
        <f>Cancer_doubles_final2[[#This Row],[mlp_test_acc2]]</f>
        <v>0.92336829836829837</v>
      </c>
    </row>
    <row r="611" spans="1:26" hidden="1" x14ac:dyDescent="0.25">
      <c r="A611" t="s">
        <v>19</v>
      </c>
      <c r="B611">
        <v>3</v>
      </c>
      <c r="C611">
        <v>3</v>
      </c>
      <c r="D611">
        <v>0</v>
      </c>
      <c r="E611" t="s">
        <v>399</v>
      </c>
      <c r="F611">
        <v>24740</v>
      </c>
      <c r="G611">
        <v>35615838.333333336</v>
      </c>
      <c r="H611">
        <v>0.95017482091983152</v>
      </c>
      <c r="I611">
        <v>0.93123543123543118</v>
      </c>
      <c r="J611">
        <v>9144906</v>
      </c>
      <c r="K611">
        <v>43509</v>
      </c>
      <c r="L611">
        <v>2</v>
      </c>
      <c r="M611">
        <v>139</v>
      </c>
      <c r="N611">
        <v>0.92613636363636365</v>
      </c>
      <c r="O611">
        <v>8725384.1875</v>
      </c>
      <c r="P611">
        <v>44102</v>
      </c>
      <c r="Q611">
        <v>2</v>
      </c>
      <c r="R611">
        <v>140</v>
      </c>
      <c r="S611" t="s">
        <v>540</v>
      </c>
      <c r="W611">
        <f>Cancer_doubles_final2[[#This Row],[mlp_params]]</f>
        <v>43509</v>
      </c>
      <c r="X611">
        <f>Cancer_doubles_final2[[#This Row],[kan_test_acc]]</f>
        <v>0.95017482091983152</v>
      </c>
      <c r="Y611">
        <f>Cancer_doubles_final2[[#This Row],[mlp_test_acc]]</f>
        <v>0.93123543123543118</v>
      </c>
      <c r="Z611">
        <f>Cancer_doubles_final2[[#This Row],[mlp_test_acc2]]</f>
        <v>0.92613636363636365</v>
      </c>
    </row>
    <row r="612" spans="1:26" x14ac:dyDescent="0.25">
      <c r="A612" t="s">
        <v>19</v>
      </c>
      <c r="B612">
        <v>3</v>
      </c>
      <c r="C612">
        <v>5</v>
      </c>
      <c r="D612">
        <v>0</v>
      </c>
      <c r="E612" t="s">
        <v>233</v>
      </c>
      <c r="F612">
        <v>24754</v>
      </c>
      <c r="G612">
        <v>45020188.361111112</v>
      </c>
      <c r="H612">
        <v>0.97785547044542098</v>
      </c>
      <c r="I612">
        <v>0.93570318570318578</v>
      </c>
      <c r="J612">
        <v>9010804.5</v>
      </c>
      <c r="K612">
        <v>48990</v>
      </c>
      <c r="L612">
        <v>2</v>
      </c>
      <c r="M612">
        <v>148</v>
      </c>
      <c r="N612">
        <v>0.93278943278943283</v>
      </c>
      <c r="O612">
        <v>8560229.25</v>
      </c>
      <c r="P612">
        <v>49619</v>
      </c>
      <c r="Q612">
        <v>2</v>
      </c>
      <c r="R612">
        <v>149</v>
      </c>
      <c r="S612" t="s">
        <v>541</v>
      </c>
      <c r="W612">
        <f>Cancer_doubles_final2[[#This Row],[mlp_params]]</f>
        <v>48990</v>
      </c>
      <c r="X612">
        <f>Cancer_doubles_final2[[#This Row],[kan_test_acc]]</f>
        <v>0.97785547044542098</v>
      </c>
      <c r="Y612">
        <f>Cancer_doubles_final2[[#This Row],[mlp_test_acc]]</f>
        <v>0.93570318570318578</v>
      </c>
      <c r="Z612">
        <f>Cancer_doubles_final2[[#This Row],[mlp_test_acc2]]</f>
        <v>0.93278943278943283</v>
      </c>
    </row>
    <row r="613" spans="1:26" hidden="1" x14ac:dyDescent="0.25">
      <c r="A613" t="s">
        <v>19</v>
      </c>
      <c r="B613">
        <v>5</v>
      </c>
      <c r="C613">
        <v>3</v>
      </c>
      <c r="D613">
        <v>0</v>
      </c>
      <c r="E613" t="s">
        <v>233</v>
      </c>
      <c r="F613">
        <v>24754</v>
      </c>
      <c r="G613">
        <v>45611253.458333336</v>
      </c>
      <c r="H613">
        <v>0.97086246560017275</v>
      </c>
      <c r="I613">
        <v>0.94026806526806528</v>
      </c>
      <c r="J613">
        <v>8196037.375</v>
      </c>
      <c r="K613">
        <v>40035</v>
      </c>
      <c r="L613">
        <v>2</v>
      </c>
      <c r="M613">
        <v>133</v>
      </c>
      <c r="N613">
        <v>0.93706293706293708</v>
      </c>
      <c r="O613">
        <v>9435607.625</v>
      </c>
      <c r="P613">
        <v>40604</v>
      </c>
      <c r="Q613">
        <v>2</v>
      </c>
      <c r="R613">
        <v>134</v>
      </c>
      <c r="S613" t="s">
        <v>542</v>
      </c>
      <c r="W613">
        <f>Cancer_doubles_final2[[#This Row],[mlp_params]]</f>
        <v>40035</v>
      </c>
      <c r="X613">
        <f>Cancer_doubles_final2[[#This Row],[kan_test_acc]]</f>
        <v>0.97086246560017275</v>
      </c>
      <c r="Y613">
        <f>Cancer_doubles_final2[[#This Row],[mlp_test_acc]]</f>
        <v>0.94026806526806528</v>
      </c>
      <c r="Z613">
        <f>Cancer_doubles_final2[[#This Row],[mlp_test_acc2]]</f>
        <v>0.93706293706293708</v>
      </c>
    </row>
    <row r="614" spans="1:26" x14ac:dyDescent="0.25">
      <c r="A614" t="s">
        <v>19</v>
      </c>
      <c r="B614">
        <v>3</v>
      </c>
      <c r="C614">
        <v>5</v>
      </c>
      <c r="D614">
        <v>0</v>
      </c>
      <c r="E614" t="s">
        <v>233</v>
      </c>
      <c r="F614">
        <v>24754</v>
      </c>
      <c r="G614">
        <v>42485188.5</v>
      </c>
      <c r="H614">
        <v>0.96008158475160599</v>
      </c>
      <c r="I614">
        <v>0.94143356643356646</v>
      </c>
      <c r="J614">
        <v>8963074.5</v>
      </c>
      <c r="K614">
        <v>48990</v>
      </c>
      <c r="L614">
        <v>2</v>
      </c>
      <c r="M614">
        <v>148</v>
      </c>
      <c r="N614">
        <v>0.93822843822843827</v>
      </c>
      <c r="O614">
        <v>10262315.208333334</v>
      </c>
      <c r="P614">
        <v>49619</v>
      </c>
      <c r="Q614">
        <v>2</v>
      </c>
      <c r="R614">
        <v>149</v>
      </c>
      <c r="S614" t="s">
        <v>541</v>
      </c>
      <c r="W614">
        <f>Cancer_doubles_final2[[#This Row],[mlp_params]]</f>
        <v>48990</v>
      </c>
      <c r="X614">
        <f>Cancer_doubles_final2[[#This Row],[kan_test_acc]]</f>
        <v>0.96008158475160599</v>
      </c>
      <c r="Y614">
        <f>Cancer_doubles_final2[[#This Row],[mlp_test_acc]]</f>
        <v>0.94143356643356646</v>
      </c>
      <c r="Z614">
        <f>Cancer_doubles_final2[[#This Row],[mlp_test_acc2]]</f>
        <v>0.93822843822843827</v>
      </c>
    </row>
    <row r="615" spans="1:26" hidden="1" x14ac:dyDescent="0.25">
      <c r="A615" t="s">
        <v>19</v>
      </c>
      <c r="B615">
        <v>5</v>
      </c>
      <c r="C615">
        <v>3</v>
      </c>
      <c r="D615">
        <v>0</v>
      </c>
      <c r="E615" t="s">
        <v>233</v>
      </c>
      <c r="F615">
        <v>24754</v>
      </c>
      <c r="G615">
        <v>39331443.291666672</v>
      </c>
      <c r="H615">
        <v>0.95833333084980654</v>
      </c>
      <c r="I615">
        <v>0.91783216783216792</v>
      </c>
      <c r="J615">
        <v>9326718.916666666</v>
      </c>
      <c r="K615">
        <v>40035</v>
      </c>
      <c r="L615">
        <v>2</v>
      </c>
      <c r="M615">
        <v>133</v>
      </c>
      <c r="N615">
        <v>0.91520979020979021</v>
      </c>
      <c r="O615">
        <v>9536383.333333334</v>
      </c>
      <c r="P615">
        <v>40604</v>
      </c>
      <c r="Q615">
        <v>2</v>
      </c>
      <c r="R615">
        <v>134</v>
      </c>
      <c r="S615" t="s">
        <v>542</v>
      </c>
      <c r="W615">
        <f>Cancer_doubles_final2[[#This Row],[mlp_params]]</f>
        <v>40035</v>
      </c>
      <c r="X615">
        <f>Cancer_doubles_final2[[#This Row],[kan_test_acc]]</f>
        <v>0.95833333084980654</v>
      </c>
      <c r="Y615">
        <f>Cancer_doubles_final2[[#This Row],[mlp_test_acc]]</f>
        <v>0.91783216783216792</v>
      </c>
      <c r="Z615">
        <f>Cancer_doubles_final2[[#This Row],[mlp_test_acc2]]</f>
        <v>0.91520979020979021</v>
      </c>
    </row>
    <row r="616" spans="1:26" x14ac:dyDescent="0.25">
      <c r="A616" t="s">
        <v>19</v>
      </c>
      <c r="B616">
        <v>3</v>
      </c>
      <c r="C616">
        <v>5</v>
      </c>
      <c r="D616">
        <v>0</v>
      </c>
      <c r="E616" t="s">
        <v>235</v>
      </c>
      <c r="F616">
        <v>24758</v>
      </c>
      <c r="G616">
        <v>36698029.833333336</v>
      </c>
      <c r="H616">
        <v>0.9664918308456738</v>
      </c>
      <c r="I616">
        <v>0.92045454545454541</v>
      </c>
      <c r="J616">
        <v>9007721.25</v>
      </c>
      <c r="K616">
        <v>48990</v>
      </c>
      <c r="L616">
        <v>2</v>
      </c>
      <c r="M616">
        <v>148</v>
      </c>
      <c r="N616">
        <v>0.91870629370629375</v>
      </c>
      <c r="O616">
        <v>8935014.875</v>
      </c>
      <c r="P616">
        <v>49619</v>
      </c>
      <c r="Q616">
        <v>2</v>
      </c>
      <c r="R616">
        <v>149</v>
      </c>
      <c r="S616" t="s">
        <v>543</v>
      </c>
      <c r="W616">
        <f>Cancer_doubles_final2[[#This Row],[mlp_params]]</f>
        <v>48990</v>
      </c>
      <c r="X616">
        <f>Cancer_doubles_final2[[#This Row],[kan_test_acc]]</f>
        <v>0.9664918308456738</v>
      </c>
      <c r="Y616">
        <f>Cancer_doubles_final2[[#This Row],[mlp_test_acc]]</f>
        <v>0.92045454545454541</v>
      </c>
      <c r="Z616">
        <f>Cancer_doubles_final2[[#This Row],[mlp_test_acc2]]</f>
        <v>0.91870629370629375</v>
      </c>
    </row>
    <row r="617" spans="1:26" hidden="1" x14ac:dyDescent="0.25">
      <c r="A617" t="s">
        <v>19</v>
      </c>
      <c r="B617">
        <v>5</v>
      </c>
      <c r="C617">
        <v>3</v>
      </c>
      <c r="D617">
        <v>0</v>
      </c>
      <c r="E617" t="s">
        <v>235</v>
      </c>
      <c r="F617">
        <v>24758</v>
      </c>
      <c r="G617">
        <v>39265205.833333328</v>
      </c>
      <c r="H617">
        <v>0.97144521276156115</v>
      </c>
      <c r="I617">
        <v>0.94201631701631705</v>
      </c>
      <c r="J617">
        <v>7647260.5</v>
      </c>
      <c r="K617">
        <v>40035</v>
      </c>
      <c r="L617">
        <v>2</v>
      </c>
      <c r="M617">
        <v>133</v>
      </c>
      <c r="N617">
        <v>0.94055944055944063</v>
      </c>
      <c r="O617">
        <v>9644981.125</v>
      </c>
      <c r="P617">
        <v>40604</v>
      </c>
      <c r="Q617">
        <v>2</v>
      </c>
      <c r="R617">
        <v>134</v>
      </c>
      <c r="S617" t="s">
        <v>544</v>
      </c>
      <c r="W617">
        <f>Cancer_doubles_final2[[#This Row],[mlp_params]]</f>
        <v>40035</v>
      </c>
      <c r="X617">
        <f>Cancer_doubles_final2[[#This Row],[kan_test_acc]]</f>
        <v>0.97144521276156115</v>
      </c>
      <c r="Y617">
        <f>Cancer_doubles_final2[[#This Row],[mlp_test_acc]]</f>
        <v>0.94201631701631705</v>
      </c>
      <c r="Z617">
        <f>Cancer_doubles_final2[[#This Row],[mlp_test_acc2]]</f>
        <v>0.94055944055944063</v>
      </c>
    </row>
    <row r="618" spans="1:26" x14ac:dyDescent="0.25">
      <c r="A618" t="s">
        <v>19</v>
      </c>
      <c r="B618">
        <v>3</v>
      </c>
      <c r="C618">
        <v>5</v>
      </c>
      <c r="D618">
        <v>0</v>
      </c>
      <c r="E618" t="s">
        <v>235</v>
      </c>
      <c r="F618">
        <v>24758</v>
      </c>
      <c r="G618">
        <v>40269550.916666664</v>
      </c>
      <c r="H618">
        <v>0.9688228418429693</v>
      </c>
      <c r="I618">
        <v>0.9306526806526807</v>
      </c>
      <c r="J618">
        <v>7394120.333333334</v>
      </c>
      <c r="K618">
        <v>48990</v>
      </c>
      <c r="L618">
        <v>2</v>
      </c>
      <c r="M618">
        <v>148</v>
      </c>
      <c r="N618">
        <v>0.93036130536130535</v>
      </c>
      <c r="O618">
        <v>8857881.5833333321</v>
      </c>
      <c r="P618">
        <v>49619</v>
      </c>
      <c r="Q618">
        <v>2</v>
      </c>
      <c r="R618">
        <v>149</v>
      </c>
      <c r="S618" t="s">
        <v>543</v>
      </c>
      <c r="W618">
        <f>Cancer_doubles_final2[[#This Row],[mlp_params]]</f>
        <v>48990</v>
      </c>
      <c r="X618">
        <f>Cancer_doubles_final2[[#This Row],[kan_test_acc]]</f>
        <v>0.9688228418429693</v>
      </c>
      <c r="Y618">
        <f>Cancer_doubles_final2[[#This Row],[mlp_test_acc]]</f>
        <v>0.9306526806526807</v>
      </c>
      <c r="Z618">
        <f>Cancer_doubles_final2[[#This Row],[mlp_test_acc2]]</f>
        <v>0.93036130536130535</v>
      </c>
    </row>
    <row r="619" spans="1:26" hidden="1" x14ac:dyDescent="0.25">
      <c r="A619" t="s">
        <v>19</v>
      </c>
      <c r="B619">
        <v>5</v>
      </c>
      <c r="C619">
        <v>3</v>
      </c>
      <c r="D619">
        <v>0</v>
      </c>
      <c r="E619" t="s">
        <v>235</v>
      </c>
      <c r="F619">
        <v>24758</v>
      </c>
      <c r="G619">
        <v>39771783.458333336</v>
      </c>
      <c r="H619">
        <v>0.95687646170457208</v>
      </c>
      <c r="I619">
        <v>0.909965034965035</v>
      </c>
      <c r="J619">
        <v>7856609.2916666679</v>
      </c>
      <c r="K619">
        <v>40035</v>
      </c>
      <c r="L619">
        <v>2</v>
      </c>
      <c r="M619">
        <v>133</v>
      </c>
      <c r="N619">
        <v>0.91229603729603737</v>
      </c>
      <c r="O619">
        <v>8097654.75</v>
      </c>
      <c r="P619">
        <v>40604</v>
      </c>
      <c r="Q619">
        <v>2</v>
      </c>
      <c r="R619">
        <v>134</v>
      </c>
      <c r="S619" t="s">
        <v>544</v>
      </c>
      <c r="W619">
        <f>Cancer_doubles_final2[[#This Row],[mlp_params]]</f>
        <v>40035</v>
      </c>
      <c r="X619">
        <f>Cancer_doubles_final2[[#This Row],[kan_test_acc]]</f>
        <v>0.95687646170457208</v>
      </c>
      <c r="Y619">
        <f>Cancer_doubles_final2[[#This Row],[mlp_test_acc]]</f>
        <v>0.909965034965035</v>
      </c>
      <c r="Z619">
        <f>Cancer_doubles_final2[[#This Row],[mlp_test_acc2]]</f>
        <v>0.91229603729603737</v>
      </c>
    </row>
    <row r="620" spans="1:26" hidden="1" x14ac:dyDescent="0.25">
      <c r="A620" t="s">
        <v>19</v>
      </c>
      <c r="B620">
        <v>3</v>
      </c>
      <c r="C620">
        <v>3</v>
      </c>
      <c r="D620">
        <v>0</v>
      </c>
      <c r="E620" t="s">
        <v>402</v>
      </c>
      <c r="F620">
        <v>24816</v>
      </c>
      <c r="G620">
        <v>37603818.333333336</v>
      </c>
      <c r="H620">
        <v>0.96153846134742105</v>
      </c>
      <c r="I620">
        <v>0.92045454545454541</v>
      </c>
      <c r="J620">
        <v>7978909.25</v>
      </c>
      <c r="K620">
        <v>43509</v>
      </c>
      <c r="L620">
        <v>2</v>
      </c>
      <c r="M620">
        <v>139</v>
      </c>
      <c r="N620">
        <v>0.92599067599067597</v>
      </c>
      <c r="O620">
        <v>8524180.75</v>
      </c>
      <c r="P620">
        <v>44102</v>
      </c>
      <c r="Q620">
        <v>2</v>
      </c>
      <c r="R620">
        <v>140</v>
      </c>
      <c r="S620" t="s">
        <v>545</v>
      </c>
      <c r="W620">
        <f>Cancer_doubles_final2[[#This Row],[mlp_params]]</f>
        <v>43509</v>
      </c>
      <c r="X620">
        <f>Cancer_doubles_final2[[#This Row],[kan_test_acc]]</f>
        <v>0.96153846134742105</v>
      </c>
      <c r="Y620">
        <f>Cancer_doubles_final2[[#This Row],[mlp_test_acc]]</f>
        <v>0.92045454545454541</v>
      </c>
      <c r="Z620">
        <f>Cancer_doubles_final2[[#This Row],[mlp_test_acc2]]</f>
        <v>0.92599067599067597</v>
      </c>
    </row>
    <row r="621" spans="1:26" x14ac:dyDescent="0.25">
      <c r="A621" t="s">
        <v>19</v>
      </c>
      <c r="B621">
        <v>3</v>
      </c>
      <c r="C621">
        <v>5</v>
      </c>
      <c r="D621">
        <v>0</v>
      </c>
      <c r="E621" t="s">
        <v>237</v>
      </c>
      <c r="F621">
        <v>24844</v>
      </c>
      <c r="G621">
        <v>42554005.638888888</v>
      </c>
      <c r="H621">
        <v>0.95959595342477166</v>
      </c>
      <c r="I621">
        <v>0.94153069153069158</v>
      </c>
      <c r="J621">
        <v>9062963.8888888881</v>
      </c>
      <c r="K621">
        <v>48990</v>
      </c>
      <c r="L621">
        <v>2</v>
      </c>
      <c r="M621">
        <v>148</v>
      </c>
      <c r="N621">
        <v>0.9442501942501943</v>
      </c>
      <c r="O621">
        <v>9717669.444444444</v>
      </c>
      <c r="P621">
        <v>49619</v>
      </c>
      <c r="Q621">
        <v>2</v>
      </c>
      <c r="R621">
        <v>149</v>
      </c>
      <c r="S621" t="s">
        <v>546</v>
      </c>
      <c r="W621">
        <f>Cancer_doubles_final2[[#This Row],[mlp_params]]</f>
        <v>48990</v>
      </c>
      <c r="X621">
        <f>Cancer_doubles_final2[[#This Row],[kan_test_acc]]</f>
        <v>0.95959595342477166</v>
      </c>
      <c r="Y621">
        <f>Cancer_doubles_final2[[#This Row],[mlp_test_acc]]</f>
        <v>0.94153069153069158</v>
      </c>
      <c r="Z621">
        <f>Cancer_doubles_final2[[#This Row],[mlp_test_acc2]]</f>
        <v>0.9442501942501943</v>
      </c>
    </row>
    <row r="622" spans="1:26" hidden="1" x14ac:dyDescent="0.25">
      <c r="A622" t="s">
        <v>19</v>
      </c>
      <c r="B622">
        <v>5</v>
      </c>
      <c r="C622">
        <v>3</v>
      </c>
      <c r="D622">
        <v>0</v>
      </c>
      <c r="E622" t="s">
        <v>237</v>
      </c>
      <c r="F622">
        <v>24844</v>
      </c>
      <c r="G622">
        <v>41579271.25</v>
      </c>
      <c r="H622">
        <v>0.96532633652289701</v>
      </c>
      <c r="I622">
        <v>0.94143356643356646</v>
      </c>
      <c r="J622">
        <v>8737520.3333333321</v>
      </c>
      <c r="K622">
        <v>40604</v>
      </c>
      <c r="L622">
        <v>2</v>
      </c>
      <c r="M622">
        <v>134</v>
      </c>
      <c r="N622">
        <v>0.93677156177156173</v>
      </c>
      <c r="O622">
        <v>9669157.458333334</v>
      </c>
      <c r="P622">
        <v>41177</v>
      </c>
      <c r="Q622">
        <v>2</v>
      </c>
      <c r="R622">
        <v>135</v>
      </c>
      <c r="S622" t="s">
        <v>547</v>
      </c>
      <c r="W622">
        <f>Cancer_doubles_final2[[#This Row],[mlp_params]]</f>
        <v>40604</v>
      </c>
      <c r="X622">
        <f>Cancer_doubles_final2[[#This Row],[kan_test_acc]]</f>
        <v>0.96532633652289701</v>
      </c>
      <c r="Y622">
        <f>Cancer_doubles_final2[[#This Row],[mlp_test_acc]]</f>
        <v>0.94143356643356646</v>
      </c>
      <c r="Z622">
        <f>Cancer_doubles_final2[[#This Row],[mlp_test_acc2]]</f>
        <v>0.93677156177156173</v>
      </c>
    </row>
    <row r="623" spans="1:26" x14ac:dyDescent="0.25">
      <c r="A623" t="s">
        <v>19</v>
      </c>
      <c r="B623">
        <v>3</v>
      </c>
      <c r="C623">
        <v>5</v>
      </c>
      <c r="D623">
        <v>0</v>
      </c>
      <c r="E623" t="s">
        <v>237</v>
      </c>
      <c r="F623">
        <v>24844</v>
      </c>
      <c r="G623">
        <v>48164170.5</v>
      </c>
      <c r="H623">
        <v>0.9577505812048912</v>
      </c>
      <c r="I623">
        <v>0.94114219114219111</v>
      </c>
      <c r="J623">
        <v>9065877.375</v>
      </c>
      <c r="K623">
        <v>48990</v>
      </c>
      <c r="L623">
        <v>2</v>
      </c>
      <c r="M623">
        <v>148</v>
      </c>
      <c r="N623">
        <v>0.93793706293706292</v>
      </c>
      <c r="O623">
        <v>9922158.208333334</v>
      </c>
      <c r="P623">
        <v>49619</v>
      </c>
      <c r="Q623">
        <v>2</v>
      </c>
      <c r="R623">
        <v>149</v>
      </c>
      <c r="S623" t="s">
        <v>546</v>
      </c>
      <c r="W623">
        <f>Cancer_doubles_final2[[#This Row],[mlp_params]]</f>
        <v>48990</v>
      </c>
      <c r="X623">
        <f>Cancer_doubles_final2[[#This Row],[kan_test_acc]]</f>
        <v>0.9577505812048912</v>
      </c>
      <c r="Y623">
        <f>Cancer_doubles_final2[[#This Row],[mlp_test_acc]]</f>
        <v>0.94114219114219111</v>
      </c>
      <c r="Z623">
        <f>Cancer_doubles_final2[[#This Row],[mlp_test_acc2]]</f>
        <v>0.93793706293706292</v>
      </c>
    </row>
    <row r="624" spans="1:26" hidden="1" x14ac:dyDescent="0.25">
      <c r="A624" t="s">
        <v>19</v>
      </c>
      <c r="B624">
        <v>5</v>
      </c>
      <c r="C624">
        <v>3</v>
      </c>
      <c r="D624">
        <v>0</v>
      </c>
      <c r="E624" t="s">
        <v>237</v>
      </c>
      <c r="F624">
        <v>24844</v>
      </c>
      <c r="G624">
        <v>48556919.958333328</v>
      </c>
      <c r="H624">
        <v>0.93968531489372253</v>
      </c>
      <c r="I624">
        <v>0.91666666666666674</v>
      </c>
      <c r="J624">
        <v>9049465.041666666</v>
      </c>
      <c r="K624">
        <v>40604</v>
      </c>
      <c r="L624">
        <v>2</v>
      </c>
      <c r="M624">
        <v>134</v>
      </c>
      <c r="N624">
        <v>0.91695804195804187</v>
      </c>
      <c r="O624">
        <v>9260737.25</v>
      </c>
      <c r="P624">
        <v>41177</v>
      </c>
      <c r="Q624">
        <v>2</v>
      </c>
      <c r="R624">
        <v>135</v>
      </c>
      <c r="S624" t="s">
        <v>547</v>
      </c>
      <c r="W624">
        <f>Cancer_doubles_final2[[#This Row],[mlp_params]]</f>
        <v>40604</v>
      </c>
      <c r="X624">
        <f>Cancer_doubles_final2[[#This Row],[kan_test_acc]]</f>
        <v>0.93968531489372253</v>
      </c>
      <c r="Y624">
        <f>Cancer_doubles_final2[[#This Row],[mlp_test_acc]]</f>
        <v>0.91666666666666674</v>
      </c>
      <c r="Z624">
        <f>Cancer_doubles_final2[[#This Row],[mlp_test_acc2]]</f>
        <v>0.91695804195804187</v>
      </c>
    </row>
    <row r="625" spans="1:26" hidden="1" x14ac:dyDescent="0.25">
      <c r="A625" t="s">
        <v>19</v>
      </c>
      <c r="B625">
        <v>3</v>
      </c>
      <c r="C625">
        <v>3</v>
      </c>
      <c r="D625">
        <v>0</v>
      </c>
      <c r="E625" t="s">
        <v>404</v>
      </c>
      <c r="F625">
        <v>24850</v>
      </c>
      <c r="G625">
        <v>39101208.458333328</v>
      </c>
      <c r="H625">
        <v>0.96182984362045931</v>
      </c>
      <c r="I625">
        <v>0.92220279720279719</v>
      </c>
      <c r="J625">
        <v>8687090.166666666</v>
      </c>
      <c r="K625">
        <v>44102</v>
      </c>
      <c r="L625">
        <v>2</v>
      </c>
      <c r="M625">
        <v>140</v>
      </c>
      <c r="N625">
        <v>0.91433566433566438</v>
      </c>
      <c r="O625">
        <v>8173976.958333334</v>
      </c>
      <c r="P625">
        <v>44699</v>
      </c>
      <c r="Q625">
        <v>2</v>
      </c>
      <c r="R625">
        <v>141</v>
      </c>
      <c r="S625" t="s">
        <v>548</v>
      </c>
      <c r="W625">
        <f>Cancer_doubles_final2[[#This Row],[mlp_params]]</f>
        <v>44102</v>
      </c>
      <c r="X625">
        <f>Cancer_doubles_final2[[#This Row],[kan_test_acc]]</f>
        <v>0.96182984362045931</v>
      </c>
      <c r="Y625">
        <f>Cancer_doubles_final2[[#This Row],[mlp_test_acc]]</f>
        <v>0.92220279720279719</v>
      </c>
      <c r="Z625">
        <f>Cancer_doubles_final2[[#This Row],[mlp_test_acc2]]</f>
        <v>0.91433566433566438</v>
      </c>
    </row>
    <row r="626" spans="1:26" hidden="1" x14ac:dyDescent="0.25">
      <c r="A626" t="s">
        <v>19</v>
      </c>
      <c r="B626">
        <v>3</v>
      </c>
      <c r="C626">
        <v>3</v>
      </c>
      <c r="D626">
        <v>0</v>
      </c>
      <c r="E626" t="s">
        <v>408</v>
      </c>
      <c r="F626">
        <v>24894</v>
      </c>
      <c r="G626">
        <v>42358330.083333336</v>
      </c>
      <c r="H626">
        <v>0.97591297494040596</v>
      </c>
      <c r="I626">
        <v>0.94114219114219111</v>
      </c>
      <c r="J626">
        <v>9153671.0833333321</v>
      </c>
      <c r="K626">
        <v>44102</v>
      </c>
      <c r="L626">
        <v>2</v>
      </c>
      <c r="M626">
        <v>140</v>
      </c>
      <c r="N626">
        <v>0.93453768453768449</v>
      </c>
      <c r="O626">
        <v>8383868.055555556</v>
      </c>
      <c r="P626">
        <v>44699</v>
      </c>
      <c r="Q626">
        <v>2</v>
      </c>
      <c r="R626">
        <v>141</v>
      </c>
      <c r="S626" t="s">
        <v>549</v>
      </c>
      <c r="W626">
        <f>Cancer_doubles_final2[[#This Row],[mlp_params]]</f>
        <v>44102</v>
      </c>
      <c r="X626">
        <f>Cancer_doubles_final2[[#This Row],[kan_test_acc]]</f>
        <v>0.97591297494040596</v>
      </c>
      <c r="Y626">
        <f>Cancer_doubles_final2[[#This Row],[mlp_test_acc]]</f>
        <v>0.94114219114219111</v>
      </c>
      <c r="Z626">
        <f>Cancer_doubles_final2[[#This Row],[mlp_test_acc2]]</f>
        <v>0.93453768453768449</v>
      </c>
    </row>
    <row r="627" spans="1:26" hidden="1" x14ac:dyDescent="0.25">
      <c r="A627" t="s">
        <v>19</v>
      </c>
      <c r="B627">
        <v>3</v>
      </c>
      <c r="C627">
        <v>2</v>
      </c>
      <c r="D627">
        <v>0</v>
      </c>
      <c r="E627" t="s">
        <v>550</v>
      </c>
      <c r="F627">
        <v>24958</v>
      </c>
      <c r="G627">
        <v>43405838.30555556</v>
      </c>
      <c r="H627">
        <v>0.97280497848987568</v>
      </c>
      <c r="I627">
        <v>0.94541569541569537</v>
      </c>
      <c r="J627">
        <v>8382888.611111111</v>
      </c>
      <c r="K627">
        <v>40035</v>
      </c>
      <c r="L627">
        <v>2</v>
      </c>
      <c r="M627">
        <v>133</v>
      </c>
      <c r="N627">
        <v>0.94308469308469312</v>
      </c>
      <c r="O627">
        <v>9458948.25</v>
      </c>
      <c r="P627">
        <v>40604</v>
      </c>
      <c r="Q627">
        <v>2</v>
      </c>
      <c r="R627">
        <v>134</v>
      </c>
      <c r="S627" t="s">
        <v>551</v>
      </c>
      <c r="W627">
        <f>Cancer_doubles_final2[[#This Row],[mlp_params]]</f>
        <v>40035</v>
      </c>
      <c r="X627">
        <f>Cancer_doubles_final2[[#This Row],[kan_test_acc]]</f>
        <v>0.97280497848987568</v>
      </c>
      <c r="Y627">
        <f>Cancer_doubles_final2[[#This Row],[mlp_test_acc]]</f>
        <v>0.94541569541569537</v>
      </c>
      <c r="Z627">
        <f>Cancer_doubles_final2[[#This Row],[mlp_test_acc2]]</f>
        <v>0.94308469308469312</v>
      </c>
    </row>
    <row r="628" spans="1:26" hidden="1" x14ac:dyDescent="0.25">
      <c r="A628" t="s">
        <v>19</v>
      </c>
      <c r="B628">
        <v>9</v>
      </c>
      <c r="C628">
        <v>3</v>
      </c>
      <c r="D628">
        <v>0</v>
      </c>
      <c r="E628" t="s">
        <v>123</v>
      </c>
      <c r="F628">
        <v>25014</v>
      </c>
      <c r="G628">
        <v>37486507.972222224</v>
      </c>
      <c r="H628">
        <v>0.95066045390235054</v>
      </c>
      <c r="I628">
        <v>0.93337218337218342</v>
      </c>
      <c r="J628">
        <v>8648557.6111111119</v>
      </c>
      <c r="K628">
        <v>36164</v>
      </c>
      <c r="L628">
        <v>2</v>
      </c>
      <c r="M628">
        <v>126</v>
      </c>
      <c r="N628">
        <v>0.93492618492618496</v>
      </c>
      <c r="O628">
        <v>9805314.805555556</v>
      </c>
      <c r="P628">
        <v>36705</v>
      </c>
      <c r="Q628">
        <v>2</v>
      </c>
      <c r="R628">
        <v>127</v>
      </c>
      <c r="S628" t="s">
        <v>552</v>
      </c>
      <c r="W628">
        <f>Cancer_doubles_final2[[#This Row],[mlp_params]]</f>
        <v>36164</v>
      </c>
      <c r="X628">
        <f>Cancer_doubles_final2[[#This Row],[kan_test_acc]]</f>
        <v>0.95066045390235054</v>
      </c>
      <c r="Y628">
        <f>Cancer_doubles_final2[[#This Row],[mlp_test_acc]]</f>
        <v>0.93337218337218342</v>
      </c>
      <c r="Z628">
        <f>Cancer_doubles_final2[[#This Row],[mlp_test_acc2]]</f>
        <v>0.93492618492618496</v>
      </c>
    </row>
    <row r="629" spans="1:26" hidden="1" x14ac:dyDescent="0.25">
      <c r="A629" t="s">
        <v>19</v>
      </c>
      <c r="B629">
        <v>5</v>
      </c>
      <c r="C629">
        <v>5</v>
      </c>
      <c r="D629">
        <v>0</v>
      </c>
      <c r="E629" t="s">
        <v>165</v>
      </c>
      <c r="F629">
        <v>25022</v>
      </c>
      <c r="G629">
        <v>32017023</v>
      </c>
      <c r="H629">
        <v>0.94153067966302229</v>
      </c>
      <c r="I629">
        <v>0.91763791763791769</v>
      </c>
      <c r="J629">
        <v>8560010.9722222239</v>
      </c>
      <c r="K629">
        <v>45905</v>
      </c>
      <c r="L629">
        <v>2</v>
      </c>
      <c r="M629">
        <v>143</v>
      </c>
      <c r="N629">
        <v>0.91899766899766899</v>
      </c>
      <c r="O629">
        <v>9674952.75</v>
      </c>
      <c r="P629">
        <v>46514</v>
      </c>
      <c r="Q629">
        <v>2</v>
      </c>
      <c r="R629">
        <v>144</v>
      </c>
      <c r="S629" t="s">
        <v>553</v>
      </c>
      <c r="W629">
        <f>Cancer_doubles_final2[[#This Row],[mlp_params]]</f>
        <v>45905</v>
      </c>
      <c r="X629">
        <f>Cancer_doubles_final2[[#This Row],[kan_test_acc]]</f>
        <v>0.94153067966302229</v>
      </c>
      <c r="Y629">
        <f>Cancer_doubles_final2[[#This Row],[mlp_test_acc]]</f>
        <v>0.91763791763791769</v>
      </c>
      <c r="Z629">
        <f>Cancer_doubles_final2[[#This Row],[mlp_test_acc2]]</f>
        <v>0.91899766899766899</v>
      </c>
    </row>
    <row r="630" spans="1:26" hidden="1" x14ac:dyDescent="0.25">
      <c r="A630" t="s">
        <v>19</v>
      </c>
      <c r="B630">
        <v>9</v>
      </c>
      <c r="C630">
        <v>5</v>
      </c>
      <c r="D630">
        <v>0</v>
      </c>
      <c r="E630" t="s">
        <v>96</v>
      </c>
      <c r="F630">
        <v>25072</v>
      </c>
      <c r="G630">
        <v>30046822</v>
      </c>
      <c r="H630">
        <v>0.95337994727823461</v>
      </c>
      <c r="I630">
        <v>0.94483294483294489</v>
      </c>
      <c r="J630">
        <v>8902365.1111111119</v>
      </c>
      <c r="K630">
        <v>41177</v>
      </c>
      <c r="L630">
        <v>2</v>
      </c>
      <c r="M630">
        <v>135</v>
      </c>
      <c r="N630">
        <v>0.94308469308469312</v>
      </c>
      <c r="O630">
        <v>9862872.3611111119</v>
      </c>
      <c r="P630">
        <v>41754</v>
      </c>
      <c r="Q630">
        <v>2</v>
      </c>
      <c r="R630">
        <v>136</v>
      </c>
      <c r="S630" t="s">
        <v>554</v>
      </c>
      <c r="W630">
        <f>Cancer_doubles_final2[[#This Row],[mlp_params]]</f>
        <v>41177</v>
      </c>
      <c r="X630">
        <f>Cancer_doubles_final2[[#This Row],[kan_test_acc]]</f>
        <v>0.95337994727823461</v>
      </c>
      <c r="Y630">
        <f>Cancer_doubles_final2[[#This Row],[mlp_test_acc]]</f>
        <v>0.94483294483294489</v>
      </c>
      <c r="Z630">
        <f>Cancer_doubles_final2[[#This Row],[mlp_test_acc2]]</f>
        <v>0.94308469308469312</v>
      </c>
    </row>
    <row r="631" spans="1:26" hidden="1" x14ac:dyDescent="0.25">
      <c r="A631" t="s">
        <v>19</v>
      </c>
      <c r="B631">
        <v>3</v>
      </c>
      <c r="C631">
        <v>4</v>
      </c>
      <c r="D631">
        <v>0</v>
      </c>
      <c r="E631" t="s">
        <v>310</v>
      </c>
      <c r="F631">
        <v>25074</v>
      </c>
      <c r="G631">
        <v>33201613.375</v>
      </c>
      <c r="H631">
        <v>0.95716782907644904</v>
      </c>
      <c r="I631">
        <v>0.9481351981351982</v>
      </c>
      <c r="J631">
        <v>9379535.5</v>
      </c>
      <c r="K631">
        <v>47127</v>
      </c>
      <c r="L631">
        <v>2</v>
      </c>
      <c r="M631">
        <v>145</v>
      </c>
      <c r="N631">
        <v>0.94784382284382285</v>
      </c>
      <c r="O631">
        <v>9589749.7083333321</v>
      </c>
      <c r="P631">
        <v>47744</v>
      </c>
      <c r="Q631">
        <v>2</v>
      </c>
      <c r="R631">
        <v>146</v>
      </c>
      <c r="S631" t="s">
        <v>555</v>
      </c>
      <c r="W631">
        <f>Cancer_doubles_final2[[#This Row],[mlp_params]]</f>
        <v>47127</v>
      </c>
      <c r="X631">
        <f>Cancer_doubles_final2[[#This Row],[kan_test_acc]]</f>
        <v>0.95716782907644904</v>
      </c>
      <c r="Y631">
        <f>Cancer_doubles_final2[[#This Row],[mlp_test_acc]]</f>
        <v>0.9481351981351982</v>
      </c>
      <c r="Z631">
        <f>Cancer_doubles_final2[[#This Row],[mlp_test_acc2]]</f>
        <v>0.94784382284382285</v>
      </c>
    </row>
    <row r="632" spans="1:26" hidden="1" x14ac:dyDescent="0.25">
      <c r="A632" t="s">
        <v>19</v>
      </c>
      <c r="B632">
        <v>5</v>
      </c>
      <c r="C632">
        <v>2</v>
      </c>
      <c r="D632">
        <v>0</v>
      </c>
      <c r="E632" t="s">
        <v>310</v>
      </c>
      <c r="F632">
        <v>25074</v>
      </c>
      <c r="G632">
        <v>30942945.166666668</v>
      </c>
      <c r="H632">
        <v>0.97552446275949478</v>
      </c>
      <c r="I632">
        <v>0.94318181818181823</v>
      </c>
      <c r="J632">
        <v>8575033.75</v>
      </c>
      <c r="K632">
        <v>37250</v>
      </c>
      <c r="L632">
        <v>2</v>
      </c>
      <c r="M632">
        <v>128</v>
      </c>
      <c r="N632">
        <v>0.94347319347319347</v>
      </c>
      <c r="O632">
        <v>9459313.291666666</v>
      </c>
      <c r="P632">
        <v>37799</v>
      </c>
      <c r="Q632">
        <v>2</v>
      </c>
      <c r="R632">
        <v>129</v>
      </c>
      <c r="S632" t="s">
        <v>556</v>
      </c>
      <c r="W632">
        <f>Cancer_doubles_final2[[#This Row],[mlp_params]]</f>
        <v>37250</v>
      </c>
      <c r="X632">
        <f>Cancer_doubles_final2[[#This Row],[kan_test_acc]]</f>
        <v>0.97552446275949478</v>
      </c>
      <c r="Y632">
        <f>Cancer_doubles_final2[[#This Row],[mlp_test_acc]]</f>
        <v>0.94318181818181823</v>
      </c>
      <c r="Z632">
        <f>Cancer_doubles_final2[[#This Row],[mlp_test_acc2]]</f>
        <v>0.94347319347319347</v>
      </c>
    </row>
    <row r="633" spans="1:26" hidden="1" x14ac:dyDescent="0.25">
      <c r="A633" t="s">
        <v>19</v>
      </c>
      <c r="B633">
        <v>3</v>
      </c>
      <c r="C633">
        <v>4</v>
      </c>
      <c r="D633">
        <v>0</v>
      </c>
      <c r="E633" t="s">
        <v>310</v>
      </c>
      <c r="F633">
        <v>25074</v>
      </c>
      <c r="G633">
        <v>30647294.083333336</v>
      </c>
      <c r="H633">
        <v>0.9723193347454071</v>
      </c>
      <c r="I633">
        <v>0.93181818181818188</v>
      </c>
      <c r="J633">
        <v>8513330.5</v>
      </c>
      <c r="K633">
        <v>47127</v>
      </c>
      <c r="L633">
        <v>2</v>
      </c>
      <c r="M633">
        <v>145</v>
      </c>
      <c r="N633">
        <v>0.93210955710955712</v>
      </c>
      <c r="O633">
        <v>9091749.875</v>
      </c>
      <c r="P633">
        <v>47744</v>
      </c>
      <c r="Q633">
        <v>2</v>
      </c>
      <c r="R633">
        <v>146</v>
      </c>
      <c r="S633" t="s">
        <v>555</v>
      </c>
      <c r="W633">
        <f>Cancer_doubles_final2[[#This Row],[mlp_params]]</f>
        <v>47127</v>
      </c>
      <c r="X633">
        <f>Cancer_doubles_final2[[#This Row],[kan_test_acc]]</f>
        <v>0.9723193347454071</v>
      </c>
      <c r="Y633">
        <f>Cancer_doubles_final2[[#This Row],[mlp_test_acc]]</f>
        <v>0.93181818181818188</v>
      </c>
      <c r="Z633">
        <f>Cancer_doubles_final2[[#This Row],[mlp_test_acc2]]</f>
        <v>0.93210955710955712</v>
      </c>
    </row>
    <row r="634" spans="1:26" hidden="1" x14ac:dyDescent="0.25">
      <c r="A634" t="s">
        <v>19</v>
      </c>
      <c r="B634">
        <v>5</v>
      </c>
      <c r="C634">
        <v>2</v>
      </c>
      <c r="D634">
        <v>0</v>
      </c>
      <c r="E634" t="s">
        <v>310</v>
      </c>
      <c r="F634">
        <v>25074</v>
      </c>
      <c r="G634">
        <v>29919782.583333336</v>
      </c>
      <c r="H634">
        <v>0.96182982871929801</v>
      </c>
      <c r="I634">
        <v>0.91113053613053618</v>
      </c>
      <c r="J634">
        <v>8652921.041666666</v>
      </c>
      <c r="K634">
        <v>37250</v>
      </c>
      <c r="L634">
        <v>2</v>
      </c>
      <c r="M634">
        <v>128</v>
      </c>
      <c r="N634">
        <v>0.9093822843822843</v>
      </c>
      <c r="O634">
        <v>8718716.3333333321</v>
      </c>
      <c r="P634">
        <v>37799</v>
      </c>
      <c r="Q634">
        <v>2</v>
      </c>
      <c r="R634">
        <v>129</v>
      </c>
      <c r="S634" t="s">
        <v>556</v>
      </c>
      <c r="W634">
        <f>Cancer_doubles_final2[[#This Row],[mlp_params]]</f>
        <v>37250</v>
      </c>
      <c r="X634">
        <f>Cancer_doubles_final2[[#This Row],[kan_test_acc]]</f>
        <v>0.96182982871929801</v>
      </c>
      <c r="Y634">
        <f>Cancer_doubles_final2[[#This Row],[mlp_test_acc]]</f>
        <v>0.91113053613053618</v>
      </c>
      <c r="Z634">
        <f>Cancer_doubles_final2[[#This Row],[mlp_test_acc2]]</f>
        <v>0.9093822843822843</v>
      </c>
    </row>
    <row r="635" spans="1:26" hidden="1" x14ac:dyDescent="0.25">
      <c r="A635" t="s">
        <v>19</v>
      </c>
      <c r="B635">
        <v>5</v>
      </c>
      <c r="C635">
        <v>5</v>
      </c>
      <c r="D635">
        <v>0</v>
      </c>
      <c r="E635" t="s">
        <v>167</v>
      </c>
      <c r="F635">
        <v>25076</v>
      </c>
      <c r="G635">
        <v>30645094.541666664</v>
      </c>
      <c r="H635">
        <v>0.94842656453450513</v>
      </c>
      <c r="I635">
        <v>0.91404428904428903</v>
      </c>
      <c r="J635">
        <v>8281021.666666667</v>
      </c>
      <c r="K635">
        <v>45905</v>
      </c>
      <c r="L635">
        <v>2</v>
      </c>
      <c r="M635">
        <v>143</v>
      </c>
      <c r="N635">
        <v>0.91258741258741249</v>
      </c>
      <c r="O635">
        <v>9452197.3333333321</v>
      </c>
      <c r="P635">
        <v>46514</v>
      </c>
      <c r="Q635">
        <v>2</v>
      </c>
      <c r="R635">
        <v>144</v>
      </c>
      <c r="S635" t="s">
        <v>557</v>
      </c>
      <c r="W635">
        <f>Cancer_doubles_final2[[#This Row],[mlp_params]]</f>
        <v>45905</v>
      </c>
      <c r="X635">
        <f>Cancer_doubles_final2[[#This Row],[kan_test_acc]]</f>
        <v>0.94842656453450513</v>
      </c>
      <c r="Y635">
        <f>Cancer_doubles_final2[[#This Row],[mlp_test_acc]]</f>
        <v>0.91404428904428903</v>
      </c>
      <c r="Z635">
        <f>Cancer_doubles_final2[[#This Row],[mlp_test_acc2]]</f>
        <v>0.91258741258741249</v>
      </c>
    </row>
    <row r="636" spans="1:26" hidden="1" x14ac:dyDescent="0.25">
      <c r="A636" t="s">
        <v>19</v>
      </c>
      <c r="B636">
        <v>3</v>
      </c>
      <c r="C636">
        <v>4</v>
      </c>
      <c r="D636">
        <v>0</v>
      </c>
      <c r="E636" t="s">
        <v>312</v>
      </c>
      <c r="F636">
        <v>25082</v>
      </c>
      <c r="G636">
        <v>35883715.388888888</v>
      </c>
      <c r="H636">
        <v>0.947358187701967</v>
      </c>
      <c r="I636">
        <v>0.94502719502719501</v>
      </c>
      <c r="J636">
        <v>8897081.6388888899</v>
      </c>
      <c r="K636">
        <v>47127</v>
      </c>
      <c r="L636">
        <v>2</v>
      </c>
      <c r="M636">
        <v>145</v>
      </c>
      <c r="N636">
        <v>0.9456099456099456</v>
      </c>
      <c r="O636">
        <v>9075204.722222222</v>
      </c>
      <c r="P636">
        <v>47744</v>
      </c>
      <c r="Q636">
        <v>2</v>
      </c>
      <c r="R636">
        <v>146</v>
      </c>
      <c r="S636" t="s">
        <v>558</v>
      </c>
      <c r="W636">
        <f>Cancer_doubles_final2[[#This Row],[mlp_params]]</f>
        <v>47127</v>
      </c>
      <c r="X636">
        <f>Cancer_doubles_final2[[#This Row],[kan_test_acc]]</f>
        <v>0.947358187701967</v>
      </c>
      <c r="Y636">
        <f>Cancer_doubles_final2[[#This Row],[mlp_test_acc]]</f>
        <v>0.94502719502719501</v>
      </c>
      <c r="Z636">
        <f>Cancer_doubles_final2[[#This Row],[mlp_test_acc2]]</f>
        <v>0.9456099456099456</v>
      </c>
    </row>
    <row r="637" spans="1:26" hidden="1" x14ac:dyDescent="0.25">
      <c r="A637" t="s">
        <v>19</v>
      </c>
      <c r="B637">
        <v>5</v>
      </c>
      <c r="C637">
        <v>2</v>
      </c>
      <c r="D637">
        <v>0</v>
      </c>
      <c r="E637" t="s">
        <v>312</v>
      </c>
      <c r="F637">
        <v>25082</v>
      </c>
      <c r="G637">
        <v>32206855.458333336</v>
      </c>
      <c r="H637">
        <v>0.96707458794116974</v>
      </c>
      <c r="I637">
        <v>0.94493006993007</v>
      </c>
      <c r="J637">
        <v>8401235.083333334</v>
      </c>
      <c r="K637">
        <v>37250</v>
      </c>
      <c r="L637">
        <v>2</v>
      </c>
      <c r="M637">
        <v>128</v>
      </c>
      <c r="N637">
        <v>0.94726107226107226</v>
      </c>
      <c r="O637">
        <v>8583061.9166666679</v>
      </c>
      <c r="P637">
        <v>37799</v>
      </c>
      <c r="Q637">
        <v>2</v>
      </c>
      <c r="R637">
        <v>129</v>
      </c>
      <c r="S637" t="s">
        <v>559</v>
      </c>
      <c r="W637">
        <f>Cancer_doubles_final2[[#This Row],[mlp_params]]</f>
        <v>37250</v>
      </c>
      <c r="X637">
        <f>Cancer_doubles_final2[[#This Row],[kan_test_acc]]</f>
        <v>0.96707458794116974</v>
      </c>
      <c r="Y637">
        <f>Cancer_doubles_final2[[#This Row],[mlp_test_acc]]</f>
        <v>0.94493006993007</v>
      </c>
      <c r="Z637">
        <f>Cancer_doubles_final2[[#This Row],[mlp_test_acc2]]</f>
        <v>0.94726107226107226</v>
      </c>
    </row>
    <row r="638" spans="1:26" hidden="1" x14ac:dyDescent="0.25">
      <c r="A638" t="s">
        <v>19</v>
      </c>
      <c r="B638">
        <v>3</v>
      </c>
      <c r="C638">
        <v>4</v>
      </c>
      <c r="D638">
        <v>0</v>
      </c>
      <c r="E638" t="s">
        <v>312</v>
      </c>
      <c r="F638">
        <v>25082</v>
      </c>
      <c r="G638">
        <v>31846259.833333332</v>
      </c>
      <c r="H638">
        <v>0.97290208439032233</v>
      </c>
      <c r="I638">
        <v>0.93181818181818188</v>
      </c>
      <c r="J638">
        <v>8546276</v>
      </c>
      <c r="K638">
        <v>47127</v>
      </c>
      <c r="L638">
        <v>2</v>
      </c>
      <c r="M638">
        <v>145</v>
      </c>
      <c r="N638">
        <v>0.92948717948717952</v>
      </c>
      <c r="O638">
        <v>9406327.75</v>
      </c>
      <c r="P638">
        <v>47744</v>
      </c>
      <c r="Q638">
        <v>2</v>
      </c>
      <c r="R638">
        <v>146</v>
      </c>
      <c r="S638" t="s">
        <v>558</v>
      </c>
      <c r="W638">
        <f>Cancer_doubles_final2[[#This Row],[mlp_params]]</f>
        <v>47127</v>
      </c>
      <c r="X638">
        <f>Cancer_doubles_final2[[#This Row],[kan_test_acc]]</f>
        <v>0.97290208439032233</v>
      </c>
      <c r="Y638">
        <f>Cancer_doubles_final2[[#This Row],[mlp_test_acc]]</f>
        <v>0.93181818181818188</v>
      </c>
      <c r="Z638">
        <f>Cancer_doubles_final2[[#This Row],[mlp_test_acc2]]</f>
        <v>0.92948717948717952</v>
      </c>
    </row>
    <row r="639" spans="1:26" hidden="1" x14ac:dyDescent="0.25">
      <c r="A639" t="s">
        <v>19</v>
      </c>
      <c r="B639">
        <v>5</v>
      </c>
      <c r="C639">
        <v>2</v>
      </c>
      <c r="D639">
        <v>0</v>
      </c>
      <c r="E639" t="s">
        <v>312</v>
      </c>
      <c r="F639">
        <v>25082</v>
      </c>
      <c r="G639">
        <v>29990828.5</v>
      </c>
      <c r="H639">
        <v>0.97756408651669813</v>
      </c>
      <c r="I639">
        <v>0.93560606060606066</v>
      </c>
      <c r="J639">
        <v>9465074.5416666679</v>
      </c>
      <c r="K639">
        <v>37250</v>
      </c>
      <c r="L639">
        <v>2</v>
      </c>
      <c r="M639">
        <v>128</v>
      </c>
      <c r="N639">
        <v>0.93036130536130535</v>
      </c>
      <c r="O639">
        <v>8818245.041666666</v>
      </c>
      <c r="P639">
        <v>37799</v>
      </c>
      <c r="Q639">
        <v>2</v>
      </c>
      <c r="R639">
        <v>129</v>
      </c>
      <c r="S639" t="s">
        <v>559</v>
      </c>
      <c r="W639">
        <f>Cancer_doubles_final2[[#This Row],[mlp_params]]</f>
        <v>37250</v>
      </c>
      <c r="X639">
        <f>Cancer_doubles_final2[[#This Row],[kan_test_acc]]</f>
        <v>0.97756408651669813</v>
      </c>
      <c r="Y639">
        <f>Cancer_doubles_final2[[#This Row],[mlp_test_acc]]</f>
        <v>0.93560606060606066</v>
      </c>
      <c r="Z639">
        <f>Cancer_doubles_final2[[#This Row],[mlp_test_acc2]]</f>
        <v>0.93036130536130535</v>
      </c>
    </row>
    <row r="640" spans="1:26" hidden="1" x14ac:dyDescent="0.25">
      <c r="A640" t="s">
        <v>19</v>
      </c>
      <c r="B640">
        <v>9</v>
      </c>
      <c r="C640">
        <v>2</v>
      </c>
      <c r="D640">
        <v>0</v>
      </c>
      <c r="E640" t="s">
        <v>143</v>
      </c>
      <c r="F640">
        <v>25146</v>
      </c>
      <c r="G640">
        <v>21362254.666666668</v>
      </c>
      <c r="H640">
        <v>0.95541957020759583</v>
      </c>
      <c r="I640">
        <v>0.9306526806526807</v>
      </c>
      <c r="J640">
        <v>9107435.2916666679</v>
      </c>
      <c r="K640">
        <v>34040</v>
      </c>
      <c r="L640">
        <v>2</v>
      </c>
      <c r="M640">
        <v>122</v>
      </c>
      <c r="N640">
        <v>0.93152680652680653</v>
      </c>
      <c r="O640">
        <v>8570941</v>
      </c>
      <c r="P640">
        <v>34565</v>
      </c>
      <c r="Q640">
        <v>2</v>
      </c>
      <c r="R640">
        <v>123</v>
      </c>
      <c r="S640" t="s">
        <v>560</v>
      </c>
      <c r="W640">
        <f>Cancer_doubles_final2[[#This Row],[mlp_params]]</f>
        <v>34040</v>
      </c>
      <c r="X640">
        <f>Cancer_doubles_final2[[#This Row],[kan_test_acc]]</f>
        <v>0.95541957020759583</v>
      </c>
      <c r="Y640">
        <f>Cancer_doubles_final2[[#This Row],[mlp_test_acc]]</f>
        <v>0.9306526806526807</v>
      </c>
      <c r="Z640">
        <f>Cancer_doubles_final2[[#This Row],[mlp_test_acc2]]</f>
        <v>0.93152680652680653</v>
      </c>
    </row>
    <row r="641" spans="1:26" hidden="1" x14ac:dyDescent="0.25">
      <c r="A641" t="s">
        <v>19</v>
      </c>
      <c r="B641">
        <v>3</v>
      </c>
      <c r="C641">
        <v>2</v>
      </c>
      <c r="D641">
        <v>0</v>
      </c>
      <c r="E641" t="s">
        <v>561</v>
      </c>
      <c r="F641">
        <v>25148</v>
      </c>
      <c r="G641">
        <v>28597732.52777778</v>
      </c>
      <c r="H641">
        <v>0.94425018959575224</v>
      </c>
      <c r="I641">
        <v>0.9261849261849262</v>
      </c>
      <c r="J641">
        <v>8724968.3888888899</v>
      </c>
      <c r="K641">
        <v>40604</v>
      </c>
      <c r="L641">
        <v>2</v>
      </c>
      <c r="M641">
        <v>134</v>
      </c>
      <c r="N641">
        <v>0.92501942501942502</v>
      </c>
      <c r="O641">
        <v>8995567.9166666679</v>
      </c>
      <c r="P641">
        <v>41177</v>
      </c>
      <c r="Q641">
        <v>2</v>
      </c>
      <c r="R641">
        <v>135</v>
      </c>
      <c r="S641" t="s">
        <v>562</v>
      </c>
      <c r="W641">
        <f>Cancer_doubles_final2[[#This Row],[mlp_params]]</f>
        <v>40604</v>
      </c>
      <c r="X641">
        <f>Cancer_doubles_final2[[#This Row],[kan_test_acc]]</f>
        <v>0.94425018959575224</v>
      </c>
      <c r="Y641">
        <f>Cancer_doubles_final2[[#This Row],[mlp_test_acc]]</f>
        <v>0.9261849261849262</v>
      </c>
      <c r="Z641">
        <f>Cancer_doubles_final2[[#This Row],[mlp_test_acc2]]</f>
        <v>0.92501942501942502</v>
      </c>
    </row>
    <row r="642" spans="1:26" hidden="1" x14ac:dyDescent="0.25">
      <c r="A642" t="s">
        <v>19</v>
      </c>
      <c r="B642">
        <v>3</v>
      </c>
      <c r="C642">
        <v>2</v>
      </c>
      <c r="D642">
        <v>0</v>
      </c>
      <c r="E642" t="s">
        <v>563</v>
      </c>
      <c r="F642">
        <v>25210</v>
      </c>
      <c r="G642">
        <v>40171893.777777776</v>
      </c>
      <c r="H642">
        <v>0.95998445815510214</v>
      </c>
      <c r="I642">
        <v>0.94463869463869465</v>
      </c>
      <c r="J642">
        <v>8509473.027777778</v>
      </c>
      <c r="K642">
        <v>40604</v>
      </c>
      <c r="L642">
        <v>2</v>
      </c>
      <c r="M642">
        <v>134</v>
      </c>
      <c r="N642">
        <v>0.94405594405594406</v>
      </c>
      <c r="O642">
        <v>9492055.194444444</v>
      </c>
      <c r="P642">
        <v>41177</v>
      </c>
      <c r="Q642">
        <v>2</v>
      </c>
      <c r="R642">
        <v>135</v>
      </c>
      <c r="S642" t="s">
        <v>564</v>
      </c>
      <c r="W642">
        <f>Cancer_doubles_final2[[#This Row],[mlp_params]]</f>
        <v>40604</v>
      </c>
      <c r="X642">
        <f>Cancer_doubles_final2[[#This Row],[kan_test_acc]]</f>
        <v>0.95998445815510214</v>
      </c>
      <c r="Y642">
        <f>Cancer_doubles_final2[[#This Row],[mlp_test_acc]]</f>
        <v>0.94463869463869465</v>
      </c>
      <c r="Z642">
        <f>Cancer_doubles_final2[[#This Row],[mlp_test_acc2]]</f>
        <v>0.94405594405594406</v>
      </c>
    </row>
    <row r="643" spans="1:26" hidden="1" x14ac:dyDescent="0.25">
      <c r="A643" t="s">
        <v>19</v>
      </c>
      <c r="B643">
        <v>3</v>
      </c>
      <c r="C643">
        <v>3</v>
      </c>
      <c r="D643">
        <v>0</v>
      </c>
      <c r="E643" t="s">
        <v>417</v>
      </c>
      <c r="F643">
        <v>25252</v>
      </c>
      <c r="G643">
        <v>40318645.527777776</v>
      </c>
      <c r="H643">
        <v>0.96192696193854021</v>
      </c>
      <c r="I643">
        <v>0.94347319347319347</v>
      </c>
      <c r="J643">
        <v>8101035.388888889</v>
      </c>
      <c r="K643">
        <v>44699</v>
      </c>
      <c r="L643">
        <v>2</v>
      </c>
      <c r="M643">
        <v>141</v>
      </c>
      <c r="N643">
        <v>0.9442501942501943</v>
      </c>
      <c r="O643">
        <v>9365057.555555556</v>
      </c>
      <c r="P643">
        <v>45300</v>
      </c>
      <c r="Q643">
        <v>2</v>
      </c>
      <c r="R643">
        <v>142</v>
      </c>
      <c r="S643" t="s">
        <v>565</v>
      </c>
      <c r="W643">
        <f>Cancer_doubles_final2[[#This Row],[mlp_params]]</f>
        <v>44699</v>
      </c>
      <c r="X643">
        <f>Cancer_doubles_final2[[#This Row],[kan_test_acc]]</f>
        <v>0.96192696193854021</v>
      </c>
      <c r="Y643">
        <f>Cancer_doubles_final2[[#This Row],[mlp_test_acc]]</f>
        <v>0.94347319347319347</v>
      </c>
      <c r="Z643">
        <f>Cancer_doubles_final2[[#This Row],[mlp_test_acc2]]</f>
        <v>0.9442501942501943</v>
      </c>
    </row>
    <row r="644" spans="1:26" hidden="1" x14ac:dyDescent="0.25">
      <c r="A644" t="s">
        <v>19</v>
      </c>
      <c r="B644">
        <v>5</v>
      </c>
      <c r="C644">
        <v>4</v>
      </c>
      <c r="D644">
        <v>0</v>
      </c>
      <c r="E644" t="s">
        <v>198</v>
      </c>
      <c r="F644">
        <v>25266</v>
      </c>
      <c r="G644">
        <v>46972157.055555552</v>
      </c>
      <c r="H644">
        <v>0.9564879553185569</v>
      </c>
      <c r="I644">
        <v>0.94774669774669773</v>
      </c>
      <c r="J644">
        <v>10232883.277777778</v>
      </c>
      <c r="K644">
        <v>44102</v>
      </c>
      <c r="L644">
        <v>2</v>
      </c>
      <c r="M644">
        <v>140</v>
      </c>
      <c r="N644">
        <v>0.94696969696969702</v>
      </c>
      <c r="O644">
        <v>10208771.027777778</v>
      </c>
      <c r="P644">
        <v>44699</v>
      </c>
      <c r="Q644">
        <v>2</v>
      </c>
      <c r="R644">
        <v>141</v>
      </c>
      <c r="S644" t="s">
        <v>566</v>
      </c>
      <c r="W644">
        <f>Cancer_doubles_final2[[#This Row],[mlp_params]]</f>
        <v>44102</v>
      </c>
      <c r="X644">
        <f>Cancer_doubles_final2[[#This Row],[kan_test_acc]]</f>
        <v>0.9564879553185569</v>
      </c>
      <c r="Y644">
        <f>Cancer_doubles_final2[[#This Row],[mlp_test_acc]]</f>
        <v>0.94774669774669773</v>
      </c>
      <c r="Z644">
        <f>Cancer_doubles_final2[[#This Row],[mlp_test_acc2]]</f>
        <v>0.94696969696969702</v>
      </c>
    </row>
    <row r="645" spans="1:26" hidden="1" x14ac:dyDescent="0.25">
      <c r="A645" t="s">
        <v>19</v>
      </c>
      <c r="B645">
        <v>3</v>
      </c>
      <c r="C645">
        <v>4</v>
      </c>
      <c r="D645">
        <v>0</v>
      </c>
      <c r="E645" t="s">
        <v>316</v>
      </c>
      <c r="F645">
        <v>25316</v>
      </c>
      <c r="G645">
        <v>42589872.229166664</v>
      </c>
      <c r="H645">
        <v>0.95381701365113258</v>
      </c>
      <c r="I645">
        <v>0.9475524475524475</v>
      </c>
      <c r="J645">
        <v>10081321.770833332</v>
      </c>
      <c r="K645">
        <v>47744</v>
      </c>
      <c r="L645">
        <v>2</v>
      </c>
      <c r="M645">
        <v>146</v>
      </c>
      <c r="N645">
        <v>0.9465326340326341</v>
      </c>
      <c r="O645">
        <v>9825266.229166666</v>
      </c>
      <c r="P645">
        <v>48365</v>
      </c>
      <c r="Q645">
        <v>2</v>
      </c>
      <c r="R645">
        <v>147</v>
      </c>
      <c r="S645" t="s">
        <v>567</v>
      </c>
      <c r="W645">
        <f>Cancer_doubles_final2[[#This Row],[mlp_params]]</f>
        <v>47744</v>
      </c>
      <c r="X645">
        <f>Cancer_doubles_final2[[#This Row],[kan_test_acc]]</f>
        <v>0.95381701365113258</v>
      </c>
      <c r="Y645">
        <f>Cancer_doubles_final2[[#This Row],[mlp_test_acc]]</f>
        <v>0.9475524475524475</v>
      </c>
      <c r="Z645">
        <f>Cancer_doubles_final2[[#This Row],[mlp_test_acc2]]</f>
        <v>0.9465326340326341</v>
      </c>
    </row>
    <row r="646" spans="1:26" hidden="1" x14ac:dyDescent="0.25">
      <c r="A646" t="s">
        <v>19</v>
      </c>
      <c r="B646">
        <v>5</v>
      </c>
      <c r="C646">
        <v>2</v>
      </c>
      <c r="D646">
        <v>0</v>
      </c>
      <c r="E646" t="s">
        <v>316</v>
      </c>
      <c r="F646">
        <v>25316</v>
      </c>
      <c r="G646">
        <v>31203003.208333332</v>
      </c>
      <c r="H646">
        <v>0.97465034574270248</v>
      </c>
      <c r="I646">
        <v>0.94347319347319347</v>
      </c>
      <c r="J646">
        <v>8900939.75</v>
      </c>
      <c r="K646">
        <v>37799</v>
      </c>
      <c r="L646">
        <v>2</v>
      </c>
      <c r="M646">
        <v>129</v>
      </c>
      <c r="N646">
        <v>0.94172494172494181</v>
      </c>
      <c r="O646">
        <v>9133731.125</v>
      </c>
      <c r="P646">
        <v>38352</v>
      </c>
      <c r="Q646">
        <v>2</v>
      </c>
      <c r="R646">
        <v>130</v>
      </c>
      <c r="S646" t="s">
        <v>568</v>
      </c>
      <c r="W646">
        <f>Cancer_doubles_final2[[#This Row],[mlp_params]]</f>
        <v>37799</v>
      </c>
      <c r="X646">
        <f>Cancer_doubles_final2[[#This Row],[kan_test_acc]]</f>
        <v>0.97465034574270248</v>
      </c>
      <c r="Y646">
        <f>Cancer_doubles_final2[[#This Row],[mlp_test_acc]]</f>
        <v>0.94347319347319347</v>
      </c>
      <c r="Z646">
        <f>Cancer_doubles_final2[[#This Row],[mlp_test_acc2]]</f>
        <v>0.94172494172494181</v>
      </c>
    </row>
    <row r="647" spans="1:26" hidden="1" x14ac:dyDescent="0.25">
      <c r="A647" t="s">
        <v>19</v>
      </c>
      <c r="B647">
        <v>3</v>
      </c>
      <c r="C647">
        <v>4</v>
      </c>
      <c r="D647">
        <v>0</v>
      </c>
      <c r="E647" t="s">
        <v>316</v>
      </c>
      <c r="F647">
        <v>25316</v>
      </c>
      <c r="G647">
        <v>30529438.958333332</v>
      </c>
      <c r="H647">
        <v>0.97144521027803421</v>
      </c>
      <c r="I647">
        <v>0.92948717948717952</v>
      </c>
      <c r="J647">
        <v>9105116.333333334</v>
      </c>
      <c r="K647">
        <v>47744</v>
      </c>
      <c r="L647">
        <v>2</v>
      </c>
      <c r="M647">
        <v>146</v>
      </c>
      <c r="N647">
        <v>0.9274475524475525</v>
      </c>
      <c r="O647">
        <v>8600118.041666666</v>
      </c>
      <c r="P647">
        <v>48365</v>
      </c>
      <c r="Q647">
        <v>2</v>
      </c>
      <c r="R647">
        <v>147</v>
      </c>
      <c r="S647" t="s">
        <v>567</v>
      </c>
      <c r="W647">
        <f>Cancer_doubles_final2[[#This Row],[mlp_params]]</f>
        <v>47744</v>
      </c>
      <c r="X647">
        <f>Cancer_doubles_final2[[#This Row],[kan_test_acc]]</f>
        <v>0.97144521027803421</v>
      </c>
      <c r="Y647">
        <f>Cancer_doubles_final2[[#This Row],[mlp_test_acc]]</f>
        <v>0.92948717948717952</v>
      </c>
      <c r="Z647">
        <f>Cancer_doubles_final2[[#This Row],[mlp_test_acc2]]</f>
        <v>0.9274475524475525</v>
      </c>
    </row>
    <row r="648" spans="1:26" hidden="1" x14ac:dyDescent="0.25">
      <c r="A648" t="s">
        <v>19</v>
      </c>
      <c r="B648">
        <v>5</v>
      </c>
      <c r="C648">
        <v>2</v>
      </c>
      <c r="D648">
        <v>0</v>
      </c>
      <c r="E648" t="s">
        <v>316</v>
      </c>
      <c r="F648">
        <v>25316</v>
      </c>
      <c r="G648">
        <v>29518539.666666664</v>
      </c>
      <c r="H648">
        <v>0.95658507694800687</v>
      </c>
      <c r="I648">
        <v>0.90850815850815847</v>
      </c>
      <c r="J648">
        <v>8714132.875</v>
      </c>
      <c r="K648">
        <v>37799</v>
      </c>
      <c r="L648">
        <v>2</v>
      </c>
      <c r="M648">
        <v>129</v>
      </c>
      <c r="N648">
        <v>0.90821678321678323</v>
      </c>
      <c r="O648">
        <v>7403668.125</v>
      </c>
      <c r="P648">
        <v>38352</v>
      </c>
      <c r="Q648">
        <v>2</v>
      </c>
      <c r="R648">
        <v>130</v>
      </c>
      <c r="S648" t="s">
        <v>568</v>
      </c>
      <c r="W648">
        <f>Cancer_doubles_final2[[#This Row],[mlp_params]]</f>
        <v>37799</v>
      </c>
      <c r="X648">
        <f>Cancer_doubles_final2[[#This Row],[kan_test_acc]]</f>
        <v>0.95658507694800687</v>
      </c>
      <c r="Y648">
        <f>Cancer_doubles_final2[[#This Row],[mlp_test_acc]]</f>
        <v>0.90850815850815847</v>
      </c>
      <c r="Z648">
        <f>Cancer_doubles_final2[[#This Row],[mlp_test_acc2]]</f>
        <v>0.90821678321678323</v>
      </c>
    </row>
    <row r="649" spans="1:26" hidden="1" x14ac:dyDescent="0.25">
      <c r="A649" t="s">
        <v>19</v>
      </c>
      <c r="B649">
        <v>3</v>
      </c>
      <c r="C649">
        <v>4</v>
      </c>
      <c r="D649">
        <v>0</v>
      </c>
      <c r="E649" t="s">
        <v>319</v>
      </c>
      <c r="F649">
        <v>25320</v>
      </c>
      <c r="G649">
        <v>29650281.416666664</v>
      </c>
      <c r="H649">
        <v>0.96037295709053672</v>
      </c>
      <c r="I649">
        <v>0.92132867132867136</v>
      </c>
      <c r="J649">
        <v>8806567.875</v>
      </c>
      <c r="K649">
        <v>47744</v>
      </c>
      <c r="L649">
        <v>2</v>
      </c>
      <c r="M649">
        <v>146</v>
      </c>
      <c r="N649">
        <v>0.92628205128205132</v>
      </c>
      <c r="O649">
        <v>7723179.916666666</v>
      </c>
      <c r="P649">
        <v>48365</v>
      </c>
      <c r="Q649">
        <v>2</v>
      </c>
      <c r="R649">
        <v>147</v>
      </c>
      <c r="S649" t="s">
        <v>569</v>
      </c>
      <c r="W649">
        <f>Cancer_doubles_final2[[#This Row],[mlp_params]]</f>
        <v>47744</v>
      </c>
      <c r="X649">
        <f>Cancer_doubles_final2[[#This Row],[kan_test_acc]]</f>
        <v>0.96037295709053672</v>
      </c>
      <c r="Y649">
        <f>Cancer_doubles_final2[[#This Row],[mlp_test_acc]]</f>
        <v>0.92132867132867136</v>
      </c>
      <c r="Z649">
        <f>Cancer_doubles_final2[[#This Row],[mlp_test_acc2]]</f>
        <v>0.92628205128205132</v>
      </c>
    </row>
    <row r="650" spans="1:26" hidden="1" x14ac:dyDescent="0.25">
      <c r="A650" t="s">
        <v>19</v>
      </c>
      <c r="B650">
        <v>5</v>
      </c>
      <c r="C650">
        <v>2</v>
      </c>
      <c r="D650">
        <v>0</v>
      </c>
      <c r="E650" t="s">
        <v>319</v>
      </c>
      <c r="F650">
        <v>25320</v>
      </c>
      <c r="G650">
        <v>35957516.25</v>
      </c>
      <c r="H650">
        <v>0.976689967016379</v>
      </c>
      <c r="I650">
        <v>0.94580419580419584</v>
      </c>
      <c r="J650">
        <v>8863517.7083333321</v>
      </c>
      <c r="K650">
        <v>37799</v>
      </c>
      <c r="L650">
        <v>2</v>
      </c>
      <c r="M650">
        <v>129</v>
      </c>
      <c r="N650">
        <v>0.94726107226107237</v>
      </c>
      <c r="O650">
        <v>8541792.791666666</v>
      </c>
      <c r="P650">
        <v>38352</v>
      </c>
      <c r="Q650">
        <v>2</v>
      </c>
      <c r="R650">
        <v>130</v>
      </c>
      <c r="S650" t="s">
        <v>570</v>
      </c>
      <c r="W650">
        <f>Cancer_doubles_final2[[#This Row],[mlp_params]]</f>
        <v>37799</v>
      </c>
      <c r="X650">
        <f>Cancer_doubles_final2[[#This Row],[kan_test_acc]]</f>
        <v>0.976689967016379</v>
      </c>
      <c r="Y650">
        <f>Cancer_doubles_final2[[#This Row],[mlp_test_acc]]</f>
        <v>0.94580419580419584</v>
      </c>
      <c r="Z650">
        <f>Cancer_doubles_final2[[#This Row],[mlp_test_acc2]]</f>
        <v>0.94726107226107237</v>
      </c>
    </row>
    <row r="651" spans="1:26" hidden="1" x14ac:dyDescent="0.25">
      <c r="A651" t="s">
        <v>19</v>
      </c>
      <c r="B651">
        <v>3</v>
      </c>
      <c r="C651">
        <v>4</v>
      </c>
      <c r="D651">
        <v>0</v>
      </c>
      <c r="E651" t="s">
        <v>319</v>
      </c>
      <c r="F651">
        <v>25320</v>
      </c>
      <c r="G651">
        <v>37429375</v>
      </c>
      <c r="H651">
        <v>0.97494171559810638</v>
      </c>
      <c r="I651">
        <v>0.9358974358974359</v>
      </c>
      <c r="J651">
        <v>8963932.125</v>
      </c>
      <c r="K651">
        <v>47744</v>
      </c>
      <c r="L651">
        <v>2</v>
      </c>
      <c r="M651">
        <v>146</v>
      </c>
      <c r="N651">
        <v>0.93006993006993011</v>
      </c>
      <c r="O651">
        <v>8923079.7083333321</v>
      </c>
      <c r="P651">
        <v>48365</v>
      </c>
      <c r="Q651">
        <v>2</v>
      </c>
      <c r="R651">
        <v>147</v>
      </c>
      <c r="S651" t="s">
        <v>569</v>
      </c>
      <c r="W651">
        <f>Cancer_doubles_final2[[#This Row],[mlp_params]]</f>
        <v>47744</v>
      </c>
      <c r="X651">
        <f>Cancer_doubles_final2[[#This Row],[kan_test_acc]]</f>
        <v>0.97494171559810638</v>
      </c>
      <c r="Y651">
        <f>Cancer_doubles_final2[[#This Row],[mlp_test_acc]]</f>
        <v>0.9358974358974359</v>
      </c>
      <c r="Z651">
        <f>Cancer_doubles_final2[[#This Row],[mlp_test_acc2]]</f>
        <v>0.93006993006993011</v>
      </c>
    </row>
    <row r="652" spans="1:26" hidden="1" x14ac:dyDescent="0.25">
      <c r="A652" t="s">
        <v>19</v>
      </c>
      <c r="B652">
        <v>5</v>
      </c>
      <c r="C652">
        <v>2</v>
      </c>
      <c r="D652">
        <v>0</v>
      </c>
      <c r="E652" t="s">
        <v>319</v>
      </c>
      <c r="F652">
        <v>25320</v>
      </c>
      <c r="G652">
        <v>31823474.75</v>
      </c>
      <c r="H652">
        <v>0.97465034574270248</v>
      </c>
      <c r="I652">
        <v>0.93444055944055948</v>
      </c>
      <c r="J652">
        <v>8666835</v>
      </c>
      <c r="K652">
        <v>37799</v>
      </c>
      <c r="L652">
        <v>2</v>
      </c>
      <c r="M652">
        <v>129</v>
      </c>
      <c r="N652">
        <v>0.93094405594405605</v>
      </c>
      <c r="O652">
        <v>9012477.833333334</v>
      </c>
      <c r="P652">
        <v>38352</v>
      </c>
      <c r="Q652">
        <v>2</v>
      </c>
      <c r="R652">
        <v>130</v>
      </c>
      <c r="S652" t="s">
        <v>570</v>
      </c>
      <c r="W652">
        <f>Cancer_doubles_final2[[#This Row],[mlp_params]]</f>
        <v>37799</v>
      </c>
      <c r="X652">
        <f>Cancer_doubles_final2[[#This Row],[kan_test_acc]]</f>
        <v>0.97465034574270248</v>
      </c>
      <c r="Y652">
        <f>Cancer_doubles_final2[[#This Row],[mlp_test_acc]]</f>
        <v>0.93444055944055948</v>
      </c>
      <c r="Z652">
        <f>Cancer_doubles_final2[[#This Row],[mlp_test_acc2]]</f>
        <v>0.93094405594405605</v>
      </c>
    </row>
    <row r="653" spans="1:26" x14ac:dyDescent="0.25">
      <c r="A653" t="s">
        <v>19</v>
      </c>
      <c r="B653">
        <v>3</v>
      </c>
      <c r="C653">
        <v>5</v>
      </c>
      <c r="D653">
        <v>0</v>
      </c>
      <c r="E653" t="s">
        <v>243</v>
      </c>
      <c r="F653">
        <v>25326</v>
      </c>
      <c r="G653">
        <v>38658269.875</v>
      </c>
      <c r="H653">
        <v>0.97261072198549903</v>
      </c>
      <c r="I653">
        <v>0.93881118881118886</v>
      </c>
      <c r="J653">
        <v>8887019.4166666679</v>
      </c>
      <c r="K653">
        <v>50252</v>
      </c>
      <c r="L653">
        <v>2</v>
      </c>
      <c r="M653">
        <v>150</v>
      </c>
      <c r="N653">
        <v>0.9396853146853148</v>
      </c>
      <c r="O653">
        <v>9069318.4166666679</v>
      </c>
      <c r="P653">
        <v>50889</v>
      </c>
      <c r="Q653">
        <v>2</v>
      </c>
      <c r="R653">
        <v>151</v>
      </c>
      <c r="S653" t="s">
        <v>571</v>
      </c>
      <c r="W653">
        <f>Cancer_doubles_final2[[#This Row],[mlp_params]]</f>
        <v>50252</v>
      </c>
      <c r="X653">
        <f>Cancer_doubles_final2[[#This Row],[kan_test_acc]]</f>
        <v>0.97261072198549903</v>
      </c>
      <c r="Y653">
        <f>Cancer_doubles_final2[[#This Row],[mlp_test_acc]]</f>
        <v>0.93881118881118886</v>
      </c>
      <c r="Z653">
        <f>Cancer_doubles_final2[[#This Row],[mlp_test_acc2]]</f>
        <v>0.9396853146853148</v>
      </c>
    </row>
    <row r="654" spans="1:26" hidden="1" x14ac:dyDescent="0.25">
      <c r="A654" t="s">
        <v>19</v>
      </c>
      <c r="B654">
        <v>5</v>
      </c>
      <c r="C654">
        <v>3</v>
      </c>
      <c r="D654">
        <v>0</v>
      </c>
      <c r="E654" t="s">
        <v>243</v>
      </c>
      <c r="F654">
        <v>25326</v>
      </c>
      <c r="G654">
        <v>47110524.375</v>
      </c>
      <c r="H654">
        <v>0.96503495673338568</v>
      </c>
      <c r="I654">
        <v>0.93881118881118886</v>
      </c>
      <c r="J654">
        <v>9710935.375</v>
      </c>
      <c r="K654">
        <v>41177</v>
      </c>
      <c r="L654">
        <v>2</v>
      </c>
      <c r="M654">
        <v>135</v>
      </c>
      <c r="N654">
        <v>0.93793706293706292</v>
      </c>
      <c r="O654">
        <v>9178159.8333333321</v>
      </c>
      <c r="P654">
        <v>41754</v>
      </c>
      <c r="Q654">
        <v>2</v>
      </c>
      <c r="R654">
        <v>136</v>
      </c>
      <c r="S654" t="s">
        <v>572</v>
      </c>
      <c r="W654">
        <f>Cancer_doubles_final2[[#This Row],[mlp_params]]</f>
        <v>41177</v>
      </c>
      <c r="X654">
        <f>Cancer_doubles_final2[[#This Row],[kan_test_acc]]</f>
        <v>0.96503495673338568</v>
      </c>
      <c r="Y654">
        <f>Cancer_doubles_final2[[#This Row],[mlp_test_acc]]</f>
        <v>0.93881118881118886</v>
      </c>
      <c r="Z654">
        <f>Cancer_doubles_final2[[#This Row],[mlp_test_acc2]]</f>
        <v>0.93793706293706292</v>
      </c>
    </row>
    <row r="655" spans="1:26" x14ac:dyDescent="0.25">
      <c r="A655" t="s">
        <v>19</v>
      </c>
      <c r="B655">
        <v>3</v>
      </c>
      <c r="C655">
        <v>5</v>
      </c>
      <c r="D655">
        <v>0</v>
      </c>
      <c r="E655" t="s">
        <v>243</v>
      </c>
      <c r="F655">
        <v>25326</v>
      </c>
      <c r="G655">
        <v>48879855.708333328</v>
      </c>
      <c r="H655">
        <v>0.9504661882917087</v>
      </c>
      <c r="I655">
        <v>0.94201631701631705</v>
      </c>
      <c r="J655">
        <v>9724265.8333333321</v>
      </c>
      <c r="K655">
        <v>50252</v>
      </c>
      <c r="L655">
        <v>2</v>
      </c>
      <c r="M655">
        <v>150</v>
      </c>
      <c r="N655">
        <v>0.94026806526806528</v>
      </c>
      <c r="O655">
        <v>10415074</v>
      </c>
      <c r="P655">
        <v>50889</v>
      </c>
      <c r="Q655">
        <v>2</v>
      </c>
      <c r="R655">
        <v>151</v>
      </c>
      <c r="S655" t="s">
        <v>571</v>
      </c>
      <c r="W655">
        <f>Cancer_doubles_final2[[#This Row],[mlp_params]]</f>
        <v>50252</v>
      </c>
      <c r="X655">
        <f>Cancer_doubles_final2[[#This Row],[kan_test_acc]]</f>
        <v>0.9504661882917087</v>
      </c>
      <c r="Y655">
        <f>Cancer_doubles_final2[[#This Row],[mlp_test_acc]]</f>
        <v>0.94201631701631705</v>
      </c>
      <c r="Z655">
        <f>Cancer_doubles_final2[[#This Row],[mlp_test_acc2]]</f>
        <v>0.94026806526806528</v>
      </c>
    </row>
    <row r="656" spans="1:26" hidden="1" x14ac:dyDescent="0.25">
      <c r="A656" t="s">
        <v>19</v>
      </c>
      <c r="B656">
        <v>5</v>
      </c>
      <c r="C656">
        <v>3</v>
      </c>
      <c r="D656">
        <v>0</v>
      </c>
      <c r="E656" t="s">
        <v>243</v>
      </c>
      <c r="F656">
        <v>25326</v>
      </c>
      <c r="G656">
        <v>45669975.416666672</v>
      </c>
      <c r="H656">
        <v>0.92832167446613312</v>
      </c>
      <c r="I656">
        <v>0.91783216783216781</v>
      </c>
      <c r="J656">
        <v>8983917.6666666679</v>
      </c>
      <c r="K656">
        <v>41177</v>
      </c>
      <c r="L656">
        <v>2</v>
      </c>
      <c r="M656">
        <v>135</v>
      </c>
      <c r="N656">
        <v>0.92191142191142195</v>
      </c>
      <c r="O656">
        <v>10246256.625</v>
      </c>
      <c r="P656">
        <v>41754</v>
      </c>
      <c r="Q656">
        <v>2</v>
      </c>
      <c r="R656">
        <v>136</v>
      </c>
      <c r="S656" t="s">
        <v>572</v>
      </c>
      <c r="W656">
        <f>Cancer_doubles_final2[[#This Row],[mlp_params]]</f>
        <v>41177</v>
      </c>
      <c r="X656">
        <f>Cancer_doubles_final2[[#This Row],[kan_test_acc]]</f>
        <v>0.92832167446613312</v>
      </c>
      <c r="Y656">
        <f>Cancer_doubles_final2[[#This Row],[mlp_test_acc]]</f>
        <v>0.91783216783216781</v>
      </c>
      <c r="Z656">
        <f>Cancer_doubles_final2[[#This Row],[mlp_test_acc2]]</f>
        <v>0.92191142191142195</v>
      </c>
    </row>
    <row r="657" spans="1:26" hidden="1" x14ac:dyDescent="0.25">
      <c r="A657" t="s">
        <v>19</v>
      </c>
      <c r="B657">
        <v>3</v>
      </c>
      <c r="C657">
        <v>4</v>
      </c>
      <c r="D657">
        <v>0</v>
      </c>
      <c r="E657" t="s">
        <v>321</v>
      </c>
      <c r="F657">
        <v>25398</v>
      </c>
      <c r="G657">
        <v>38386736.291666672</v>
      </c>
      <c r="H657">
        <v>0.93735431134700775</v>
      </c>
      <c r="I657">
        <v>0.91724941724941722</v>
      </c>
      <c r="J657">
        <v>8324314.291666667</v>
      </c>
      <c r="K657">
        <v>47744</v>
      </c>
      <c r="L657">
        <v>2</v>
      </c>
      <c r="M657">
        <v>146</v>
      </c>
      <c r="N657">
        <v>0.92540792540792538</v>
      </c>
      <c r="O657">
        <v>9363304.9166666679</v>
      </c>
      <c r="P657">
        <v>48365</v>
      </c>
      <c r="Q657">
        <v>2</v>
      </c>
      <c r="R657">
        <v>147</v>
      </c>
      <c r="S657" t="s">
        <v>573</v>
      </c>
      <c r="W657">
        <f>Cancer_doubles_final2[[#This Row],[mlp_params]]</f>
        <v>47744</v>
      </c>
      <c r="X657">
        <f>Cancer_doubles_final2[[#This Row],[kan_test_acc]]</f>
        <v>0.93735431134700775</v>
      </c>
      <c r="Y657">
        <f>Cancer_doubles_final2[[#This Row],[mlp_test_acc]]</f>
        <v>0.91724941724941722</v>
      </c>
      <c r="Z657">
        <f>Cancer_doubles_final2[[#This Row],[mlp_test_acc2]]</f>
        <v>0.92540792540792538</v>
      </c>
    </row>
    <row r="658" spans="1:26" hidden="1" x14ac:dyDescent="0.25">
      <c r="A658" t="s">
        <v>19</v>
      </c>
      <c r="B658">
        <v>5</v>
      </c>
      <c r="C658">
        <v>2</v>
      </c>
      <c r="D658">
        <v>0</v>
      </c>
      <c r="E658" t="s">
        <v>321</v>
      </c>
      <c r="F658">
        <v>25398</v>
      </c>
      <c r="G658">
        <v>37018910.5</v>
      </c>
      <c r="H658">
        <v>0.96066433191299438</v>
      </c>
      <c r="I658">
        <v>0.94055944055944063</v>
      </c>
      <c r="J658">
        <v>8471072.625</v>
      </c>
      <c r="K658">
        <v>37799</v>
      </c>
      <c r="L658">
        <v>2</v>
      </c>
      <c r="M658">
        <v>129</v>
      </c>
      <c r="N658">
        <v>0.94172494172494181</v>
      </c>
      <c r="O658">
        <v>9871628.2916666679</v>
      </c>
      <c r="P658">
        <v>38352</v>
      </c>
      <c r="Q658">
        <v>2</v>
      </c>
      <c r="R658">
        <v>130</v>
      </c>
      <c r="S658" t="s">
        <v>574</v>
      </c>
      <c r="W658">
        <f>Cancer_doubles_final2[[#This Row],[mlp_params]]</f>
        <v>37799</v>
      </c>
      <c r="X658">
        <f>Cancer_doubles_final2[[#This Row],[kan_test_acc]]</f>
        <v>0.96066433191299438</v>
      </c>
      <c r="Y658">
        <f>Cancer_doubles_final2[[#This Row],[mlp_test_acc]]</f>
        <v>0.94055944055944063</v>
      </c>
      <c r="Z658">
        <f>Cancer_doubles_final2[[#This Row],[mlp_test_acc2]]</f>
        <v>0.94172494172494181</v>
      </c>
    </row>
    <row r="659" spans="1:26" hidden="1" x14ac:dyDescent="0.25">
      <c r="A659" t="s">
        <v>19</v>
      </c>
      <c r="B659">
        <v>3</v>
      </c>
      <c r="C659">
        <v>4</v>
      </c>
      <c r="D659">
        <v>0</v>
      </c>
      <c r="E659" t="s">
        <v>321</v>
      </c>
      <c r="F659">
        <v>25398</v>
      </c>
      <c r="G659">
        <v>35701459.791666664</v>
      </c>
      <c r="H659">
        <v>0.96532633155584335</v>
      </c>
      <c r="I659">
        <v>0.93210955710955723</v>
      </c>
      <c r="J659">
        <v>7643740.166666666</v>
      </c>
      <c r="K659">
        <v>47744</v>
      </c>
      <c r="L659">
        <v>2</v>
      </c>
      <c r="M659">
        <v>146</v>
      </c>
      <c r="N659">
        <v>0.92569930069930073</v>
      </c>
      <c r="O659">
        <v>9650983.083333334</v>
      </c>
      <c r="P659">
        <v>48365</v>
      </c>
      <c r="Q659">
        <v>2</v>
      </c>
      <c r="R659">
        <v>147</v>
      </c>
      <c r="S659" t="s">
        <v>573</v>
      </c>
      <c r="W659">
        <f>Cancer_doubles_final2[[#This Row],[mlp_params]]</f>
        <v>47744</v>
      </c>
      <c r="X659">
        <f>Cancer_doubles_final2[[#This Row],[kan_test_acc]]</f>
        <v>0.96532633155584335</v>
      </c>
      <c r="Y659">
        <f>Cancer_doubles_final2[[#This Row],[mlp_test_acc]]</f>
        <v>0.93210955710955723</v>
      </c>
      <c r="Z659">
        <f>Cancer_doubles_final2[[#This Row],[mlp_test_acc2]]</f>
        <v>0.92569930069930073</v>
      </c>
    </row>
    <row r="660" spans="1:26" hidden="1" x14ac:dyDescent="0.25">
      <c r="A660" t="s">
        <v>19</v>
      </c>
      <c r="B660">
        <v>5</v>
      </c>
      <c r="C660">
        <v>2</v>
      </c>
      <c r="D660">
        <v>0</v>
      </c>
      <c r="E660" t="s">
        <v>321</v>
      </c>
      <c r="F660">
        <v>25398</v>
      </c>
      <c r="G660">
        <v>32080700.75</v>
      </c>
      <c r="H660">
        <v>0.944638691842556</v>
      </c>
      <c r="I660">
        <v>0.90821678321678323</v>
      </c>
      <c r="J660">
        <v>7320007.583333334</v>
      </c>
      <c r="K660">
        <v>37799</v>
      </c>
      <c r="L660">
        <v>2</v>
      </c>
      <c r="M660">
        <v>129</v>
      </c>
      <c r="N660">
        <v>0.9093822843822843</v>
      </c>
      <c r="O660">
        <v>8331477.833333334</v>
      </c>
      <c r="P660">
        <v>38352</v>
      </c>
      <c r="Q660">
        <v>2</v>
      </c>
      <c r="R660">
        <v>130</v>
      </c>
      <c r="S660" t="s">
        <v>574</v>
      </c>
      <c r="W660">
        <f>Cancer_doubles_final2[[#This Row],[mlp_params]]</f>
        <v>37799</v>
      </c>
      <c r="X660">
        <f>Cancer_doubles_final2[[#This Row],[kan_test_acc]]</f>
        <v>0.944638691842556</v>
      </c>
      <c r="Y660">
        <f>Cancer_doubles_final2[[#This Row],[mlp_test_acc]]</f>
        <v>0.90821678321678323</v>
      </c>
      <c r="Z660">
        <f>Cancer_doubles_final2[[#This Row],[mlp_test_acc2]]</f>
        <v>0.9093822843822843</v>
      </c>
    </row>
    <row r="661" spans="1:26" hidden="1" x14ac:dyDescent="0.25">
      <c r="A661" t="s">
        <v>19</v>
      </c>
      <c r="B661">
        <v>5</v>
      </c>
      <c r="C661">
        <v>4</v>
      </c>
      <c r="D661">
        <v>0</v>
      </c>
      <c r="E661" t="s">
        <v>203</v>
      </c>
      <c r="F661">
        <v>25460</v>
      </c>
      <c r="G661">
        <v>31730250.583333332</v>
      </c>
      <c r="H661">
        <v>0.93123543262481689</v>
      </c>
      <c r="I661">
        <v>0.91987179487179482</v>
      </c>
      <c r="J661">
        <v>8960319.4583333321</v>
      </c>
      <c r="K661">
        <v>44102</v>
      </c>
      <c r="L661">
        <v>2</v>
      </c>
      <c r="M661">
        <v>140</v>
      </c>
      <c r="N661">
        <v>0.92773892773892763</v>
      </c>
      <c r="O661">
        <v>8781105.166666666</v>
      </c>
      <c r="P661">
        <v>44699</v>
      </c>
      <c r="Q661">
        <v>2</v>
      </c>
      <c r="R661">
        <v>141</v>
      </c>
      <c r="S661" t="s">
        <v>575</v>
      </c>
      <c r="W661">
        <f>Cancer_doubles_final2[[#This Row],[mlp_params]]</f>
        <v>44102</v>
      </c>
      <c r="X661">
        <f>Cancer_doubles_final2[[#This Row],[kan_test_acc]]</f>
        <v>0.93123543262481689</v>
      </c>
      <c r="Y661">
        <f>Cancer_doubles_final2[[#This Row],[mlp_test_acc]]</f>
        <v>0.91987179487179482</v>
      </c>
      <c r="Z661">
        <f>Cancer_doubles_final2[[#This Row],[mlp_test_acc2]]</f>
        <v>0.92773892773892763</v>
      </c>
    </row>
    <row r="662" spans="1:26" hidden="1" x14ac:dyDescent="0.25">
      <c r="A662" t="s">
        <v>19</v>
      </c>
      <c r="B662">
        <v>5</v>
      </c>
      <c r="C662">
        <v>4</v>
      </c>
      <c r="D662">
        <v>0</v>
      </c>
      <c r="E662" t="s">
        <v>205</v>
      </c>
      <c r="F662">
        <v>25462</v>
      </c>
      <c r="G662">
        <v>35096424.8125</v>
      </c>
      <c r="H662">
        <v>0.93458624308307958</v>
      </c>
      <c r="I662">
        <v>0.94536713286713281</v>
      </c>
      <c r="J662">
        <v>9225880.9375</v>
      </c>
      <c r="K662">
        <v>44102</v>
      </c>
      <c r="L662">
        <v>2</v>
      </c>
      <c r="M662">
        <v>140</v>
      </c>
      <c r="N662">
        <v>0.94828088578088576</v>
      </c>
      <c r="O662">
        <v>9564172.729166666</v>
      </c>
      <c r="P662">
        <v>44699</v>
      </c>
      <c r="Q662">
        <v>2</v>
      </c>
      <c r="R662">
        <v>141</v>
      </c>
      <c r="S662" t="s">
        <v>576</v>
      </c>
      <c r="W662">
        <f>Cancer_doubles_final2[[#This Row],[mlp_params]]</f>
        <v>44102</v>
      </c>
      <c r="X662">
        <f>Cancer_doubles_final2[[#This Row],[kan_test_acc]]</f>
        <v>0.93458624308307958</v>
      </c>
      <c r="Y662">
        <f>Cancer_doubles_final2[[#This Row],[mlp_test_acc]]</f>
        <v>0.94536713286713281</v>
      </c>
      <c r="Z662">
        <f>Cancer_doubles_final2[[#This Row],[mlp_test_acc2]]</f>
        <v>0.94828088578088576</v>
      </c>
    </row>
    <row r="663" spans="1:26" hidden="1" x14ac:dyDescent="0.25">
      <c r="A663" t="s">
        <v>19</v>
      </c>
      <c r="B663">
        <v>3</v>
      </c>
      <c r="C663">
        <v>3</v>
      </c>
      <c r="D663">
        <v>0</v>
      </c>
      <c r="E663" t="s">
        <v>433</v>
      </c>
      <c r="F663">
        <v>25462</v>
      </c>
      <c r="G663">
        <v>37279776.125</v>
      </c>
      <c r="H663">
        <v>0.95862470318873727</v>
      </c>
      <c r="I663">
        <v>0.94900932400932403</v>
      </c>
      <c r="J663">
        <v>8772570.25</v>
      </c>
      <c r="K663">
        <v>44699</v>
      </c>
      <c r="L663">
        <v>2</v>
      </c>
      <c r="M663">
        <v>141</v>
      </c>
      <c r="N663">
        <v>0.9475524475524475</v>
      </c>
      <c r="O663">
        <v>9904439.6666666679</v>
      </c>
      <c r="P663">
        <v>45300</v>
      </c>
      <c r="Q663">
        <v>2</v>
      </c>
      <c r="R663">
        <v>142</v>
      </c>
      <c r="S663" t="s">
        <v>577</v>
      </c>
      <c r="W663">
        <f>Cancer_doubles_final2[[#This Row],[mlp_params]]</f>
        <v>44699</v>
      </c>
      <c r="X663">
        <f>Cancer_doubles_final2[[#This Row],[kan_test_acc]]</f>
        <v>0.95862470318873727</v>
      </c>
      <c r="Y663">
        <f>Cancer_doubles_final2[[#This Row],[mlp_test_acc]]</f>
        <v>0.94900932400932403</v>
      </c>
      <c r="Z663">
        <f>Cancer_doubles_final2[[#This Row],[mlp_test_acc2]]</f>
        <v>0.9475524475524475</v>
      </c>
    </row>
    <row r="664" spans="1:26" hidden="1" x14ac:dyDescent="0.25">
      <c r="A664" t="s">
        <v>19</v>
      </c>
      <c r="B664">
        <v>5</v>
      </c>
      <c r="C664">
        <v>4</v>
      </c>
      <c r="D664">
        <v>0</v>
      </c>
      <c r="E664" t="s">
        <v>205</v>
      </c>
      <c r="F664">
        <v>25462</v>
      </c>
      <c r="G664">
        <v>33779816.958333336</v>
      </c>
      <c r="H664">
        <v>0.94201631347338355</v>
      </c>
      <c r="I664">
        <v>0.9391025641025641</v>
      </c>
      <c r="J664">
        <v>9233310.125</v>
      </c>
      <c r="K664">
        <v>44102</v>
      </c>
      <c r="L664">
        <v>2</v>
      </c>
      <c r="M664">
        <v>140</v>
      </c>
      <c r="N664">
        <v>0.93298368298368306</v>
      </c>
      <c r="O664">
        <v>8529652.5</v>
      </c>
      <c r="P664">
        <v>44699</v>
      </c>
      <c r="Q664">
        <v>2</v>
      </c>
      <c r="R664">
        <v>141</v>
      </c>
      <c r="S664" t="s">
        <v>576</v>
      </c>
      <c r="W664">
        <f>Cancer_doubles_final2[[#This Row],[mlp_params]]</f>
        <v>44102</v>
      </c>
      <c r="X664">
        <f>Cancer_doubles_final2[[#This Row],[kan_test_acc]]</f>
        <v>0.94201631347338355</v>
      </c>
      <c r="Y664">
        <f>Cancer_doubles_final2[[#This Row],[mlp_test_acc]]</f>
        <v>0.9391025641025641</v>
      </c>
      <c r="Z664">
        <f>Cancer_doubles_final2[[#This Row],[mlp_test_acc2]]</f>
        <v>0.93298368298368306</v>
      </c>
    </row>
    <row r="665" spans="1:26" hidden="1" x14ac:dyDescent="0.25">
      <c r="A665" t="s">
        <v>19</v>
      </c>
      <c r="B665">
        <v>3</v>
      </c>
      <c r="C665">
        <v>3</v>
      </c>
      <c r="D665">
        <v>0</v>
      </c>
      <c r="E665" t="s">
        <v>433</v>
      </c>
      <c r="F665">
        <v>25462</v>
      </c>
      <c r="G665">
        <v>35177748.666666672</v>
      </c>
      <c r="H665">
        <v>0.93793705602486921</v>
      </c>
      <c r="I665">
        <v>0.92919580419580428</v>
      </c>
      <c r="J665">
        <v>9688449.0416666679</v>
      </c>
      <c r="K665">
        <v>44699</v>
      </c>
      <c r="L665">
        <v>2</v>
      </c>
      <c r="M665">
        <v>141</v>
      </c>
      <c r="N665">
        <v>0.92365967365967372</v>
      </c>
      <c r="O665">
        <v>8329502.958333333</v>
      </c>
      <c r="P665">
        <v>45300</v>
      </c>
      <c r="Q665">
        <v>2</v>
      </c>
      <c r="R665">
        <v>142</v>
      </c>
      <c r="S665" t="s">
        <v>577</v>
      </c>
      <c r="W665">
        <f>Cancer_doubles_final2[[#This Row],[mlp_params]]</f>
        <v>44699</v>
      </c>
      <c r="X665">
        <f>Cancer_doubles_final2[[#This Row],[kan_test_acc]]</f>
        <v>0.93793705602486921</v>
      </c>
      <c r="Y665">
        <f>Cancer_doubles_final2[[#This Row],[mlp_test_acc]]</f>
        <v>0.92919580419580428</v>
      </c>
      <c r="Z665">
        <f>Cancer_doubles_final2[[#This Row],[mlp_test_acc2]]</f>
        <v>0.92365967365967372</v>
      </c>
    </row>
    <row r="666" spans="1:26" hidden="1" x14ac:dyDescent="0.25">
      <c r="A666" t="s">
        <v>19</v>
      </c>
      <c r="B666">
        <v>5</v>
      </c>
      <c r="C666">
        <v>4</v>
      </c>
      <c r="D666">
        <v>0</v>
      </c>
      <c r="E666" t="s">
        <v>205</v>
      </c>
      <c r="F666">
        <v>25462</v>
      </c>
      <c r="G666">
        <v>37833206.208333336</v>
      </c>
      <c r="H666">
        <v>0.93793705850839615</v>
      </c>
      <c r="I666">
        <v>0.9131701631701632</v>
      </c>
      <c r="J666">
        <v>9036680.25</v>
      </c>
      <c r="K666">
        <v>44102</v>
      </c>
      <c r="L666">
        <v>2</v>
      </c>
      <c r="M666">
        <v>140</v>
      </c>
      <c r="N666">
        <v>0.90588578088578087</v>
      </c>
      <c r="O666">
        <v>8793386.833333334</v>
      </c>
      <c r="P666">
        <v>44699</v>
      </c>
      <c r="Q666">
        <v>2</v>
      </c>
      <c r="R666">
        <v>141</v>
      </c>
      <c r="S666" t="s">
        <v>576</v>
      </c>
      <c r="W666">
        <f>Cancer_doubles_final2[[#This Row],[mlp_params]]</f>
        <v>44102</v>
      </c>
      <c r="X666">
        <f>Cancer_doubles_final2[[#This Row],[kan_test_acc]]</f>
        <v>0.93793705850839615</v>
      </c>
      <c r="Y666">
        <f>Cancer_doubles_final2[[#This Row],[mlp_test_acc]]</f>
        <v>0.9131701631701632</v>
      </c>
      <c r="Z666">
        <f>Cancer_doubles_final2[[#This Row],[mlp_test_acc2]]</f>
        <v>0.90588578088578087</v>
      </c>
    </row>
    <row r="667" spans="1:26" x14ac:dyDescent="0.25">
      <c r="A667" t="s">
        <v>19</v>
      </c>
      <c r="B667">
        <v>3</v>
      </c>
      <c r="C667">
        <v>5</v>
      </c>
      <c r="D667">
        <v>0</v>
      </c>
      <c r="E667" t="s">
        <v>250</v>
      </c>
      <c r="F667">
        <v>25464</v>
      </c>
      <c r="G667">
        <v>38230863.833333336</v>
      </c>
      <c r="H667">
        <v>0.93531467765569687</v>
      </c>
      <c r="I667">
        <v>0.92453379953379955</v>
      </c>
      <c r="J667">
        <v>8636313.333333334</v>
      </c>
      <c r="K667">
        <v>50252</v>
      </c>
      <c r="L667">
        <v>2</v>
      </c>
      <c r="M667">
        <v>150</v>
      </c>
      <c r="N667">
        <v>0.91987179487179482</v>
      </c>
      <c r="O667">
        <v>9534251.375</v>
      </c>
      <c r="P667">
        <v>50889</v>
      </c>
      <c r="Q667">
        <v>2</v>
      </c>
      <c r="R667">
        <v>151</v>
      </c>
      <c r="S667" t="s">
        <v>578</v>
      </c>
      <c r="W667">
        <f>Cancer_doubles_final2[[#This Row],[mlp_params]]</f>
        <v>50252</v>
      </c>
      <c r="X667">
        <f>Cancer_doubles_final2[[#This Row],[kan_test_acc]]</f>
        <v>0.93531467765569687</v>
      </c>
      <c r="Y667">
        <f>Cancer_doubles_final2[[#This Row],[mlp_test_acc]]</f>
        <v>0.92453379953379955</v>
      </c>
      <c r="Z667">
        <f>Cancer_doubles_final2[[#This Row],[mlp_test_acc2]]</f>
        <v>0.91987179487179482</v>
      </c>
    </row>
    <row r="668" spans="1:26" hidden="1" x14ac:dyDescent="0.25">
      <c r="A668" t="s">
        <v>19</v>
      </c>
      <c r="B668">
        <v>5</v>
      </c>
      <c r="C668">
        <v>3</v>
      </c>
      <c r="D668">
        <v>0</v>
      </c>
      <c r="E668" t="s">
        <v>250</v>
      </c>
      <c r="F668">
        <v>25464</v>
      </c>
      <c r="G668">
        <v>36864527.875</v>
      </c>
      <c r="H668">
        <v>0.96969695885976148</v>
      </c>
      <c r="I668">
        <v>0.94347319347319347</v>
      </c>
      <c r="J668">
        <v>8308854.541666667</v>
      </c>
      <c r="K668">
        <v>41177</v>
      </c>
      <c r="L668">
        <v>2</v>
      </c>
      <c r="M668">
        <v>135</v>
      </c>
      <c r="N668">
        <v>0.9417249417249417</v>
      </c>
      <c r="O668">
        <v>9486471.9166666679</v>
      </c>
      <c r="P668">
        <v>41754</v>
      </c>
      <c r="Q668">
        <v>2</v>
      </c>
      <c r="R668">
        <v>136</v>
      </c>
      <c r="S668" t="s">
        <v>579</v>
      </c>
      <c r="W668">
        <f>Cancer_doubles_final2[[#This Row],[mlp_params]]</f>
        <v>41177</v>
      </c>
      <c r="X668">
        <f>Cancer_doubles_final2[[#This Row],[kan_test_acc]]</f>
        <v>0.96969695885976148</v>
      </c>
      <c r="Y668">
        <f>Cancer_doubles_final2[[#This Row],[mlp_test_acc]]</f>
        <v>0.94347319347319347</v>
      </c>
      <c r="Z668">
        <f>Cancer_doubles_final2[[#This Row],[mlp_test_acc2]]</f>
        <v>0.9417249417249417</v>
      </c>
    </row>
    <row r="669" spans="1:26" x14ac:dyDescent="0.25">
      <c r="A669" t="s">
        <v>19</v>
      </c>
      <c r="B669">
        <v>3</v>
      </c>
      <c r="C669">
        <v>5</v>
      </c>
      <c r="D669">
        <v>0</v>
      </c>
      <c r="E669" t="s">
        <v>250</v>
      </c>
      <c r="F669">
        <v>25464</v>
      </c>
      <c r="G669">
        <v>42014019.25</v>
      </c>
      <c r="H669">
        <v>0.96707459042469668</v>
      </c>
      <c r="I669">
        <v>0.93006993006993011</v>
      </c>
      <c r="J669">
        <v>8347133.583333333</v>
      </c>
      <c r="K669">
        <v>50252</v>
      </c>
      <c r="L669">
        <v>2</v>
      </c>
      <c r="M669">
        <v>150</v>
      </c>
      <c r="N669">
        <v>0.93210955710955712</v>
      </c>
      <c r="O669">
        <v>8406841</v>
      </c>
      <c r="P669">
        <v>50889</v>
      </c>
      <c r="Q669">
        <v>2</v>
      </c>
      <c r="R669">
        <v>151</v>
      </c>
      <c r="S669" t="s">
        <v>578</v>
      </c>
      <c r="W669">
        <f>Cancer_doubles_final2[[#This Row],[mlp_params]]</f>
        <v>50252</v>
      </c>
      <c r="X669">
        <f>Cancer_doubles_final2[[#This Row],[kan_test_acc]]</f>
        <v>0.96707459042469668</v>
      </c>
      <c r="Y669">
        <f>Cancer_doubles_final2[[#This Row],[mlp_test_acc]]</f>
        <v>0.93006993006993011</v>
      </c>
      <c r="Z669">
        <f>Cancer_doubles_final2[[#This Row],[mlp_test_acc2]]</f>
        <v>0.93210955710955712</v>
      </c>
    </row>
    <row r="670" spans="1:26" hidden="1" x14ac:dyDescent="0.25">
      <c r="A670" t="s">
        <v>19</v>
      </c>
      <c r="B670">
        <v>5</v>
      </c>
      <c r="C670">
        <v>3</v>
      </c>
      <c r="D670">
        <v>0</v>
      </c>
      <c r="E670" t="s">
        <v>250</v>
      </c>
      <c r="F670">
        <v>25464</v>
      </c>
      <c r="G670">
        <v>43445330.666666672</v>
      </c>
      <c r="H670">
        <v>0.95571095993121469</v>
      </c>
      <c r="I670">
        <v>0.90938228438228441</v>
      </c>
      <c r="J670">
        <v>8284909.25</v>
      </c>
      <c r="K670">
        <v>41177</v>
      </c>
      <c r="L670">
        <v>2</v>
      </c>
      <c r="M670">
        <v>135</v>
      </c>
      <c r="N670">
        <v>0.9131701631701632</v>
      </c>
      <c r="O670">
        <v>7968309.208333334</v>
      </c>
      <c r="P670">
        <v>41754</v>
      </c>
      <c r="Q670">
        <v>2</v>
      </c>
      <c r="R670">
        <v>136</v>
      </c>
      <c r="S670" t="s">
        <v>579</v>
      </c>
      <c r="W670">
        <f>Cancer_doubles_final2[[#This Row],[mlp_params]]</f>
        <v>41177</v>
      </c>
      <c r="X670">
        <f>Cancer_doubles_final2[[#This Row],[kan_test_acc]]</f>
        <v>0.95571095993121469</v>
      </c>
      <c r="Y670">
        <f>Cancer_doubles_final2[[#This Row],[mlp_test_acc]]</f>
        <v>0.90938228438228441</v>
      </c>
      <c r="Z670">
        <f>Cancer_doubles_final2[[#This Row],[mlp_test_acc2]]</f>
        <v>0.9131701631701632</v>
      </c>
    </row>
    <row r="671" spans="1:26" hidden="1" x14ac:dyDescent="0.25">
      <c r="A671" t="s">
        <v>19</v>
      </c>
      <c r="B671">
        <v>3</v>
      </c>
      <c r="C671">
        <v>3</v>
      </c>
      <c r="D671">
        <v>0</v>
      </c>
      <c r="E671" t="s">
        <v>435</v>
      </c>
      <c r="F671">
        <v>25466</v>
      </c>
      <c r="G671">
        <v>39245635.916666672</v>
      </c>
      <c r="H671">
        <v>0.96299533545970917</v>
      </c>
      <c r="I671">
        <v>0.9216200466200466</v>
      </c>
      <c r="J671">
        <v>7491985.791666667</v>
      </c>
      <c r="K671">
        <v>44699</v>
      </c>
      <c r="L671">
        <v>2</v>
      </c>
      <c r="M671">
        <v>141</v>
      </c>
      <c r="N671">
        <v>0.92307692307692313</v>
      </c>
      <c r="O671">
        <v>8862033.7916666679</v>
      </c>
      <c r="P671">
        <v>45300</v>
      </c>
      <c r="Q671">
        <v>2</v>
      </c>
      <c r="R671">
        <v>142</v>
      </c>
      <c r="S671" t="s">
        <v>580</v>
      </c>
      <c r="W671">
        <f>Cancer_doubles_final2[[#This Row],[mlp_params]]</f>
        <v>44699</v>
      </c>
      <c r="X671">
        <f>Cancer_doubles_final2[[#This Row],[kan_test_acc]]</f>
        <v>0.96299533545970917</v>
      </c>
      <c r="Y671">
        <f>Cancer_doubles_final2[[#This Row],[mlp_test_acc]]</f>
        <v>0.9216200466200466</v>
      </c>
      <c r="Z671">
        <f>Cancer_doubles_final2[[#This Row],[mlp_test_acc2]]</f>
        <v>0.92307692307692313</v>
      </c>
    </row>
    <row r="672" spans="1:26" hidden="1" x14ac:dyDescent="0.25">
      <c r="A672" t="s">
        <v>19</v>
      </c>
      <c r="B672">
        <v>3</v>
      </c>
      <c r="C672">
        <v>3</v>
      </c>
      <c r="D672">
        <v>0</v>
      </c>
      <c r="E672" t="s">
        <v>437</v>
      </c>
      <c r="F672">
        <v>25472</v>
      </c>
      <c r="G672">
        <v>42945976.888888888</v>
      </c>
      <c r="H672">
        <v>0.96775446501043105</v>
      </c>
      <c r="I672">
        <v>0.94405594405594406</v>
      </c>
      <c r="J672">
        <v>8225839.944444445</v>
      </c>
      <c r="K672">
        <v>44699</v>
      </c>
      <c r="L672">
        <v>2</v>
      </c>
      <c r="M672">
        <v>141</v>
      </c>
      <c r="N672">
        <v>0.94405594405594406</v>
      </c>
      <c r="O672">
        <v>9781002.3333333321</v>
      </c>
      <c r="P672">
        <v>45300</v>
      </c>
      <c r="Q672">
        <v>2</v>
      </c>
      <c r="R672">
        <v>142</v>
      </c>
      <c r="S672" t="s">
        <v>581</v>
      </c>
      <c r="W672">
        <f>Cancer_doubles_final2[[#This Row],[mlp_params]]</f>
        <v>44699</v>
      </c>
      <c r="X672">
        <f>Cancer_doubles_final2[[#This Row],[kan_test_acc]]</f>
        <v>0.96775446501043105</v>
      </c>
      <c r="Y672">
        <f>Cancer_doubles_final2[[#This Row],[mlp_test_acc]]</f>
        <v>0.94405594405594406</v>
      </c>
      <c r="Z672">
        <f>Cancer_doubles_final2[[#This Row],[mlp_test_acc2]]</f>
        <v>0.94405594405594406</v>
      </c>
    </row>
    <row r="673" spans="1:26" hidden="1" x14ac:dyDescent="0.25">
      <c r="A673" t="s">
        <v>19</v>
      </c>
      <c r="B673">
        <v>3</v>
      </c>
      <c r="C673">
        <v>2</v>
      </c>
      <c r="D673">
        <v>0</v>
      </c>
      <c r="E673" t="s">
        <v>582</v>
      </c>
      <c r="F673">
        <v>25536</v>
      </c>
      <c r="G673">
        <v>44812541.722222224</v>
      </c>
      <c r="H673">
        <v>0.97202797896332205</v>
      </c>
      <c r="I673">
        <v>0.9442501942501943</v>
      </c>
      <c r="J673">
        <v>8849380.25</v>
      </c>
      <c r="K673">
        <v>41177</v>
      </c>
      <c r="L673">
        <v>2</v>
      </c>
      <c r="M673">
        <v>135</v>
      </c>
      <c r="N673">
        <v>0.94191919191919193</v>
      </c>
      <c r="O673">
        <v>9734132.305555556</v>
      </c>
      <c r="P673">
        <v>41754</v>
      </c>
      <c r="Q673">
        <v>2</v>
      </c>
      <c r="R673">
        <v>136</v>
      </c>
      <c r="S673" t="s">
        <v>583</v>
      </c>
      <c r="W673">
        <f>Cancer_doubles_final2[[#This Row],[mlp_params]]</f>
        <v>41177</v>
      </c>
      <c r="X673">
        <f>Cancer_doubles_final2[[#This Row],[kan_test_acc]]</f>
        <v>0.97202797896332205</v>
      </c>
      <c r="Y673">
        <f>Cancer_doubles_final2[[#This Row],[mlp_test_acc]]</f>
        <v>0.9442501942501943</v>
      </c>
      <c r="Z673">
        <f>Cancer_doubles_final2[[#This Row],[mlp_test_acc2]]</f>
        <v>0.94191919191919193</v>
      </c>
    </row>
    <row r="674" spans="1:26" hidden="1" x14ac:dyDescent="0.25">
      <c r="A674" t="s">
        <v>19</v>
      </c>
      <c r="B674">
        <v>3</v>
      </c>
      <c r="C674">
        <v>3</v>
      </c>
      <c r="D674">
        <v>0</v>
      </c>
      <c r="E674" t="s">
        <v>439</v>
      </c>
      <c r="F674">
        <v>25536</v>
      </c>
      <c r="G674">
        <v>46162412.125</v>
      </c>
      <c r="H674">
        <v>0.98484849184751511</v>
      </c>
      <c r="I674">
        <v>0.94726107226107226</v>
      </c>
      <c r="J674">
        <v>7993518.083333333</v>
      </c>
      <c r="K674">
        <v>45300</v>
      </c>
      <c r="L674">
        <v>2</v>
      </c>
      <c r="M674">
        <v>142</v>
      </c>
      <c r="N674">
        <v>0.9443473193473193</v>
      </c>
      <c r="O674">
        <v>9881654.458333334</v>
      </c>
      <c r="P674">
        <v>45905</v>
      </c>
      <c r="Q674">
        <v>2</v>
      </c>
      <c r="R674">
        <v>143</v>
      </c>
      <c r="S674" t="s">
        <v>584</v>
      </c>
      <c r="W674">
        <f>Cancer_doubles_final2[[#This Row],[mlp_params]]</f>
        <v>45300</v>
      </c>
      <c r="X674">
        <f>Cancer_doubles_final2[[#This Row],[kan_test_acc]]</f>
        <v>0.98484849184751511</v>
      </c>
      <c r="Y674">
        <f>Cancer_doubles_final2[[#This Row],[mlp_test_acc]]</f>
        <v>0.94726107226107226</v>
      </c>
      <c r="Z674">
        <f>Cancer_doubles_final2[[#This Row],[mlp_test_acc2]]</f>
        <v>0.9443473193473193</v>
      </c>
    </row>
    <row r="675" spans="1:26" hidden="1" x14ac:dyDescent="0.25">
      <c r="A675" t="s">
        <v>19</v>
      </c>
      <c r="B675">
        <v>3</v>
      </c>
      <c r="C675">
        <v>2</v>
      </c>
      <c r="D675">
        <v>0</v>
      </c>
      <c r="E675" t="s">
        <v>582</v>
      </c>
      <c r="F675">
        <v>25536</v>
      </c>
      <c r="G675">
        <v>37209421.5</v>
      </c>
      <c r="H675">
        <v>0.95687645673751831</v>
      </c>
      <c r="I675">
        <v>0.94318181818181812</v>
      </c>
      <c r="J675">
        <v>8597075.125</v>
      </c>
      <c r="K675">
        <v>41177</v>
      </c>
      <c r="L675">
        <v>2</v>
      </c>
      <c r="M675">
        <v>135</v>
      </c>
      <c r="N675">
        <v>0.93968531468531469</v>
      </c>
      <c r="O675">
        <v>9435048.5416666679</v>
      </c>
      <c r="P675">
        <v>41754</v>
      </c>
      <c r="Q675">
        <v>2</v>
      </c>
      <c r="R675">
        <v>136</v>
      </c>
      <c r="S675" t="s">
        <v>583</v>
      </c>
      <c r="W675">
        <f>Cancer_doubles_final2[[#This Row],[mlp_params]]</f>
        <v>41177</v>
      </c>
      <c r="X675">
        <f>Cancer_doubles_final2[[#This Row],[kan_test_acc]]</f>
        <v>0.95687645673751831</v>
      </c>
      <c r="Y675">
        <f>Cancer_doubles_final2[[#This Row],[mlp_test_acc]]</f>
        <v>0.94318181818181812</v>
      </c>
      <c r="Z675">
        <f>Cancer_doubles_final2[[#This Row],[mlp_test_acc2]]</f>
        <v>0.93968531468531469</v>
      </c>
    </row>
    <row r="676" spans="1:26" hidden="1" x14ac:dyDescent="0.25">
      <c r="A676" t="s">
        <v>19</v>
      </c>
      <c r="B676">
        <v>3</v>
      </c>
      <c r="C676">
        <v>3</v>
      </c>
      <c r="D676">
        <v>0</v>
      </c>
      <c r="E676" t="s">
        <v>439</v>
      </c>
      <c r="F676">
        <v>25536</v>
      </c>
      <c r="G676">
        <v>38634369.041666672</v>
      </c>
      <c r="H676">
        <v>0.95046619822581602</v>
      </c>
      <c r="I676">
        <v>0.93240093240093236</v>
      </c>
      <c r="J676">
        <v>9602662.791666666</v>
      </c>
      <c r="K676">
        <v>45300</v>
      </c>
      <c r="L676">
        <v>2</v>
      </c>
      <c r="M676">
        <v>142</v>
      </c>
      <c r="N676">
        <v>0.92628205128205132</v>
      </c>
      <c r="O676">
        <v>8772713.208333334</v>
      </c>
      <c r="P676">
        <v>45905</v>
      </c>
      <c r="Q676">
        <v>2</v>
      </c>
      <c r="R676">
        <v>143</v>
      </c>
      <c r="S676" t="s">
        <v>584</v>
      </c>
      <c r="W676">
        <f>Cancer_doubles_final2[[#This Row],[mlp_params]]</f>
        <v>45300</v>
      </c>
      <c r="X676">
        <f>Cancer_doubles_final2[[#This Row],[kan_test_acc]]</f>
        <v>0.95046619822581602</v>
      </c>
      <c r="Y676">
        <f>Cancer_doubles_final2[[#This Row],[mlp_test_acc]]</f>
        <v>0.93240093240093236</v>
      </c>
      <c r="Z676">
        <f>Cancer_doubles_final2[[#This Row],[mlp_test_acc2]]</f>
        <v>0.92628205128205132</v>
      </c>
    </row>
    <row r="677" spans="1:26" x14ac:dyDescent="0.25">
      <c r="A677" t="s">
        <v>19</v>
      </c>
      <c r="B677">
        <v>3</v>
      </c>
      <c r="C677">
        <v>5</v>
      </c>
      <c r="D677">
        <v>0</v>
      </c>
      <c r="E677" t="s">
        <v>252</v>
      </c>
      <c r="F677">
        <v>25548</v>
      </c>
      <c r="G677">
        <v>47828824.583333336</v>
      </c>
      <c r="H677">
        <v>0.97202796737353003</v>
      </c>
      <c r="I677">
        <v>0.93414918414918413</v>
      </c>
      <c r="J677">
        <v>8986488.25</v>
      </c>
      <c r="K677">
        <v>50889</v>
      </c>
      <c r="L677">
        <v>2</v>
      </c>
      <c r="M677">
        <v>151</v>
      </c>
      <c r="N677">
        <v>0.92803030303030298</v>
      </c>
      <c r="O677">
        <v>8525187.041666666</v>
      </c>
      <c r="P677">
        <v>51530</v>
      </c>
      <c r="Q677">
        <v>2</v>
      </c>
      <c r="R677">
        <v>152</v>
      </c>
      <c r="S677" t="s">
        <v>585</v>
      </c>
      <c r="W677">
        <f>Cancer_doubles_final2[[#This Row],[mlp_params]]</f>
        <v>50889</v>
      </c>
      <c r="X677">
        <f>Cancer_doubles_final2[[#This Row],[kan_test_acc]]</f>
        <v>0.97202796737353003</v>
      </c>
      <c r="Y677">
        <f>Cancer_doubles_final2[[#This Row],[mlp_test_acc]]</f>
        <v>0.93414918414918413</v>
      </c>
      <c r="Z677">
        <f>Cancer_doubles_final2[[#This Row],[mlp_test_acc2]]</f>
        <v>0.92803030303030298</v>
      </c>
    </row>
    <row r="678" spans="1:26" hidden="1" x14ac:dyDescent="0.25">
      <c r="A678" t="s">
        <v>19</v>
      </c>
      <c r="B678">
        <v>5</v>
      </c>
      <c r="C678">
        <v>3</v>
      </c>
      <c r="D678">
        <v>0</v>
      </c>
      <c r="E678" t="s">
        <v>252</v>
      </c>
      <c r="F678">
        <v>25548</v>
      </c>
      <c r="G678">
        <v>44251349.583333336</v>
      </c>
      <c r="H678">
        <v>0.97144521524508787</v>
      </c>
      <c r="I678">
        <v>0.94259906759906764</v>
      </c>
      <c r="J678">
        <v>8721171.875</v>
      </c>
      <c r="K678">
        <v>41754</v>
      </c>
      <c r="L678">
        <v>2</v>
      </c>
      <c r="M678">
        <v>136</v>
      </c>
      <c r="N678">
        <v>0.93793706293706292</v>
      </c>
      <c r="O678">
        <v>9891268.416666666</v>
      </c>
      <c r="P678">
        <v>42335</v>
      </c>
      <c r="Q678">
        <v>2</v>
      </c>
      <c r="R678">
        <v>137</v>
      </c>
      <c r="S678" t="s">
        <v>586</v>
      </c>
      <c r="W678">
        <f>Cancer_doubles_final2[[#This Row],[mlp_params]]</f>
        <v>41754</v>
      </c>
      <c r="X678">
        <f>Cancer_doubles_final2[[#This Row],[kan_test_acc]]</f>
        <v>0.97144521524508787</v>
      </c>
      <c r="Y678">
        <f>Cancer_doubles_final2[[#This Row],[mlp_test_acc]]</f>
        <v>0.94259906759906764</v>
      </c>
      <c r="Z678">
        <f>Cancer_doubles_final2[[#This Row],[mlp_test_acc2]]</f>
        <v>0.93793706293706292</v>
      </c>
    </row>
    <row r="679" spans="1:26" x14ac:dyDescent="0.25">
      <c r="A679" t="s">
        <v>19</v>
      </c>
      <c r="B679">
        <v>3</v>
      </c>
      <c r="C679">
        <v>5</v>
      </c>
      <c r="D679">
        <v>0</v>
      </c>
      <c r="E679" t="s">
        <v>252</v>
      </c>
      <c r="F679">
        <v>25548</v>
      </c>
      <c r="G679">
        <v>41374190.375</v>
      </c>
      <c r="H679">
        <v>0.96066433191299438</v>
      </c>
      <c r="I679">
        <v>0.94230769230769229</v>
      </c>
      <c r="J679">
        <v>9600230.291666666</v>
      </c>
      <c r="K679">
        <v>50889</v>
      </c>
      <c r="L679">
        <v>2</v>
      </c>
      <c r="M679">
        <v>151</v>
      </c>
      <c r="N679">
        <v>0.93881118881118875</v>
      </c>
      <c r="O679">
        <v>10104687.458333334</v>
      </c>
      <c r="P679">
        <v>51530</v>
      </c>
      <c r="Q679">
        <v>2</v>
      </c>
      <c r="R679">
        <v>152</v>
      </c>
      <c r="S679" t="s">
        <v>585</v>
      </c>
      <c r="W679">
        <f>Cancer_doubles_final2[[#This Row],[mlp_params]]</f>
        <v>50889</v>
      </c>
      <c r="X679">
        <f>Cancer_doubles_final2[[#This Row],[kan_test_acc]]</f>
        <v>0.96066433191299438</v>
      </c>
      <c r="Y679">
        <f>Cancer_doubles_final2[[#This Row],[mlp_test_acc]]</f>
        <v>0.94230769230769229</v>
      </c>
      <c r="Z679">
        <f>Cancer_doubles_final2[[#This Row],[mlp_test_acc2]]</f>
        <v>0.93881118881118875</v>
      </c>
    </row>
    <row r="680" spans="1:26" hidden="1" x14ac:dyDescent="0.25">
      <c r="A680" t="s">
        <v>19</v>
      </c>
      <c r="B680">
        <v>5</v>
      </c>
      <c r="C680">
        <v>3</v>
      </c>
      <c r="D680">
        <v>0</v>
      </c>
      <c r="E680" t="s">
        <v>252</v>
      </c>
      <c r="F680">
        <v>25548</v>
      </c>
      <c r="G680">
        <v>39274808.625</v>
      </c>
      <c r="H680">
        <v>0.95891608049472166</v>
      </c>
      <c r="I680">
        <v>0.92016317016317017</v>
      </c>
      <c r="J680">
        <v>9042427.166666666</v>
      </c>
      <c r="K680">
        <v>41754</v>
      </c>
      <c r="L680">
        <v>2</v>
      </c>
      <c r="M680">
        <v>136</v>
      </c>
      <c r="N680">
        <v>0.91200466200466201</v>
      </c>
      <c r="O680">
        <v>8808121.2916666679</v>
      </c>
      <c r="P680">
        <v>42335</v>
      </c>
      <c r="Q680">
        <v>2</v>
      </c>
      <c r="R680">
        <v>137</v>
      </c>
      <c r="S680" t="s">
        <v>586</v>
      </c>
      <c r="W680">
        <f>Cancer_doubles_final2[[#This Row],[mlp_params]]</f>
        <v>41754</v>
      </c>
      <c r="X680">
        <f>Cancer_doubles_final2[[#This Row],[kan_test_acc]]</f>
        <v>0.95891608049472166</v>
      </c>
      <c r="Y680">
        <f>Cancer_doubles_final2[[#This Row],[mlp_test_acc]]</f>
        <v>0.92016317016317017</v>
      </c>
      <c r="Z680">
        <f>Cancer_doubles_final2[[#This Row],[mlp_test_acc2]]</f>
        <v>0.91200466200466201</v>
      </c>
    </row>
    <row r="681" spans="1:26" x14ac:dyDescent="0.25">
      <c r="A681" t="s">
        <v>19</v>
      </c>
      <c r="B681">
        <v>3</v>
      </c>
      <c r="C681">
        <v>5</v>
      </c>
      <c r="D681">
        <v>0</v>
      </c>
      <c r="E681" t="s">
        <v>256</v>
      </c>
      <c r="F681">
        <v>25594</v>
      </c>
      <c r="G681">
        <v>38980059.125</v>
      </c>
      <c r="H681">
        <v>0.95949882517258323</v>
      </c>
      <c r="I681">
        <v>0.91783216783216781</v>
      </c>
      <c r="J681">
        <v>8215389.416666666</v>
      </c>
      <c r="K681">
        <v>50889</v>
      </c>
      <c r="L681">
        <v>2</v>
      </c>
      <c r="M681">
        <v>151</v>
      </c>
      <c r="N681">
        <v>0.91113053613053618</v>
      </c>
      <c r="O681">
        <v>9107475.833333334</v>
      </c>
      <c r="P681">
        <v>51530</v>
      </c>
      <c r="Q681">
        <v>2</v>
      </c>
      <c r="R681">
        <v>152</v>
      </c>
      <c r="S681" t="s">
        <v>587</v>
      </c>
      <c r="W681">
        <f>Cancer_doubles_final2[[#This Row],[mlp_params]]</f>
        <v>50889</v>
      </c>
      <c r="X681">
        <f>Cancer_doubles_final2[[#This Row],[kan_test_acc]]</f>
        <v>0.95949882517258323</v>
      </c>
      <c r="Y681">
        <f>Cancer_doubles_final2[[#This Row],[mlp_test_acc]]</f>
        <v>0.91783216783216781</v>
      </c>
      <c r="Z681">
        <f>Cancer_doubles_final2[[#This Row],[mlp_test_acc2]]</f>
        <v>0.91113053613053618</v>
      </c>
    </row>
    <row r="682" spans="1:26" hidden="1" x14ac:dyDescent="0.25">
      <c r="A682" t="s">
        <v>19</v>
      </c>
      <c r="B682">
        <v>5</v>
      </c>
      <c r="C682">
        <v>3</v>
      </c>
      <c r="D682">
        <v>0</v>
      </c>
      <c r="E682" t="s">
        <v>256</v>
      </c>
      <c r="F682">
        <v>25594</v>
      </c>
      <c r="G682">
        <v>42568061.416666664</v>
      </c>
      <c r="H682">
        <v>0.96328670531511307</v>
      </c>
      <c r="I682">
        <v>0.9391025641025641</v>
      </c>
      <c r="J682">
        <v>8454816.541666666</v>
      </c>
      <c r="K682">
        <v>41754</v>
      </c>
      <c r="L682">
        <v>2</v>
      </c>
      <c r="M682">
        <v>136</v>
      </c>
      <c r="N682">
        <v>0.93735431235431244</v>
      </c>
      <c r="O682">
        <v>9881069.916666666</v>
      </c>
      <c r="P682">
        <v>42335</v>
      </c>
      <c r="Q682">
        <v>2</v>
      </c>
      <c r="R682">
        <v>137</v>
      </c>
      <c r="S682" t="s">
        <v>588</v>
      </c>
      <c r="W682">
        <f>Cancer_doubles_final2[[#This Row],[mlp_params]]</f>
        <v>41754</v>
      </c>
      <c r="X682">
        <f>Cancer_doubles_final2[[#This Row],[kan_test_acc]]</f>
        <v>0.96328670531511307</v>
      </c>
      <c r="Y682">
        <f>Cancer_doubles_final2[[#This Row],[mlp_test_acc]]</f>
        <v>0.9391025641025641</v>
      </c>
      <c r="Z682">
        <f>Cancer_doubles_final2[[#This Row],[mlp_test_acc2]]</f>
        <v>0.93735431235431244</v>
      </c>
    </row>
    <row r="683" spans="1:26" x14ac:dyDescent="0.25">
      <c r="A683" t="s">
        <v>19</v>
      </c>
      <c r="B683">
        <v>3</v>
      </c>
      <c r="C683">
        <v>5</v>
      </c>
      <c r="D683">
        <v>0</v>
      </c>
      <c r="E683" t="s">
        <v>256</v>
      </c>
      <c r="F683">
        <v>25594</v>
      </c>
      <c r="G683">
        <v>51249634.875</v>
      </c>
      <c r="H683">
        <v>0.96008158226807916</v>
      </c>
      <c r="I683">
        <v>0.93997668997668993</v>
      </c>
      <c r="J683">
        <v>8811594.791666666</v>
      </c>
      <c r="K683">
        <v>50889</v>
      </c>
      <c r="L683">
        <v>2</v>
      </c>
      <c r="M683">
        <v>151</v>
      </c>
      <c r="N683">
        <v>0.93881118881118875</v>
      </c>
      <c r="O683">
        <v>9524009.291666666</v>
      </c>
      <c r="P683">
        <v>51530</v>
      </c>
      <c r="Q683">
        <v>2</v>
      </c>
      <c r="R683">
        <v>152</v>
      </c>
      <c r="S683" t="s">
        <v>587</v>
      </c>
      <c r="W683">
        <f>Cancer_doubles_final2[[#This Row],[mlp_params]]</f>
        <v>50889</v>
      </c>
      <c r="X683">
        <f>Cancer_doubles_final2[[#This Row],[kan_test_acc]]</f>
        <v>0.96008158226807916</v>
      </c>
      <c r="Y683">
        <f>Cancer_doubles_final2[[#This Row],[mlp_test_acc]]</f>
        <v>0.93997668997668993</v>
      </c>
      <c r="Z683">
        <f>Cancer_doubles_final2[[#This Row],[mlp_test_acc2]]</f>
        <v>0.93881118881118875</v>
      </c>
    </row>
    <row r="684" spans="1:26" hidden="1" x14ac:dyDescent="0.25">
      <c r="A684" t="s">
        <v>19</v>
      </c>
      <c r="B684">
        <v>5</v>
      </c>
      <c r="C684">
        <v>3</v>
      </c>
      <c r="D684">
        <v>0</v>
      </c>
      <c r="E684" t="s">
        <v>256</v>
      </c>
      <c r="F684">
        <v>25594</v>
      </c>
      <c r="G684">
        <v>49167395.791666672</v>
      </c>
      <c r="H684">
        <v>0.94696969538927078</v>
      </c>
      <c r="I684">
        <v>0.91491841491841486</v>
      </c>
      <c r="J684">
        <v>8857325.2083333321</v>
      </c>
      <c r="K684">
        <v>41754</v>
      </c>
      <c r="L684">
        <v>2</v>
      </c>
      <c r="M684">
        <v>136</v>
      </c>
      <c r="N684">
        <v>0.91783216783216781</v>
      </c>
      <c r="O684">
        <v>8864072.5</v>
      </c>
      <c r="P684">
        <v>42335</v>
      </c>
      <c r="Q684">
        <v>2</v>
      </c>
      <c r="R684">
        <v>137</v>
      </c>
      <c r="S684" t="s">
        <v>588</v>
      </c>
      <c r="W684">
        <f>Cancer_doubles_final2[[#This Row],[mlp_params]]</f>
        <v>41754</v>
      </c>
      <c r="X684">
        <f>Cancer_doubles_final2[[#This Row],[kan_test_acc]]</f>
        <v>0.94696969538927078</v>
      </c>
      <c r="Y684">
        <f>Cancer_doubles_final2[[#This Row],[mlp_test_acc]]</f>
        <v>0.91491841491841486</v>
      </c>
      <c r="Z684">
        <f>Cancer_doubles_final2[[#This Row],[mlp_test_acc2]]</f>
        <v>0.91783216783216781</v>
      </c>
    </row>
    <row r="685" spans="1:26" hidden="1" x14ac:dyDescent="0.25">
      <c r="A685" t="s">
        <v>19</v>
      </c>
      <c r="B685">
        <v>9</v>
      </c>
      <c r="C685">
        <v>4</v>
      </c>
      <c r="D685">
        <v>0</v>
      </c>
      <c r="E685" t="s">
        <v>116</v>
      </c>
      <c r="F685">
        <v>25652</v>
      </c>
      <c r="G685">
        <v>33495964.625</v>
      </c>
      <c r="H685">
        <v>0.95425407836834597</v>
      </c>
      <c r="I685">
        <v>0.93006993006993</v>
      </c>
      <c r="J685">
        <v>8353015.625</v>
      </c>
      <c r="K685">
        <v>40035</v>
      </c>
      <c r="L685">
        <v>2</v>
      </c>
      <c r="M685">
        <v>133</v>
      </c>
      <c r="N685">
        <v>0.92977855477855476</v>
      </c>
      <c r="O685">
        <v>9090492.666666666</v>
      </c>
      <c r="P685">
        <v>40604</v>
      </c>
      <c r="Q685">
        <v>2</v>
      </c>
      <c r="R685">
        <v>134</v>
      </c>
      <c r="S685" t="s">
        <v>589</v>
      </c>
      <c r="W685">
        <f>Cancer_doubles_final2[[#This Row],[mlp_params]]</f>
        <v>40035</v>
      </c>
      <c r="X685">
        <f>Cancer_doubles_final2[[#This Row],[kan_test_acc]]</f>
        <v>0.95425407836834597</v>
      </c>
      <c r="Y685">
        <f>Cancer_doubles_final2[[#This Row],[mlp_test_acc]]</f>
        <v>0.93006993006993</v>
      </c>
      <c r="Z685">
        <f>Cancer_doubles_final2[[#This Row],[mlp_test_acc2]]</f>
        <v>0.92977855477855476</v>
      </c>
    </row>
    <row r="686" spans="1:26" hidden="1" x14ac:dyDescent="0.25">
      <c r="A686" t="s">
        <v>19</v>
      </c>
      <c r="B686">
        <v>3</v>
      </c>
      <c r="C686">
        <v>4</v>
      </c>
      <c r="D686">
        <v>0</v>
      </c>
      <c r="E686" t="s">
        <v>333</v>
      </c>
      <c r="F686">
        <v>25724</v>
      </c>
      <c r="G686">
        <v>32362012.75</v>
      </c>
      <c r="H686">
        <v>0.96998834361632658</v>
      </c>
      <c r="I686">
        <v>0.9592074592074592</v>
      </c>
      <c r="J686">
        <v>8829230.5416666679</v>
      </c>
      <c r="K686">
        <v>48365</v>
      </c>
      <c r="L686">
        <v>2</v>
      </c>
      <c r="M686">
        <v>147</v>
      </c>
      <c r="N686">
        <v>0.95745920745920743</v>
      </c>
      <c r="O686">
        <v>9135255.875</v>
      </c>
      <c r="P686">
        <v>48990</v>
      </c>
      <c r="Q686">
        <v>2</v>
      </c>
      <c r="R686">
        <v>148</v>
      </c>
      <c r="S686" t="s">
        <v>590</v>
      </c>
      <c r="W686">
        <f>Cancer_doubles_final2[[#This Row],[mlp_params]]</f>
        <v>48365</v>
      </c>
      <c r="X686">
        <f>Cancer_doubles_final2[[#This Row],[kan_test_acc]]</f>
        <v>0.96998834361632658</v>
      </c>
      <c r="Y686">
        <f>Cancer_doubles_final2[[#This Row],[mlp_test_acc]]</f>
        <v>0.9592074592074592</v>
      </c>
      <c r="Z686">
        <f>Cancer_doubles_final2[[#This Row],[mlp_test_acc2]]</f>
        <v>0.95745920745920743</v>
      </c>
    </row>
    <row r="687" spans="1:26" hidden="1" x14ac:dyDescent="0.25">
      <c r="A687" t="s">
        <v>19</v>
      </c>
      <c r="B687">
        <v>5</v>
      </c>
      <c r="C687">
        <v>2</v>
      </c>
      <c r="D687">
        <v>0</v>
      </c>
      <c r="E687" t="s">
        <v>333</v>
      </c>
      <c r="F687">
        <v>25724</v>
      </c>
      <c r="G687">
        <v>33803444.25</v>
      </c>
      <c r="H687">
        <v>0.97086246560017264</v>
      </c>
      <c r="I687">
        <v>0.94522144522144524</v>
      </c>
      <c r="J687">
        <v>8373754.5000000009</v>
      </c>
      <c r="K687">
        <v>38352</v>
      </c>
      <c r="L687">
        <v>2</v>
      </c>
      <c r="M687">
        <v>130</v>
      </c>
      <c r="N687">
        <v>0.9443473193473193</v>
      </c>
      <c r="O687">
        <v>8567315.7916666679</v>
      </c>
      <c r="P687">
        <v>38909</v>
      </c>
      <c r="Q687">
        <v>2</v>
      </c>
      <c r="R687">
        <v>131</v>
      </c>
      <c r="S687" t="s">
        <v>591</v>
      </c>
      <c r="W687">
        <f>Cancer_doubles_final2[[#This Row],[mlp_params]]</f>
        <v>38352</v>
      </c>
      <c r="X687">
        <f>Cancer_doubles_final2[[#This Row],[kan_test_acc]]</f>
        <v>0.97086246560017264</v>
      </c>
      <c r="Y687">
        <f>Cancer_doubles_final2[[#This Row],[mlp_test_acc]]</f>
        <v>0.94522144522144524</v>
      </c>
      <c r="Z687">
        <f>Cancer_doubles_final2[[#This Row],[mlp_test_acc2]]</f>
        <v>0.9443473193473193</v>
      </c>
    </row>
    <row r="688" spans="1:26" hidden="1" x14ac:dyDescent="0.25">
      <c r="A688" t="s">
        <v>19</v>
      </c>
      <c r="B688">
        <v>3</v>
      </c>
      <c r="C688">
        <v>4</v>
      </c>
      <c r="D688">
        <v>0</v>
      </c>
      <c r="E688" t="s">
        <v>333</v>
      </c>
      <c r="F688">
        <v>25724</v>
      </c>
      <c r="G688">
        <v>36044618.875</v>
      </c>
      <c r="H688">
        <v>0.96853145956993103</v>
      </c>
      <c r="I688">
        <v>0.93210955710955723</v>
      </c>
      <c r="J688">
        <v>8210948.916666667</v>
      </c>
      <c r="K688">
        <v>48365</v>
      </c>
      <c r="L688">
        <v>2</v>
      </c>
      <c r="M688">
        <v>147</v>
      </c>
      <c r="N688">
        <v>0.9306526806526807</v>
      </c>
      <c r="O688">
        <v>8902525.2916666679</v>
      </c>
      <c r="P688">
        <v>48990</v>
      </c>
      <c r="Q688">
        <v>2</v>
      </c>
      <c r="R688">
        <v>148</v>
      </c>
      <c r="S688" t="s">
        <v>590</v>
      </c>
      <c r="W688">
        <f>Cancer_doubles_final2[[#This Row],[mlp_params]]</f>
        <v>48365</v>
      </c>
      <c r="X688">
        <f>Cancer_doubles_final2[[#This Row],[kan_test_acc]]</f>
        <v>0.96853145956993103</v>
      </c>
      <c r="Y688">
        <f>Cancer_doubles_final2[[#This Row],[mlp_test_acc]]</f>
        <v>0.93210955710955723</v>
      </c>
      <c r="Z688">
        <f>Cancer_doubles_final2[[#This Row],[mlp_test_acc2]]</f>
        <v>0.9306526806526807</v>
      </c>
    </row>
    <row r="689" spans="1:26" hidden="1" x14ac:dyDescent="0.25">
      <c r="A689" t="s">
        <v>19</v>
      </c>
      <c r="B689">
        <v>5</v>
      </c>
      <c r="C689">
        <v>2</v>
      </c>
      <c r="D689">
        <v>0</v>
      </c>
      <c r="E689" t="s">
        <v>333</v>
      </c>
      <c r="F689">
        <v>25724</v>
      </c>
      <c r="G689">
        <v>33370317.541666664</v>
      </c>
      <c r="H689">
        <v>0.97465034325917554</v>
      </c>
      <c r="I689">
        <v>0.93269230769230771</v>
      </c>
      <c r="J689">
        <v>9127773.333333334</v>
      </c>
      <c r="K689">
        <v>38352</v>
      </c>
      <c r="L689">
        <v>2</v>
      </c>
      <c r="M689">
        <v>130</v>
      </c>
      <c r="N689">
        <v>0.93181818181818188</v>
      </c>
      <c r="O689">
        <v>9227629.583333334</v>
      </c>
      <c r="P689">
        <v>38909</v>
      </c>
      <c r="Q689">
        <v>2</v>
      </c>
      <c r="R689">
        <v>131</v>
      </c>
      <c r="S689" t="s">
        <v>591</v>
      </c>
      <c r="W689">
        <f>Cancer_doubles_final2[[#This Row],[mlp_params]]</f>
        <v>38352</v>
      </c>
      <c r="X689">
        <f>Cancer_doubles_final2[[#This Row],[kan_test_acc]]</f>
        <v>0.97465034325917554</v>
      </c>
      <c r="Y689">
        <f>Cancer_doubles_final2[[#This Row],[mlp_test_acc]]</f>
        <v>0.93269230769230771</v>
      </c>
      <c r="Z689">
        <f>Cancer_doubles_final2[[#This Row],[mlp_test_acc2]]</f>
        <v>0.93181818181818188</v>
      </c>
    </row>
    <row r="690" spans="1:26" hidden="1" x14ac:dyDescent="0.25">
      <c r="A690" t="s">
        <v>19</v>
      </c>
      <c r="B690">
        <v>3</v>
      </c>
      <c r="C690">
        <v>2</v>
      </c>
      <c r="D690">
        <v>0</v>
      </c>
      <c r="E690" t="s">
        <v>592</v>
      </c>
      <c r="F690">
        <v>25758</v>
      </c>
      <c r="G690">
        <v>38046499.041666664</v>
      </c>
      <c r="H690">
        <v>0.97668997198343277</v>
      </c>
      <c r="I690">
        <v>0.94463869463869465</v>
      </c>
      <c r="J690">
        <v>8819783.4166666679</v>
      </c>
      <c r="K690">
        <v>41754</v>
      </c>
      <c r="L690">
        <v>2</v>
      </c>
      <c r="M690">
        <v>136</v>
      </c>
      <c r="N690">
        <v>0.94667832167832167</v>
      </c>
      <c r="O690">
        <v>9331021.333333334</v>
      </c>
      <c r="P690">
        <v>42335</v>
      </c>
      <c r="Q690">
        <v>2</v>
      </c>
      <c r="R690">
        <v>137</v>
      </c>
      <c r="S690" t="s">
        <v>593</v>
      </c>
      <c r="W690">
        <f>Cancer_doubles_final2[[#This Row],[mlp_params]]</f>
        <v>41754</v>
      </c>
      <c r="X690">
        <f>Cancer_doubles_final2[[#This Row],[kan_test_acc]]</f>
        <v>0.97668997198343277</v>
      </c>
      <c r="Y690">
        <f>Cancer_doubles_final2[[#This Row],[mlp_test_acc]]</f>
        <v>0.94463869463869465</v>
      </c>
      <c r="Z690">
        <f>Cancer_doubles_final2[[#This Row],[mlp_test_acc2]]</f>
        <v>0.94667832167832167</v>
      </c>
    </row>
    <row r="691" spans="1:26" hidden="1" x14ac:dyDescent="0.25">
      <c r="A691" t="s">
        <v>19</v>
      </c>
      <c r="B691">
        <v>5</v>
      </c>
      <c r="C691">
        <v>5</v>
      </c>
      <c r="D691">
        <v>0</v>
      </c>
      <c r="E691" t="s">
        <v>173</v>
      </c>
      <c r="F691">
        <v>25804</v>
      </c>
      <c r="G691">
        <v>44815017.416666664</v>
      </c>
      <c r="H691">
        <v>0.93997668888833785</v>
      </c>
      <c r="I691">
        <v>0.93803418803418803</v>
      </c>
      <c r="J691">
        <v>8697448.583333334</v>
      </c>
      <c r="K691">
        <v>47127</v>
      </c>
      <c r="L691">
        <v>2</v>
      </c>
      <c r="M691">
        <v>145</v>
      </c>
      <c r="N691">
        <v>0.93997668997669004</v>
      </c>
      <c r="O691">
        <v>9796654.527777778</v>
      </c>
      <c r="P691">
        <v>47744</v>
      </c>
      <c r="Q691">
        <v>2</v>
      </c>
      <c r="R691">
        <v>146</v>
      </c>
      <c r="S691" t="s">
        <v>594</v>
      </c>
      <c r="W691">
        <f>Cancer_doubles_final2[[#This Row],[mlp_params]]</f>
        <v>47127</v>
      </c>
      <c r="X691">
        <f>Cancer_doubles_final2[[#This Row],[kan_test_acc]]</f>
        <v>0.93997668888833785</v>
      </c>
      <c r="Y691">
        <f>Cancer_doubles_final2[[#This Row],[mlp_test_acc]]</f>
        <v>0.93803418803418803</v>
      </c>
      <c r="Z691">
        <f>Cancer_doubles_final2[[#This Row],[mlp_test_acc2]]</f>
        <v>0.93997668997669004</v>
      </c>
    </row>
    <row r="692" spans="1:26" x14ac:dyDescent="0.25">
      <c r="A692" t="s">
        <v>19</v>
      </c>
      <c r="B692">
        <v>3</v>
      </c>
      <c r="C692">
        <v>5</v>
      </c>
      <c r="D692">
        <v>0</v>
      </c>
      <c r="E692" t="s">
        <v>260</v>
      </c>
      <c r="F692">
        <v>25810</v>
      </c>
      <c r="G692">
        <v>54542582.361111112</v>
      </c>
      <c r="H692">
        <v>0.94269619219832945</v>
      </c>
      <c r="I692">
        <v>0.93958818958818957</v>
      </c>
      <c r="J692">
        <v>10015816.416666666</v>
      </c>
      <c r="K692">
        <v>51530</v>
      </c>
      <c r="L692">
        <v>2</v>
      </c>
      <c r="M692">
        <v>152</v>
      </c>
      <c r="N692">
        <v>0.93997668997668993</v>
      </c>
      <c r="O692">
        <v>10373081.194444444</v>
      </c>
      <c r="P692">
        <v>52175</v>
      </c>
      <c r="Q692">
        <v>2</v>
      </c>
      <c r="R692">
        <v>153</v>
      </c>
      <c r="S692" t="s">
        <v>595</v>
      </c>
      <c r="W692">
        <f>Cancer_doubles_final2[[#This Row],[mlp_params]]</f>
        <v>51530</v>
      </c>
      <c r="X692">
        <f>Cancer_doubles_final2[[#This Row],[kan_test_acc]]</f>
        <v>0.94269619219832945</v>
      </c>
      <c r="Y692">
        <f>Cancer_doubles_final2[[#This Row],[mlp_test_acc]]</f>
        <v>0.93958818958818957</v>
      </c>
      <c r="Z692">
        <f>Cancer_doubles_final2[[#This Row],[mlp_test_acc2]]</f>
        <v>0.93997668997668993</v>
      </c>
    </row>
    <row r="693" spans="1:26" hidden="1" x14ac:dyDescent="0.25">
      <c r="A693" t="s">
        <v>19</v>
      </c>
      <c r="B693">
        <v>5</v>
      </c>
      <c r="C693">
        <v>3</v>
      </c>
      <c r="D693">
        <v>0</v>
      </c>
      <c r="E693" t="s">
        <v>260</v>
      </c>
      <c r="F693">
        <v>25810</v>
      </c>
      <c r="G693">
        <v>55197251.875</v>
      </c>
      <c r="H693">
        <v>0.96882283439238859</v>
      </c>
      <c r="I693">
        <v>0.93851981351981351</v>
      </c>
      <c r="J693">
        <v>10122092.833333332</v>
      </c>
      <c r="K693">
        <v>41754</v>
      </c>
      <c r="L693">
        <v>2</v>
      </c>
      <c r="M693">
        <v>136</v>
      </c>
      <c r="N693">
        <v>0.93560606060606055</v>
      </c>
      <c r="O693">
        <v>10780595.041666666</v>
      </c>
      <c r="P693">
        <v>42335</v>
      </c>
      <c r="Q693">
        <v>2</v>
      </c>
      <c r="R693">
        <v>137</v>
      </c>
      <c r="S693" t="s">
        <v>596</v>
      </c>
      <c r="W693">
        <f>Cancer_doubles_final2[[#This Row],[mlp_params]]</f>
        <v>41754</v>
      </c>
      <c r="X693">
        <f>Cancer_doubles_final2[[#This Row],[kan_test_acc]]</f>
        <v>0.96882283439238859</v>
      </c>
      <c r="Y693">
        <f>Cancer_doubles_final2[[#This Row],[mlp_test_acc]]</f>
        <v>0.93851981351981351</v>
      </c>
      <c r="Z693">
        <f>Cancer_doubles_final2[[#This Row],[mlp_test_acc2]]</f>
        <v>0.93560606060606055</v>
      </c>
    </row>
    <row r="694" spans="1:26" x14ac:dyDescent="0.25">
      <c r="A694" t="s">
        <v>19</v>
      </c>
      <c r="B694">
        <v>3</v>
      </c>
      <c r="C694">
        <v>5</v>
      </c>
      <c r="D694">
        <v>0</v>
      </c>
      <c r="E694" t="s">
        <v>260</v>
      </c>
      <c r="F694">
        <v>25810</v>
      </c>
      <c r="G694">
        <v>64160507.625000007</v>
      </c>
      <c r="H694">
        <v>0.95571094503005338</v>
      </c>
      <c r="I694">
        <v>0.93968531468531469</v>
      </c>
      <c r="J694">
        <v>11345440.708333334</v>
      </c>
      <c r="K694">
        <v>51530</v>
      </c>
      <c r="L694">
        <v>2</v>
      </c>
      <c r="M694">
        <v>152</v>
      </c>
      <c r="N694">
        <v>0.93735431235431244</v>
      </c>
      <c r="O694">
        <v>12317582.5</v>
      </c>
      <c r="P694">
        <v>52175</v>
      </c>
      <c r="Q694">
        <v>2</v>
      </c>
      <c r="R694">
        <v>153</v>
      </c>
      <c r="S694" t="s">
        <v>595</v>
      </c>
      <c r="W694">
        <f>Cancer_doubles_final2[[#This Row],[mlp_params]]</f>
        <v>51530</v>
      </c>
      <c r="X694">
        <f>Cancer_doubles_final2[[#This Row],[kan_test_acc]]</f>
        <v>0.95571094503005338</v>
      </c>
      <c r="Y694">
        <f>Cancer_doubles_final2[[#This Row],[mlp_test_acc]]</f>
        <v>0.93968531468531469</v>
      </c>
      <c r="Z694">
        <f>Cancer_doubles_final2[[#This Row],[mlp_test_acc2]]</f>
        <v>0.93735431235431244</v>
      </c>
    </row>
    <row r="695" spans="1:26" hidden="1" x14ac:dyDescent="0.25">
      <c r="A695" t="s">
        <v>19</v>
      </c>
      <c r="B695">
        <v>5</v>
      </c>
      <c r="C695">
        <v>3</v>
      </c>
      <c r="D695">
        <v>0</v>
      </c>
      <c r="E695" t="s">
        <v>260</v>
      </c>
      <c r="F695">
        <v>25810</v>
      </c>
      <c r="G695">
        <v>59872182.250000007</v>
      </c>
      <c r="H695">
        <v>0.94726106772820162</v>
      </c>
      <c r="I695">
        <v>0.91928904428904423</v>
      </c>
      <c r="J695">
        <v>11702325.166666668</v>
      </c>
      <c r="K695">
        <v>41754</v>
      </c>
      <c r="L695">
        <v>2</v>
      </c>
      <c r="M695">
        <v>136</v>
      </c>
      <c r="N695">
        <v>0.91666666666666674</v>
      </c>
      <c r="O695">
        <v>11651211.375</v>
      </c>
      <c r="P695">
        <v>42335</v>
      </c>
      <c r="Q695">
        <v>2</v>
      </c>
      <c r="R695">
        <v>137</v>
      </c>
      <c r="S695" t="s">
        <v>596</v>
      </c>
      <c r="W695">
        <f>Cancer_doubles_final2[[#This Row],[mlp_params]]</f>
        <v>41754</v>
      </c>
      <c r="X695">
        <f>Cancer_doubles_final2[[#This Row],[kan_test_acc]]</f>
        <v>0.94726106772820162</v>
      </c>
      <c r="Y695">
        <f>Cancer_doubles_final2[[#This Row],[mlp_test_acc]]</f>
        <v>0.91928904428904423</v>
      </c>
      <c r="Z695">
        <f>Cancer_doubles_final2[[#This Row],[mlp_test_acc2]]</f>
        <v>0.91666666666666674</v>
      </c>
    </row>
    <row r="696" spans="1:26" hidden="1" x14ac:dyDescent="0.25">
      <c r="A696" t="s">
        <v>19</v>
      </c>
      <c r="B696">
        <v>3</v>
      </c>
      <c r="C696">
        <v>2</v>
      </c>
      <c r="D696">
        <v>0</v>
      </c>
      <c r="E696" t="s">
        <v>597</v>
      </c>
      <c r="F696">
        <v>25852</v>
      </c>
      <c r="G696">
        <v>42051662.375</v>
      </c>
      <c r="H696">
        <v>0.96182983616987872</v>
      </c>
      <c r="I696">
        <v>0.91870629370629375</v>
      </c>
      <c r="J696">
        <v>8633448.6666666679</v>
      </c>
      <c r="K696">
        <v>41754</v>
      </c>
      <c r="L696">
        <v>2</v>
      </c>
      <c r="M696">
        <v>136</v>
      </c>
      <c r="N696">
        <v>0.91958041958041958</v>
      </c>
      <c r="O696">
        <v>9754971.875</v>
      </c>
      <c r="P696">
        <v>42335</v>
      </c>
      <c r="Q696">
        <v>2</v>
      </c>
      <c r="R696">
        <v>137</v>
      </c>
      <c r="S696" t="s">
        <v>598</v>
      </c>
      <c r="W696">
        <f>Cancer_doubles_final2[[#This Row],[mlp_params]]</f>
        <v>41754</v>
      </c>
      <c r="X696">
        <f>Cancer_doubles_final2[[#This Row],[kan_test_acc]]</f>
        <v>0.96182983616987872</v>
      </c>
      <c r="Y696">
        <f>Cancer_doubles_final2[[#This Row],[mlp_test_acc]]</f>
        <v>0.91870629370629375</v>
      </c>
      <c r="Z696">
        <f>Cancer_doubles_final2[[#This Row],[mlp_test_acc2]]</f>
        <v>0.91958041958041958</v>
      </c>
    </row>
    <row r="697" spans="1:26" hidden="1" x14ac:dyDescent="0.25">
      <c r="A697" t="s">
        <v>19</v>
      </c>
      <c r="B697">
        <v>5</v>
      </c>
      <c r="C697">
        <v>5</v>
      </c>
      <c r="D697">
        <v>0</v>
      </c>
      <c r="E697" t="s">
        <v>175</v>
      </c>
      <c r="F697">
        <v>25856</v>
      </c>
      <c r="G697">
        <v>34581677.19444444</v>
      </c>
      <c r="H697">
        <v>0.95415695177184212</v>
      </c>
      <c r="I697">
        <v>0.93628593628593626</v>
      </c>
      <c r="J697">
        <v>8294597.0000000009</v>
      </c>
      <c r="K697">
        <v>47127</v>
      </c>
      <c r="L697">
        <v>2</v>
      </c>
      <c r="M697">
        <v>145</v>
      </c>
      <c r="N697">
        <v>0.93842268842268839</v>
      </c>
      <c r="O697">
        <v>9696242.694444444</v>
      </c>
      <c r="P697">
        <v>47744</v>
      </c>
      <c r="Q697">
        <v>2</v>
      </c>
      <c r="R697">
        <v>146</v>
      </c>
      <c r="S697" t="s">
        <v>599</v>
      </c>
      <c r="W697">
        <f>Cancer_doubles_final2[[#This Row],[mlp_params]]</f>
        <v>47127</v>
      </c>
      <c r="X697">
        <f>Cancer_doubles_final2[[#This Row],[kan_test_acc]]</f>
        <v>0.95415695177184212</v>
      </c>
      <c r="Y697">
        <f>Cancer_doubles_final2[[#This Row],[mlp_test_acc]]</f>
        <v>0.93628593628593626</v>
      </c>
      <c r="Z697">
        <f>Cancer_doubles_final2[[#This Row],[mlp_test_acc2]]</f>
        <v>0.93842268842268839</v>
      </c>
    </row>
    <row r="698" spans="1:26" hidden="1" x14ac:dyDescent="0.25">
      <c r="A698" t="s">
        <v>19</v>
      </c>
      <c r="B698">
        <v>3</v>
      </c>
      <c r="C698">
        <v>3</v>
      </c>
      <c r="D698">
        <v>0</v>
      </c>
      <c r="E698" t="s">
        <v>445</v>
      </c>
      <c r="F698">
        <v>25866</v>
      </c>
      <c r="G698">
        <v>33664551.25</v>
      </c>
      <c r="H698">
        <v>0.96736596028010047</v>
      </c>
      <c r="I698">
        <v>0.94250194250194252</v>
      </c>
      <c r="J698">
        <v>8797520.75</v>
      </c>
      <c r="K698">
        <v>45905</v>
      </c>
      <c r="L698">
        <v>2</v>
      </c>
      <c r="M698">
        <v>143</v>
      </c>
      <c r="N698">
        <v>0.94094794094794099</v>
      </c>
      <c r="O698">
        <v>9734396</v>
      </c>
      <c r="P698">
        <v>46514</v>
      </c>
      <c r="Q698">
        <v>2</v>
      </c>
      <c r="R698">
        <v>144</v>
      </c>
      <c r="S698" t="s">
        <v>600</v>
      </c>
      <c r="W698">
        <f>Cancer_doubles_final2[[#This Row],[mlp_params]]</f>
        <v>45905</v>
      </c>
      <c r="X698">
        <f>Cancer_doubles_final2[[#This Row],[kan_test_acc]]</f>
        <v>0.96736596028010047</v>
      </c>
      <c r="Y698">
        <f>Cancer_doubles_final2[[#This Row],[mlp_test_acc]]</f>
        <v>0.94250194250194252</v>
      </c>
      <c r="Z698">
        <f>Cancer_doubles_final2[[#This Row],[mlp_test_acc2]]</f>
        <v>0.94094794094794099</v>
      </c>
    </row>
    <row r="699" spans="1:26" hidden="1" x14ac:dyDescent="0.25">
      <c r="A699" t="s">
        <v>19</v>
      </c>
      <c r="B699">
        <v>3</v>
      </c>
      <c r="C699">
        <v>4</v>
      </c>
      <c r="D699">
        <v>0</v>
      </c>
      <c r="E699" t="s">
        <v>337</v>
      </c>
      <c r="F699">
        <v>25876</v>
      </c>
      <c r="G699">
        <v>42452048.416666664</v>
      </c>
      <c r="H699">
        <v>0.9665889657206006</v>
      </c>
      <c r="I699">
        <v>0.94716394716394714</v>
      </c>
      <c r="J699">
        <v>9272703.1111111119</v>
      </c>
      <c r="K699">
        <v>48990</v>
      </c>
      <c r="L699">
        <v>2</v>
      </c>
      <c r="M699">
        <v>148</v>
      </c>
      <c r="N699">
        <v>0.94425019425019419</v>
      </c>
      <c r="O699">
        <v>8942325.3611111119</v>
      </c>
      <c r="P699">
        <v>49619</v>
      </c>
      <c r="Q699">
        <v>2</v>
      </c>
      <c r="R699">
        <v>149</v>
      </c>
      <c r="S699" t="s">
        <v>601</v>
      </c>
      <c r="W699">
        <f>Cancer_doubles_final2[[#This Row],[mlp_params]]</f>
        <v>48990</v>
      </c>
      <c r="X699">
        <f>Cancer_doubles_final2[[#This Row],[kan_test_acc]]</f>
        <v>0.9665889657206006</v>
      </c>
      <c r="Y699">
        <f>Cancer_doubles_final2[[#This Row],[mlp_test_acc]]</f>
        <v>0.94716394716394714</v>
      </c>
      <c r="Z699">
        <f>Cancer_doubles_final2[[#This Row],[mlp_test_acc2]]</f>
        <v>0.94425019425019419</v>
      </c>
    </row>
    <row r="700" spans="1:26" hidden="1" x14ac:dyDescent="0.25">
      <c r="A700" t="s">
        <v>19</v>
      </c>
      <c r="B700">
        <v>5</v>
      </c>
      <c r="C700">
        <v>2</v>
      </c>
      <c r="D700">
        <v>0</v>
      </c>
      <c r="E700" t="s">
        <v>337</v>
      </c>
      <c r="F700">
        <v>25876</v>
      </c>
      <c r="G700">
        <v>33091907.499999996</v>
      </c>
      <c r="H700">
        <v>0.97610721488793695</v>
      </c>
      <c r="I700">
        <v>0.94726107226107226</v>
      </c>
      <c r="J700">
        <v>8366717.541666667</v>
      </c>
      <c r="K700">
        <v>38352</v>
      </c>
      <c r="L700">
        <v>2</v>
      </c>
      <c r="M700">
        <v>130</v>
      </c>
      <c r="N700">
        <v>0.94347319347319347</v>
      </c>
      <c r="O700">
        <v>9467985.625</v>
      </c>
      <c r="P700">
        <v>38909</v>
      </c>
      <c r="Q700">
        <v>2</v>
      </c>
      <c r="R700">
        <v>131</v>
      </c>
      <c r="S700" t="s">
        <v>602</v>
      </c>
      <c r="W700">
        <f>Cancer_doubles_final2[[#This Row],[mlp_params]]</f>
        <v>38352</v>
      </c>
      <c r="X700">
        <f>Cancer_doubles_final2[[#This Row],[kan_test_acc]]</f>
        <v>0.97610721488793695</v>
      </c>
      <c r="Y700">
        <f>Cancer_doubles_final2[[#This Row],[mlp_test_acc]]</f>
        <v>0.94726107226107226</v>
      </c>
      <c r="Z700">
        <f>Cancer_doubles_final2[[#This Row],[mlp_test_acc2]]</f>
        <v>0.94347319347319347</v>
      </c>
    </row>
    <row r="701" spans="1:26" hidden="1" x14ac:dyDescent="0.25">
      <c r="A701" t="s">
        <v>19</v>
      </c>
      <c r="B701">
        <v>3</v>
      </c>
      <c r="C701">
        <v>4</v>
      </c>
      <c r="D701">
        <v>0</v>
      </c>
      <c r="E701" t="s">
        <v>337</v>
      </c>
      <c r="F701">
        <v>25876</v>
      </c>
      <c r="G701">
        <v>31943429.25</v>
      </c>
      <c r="H701">
        <v>0.97261070708433794</v>
      </c>
      <c r="I701">
        <v>0.93123543123543129</v>
      </c>
      <c r="J701">
        <v>8024693.0000000009</v>
      </c>
      <c r="K701">
        <v>48990</v>
      </c>
      <c r="L701">
        <v>2</v>
      </c>
      <c r="M701">
        <v>148</v>
      </c>
      <c r="N701">
        <v>0.93094405594405605</v>
      </c>
      <c r="O701">
        <v>9595274.1666666679</v>
      </c>
      <c r="P701">
        <v>49619</v>
      </c>
      <c r="Q701">
        <v>2</v>
      </c>
      <c r="R701">
        <v>149</v>
      </c>
      <c r="S701" t="s">
        <v>601</v>
      </c>
      <c r="W701">
        <f>Cancer_doubles_final2[[#This Row],[mlp_params]]</f>
        <v>48990</v>
      </c>
      <c r="X701">
        <f>Cancer_doubles_final2[[#This Row],[kan_test_acc]]</f>
        <v>0.97261070708433794</v>
      </c>
      <c r="Y701">
        <f>Cancer_doubles_final2[[#This Row],[mlp_test_acc]]</f>
        <v>0.93123543123543129</v>
      </c>
      <c r="Z701">
        <f>Cancer_doubles_final2[[#This Row],[mlp_test_acc2]]</f>
        <v>0.93094405594405605</v>
      </c>
    </row>
    <row r="702" spans="1:26" hidden="1" x14ac:dyDescent="0.25">
      <c r="A702" t="s">
        <v>19</v>
      </c>
      <c r="B702">
        <v>5</v>
      </c>
      <c r="C702">
        <v>2</v>
      </c>
      <c r="D702">
        <v>0</v>
      </c>
      <c r="E702" t="s">
        <v>337</v>
      </c>
      <c r="F702">
        <v>25876</v>
      </c>
      <c r="G702">
        <v>29803540.541666668</v>
      </c>
      <c r="H702">
        <v>0.96590907871723175</v>
      </c>
      <c r="I702">
        <v>0.90501165501165504</v>
      </c>
      <c r="J702">
        <v>8000508.5416666679</v>
      </c>
      <c r="K702">
        <v>38352</v>
      </c>
      <c r="L702">
        <v>2</v>
      </c>
      <c r="M702">
        <v>130</v>
      </c>
      <c r="N702">
        <v>0.90705128205128216</v>
      </c>
      <c r="O702">
        <v>8669851.125</v>
      </c>
      <c r="P702">
        <v>38909</v>
      </c>
      <c r="Q702">
        <v>2</v>
      </c>
      <c r="R702">
        <v>131</v>
      </c>
      <c r="S702" t="s">
        <v>602</v>
      </c>
      <c r="W702">
        <f>Cancer_doubles_final2[[#This Row],[mlp_params]]</f>
        <v>38352</v>
      </c>
      <c r="X702">
        <f>Cancer_doubles_final2[[#This Row],[kan_test_acc]]</f>
        <v>0.96590907871723175</v>
      </c>
      <c r="Y702">
        <f>Cancer_doubles_final2[[#This Row],[mlp_test_acc]]</f>
        <v>0.90501165501165504</v>
      </c>
      <c r="Z702">
        <f>Cancer_doubles_final2[[#This Row],[mlp_test_acc2]]</f>
        <v>0.90705128205128216</v>
      </c>
    </row>
    <row r="703" spans="1:26" hidden="1" x14ac:dyDescent="0.25">
      <c r="A703" t="s">
        <v>19</v>
      </c>
      <c r="B703">
        <v>5</v>
      </c>
      <c r="C703">
        <v>5</v>
      </c>
      <c r="D703">
        <v>0</v>
      </c>
      <c r="E703" t="s">
        <v>177</v>
      </c>
      <c r="F703">
        <v>25910</v>
      </c>
      <c r="G703">
        <v>29701617.458333332</v>
      </c>
      <c r="H703">
        <v>0.94259906063477195</v>
      </c>
      <c r="I703">
        <v>0.90675990675990681</v>
      </c>
      <c r="J703">
        <v>7882982.875</v>
      </c>
      <c r="K703">
        <v>47744</v>
      </c>
      <c r="L703">
        <v>2</v>
      </c>
      <c r="M703">
        <v>146</v>
      </c>
      <c r="N703">
        <v>0.91113053613053618</v>
      </c>
      <c r="O703">
        <v>8966919.541666666</v>
      </c>
      <c r="P703">
        <v>48365</v>
      </c>
      <c r="Q703">
        <v>2</v>
      </c>
      <c r="R703">
        <v>147</v>
      </c>
      <c r="S703" t="s">
        <v>603</v>
      </c>
      <c r="W703">
        <f>Cancer_doubles_final2[[#This Row],[mlp_params]]</f>
        <v>47744</v>
      </c>
      <c r="X703">
        <f>Cancer_doubles_final2[[#This Row],[kan_test_acc]]</f>
        <v>0.94259906063477195</v>
      </c>
      <c r="Y703">
        <f>Cancer_doubles_final2[[#This Row],[mlp_test_acc]]</f>
        <v>0.90675990675990681</v>
      </c>
      <c r="Z703">
        <f>Cancer_doubles_final2[[#This Row],[mlp_test_acc2]]</f>
        <v>0.91113053613053618</v>
      </c>
    </row>
    <row r="704" spans="1:26" hidden="1" x14ac:dyDescent="0.25">
      <c r="A704" t="s">
        <v>19</v>
      </c>
      <c r="B704">
        <v>9</v>
      </c>
      <c r="C704">
        <v>3</v>
      </c>
      <c r="D704">
        <v>0</v>
      </c>
      <c r="E704" t="s">
        <v>133</v>
      </c>
      <c r="F704">
        <v>25976</v>
      </c>
      <c r="G704">
        <v>34203117.111111112</v>
      </c>
      <c r="H704">
        <v>0.92346541749106514</v>
      </c>
      <c r="I704">
        <v>0.93240093240093236</v>
      </c>
      <c r="J704">
        <v>9220014.833333334</v>
      </c>
      <c r="K704">
        <v>37799</v>
      </c>
      <c r="L704">
        <v>2</v>
      </c>
      <c r="M704">
        <v>129</v>
      </c>
      <c r="N704">
        <v>0.93356643356643354</v>
      </c>
      <c r="O704">
        <v>9433943.8888888881</v>
      </c>
      <c r="P704">
        <v>38352</v>
      </c>
      <c r="Q704">
        <v>2</v>
      </c>
      <c r="R704">
        <v>130</v>
      </c>
      <c r="S704" t="s">
        <v>604</v>
      </c>
      <c r="W704">
        <f>Cancer_doubles_final2[[#This Row],[mlp_params]]</f>
        <v>37799</v>
      </c>
      <c r="X704">
        <f>Cancer_doubles_final2[[#This Row],[kan_test_acc]]</f>
        <v>0.92346541749106514</v>
      </c>
      <c r="Y704">
        <f>Cancer_doubles_final2[[#This Row],[mlp_test_acc]]</f>
        <v>0.93240093240093236</v>
      </c>
      <c r="Z704">
        <f>Cancer_doubles_final2[[#This Row],[mlp_test_acc2]]</f>
        <v>0.93356643356643354</v>
      </c>
    </row>
    <row r="705" spans="1:26" hidden="1" x14ac:dyDescent="0.25">
      <c r="A705" t="s">
        <v>19</v>
      </c>
      <c r="B705">
        <v>3</v>
      </c>
      <c r="C705">
        <v>4</v>
      </c>
      <c r="D705">
        <v>0</v>
      </c>
      <c r="E705" t="s">
        <v>341</v>
      </c>
      <c r="F705">
        <v>26002</v>
      </c>
      <c r="G705">
        <v>31234991.22222222</v>
      </c>
      <c r="H705">
        <v>0.94832943876584364</v>
      </c>
      <c r="I705">
        <v>0.92365967365967372</v>
      </c>
      <c r="J705">
        <v>9219845.1111111119</v>
      </c>
      <c r="K705">
        <v>48990</v>
      </c>
      <c r="L705">
        <v>2</v>
      </c>
      <c r="M705">
        <v>148</v>
      </c>
      <c r="N705">
        <v>0.92851592851592857</v>
      </c>
      <c r="O705">
        <v>9160633.805555556</v>
      </c>
      <c r="P705">
        <v>49619</v>
      </c>
      <c r="Q705">
        <v>2</v>
      </c>
      <c r="R705">
        <v>149</v>
      </c>
      <c r="S705" t="s">
        <v>605</v>
      </c>
      <c r="W705">
        <f>Cancer_doubles_final2[[#This Row],[mlp_params]]</f>
        <v>48990</v>
      </c>
      <c r="X705">
        <f>Cancer_doubles_final2[[#This Row],[kan_test_acc]]</f>
        <v>0.94832943876584364</v>
      </c>
      <c r="Y705">
        <f>Cancer_doubles_final2[[#This Row],[mlp_test_acc]]</f>
        <v>0.92365967365967372</v>
      </c>
      <c r="Z705">
        <f>Cancer_doubles_final2[[#This Row],[mlp_test_acc2]]</f>
        <v>0.92851592851592857</v>
      </c>
    </row>
    <row r="706" spans="1:26" hidden="1" x14ac:dyDescent="0.25">
      <c r="A706" t="s">
        <v>19</v>
      </c>
      <c r="B706">
        <v>5</v>
      </c>
      <c r="C706">
        <v>2</v>
      </c>
      <c r="D706">
        <v>0</v>
      </c>
      <c r="E706" t="s">
        <v>341</v>
      </c>
      <c r="F706">
        <v>26002</v>
      </c>
      <c r="G706">
        <v>34980799.291666672</v>
      </c>
      <c r="H706">
        <v>0.97494171808163332</v>
      </c>
      <c r="I706">
        <v>0.94463869463869465</v>
      </c>
      <c r="J706">
        <v>9042824.25</v>
      </c>
      <c r="K706">
        <v>38909</v>
      </c>
      <c r="L706">
        <v>2</v>
      </c>
      <c r="M706">
        <v>131</v>
      </c>
      <c r="N706">
        <v>0.94726107226107226</v>
      </c>
      <c r="O706">
        <v>8158970.041666667</v>
      </c>
      <c r="P706">
        <v>39470</v>
      </c>
      <c r="Q706">
        <v>2</v>
      </c>
      <c r="R706">
        <v>132</v>
      </c>
      <c r="S706" t="s">
        <v>606</v>
      </c>
      <c r="W706">
        <f>Cancer_doubles_final2[[#This Row],[mlp_params]]</f>
        <v>38909</v>
      </c>
      <c r="X706">
        <f>Cancer_doubles_final2[[#This Row],[kan_test_acc]]</f>
        <v>0.97494171808163332</v>
      </c>
      <c r="Y706">
        <f>Cancer_doubles_final2[[#This Row],[mlp_test_acc]]</f>
        <v>0.94463869463869465</v>
      </c>
      <c r="Z706">
        <f>Cancer_doubles_final2[[#This Row],[mlp_test_acc2]]</f>
        <v>0.94726107226107226</v>
      </c>
    </row>
    <row r="707" spans="1:26" hidden="1" x14ac:dyDescent="0.25">
      <c r="A707" t="s">
        <v>19</v>
      </c>
      <c r="B707">
        <v>3</v>
      </c>
      <c r="C707">
        <v>4</v>
      </c>
      <c r="D707">
        <v>0</v>
      </c>
      <c r="E707" t="s">
        <v>341</v>
      </c>
      <c r="F707">
        <v>26002</v>
      </c>
      <c r="G707">
        <v>36254695.416666672</v>
      </c>
      <c r="H707">
        <v>0.97581583509842562</v>
      </c>
      <c r="I707">
        <v>0.93356643356643354</v>
      </c>
      <c r="J707">
        <v>8947396.5833333321</v>
      </c>
      <c r="K707">
        <v>48990</v>
      </c>
      <c r="L707">
        <v>2</v>
      </c>
      <c r="M707">
        <v>148</v>
      </c>
      <c r="N707">
        <v>0.9332750582750583</v>
      </c>
      <c r="O707">
        <v>8743113.166666666</v>
      </c>
      <c r="P707">
        <v>49619</v>
      </c>
      <c r="Q707">
        <v>2</v>
      </c>
      <c r="R707">
        <v>149</v>
      </c>
      <c r="S707" t="s">
        <v>605</v>
      </c>
      <c r="W707">
        <f>Cancer_doubles_final2[[#This Row],[mlp_params]]</f>
        <v>48990</v>
      </c>
      <c r="X707">
        <f>Cancer_doubles_final2[[#This Row],[kan_test_acc]]</f>
        <v>0.97581583509842562</v>
      </c>
      <c r="Y707">
        <f>Cancer_doubles_final2[[#This Row],[mlp_test_acc]]</f>
        <v>0.93356643356643354</v>
      </c>
      <c r="Z707">
        <f>Cancer_doubles_final2[[#This Row],[mlp_test_acc2]]</f>
        <v>0.9332750582750583</v>
      </c>
    </row>
    <row r="708" spans="1:26" hidden="1" x14ac:dyDescent="0.25">
      <c r="A708" t="s">
        <v>19</v>
      </c>
      <c r="B708">
        <v>5</v>
      </c>
      <c r="C708">
        <v>2</v>
      </c>
      <c r="D708">
        <v>0</v>
      </c>
      <c r="E708" t="s">
        <v>341</v>
      </c>
      <c r="F708">
        <v>26002</v>
      </c>
      <c r="G708">
        <v>33352748.166666664</v>
      </c>
      <c r="H708">
        <v>0.97756408900022507</v>
      </c>
      <c r="I708">
        <v>0.93210955710955712</v>
      </c>
      <c r="J708">
        <v>9215360.5</v>
      </c>
      <c r="K708">
        <v>38909</v>
      </c>
      <c r="L708">
        <v>2</v>
      </c>
      <c r="M708">
        <v>131</v>
      </c>
      <c r="N708">
        <v>0.93240093240093247</v>
      </c>
      <c r="O708">
        <v>9535931.2083333321</v>
      </c>
      <c r="P708">
        <v>39470</v>
      </c>
      <c r="Q708">
        <v>2</v>
      </c>
      <c r="R708">
        <v>132</v>
      </c>
      <c r="S708" t="s">
        <v>606</v>
      </c>
      <c r="W708">
        <f>Cancer_doubles_final2[[#This Row],[mlp_params]]</f>
        <v>38909</v>
      </c>
      <c r="X708">
        <f>Cancer_doubles_final2[[#This Row],[kan_test_acc]]</f>
        <v>0.97756408900022507</v>
      </c>
      <c r="Y708">
        <f>Cancer_doubles_final2[[#This Row],[mlp_test_acc]]</f>
        <v>0.93210955710955712</v>
      </c>
      <c r="Z708">
        <f>Cancer_doubles_final2[[#This Row],[mlp_test_acc2]]</f>
        <v>0.93240093240093247</v>
      </c>
    </row>
    <row r="709" spans="1:26" hidden="1" x14ac:dyDescent="0.25">
      <c r="A709" t="s">
        <v>19</v>
      </c>
      <c r="B709">
        <v>9</v>
      </c>
      <c r="C709">
        <v>2</v>
      </c>
      <c r="D709">
        <v>0</v>
      </c>
      <c r="E709" t="s">
        <v>152</v>
      </c>
      <c r="F709">
        <v>26044</v>
      </c>
      <c r="G709">
        <v>25087996.041666664</v>
      </c>
      <c r="H709">
        <v>0.95629369467496872</v>
      </c>
      <c r="I709">
        <v>0.92890442890442892</v>
      </c>
      <c r="J709">
        <v>8990594.166666666</v>
      </c>
      <c r="K709">
        <v>35094</v>
      </c>
      <c r="L709">
        <v>2</v>
      </c>
      <c r="M709">
        <v>124</v>
      </c>
      <c r="N709">
        <v>0.92599067599067597</v>
      </c>
      <c r="O709">
        <v>9876275.7916666679</v>
      </c>
      <c r="P709">
        <v>35627</v>
      </c>
      <c r="Q709">
        <v>2</v>
      </c>
      <c r="R709">
        <v>125</v>
      </c>
      <c r="S709" t="s">
        <v>607</v>
      </c>
      <c r="W709">
        <f>Cancer_doubles_final2[[#This Row],[mlp_params]]</f>
        <v>35094</v>
      </c>
      <c r="X709">
        <f>Cancer_doubles_final2[[#This Row],[kan_test_acc]]</f>
        <v>0.95629369467496872</v>
      </c>
      <c r="Y709">
        <f>Cancer_doubles_final2[[#This Row],[mlp_test_acc]]</f>
        <v>0.92890442890442892</v>
      </c>
      <c r="Z709">
        <f>Cancer_doubles_final2[[#This Row],[mlp_test_acc2]]</f>
        <v>0.92599067599067597</v>
      </c>
    </row>
    <row r="710" spans="1:26" hidden="1" x14ac:dyDescent="0.25">
      <c r="A710" t="s">
        <v>19</v>
      </c>
      <c r="B710">
        <v>3</v>
      </c>
      <c r="C710">
        <v>4</v>
      </c>
      <c r="D710">
        <v>0</v>
      </c>
      <c r="E710" t="s">
        <v>345</v>
      </c>
      <c r="F710">
        <v>26078</v>
      </c>
      <c r="G710">
        <v>27902369.194444448</v>
      </c>
      <c r="H710">
        <v>0.94211344255341423</v>
      </c>
      <c r="I710">
        <v>0.92637917637917633</v>
      </c>
      <c r="J710">
        <v>8814309.8888888881</v>
      </c>
      <c r="K710">
        <v>48990</v>
      </c>
      <c r="L710">
        <v>2</v>
      </c>
      <c r="M710">
        <v>148</v>
      </c>
      <c r="N710">
        <v>0.92055167055167053</v>
      </c>
      <c r="O710">
        <v>8141838.944444445</v>
      </c>
      <c r="P710">
        <v>49619</v>
      </c>
      <c r="Q710">
        <v>2</v>
      </c>
      <c r="R710">
        <v>149</v>
      </c>
      <c r="S710" t="s">
        <v>608</v>
      </c>
      <c r="W710">
        <f>Cancer_doubles_final2[[#This Row],[mlp_params]]</f>
        <v>48990</v>
      </c>
      <c r="X710">
        <f>Cancer_doubles_final2[[#This Row],[kan_test_acc]]</f>
        <v>0.94211344255341423</v>
      </c>
      <c r="Y710">
        <f>Cancer_doubles_final2[[#This Row],[mlp_test_acc]]</f>
        <v>0.92637917637917633</v>
      </c>
      <c r="Z710">
        <f>Cancer_doubles_final2[[#This Row],[mlp_test_acc2]]</f>
        <v>0.92055167055167053</v>
      </c>
    </row>
    <row r="711" spans="1:26" hidden="1" x14ac:dyDescent="0.25">
      <c r="A711" t="s">
        <v>19</v>
      </c>
      <c r="B711">
        <v>5</v>
      </c>
      <c r="C711">
        <v>2</v>
      </c>
      <c r="D711">
        <v>0</v>
      </c>
      <c r="E711" t="s">
        <v>345</v>
      </c>
      <c r="F711">
        <v>26078</v>
      </c>
      <c r="G711">
        <v>33943804.166666672</v>
      </c>
      <c r="H711">
        <v>0.97290209184090293</v>
      </c>
      <c r="I711">
        <v>0.94085081585081587</v>
      </c>
      <c r="J711">
        <v>8545150.4583333321</v>
      </c>
      <c r="K711">
        <v>38909</v>
      </c>
      <c r="L711">
        <v>2</v>
      </c>
      <c r="M711">
        <v>131</v>
      </c>
      <c r="N711">
        <v>0.94055944055944063</v>
      </c>
      <c r="O711">
        <v>8790686</v>
      </c>
      <c r="P711">
        <v>39470</v>
      </c>
      <c r="Q711">
        <v>2</v>
      </c>
      <c r="R711">
        <v>132</v>
      </c>
      <c r="S711" t="s">
        <v>609</v>
      </c>
      <c r="W711">
        <f>Cancer_doubles_final2[[#This Row],[mlp_params]]</f>
        <v>38909</v>
      </c>
      <c r="X711">
        <f>Cancer_doubles_final2[[#This Row],[kan_test_acc]]</f>
        <v>0.97290209184090293</v>
      </c>
      <c r="Y711">
        <f>Cancer_doubles_final2[[#This Row],[mlp_test_acc]]</f>
        <v>0.94085081585081587</v>
      </c>
      <c r="Z711">
        <f>Cancer_doubles_final2[[#This Row],[mlp_test_acc2]]</f>
        <v>0.94055944055944063</v>
      </c>
    </row>
    <row r="712" spans="1:26" hidden="1" x14ac:dyDescent="0.25">
      <c r="A712" t="s">
        <v>19</v>
      </c>
      <c r="B712">
        <v>3</v>
      </c>
      <c r="C712">
        <v>4</v>
      </c>
      <c r="D712">
        <v>0</v>
      </c>
      <c r="E712" t="s">
        <v>345</v>
      </c>
      <c r="F712">
        <v>26078</v>
      </c>
      <c r="G712">
        <v>34680505.875</v>
      </c>
      <c r="H712">
        <v>0.97173658510049177</v>
      </c>
      <c r="I712">
        <v>0.92861305361305368</v>
      </c>
      <c r="J712">
        <v>8483476.958333334</v>
      </c>
      <c r="K712">
        <v>48990</v>
      </c>
      <c r="L712">
        <v>2</v>
      </c>
      <c r="M712">
        <v>148</v>
      </c>
      <c r="N712">
        <v>0.93094405594405594</v>
      </c>
      <c r="O712">
        <v>8207056.25</v>
      </c>
      <c r="P712">
        <v>49619</v>
      </c>
      <c r="Q712">
        <v>2</v>
      </c>
      <c r="R712">
        <v>149</v>
      </c>
      <c r="S712" t="s">
        <v>608</v>
      </c>
      <c r="W712">
        <f>Cancer_doubles_final2[[#This Row],[mlp_params]]</f>
        <v>48990</v>
      </c>
      <c r="X712">
        <f>Cancer_doubles_final2[[#This Row],[kan_test_acc]]</f>
        <v>0.97173658510049177</v>
      </c>
      <c r="Y712">
        <f>Cancer_doubles_final2[[#This Row],[mlp_test_acc]]</f>
        <v>0.92861305361305368</v>
      </c>
      <c r="Z712">
        <f>Cancer_doubles_final2[[#This Row],[mlp_test_acc2]]</f>
        <v>0.93094405594405594</v>
      </c>
    </row>
    <row r="713" spans="1:26" hidden="1" x14ac:dyDescent="0.25">
      <c r="A713" t="s">
        <v>19</v>
      </c>
      <c r="B713">
        <v>5</v>
      </c>
      <c r="C713">
        <v>2</v>
      </c>
      <c r="D713">
        <v>0</v>
      </c>
      <c r="E713" t="s">
        <v>345</v>
      </c>
      <c r="F713">
        <v>26078</v>
      </c>
      <c r="G713">
        <v>32683072.249999996</v>
      </c>
      <c r="H713">
        <v>0.96008157730102539</v>
      </c>
      <c r="I713">
        <v>0.90821678321678323</v>
      </c>
      <c r="J713">
        <v>7943459.958333334</v>
      </c>
      <c r="K713">
        <v>38909</v>
      </c>
      <c r="L713">
        <v>2</v>
      </c>
      <c r="M713">
        <v>131</v>
      </c>
      <c r="N713">
        <v>0.90938228438228441</v>
      </c>
      <c r="O713">
        <v>7838044.291666666</v>
      </c>
      <c r="P713">
        <v>39470</v>
      </c>
      <c r="Q713">
        <v>2</v>
      </c>
      <c r="R713">
        <v>132</v>
      </c>
      <c r="S713" t="s">
        <v>609</v>
      </c>
      <c r="W713">
        <f>Cancer_doubles_final2[[#This Row],[mlp_params]]</f>
        <v>38909</v>
      </c>
      <c r="X713">
        <f>Cancer_doubles_final2[[#This Row],[kan_test_acc]]</f>
        <v>0.96008157730102539</v>
      </c>
      <c r="Y713">
        <f>Cancer_doubles_final2[[#This Row],[mlp_test_acc]]</f>
        <v>0.90821678321678323</v>
      </c>
      <c r="Z713">
        <f>Cancer_doubles_final2[[#This Row],[mlp_test_acc2]]</f>
        <v>0.90938228438228441</v>
      </c>
    </row>
    <row r="714" spans="1:26" hidden="1" x14ac:dyDescent="0.25">
      <c r="A714" t="s">
        <v>19</v>
      </c>
      <c r="B714">
        <v>9</v>
      </c>
      <c r="C714">
        <v>2</v>
      </c>
      <c r="D714">
        <v>0</v>
      </c>
      <c r="E714" t="s">
        <v>154</v>
      </c>
      <c r="F714">
        <v>26102</v>
      </c>
      <c r="G714">
        <v>24829230.375</v>
      </c>
      <c r="H714">
        <v>0.94259905566771818</v>
      </c>
      <c r="I714">
        <v>0.90646853146853146</v>
      </c>
      <c r="J714">
        <v>8388286.625</v>
      </c>
      <c r="K714">
        <v>35094</v>
      </c>
      <c r="L714">
        <v>2</v>
      </c>
      <c r="M714">
        <v>124</v>
      </c>
      <c r="N714">
        <v>0.90530303030303028</v>
      </c>
      <c r="O714">
        <v>8421409.125</v>
      </c>
      <c r="P714">
        <v>35627</v>
      </c>
      <c r="Q714">
        <v>2</v>
      </c>
      <c r="R714">
        <v>125</v>
      </c>
      <c r="S714" t="s">
        <v>610</v>
      </c>
      <c r="W714">
        <f>Cancer_doubles_final2[[#This Row],[mlp_params]]</f>
        <v>35094</v>
      </c>
      <c r="X714">
        <f>Cancer_doubles_final2[[#This Row],[kan_test_acc]]</f>
        <v>0.94259905566771818</v>
      </c>
      <c r="Y714">
        <f>Cancer_doubles_final2[[#This Row],[mlp_test_acc]]</f>
        <v>0.90646853146853146</v>
      </c>
      <c r="Z714">
        <f>Cancer_doubles_final2[[#This Row],[mlp_test_acc2]]</f>
        <v>0.90530303030303028</v>
      </c>
    </row>
    <row r="715" spans="1:26" hidden="1" x14ac:dyDescent="0.25">
      <c r="A715" t="s">
        <v>19</v>
      </c>
      <c r="B715">
        <v>3</v>
      </c>
      <c r="C715">
        <v>3</v>
      </c>
      <c r="D715">
        <v>0</v>
      </c>
      <c r="E715" t="s">
        <v>457</v>
      </c>
      <c r="F715">
        <v>26116</v>
      </c>
      <c r="G715">
        <v>31905661.444444444</v>
      </c>
      <c r="H715">
        <v>0.94560993545585215</v>
      </c>
      <c r="I715">
        <v>0.92249417249417254</v>
      </c>
      <c r="J715">
        <v>8731968.8611111101</v>
      </c>
      <c r="K715">
        <v>45905</v>
      </c>
      <c r="L715">
        <v>2</v>
      </c>
      <c r="M715">
        <v>143</v>
      </c>
      <c r="N715">
        <v>0.92579642579642574</v>
      </c>
      <c r="O715">
        <v>9049118.8055555541</v>
      </c>
      <c r="P715">
        <v>46514</v>
      </c>
      <c r="Q715">
        <v>2</v>
      </c>
      <c r="R715">
        <v>144</v>
      </c>
      <c r="S715" t="s">
        <v>611</v>
      </c>
      <c r="W715">
        <f>Cancer_doubles_final2[[#This Row],[mlp_params]]</f>
        <v>45905</v>
      </c>
      <c r="X715">
        <f>Cancer_doubles_final2[[#This Row],[kan_test_acc]]</f>
        <v>0.94560993545585215</v>
      </c>
      <c r="Y715">
        <f>Cancer_doubles_final2[[#This Row],[mlp_test_acc]]</f>
        <v>0.92249417249417254</v>
      </c>
      <c r="Z715">
        <f>Cancer_doubles_final2[[#This Row],[mlp_test_acc2]]</f>
        <v>0.92579642579642574</v>
      </c>
    </row>
    <row r="716" spans="1:26" hidden="1" x14ac:dyDescent="0.25">
      <c r="A716" t="s">
        <v>19</v>
      </c>
      <c r="B716">
        <v>3</v>
      </c>
      <c r="C716">
        <v>4</v>
      </c>
      <c r="D716">
        <v>0</v>
      </c>
      <c r="E716" t="s">
        <v>347</v>
      </c>
      <c r="F716">
        <v>26120</v>
      </c>
      <c r="G716">
        <v>39466596.111111112</v>
      </c>
      <c r="H716">
        <v>0.95940170685450243</v>
      </c>
      <c r="I716">
        <v>0.94269619269619276</v>
      </c>
      <c r="J716">
        <v>8811652.75</v>
      </c>
      <c r="K716">
        <v>48990</v>
      </c>
      <c r="L716">
        <v>2</v>
      </c>
      <c r="M716">
        <v>148</v>
      </c>
      <c r="N716">
        <v>0.94580419580419584</v>
      </c>
      <c r="O716">
        <v>9945758.5</v>
      </c>
      <c r="P716">
        <v>49619</v>
      </c>
      <c r="Q716">
        <v>2</v>
      </c>
      <c r="R716">
        <v>149</v>
      </c>
      <c r="S716" t="s">
        <v>612</v>
      </c>
      <c r="W716">
        <f>Cancer_doubles_final2[[#This Row],[mlp_params]]</f>
        <v>48990</v>
      </c>
      <c r="X716">
        <f>Cancer_doubles_final2[[#This Row],[kan_test_acc]]</f>
        <v>0.95940170685450243</v>
      </c>
      <c r="Y716">
        <f>Cancer_doubles_final2[[#This Row],[mlp_test_acc]]</f>
        <v>0.94269619269619276</v>
      </c>
      <c r="Z716">
        <f>Cancer_doubles_final2[[#This Row],[mlp_test_acc2]]</f>
        <v>0.94580419580419584</v>
      </c>
    </row>
    <row r="717" spans="1:26" hidden="1" x14ac:dyDescent="0.25">
      <c r="A717" t="s">
        <v>19</v>
      </c>
      <c r="B717">
        <v>5</v>
      </c>
      <c r="C717">
        <v>2</v>
      </c>
      <c r="D717">
        <v>0</v>
      </c>
      <c r="E717" t="s">
        <v>347</v>
      </c>
      <c r="F717">
        <v>26120</v>
      </c>
      <c r="G717">
        <v>32427231.708333332</v>
      </c>
      <c r="H717">
        <v>0.95862470815579104</v>
      </c>
      <c r="I717">
        <v>0.94143356643356646</v>
      </c>
      <c r="J717">
        <v>8793950.8333333321</v>
      </c>
      <c r="K717">
        <v>38909</v>
      </c>
      <c r="L717">
        <v>2</v>
      </c>
      <c r="M717">
        <v>131</v>
      </c>
      <c r="N717">
        <v>0.94201631701631705</v>
      </c>
      <c r="O717">
        <v>9376136.6666666679</v>
      </c>
      <c r="P717">
        <v>39470</v>
      </c>
      <c r="Q717">
        <v>2</v>
      </c>
      <c r="R717">
        <v>132</v>
      </c>
      <c r="S717" t="s">
        <v>613</v>
      </c>
      <c r="W717">
        <f>Cancer_doubles_final2[[#This Row],[mlp_params]]</f>
        <v>38909</v>
      </c>
      <c r="X717">
        <f>Cancer_doubles_final2[[#This Row],[kan_test_acc]]</f>
        <v>0.95862470815579104</v>
      </c>
      <c r="Y717">
        <f>Cancer_doubles_final2[[#This Row],[mlp_test_acc]]</f>
        <v>0.94143356643356646</v>
      </c>
      <c r="Z717">
        <f>Cancer_doubles_final2[[#This Row],[mlp_test_acc2]]</f>
        <v>0.94201631701631705</v>
      </c>
    </row>
    <row r="718" spans="1:26" hidden="1" x14ac:dyDescent="0.25">
      <c r="A718" t="s">
        <v>19</v>
      </c>
      <c r="B718">
        <v>3</v>
      </c>
      <c r="C718">
        <v>4</v>
      </c>
      <c r="D718">
        <v>0</v>
      </c>
      <c r="E718" t="s">
        <v>347</v>
      </c>
      <c r="F718">
        <v>26120</v>
      </c>
      <c r="G718">
        <v>32878161.541666664</v>
      </c>
      <c r="H718">
        <v>0.9679487099250158</v>
      </c>
      <c r="I718">
        <v>0.93181818181818177</v>
      </c>
      <c r="J718">
        <v>8091281.666666667</v>
      </c>
      <c r="K718">
        <v>48990</v>
      </c>
      <c r="L718">
        <v>2</v>
      </c>
      <c r="M718">
        <v>148</v>
      </c>
      <c r="N718">
        <v>0.92773892773892785</v>
      </c>
      <c r="O718">
        <v>9237305.9583333321</v>
      </c>
      <c r="P718">
        <v>49619</v>
      </c>
      <c r="Q718">
        <v>2</v>
      </c>
      <c r="R718">
        <v>149</v>
      </c>
      <c r="S718" t="s">
        <v>612</v>
      </c>
      <c r="W718">
        <f>Cancer_doubles_final2[[#This Row],[mlp_params]]</f>
        <v>48990</v>
      </c>
      <c r="X718">
        <f>Cancer_doubles_final2[[#This Row],[kan_test_acc]]</f>
        <v>0.9679487099250158</v>
      </c>
      <c r="Y718">
        <f>Cancer_doubles_final2[[#This Row],[mlp_test_acc]]</f>
        <v>0.93181818181818177</v>
      </c>
      <c r="Z718">
        <f>Cancer_doubles_final2[[#This Row],[mlp_test_acc2]]</f>
        <v>0.92773892773892785</v>
      </c>
    </row>
    <row r="719" spans="1:26" hidden="1" x14ac:dyDescent="0.25">
      <c r="A719" t="s">
        <v>19</v>
      </c>
      <c r="B719">
        <v>5</v>
      </c>
      <c r="C719">
        <v>2</v>
      </c>
      <c r="D719">
        <v>0</v>
      </c>
      <c r="E719" t="s">
        <v>347</v>
      </c>
      <c r="F719">
        <v>26120</v>
      </c>
      <c r="G719">
        <v>31322927.25</v>
      </c>
      <c r="H719">
        <v>0.94230768829584122</v>
      </c>
      <c r="I719">
        <v>0.90996503496503489</v>
      </c>
      <c r="J719">
        <v>8173303.166666667</v>
      </c>
      <c r="K719">
        <v>38909</v>
      </c>
      <c r="L719">
        <v>2</v>
      </c>
      <c r="M719">
        <v>131</v>
      </c>
      <c r="N719">
        <v>0.90967365967365965</v>
      </c>
      <c r="O719">
        <v>8282984.125</v>
      </c>
      <c r="P719">
        <v>39470</v>
      </c>
      <c r="Q719">
        <v>2</v>
      </c>
      <c r="R719">
        <v>132</v>
      </c>
      <c r="S719" t="s">
        <v>613</v>
      </c>
      <c r="W719">
        <f>Cancer_doubles_final2[[#This Row],[mlp_params]]</f>
        <v>38909</v>
      </c>
      <c r="X719">
        <f>Cancer_doubles_final2[[#This Row],[kan_test_acc]]</f>
        <v>0.94230768829584122</v>
      </c>
      <c r="Y719">
        <f>Cancer_doubles_final2[[#This Row],[mlp_test_acc]]</f>
        <v>0.90996503496503489</v>
      </c>
      <c r="Z719">
        <f>Cancer_doubles_final2[[#This Row],[mlp_test_acc2]]</f>
        <v>0.90967365967365965</v>
      </c>
    </row>
    <row r="720" spans="1:26" hidden="1" x14ac:dyDescent="0.25">
      <c r="A720" t="s">
        <v>19</v>
      </c>
      <c r="B720">
        <v>5</v>
      </c>
      <c r="C720">
        <v>4</v>
      </c>
      <c r="D720">
        <v>0</v>
      </c>
      <c r="E720" t="s">
        <v>214</v>
      </c>
      <c r="F720">
        <v>26132</v>
      </c>
      <c r="G720">
        <v>33836825.333333328</v>
      </c>
      <c r="H720">
        <v>0.93240093688170111</v>
      </c>
      <c r="I720">
        <v>0.93065268065268059</v>
      </c>
      <c r="J720">
        <v>9950496.6666666679</v>
      </c>
      <c r="K720">
        <v>45300</v>
      </c>
      <c r="L720">
        <v>2</v>
      </c>
      <c r="M720">
        <v>142</v>
      </c>
      <c r="N720">
        <v>0.92482517482517479</v>
      </c>
      <c r="O720">
        <v>9479675.1666666679</v>
      </c>
      <c r="P720">
        <v>45905</v>
      </c>
      <c r="Q720">
        <v>2</v>
      </c>
      <c r="R720">
        <v>143</v>
      </c>
      <c r="S720" t="s">
        <v>614</v>
      </c>
      <c r="W720">
        <f>Cancer_doubles_final2[[#This Row],[mlp_params]]</f>
        <v>45300</v>
      </c>
      <c r="X720">
        <f>Cancer_doubles_final2[[#This Row],[kan_test_acc]]</f>
        <v>0.93240093688170111</v>
      </c>
      <c r="Y720">
        <f>Cancer_doubles_final2[[#This Row],[mlp_test_acc]]</f>
        <v>0.93065268065268059</v>
      </c>
      <c r="Z720">
        <f>Cancer_doubles_final2[[#This Row],[mlp_test_acc2]]</f>
        <v>0.92482517482517479</v>
      </c>
    </row>
    <row r="721" spans="1:26" hidden="1" x14ac:dyDescent="0.25">
      <c r="A721" t="s">
        <v>19</v>
      </c>
      <c r="B721">
        <v>9</v>
      </c>
      <c r="C721">
        <v>5</v>
      </c>
      <c r="D721">
        <v>0</v>
      </c>
      <c r="E721" t="s">
        <v>106</v>
      </c>
      <c r="F721">
        <v>26162</v>
      </c>
      <c r="G721">
        <v>37340958.125</v>
      </c>
      <c r="H721">
        <v>0.95498251418272651</v>
      </c>
      <c r="I721">
        <v>0.9481351981351982</v>
      </c>
      <c r="J721">
        <v>9270570.4375</v>
      </c>
      <c r="K721">
        <v>42920</v>
      </c>
      <c r="L721">
        <v>2</v>
      </c>
      <c r="M721">
        <v>138</v>
      </c>
      <c r="N721">
        <v>0.94507575757575757</v>
      </c>
      <c r="O721">
        <v>10039242.354166668</v>
      </c>
      <c r="P721">
        <v>43509</v>
      </c>
      <c r="Q721">
        <v>2</v>
      </c>
      <c r="R721">
        <v>139</v>
      </c>
      <c r="S721" t="s">
        <v>615</v>
      </c>
      <c r="W721">
        <f>Cancer_doubles_final2[[#This Row],[mlp_params]]</f>
        <v>42920</v>
      </c>
      <c r="X721">
        <f>Cancer_doubles_final2[[#This Row],[kan_test_acc]]</f>
        <v>0.95498251418272651</v>
      </c>
      <c r="Y721">
        <f>Cancer_doubles_final2[[#This Row],[mlp_test_acc]]</f>
        <v>0.9481351981351982</v>
      </c>
      <c r="Z721">
        <f>Cancer_doubles_final2[[#This Row],[mlp_test_acc2]]</f>
        <v>0.94507575757575757</v>
      </c>
    </row>
    <row r="722" spans="1:26" x14ac:dyDescent="0.25">
      <c r="A722" t="s">
        <v>19</v>
      </c>
      <c r="B722">
        <v>3</v>
      </c>
      <c r="C722">
        <v>5</v>
      </c>
      <c r="D722">
        <v>0</v>
      </c>
      <c r="E722" t="s">
        <v>264</v>
      </c>
      <c r="F722">
        <v>26164</v>
      </c>
      <c r="G722">
        <v>41174298.5</v>
      </c>
      <c r="H722">
        <v>0.96095571418603265</v>
      </c>
      <c r="I722">
        <v>0.94434731934731941</v>
      </c>
      <c r="J722">
        <v>8374942.083333334</v>
      </c>
      <c r="K722">
        <v>52175</v>
      </c>
      <c r="L722">
        <v>2</v>
      </c>
      <c r="M722">
        <v>153</v>
      </c>
      <c r="N722">
        <v>0.94522144522144524</v>
      </c>
      <c r="O722">
        <v>9062529.25</v>
      </c>
      <c r="P722">
        <v>52824</v>
      </c>
      <c r="Q722">
        <v>2</v>
      </c>
      <c r="R722">
        <v>154</v>
      </c>
      <c r="S722" t="s">
        <v>616</v>
      </c>
      <c r="W722">
        <f>Cancer_doubles_final2[[#This Row],[mlp_params]]</f>
        <v>52175</v>
      </c>
      <c r="X722">
        <f>Cancer_doubles_final2[[#This Row],[kan_test_acc]]</f>
        <v>0.96095571418603265</v>
      </c>
      <c r="Y722">
        <f>Cancer_doubles_final2[[#This Row],[mlp_test_acc]]</f>
        <v>0.94434731934731941</v>
      </c>
      <c r="Z722">
        <f>Cancer_doubles_final2[[#This Row],[mlp_test_acc2]]</f>
        <v>0.94522144522144524</v>
      </c>
    </row>
    <row r="723" spans="1:26" hidden="1" x14ac:dyDescent="0.25">
      <c r="A723" t="s">
        <v>19</v>
      </c>
      <c r="B723">
        <v>5</v>
      </c>
      <c r="C723">
        <v>3</v>
      </c>
      <c r="D723">
        <v>0</v>
      </c>
      <c r="E723" t="s">
        <v>264</v>
      </c>
      <c r="F723">
        <v>26164</v>
      </c>
      <c r="G723">
        <v>43068126.333333336</v>
      </c>
      <c r="H723">
        <v>0.96008157730102539</v>
      </c>
      <c r="I723">
        <v>0.94026806526806528</v>
      </c>
      <c r="J723">
        <v>8780625.791666666</v>
      </c>
      <c r="K723">
        <v>42335</v>
      </c>
      <c r="L723">
        <v>2</v>
      </c>
      <c r="M723">
        <v>137</v>
      </c>
      <c r="N723">
        <v>0.93939393939393945</v>
      </c>
      <c r="O723">
        <v>7925852.958333334</v>
      </c>
      <c r="P723">
        <v>42920</v>
      </c>
      <c r="Q723">
        <v>2</v>
      </c>
      <c r="R723">
        <v>138</v>
      </c>
      <c r="S723" t="s">
        <v>617</v>
      </c>
      <c r="W723">
        <f>Cancer_doubles_final2[[#This Row],[mlp_params]]</f>
        <v>42335</v>
      </c>
      <c r="X723">
        <f>Cancer_doubles_final2[[#This Row],[kan_test_acc]]</f>
        <v>0.96008157730102539</v>
      </c>
      <c r="Y723">
        <f>Cancer_doubles_final2[[#This Row],[mlp_test_acc]]</f>
        <v>0.94026806526806528</v>
      </c>
      <c r="Z723">
        <f>Cancer_doubles_final2[[#This Row],[mlp_test_acc2]]</f>
        <v>0.93939393939393945</v>
      </c>
    </row>
    <row r="724" spans="1:26" x14ac:dyDescent="0.25">
      <c r="A724" t="s">
        <v>19</v>
      </c>
      <c r="B724">
        <v>3</v>
      </c>
      <c r="C724">
        <v>5</v>
      </c>
      <c r="D724">
        <v>0</v>
      </c>
      <c r="E724" t="s">
        <v>264</v>
      </c>
      <c r="F724">
        <v>26164</v>
      </c>
      <c r="G724">
        <v>42930221.375</v>
      </c>
      <c r="H724">
        <v>0.94900930921236681</v>
      </c>
      <c r="I724">
        <v>0.94085081585081587</v>
      </c>
      <c r="J724">
        <v>8948673.2916666679</v>
      </c>
      <c r="K724">
        <v>52175</v>
      </c>
      <c r="L724">
        <v>2</v>
      </c>
      <c r="M724">
        <v>153</v>
      </c>
      <c r="N724">
        <v>0.9391025641025641</v>
      </c>
      <c r="O724">
        <v>9103682.958333334</v>
      </c>
      <c r="P724">
        <v>52824</v>
      </c>
      <c r="Q724">
        <v>2</v>
      </c>
      <c r="R724">
        <v>154</v>
      </c>
      <c r="S724" t="s">
        <v>616</v>
      </c>
      <c r="W724">
        <f>Cancer_doubles_final2[[#This Row],[mlp_params]]</f>
        <v>52175</v>
      </c>
      <c r="X724">
        <f>Cancer_doubles_final2[[#This Row],[kan_test_acc]]</f>
        <v>0.94900930921236681</v>
      </c>
      <c r="Y724">
        <f>Cancer_doubles_final2[[#This Row],[mlp_test_acc]]</f>
        <v>0.94085081585081587</v>
      </c>
      <c r="Z724">
        <f>Cancer_doubles_final2[[#This Row],[mlp_test_acc2]]</f>
        <v>0.9391025641025641</v>
      </c>
    </row>
    <row r="725" spans="1:26" hidden="1" x14ac:dyDescent="0.25">
      <c r="A725" t="s">
        <v>19</v>
      </c>
      <c r="B725">
        <v>5</v>
      </c>
      <c r="C725">
        <v>3</v>
      </c>
      <c r="D725">
        <v>0</v>
      </c>
      <c r="E725" t="s">
        <v>264</v>
      </c>
      <c r="F725">
        <v>26164</v>
      </c>
      <c r="G725">
        <v>38968601.208333336</v>
      </c>
      <c r="H725">
        <v>0.9370629290739696</v>
      </c>
      <c r="I725">
        <v>0.91520979020979021</v>
      </c>
      <c r="J725">
        <v>8355988.541666667</v>
      </c>
      <c r="K725">
        <v>42335</v>
      </c>
      <c r="L725">
        <v>2</v>
      </c>
      <c r="M725">
        <v>137</v>
      </c>
      <c r="N725">
        <v>0.921037296037296</v>
      </c>
      <c r="O725">
        <v>9694966.791666666</v>
      </c>
      <c r="P725">
        <v>42920</v>
      </c>
      <c r="Q725">
        <v>2</v>
      </c>
      <c r="R725">
        <v>138</v>
      </c>
      <c r="S725" t="s">
        <v>617</v>
      </c>
      <c r="W725">
        <f>Cancer_doubles_final2[[#This Row],[mlp_params]]</f>
        <v>42335</v>
      </c>
      <c r="X725">
        <f>Cancer_doubles_final2[[#This Row],[kan_test_acc]]</f>
        <v>0.9370629290739696</v>
      </c>
      <c r="Y725">
        <f>Cancer_doubles_final2[[#This Row],[mlp_test_acc]]</f>
        <v>0.91520979020979021</v>
      </c>
      <c r="Z725">
        <f>Cancer_doubles_final2[[#This Row],[mlp_test_acc2]]</f>
        <v>0.921037296037296</v>
      </c>
    </row>
    <row r="726" spans="1:26" x14ac:dyDescent="0.25">
      <c r="A726" t="s">
        <v>19</v>
      </c>
      <c r="B726">
        <v>3</v>
      </c>
      <c r="C726">
        <v>5</v>
      </c>
      <c r="D726">
        <v>0</v>
      </c>
      <c r="E726" t="s">
        <v>266</v>
      </c>
      <c r="F726">
        <v>26170</v>
      </c>
      <c r="G726">
        <v>39148196.916666672</v>
      </c>
      <c r="H726">
        <v>0.94055943191051483</v>
      </c>
      <c r="I726">
        <v>0.92045454545454541</v>
      </c>
      <c r="J726">
        <v>8935179.0416666679</v>
      </c>
      <c r="K726">
        <v>52175</v>
      </c>
      <c r="L726">
        <v>2</v>
      </c>
      <c r="M726">
        <v>153</v>
      </c>
      <c r="N726">
        <v>0.92307692307692313</v>
      </c>
      <c r="O726">
        <v>9291895.5833333321</v>
      </c>
      <c r="P726">
        <v>52824</v>
      </c>
      <c r="Q726">
        <v>2</v>
      </c>
      <c r="R726">
        <v>154</v>
      </c>
      <c r="S726" t="s">
        <v>618</v>
      </c>
      <c r="W726">
        <f>Cancer_doubles_final2[[#This Row],[mlp_params]]</f>
        <v>52175</v>
      </c>
      <c r="X726">
        <f>Cancer_doubles_final2[[#This Row],[kan_test_acc]]</f>
        <v>0.94055943191051483</v>
      </c>
      <c r="Y726">
        <f>Cancer_doubles_final2[[#This Row],[mlp_test_acc]]</f>
        <v>0.92045454545454541</v>
      </c>
      <c r="Z726">
        <f>Cancer_doubles_final2[[#This Row],[mlp_test_acc2]]</f>
        <v>0.92307692307692313</v>
      </c>
    </row>
    <row r="727" spans="1:26" hidden="1" x14ac:dyDescent="0.25">
      <c r="A727" t="s">
        <v>19</v>
      </c>
      <c r="B727">
        <v>5</v>
      </c>
      <c r="C727">
        <v>3</v>
      </c>
      <c r="D727">
        <v>0</v>
      </c>
      <c r="E727" t="s">
        <v>266</v>
      </c>
      <c r="F727">
        <v>26170</v>
      </c>
      <c r="G727">
        <v>41930932.833333336</v>
      </c>
      <c r="H727">
        <v>0.96357808013757074</v>
      </c>
      <c r="I727">
        <v>0.94463869463869465</v>
      </c>
      <c r="J727">
        <v>9068864.458333334</v>
      </c>
      <c r="K727">
        <v>42335</v>
      </c>
      <c r="L727">
        <v>2</v>
      </c>
      <c r="M727">
        <v>137</v>
      </c>
      <c r="N727">
        <v>0.94085081585081587</v>
      </c>
      <c r="O727">
        <v>9711394.375</v>
      </c>
      <c r="P727">
        <v>42920</v>
      </c>
      <c r="Q727">
        <v>2</v>
      </c>
      <c r="R727">
        <v>138</v>
      </c>
      <c r="S727" t="s">
        <v>619</v>
      </c>
      <c r="W727">
        <f>Cancer_doubles_final2[[#This Row],[mlp_params]]</f>
        <v>42335</v>
      </c>
      <c r="X727">
        <f>Cancer_doubles_final2[[#This Row],[kan_test_acc]]</f>
        <v>0.96357808013757074</v>
      </c>
      <c r="Y727">
        <f>Cancer_doubles_final2[[#This Row],[mlp_test_acc]]</f>
        <v>0.94463869463869465</v>
      </c>
      <c r="Z727">
        <f>Cancer_doubles_final2[[#This Row],[mlp_test_acc2]]</f>
        <v>0.94085081585081587</v>
      </c>
    </row>
    <row r="728" spans="1:26" x14ac:dyDescent="0.25">
      <c r="A728" t="s">
        <v>19</v>
      </c>
      <c r="B728">
        <v>3</v>
      </c>
      <c r="C728">
        <v>5</v>
      </c>
      <c r="D728">
        <v>0</v>
      </c>
      <c r="E728" t="s">
        <v>266</v>
      </c>
      <c r="F728">
        <v>26170</v>
      </c>
      <c r="G728">
        <v>45200230.666666672</v>
      </c>
      <c r="H728">
        <v>0.9691142116983732</v>
      </c>
      <c r="I728">
        <v>0.93006993006993011</v>
      </c>
      <c r="J728">
        <v>8632505.4583333321</v>
      </c>
      <c r="K728">
        <v>52175</v>
      </c>
      <c r="L728">
        <v>2</v>
      </c>
      <c r="M728">
        <v>153</v>
      </c>
      <c r="N728">
        <v>0.93123543123543129</v>
      </c>
      <c r="O728">
        <v>8640266.833333334</v>
      </c>
      <c r="P728">
        <v>52824</v>
      </c>
      <c r="Q728">
        <v>2</v>
      </c>
      <c r="R728">
        <v>154</v>
      </c>
      <c r="S728" t="s">
        <v>618</v>
      </c>
      <c r="W728">
        <f>Cancer_doubles_final2[[#This Row],[mlp_params]]</f>
        <v>52175</v>
      </c>
      <c r="X728">
        <f>Cancer_doubles_final2[[#This Row],[kan_test_acc]]</f>
        <v>0.9691142116983732</v>
      </c>
      <c r="Y728">
        <f>Cancer_doubles_final2[[#This Row],[mlp_test_acc]]</f>
        <v>0.93006993006993011</v>
      </c>
      <c r="Z728">
        <f>Cancer_doubles_final2[[#This Row],[mlp_test_acc2]]</f>
        <v>0.93123543123543129</v>
      </c>
    </row>
    <row r="729" spans="1:26" hidden="1" x14ac:dyDescent="0.25">
      <c r="A729" t="s">
        <v>19</v>
      </c>
      <c r="B729">
        <v>5</v>
      </c>
      <c r="C729">
        <v>3</v>
      </c>
      <c r="D729">
        <v>0</v>
      </c>
      <c r="E729" t="s">
        <v>266</v>
      </c>
      <c r="F729">
        <v>26170</v>
      </c>
      <c r="G729">
        <v>46559553.708333336</v>
      </c>
      <c r="H729">
        <v>0.96270395815372467</v>
      </c>
      <c r="I729">
        <v>0.91054778554778559</v>
      </c>
      <c r="J729">
        <v>8642546.4583333321</v>
      </c>
      <c r="K729">
        <v>42335</v>
      </c>
      <c r="L729">
        <v>2</v>
      </c>
      <c r="M729">
        <v>137</v>
      </c>
      <c r="N729">
        <v>0.91083916083916083</v>
      </c>
      <c r="O729">
        <v>8514654.958333334</v>
      </c>
      <c r="P729">
        <v>42920</v>
      </c>
      <c r="Q729">
        <v>2</v>
      </c>
      <c r="R729">
        <v>138</v>
      </c>
      <c r="S729" t="s">
        <v>619</v>
      </c>
      <c r="W729">
        <f>Cancer_doubles_final2[[#This Row],[mlp_params]]</f>
        <v>42335</v>
      </c>
      <c r="X729">
        <f>Cancer_doubles_final2[[#This Row],[kan_test_acc]]</f>
        <v>0.96270395815372467</v>
      </c>
      <c r="Y729">
        <f>Cancer_doubles_final2[[#This Row],[mlp_test_acc]]</f>
        <v>0.91054778554778559</v>
      </c>
      <c r="Z729">
        <f>Cancer_doubles_final2[[#This Row],[mlp_test_acc2]]</f>
        <v>0.91083916083916083</v>
      </c>
    </row>
    <row r="730" spans="1:26" hidden="1" x14ac:dyDescent="0.25">
      <c r="A730" t="s">
        <v>19</v>
      </c>
      <c r="B730">
        <v>3</v>
      </c>
      <c r="C730">
        <v>3</v>
      </c>
      <c r="D730">
        <v>0</v>
      </c>
      <c r="E730" t="s">
        <v>463</v>
      </c>
      <c r="F730">
        <v>26184</v>
      </c>
      <c r="G730">
        <v>38039977.25</v>
      </c>
      <c r="H730">
        <v>0.9679487173755964</v>
      </c>
      <c r="I730">
        <v>0.9248251748251749</v>
      </c>
      <c r="J730">
        <v>8747116.125</v>
      </c>
      <c r="K730">
        <v>45905</v>
      </c>
      <c r="L730">
        <v>2</v>
      </c>
      <c r="M730">
        <v>143</v>
      </c>
      <c r="N730">
        <v>0.92132867132867124</v>
      </c>
      <c r="O730">
        <v>8794278.083333334</v>
      </c>
      <c r="P730">
        <v>46514</v>
      </c>
      <c r="Q730">
        <v>2</v>
      </c>
      <c r="R730">
        <v>144</v>
      </c>
      <c r="S730" t="s">
        <v>620</v>
      </c>
      <c r="W730">
        <f>Cancer_doubles_final2[[#This Row],[mlp_params]]</f>
        <v>45905</v>
      </c>
      <c r="X730">
        <f>Cancer_doubles_final2[[#This Row],[kan_test_acc]]</f>
        <v>0.9679487173755964</v>
      </c>
      <c r="Y730">
        <f>Cancer_doubles_final2[[#This Row],[mlp_test_acc]]</f>
        <v>0.9248251748251749</v>
      </c>
      <c r="Z730">
        <f>Cancer_doubles_final2[[#This Row],[mlp_test_acc2]]</f>
        <v>0.92132867132867124</v>
      </c>
    </row>
    <row r="731" spans="1:26" hidden="1" x14ac:dyDescent="0.25">
      <c r="A731" t="s">
        <v>19</v>
      </c>
      <c r="B731">
        <v>3</v>
      </c>
      <c r="C731">
        <v>3</v>
      </c>
      <c r="D731">
        <v>0</v>
      </c>
      <c r="E731" t="s">
        <v>466</v>
      </c>
      <c r="F731">
        <v>26222</v>
      </c>
      <c r="G731">
        <v>40813857.416666664</v>
      </c>
      <c r="H731">
        <v>0.97707847257455194</v>
      </c>
      <c r="I731">
        <v>0.9417249417249417</v>
      </c>
      <c r="J731">
        <v>8438505.527777778</v>
      </c>
      <c r="K731">
        <v>46514</v>
      </c>
      <c r="L731">
        <v>2</v>
      </c>
      <c r="M731">
        <v>144</v>
      </c>
      <c r="N731">
        <v>0.94211344211344206</v>
      </c>
      <c r="O731">
        <v>8720348.277777778</v>
      </c>
      <c r="P731">
        <v>47127</v>
      </c>
      <c r="Q731">
        <v>2</v>
      </c>
      <c r="R731">
        <v>145</v>
      </c>
      <c r="S731" t="s">
        <v>621</v>
      </c>
      <c r="W731">
        <f>Cancer_doubles_final2[[#This Row],[mlp_params]]</f>
        <v>46514</v>
      </c>
      <c r="X731">
        <f>Cancer_doubles_final2[[#This Row],[kan_test_acc]]</f>
        <v>0.97707847257455194</v>
      </c>
      <c r="Y731">
        <f>Cancer_doubles_final2[[#This Row],[mlp_test_acc]]</f>
        <v>0.9417249417249417</v>
      </c>
      <c r="Z731">
        <f>Cancer_doubles_final2[[#This Row],[mlp_test_acc2]]</f>
        <v>0.94211344211344206</v>
      </c>
    </row>
    <row r="732" spans="1:26" hidden="1" x14ac:dyDescent="0.25">
      <c r="A732" t="s">
        <v>19</v>
      </c>
      <c r="B732">
        <v>5</v>
      </c>
      <c r="C732">
        <v>4</v>
      </c>
      <c r="D732">
        <v>0</v>
      </c>
      <c r="E732" t="s">
        <v>217</v>
      </c>
      <c r="F732">
        <v>26232</v>
      </c>
      <c r="G732">
        <v>39648159.138888888</v>
      </c>
      <c r="H732">
        <v>0.96017870472537148</v>
      </c>
      <c r="I732">
        <v>0.94191919191919193</v>
      </c>
      <c r="J732">
        <v>8595895.944444444</v>
      </c>
      <c r="K732">
        <v>45300</v>
      </c>
      <c r="L732">
        <v>2</v>
      </c>
      <c r="M732">
        <v>142</v>
      </c>
      <c r="N732">
        <v>0.94327894327894324</v>
      </c>
      <c r="O732">
        <v>9910059.083333334</v>
      </c>
      <c r="P732">
        <v>45905</v>
      </c>
      <c r="Q732">
        <v>2</v>
      </c>
      <c r="R732">
        <v>143</v>
      </c>
      <c r="S732" t="s">
        <v>622</v>
      </c>
      <c r="W732">
        <f>Cancer_doubles_final2[[#This Row],[mlp_params]]</f>
        <v>45300</v>
      </c>
      <c r="X732">
        <f>Cancer_doubles_final2[[#This Row],[kan_test_acc]]</f>
        <v>0.96017870472537148</v>
      </c>
      <c r="Y732">
        <f>Cancer_doubles_final2[[#This Row],[mlp_test_acc]]</f>
        <v>0.94191919191919193</v>
      </c>
      <c r="Z732">
        <f>Cancer_doubles_final2[[#This Row],[mlp_test_acc2]]</f>
        <v>0.94327894327894324</v>
      </c>
    </row>
    <row r="733" spans="1:26" hidden="1" x14ac:dyDescent="0.25">
      <c r="A733" t="s">
        <v>19</v>
      </c>
      <c r="B733">
        <v>5</v>
      </c>
      <c r="C733">
        <v>4</v>
      </c>
      <c r="D733">
        <v>0</v>
      </c>
      <c r="E733" t="s">
        <v>220</v>
      </c>
      <c r="F733">
        <v>26278</v>
      </c>
      <c r="G733">
        <v>35009645.354166672</v>
      </c>
      <c r="H733">
        <v>0.92730186010400462</v>
      </c>
      <c r="I733">
        <v>0.93560606060606066</v>
      </c>
      <c r="J733">
        <v>9305796.645833334</v>
      </c>
      <c r="K733">
        <v>45905</v>
      </c>
      <c r="L733">
        <v>2</v>
      </c>
      <c r="M733">
        <v>143</v>
      </c>
      <c r="N733">
        <v>0.93356643356643354</v>
      </c>
      <c r="O733">
        <v>10396626.229166668</v>
      </c>
      <c r="P733">
        <v>46514</v>
      </c>
      <c r="Q733">
        <v>2</v>
      </c>
      <c r="R733">
        <v>144</v>
      </c>
      <c r="S733" t="s">
        <v>623</v>
      </c>
      <c r="W733">
        <f>Cancer_doubles_final2[[#This Row],[mlp_params]]</f>
        <v>45905</v>
      </c>
      <c r="X733">
        <f>Cancer_doubles_final2[[#This Row],[kan_test_acc]]</f>
        <v>0.92730186010400462</v>
      </c>
      <c r="Y733">
        <f>Cancer_doubles_final2[[#This Row],[mlp_test_acc]]</f>
        <v>0.93560606060606066</v>
      </c>
      <c r="Z733">
        <f>Cancer_doubles_final2[[#This Row],[mlp_test_acc2]]</f>
        <v>0.93356643356643354</v>
      </c>
    </row>
    <row r="734" spans="1:26" x14ac:dyDescent="0.25">
      <c r="A734" t="s">
        <v>19</v>
      </c>
      <c r="B734">
        <v>3</v>
      </c>
      <c r="C734">
        <v>5</v>
      </c>
      <c r="D734">
        <v>0</v>
      </c>
      <c r="E734" t="s">
        <v>272</v>
      </c>
      <c r="F734">
        <v>26342</v>
      </c>
      <c r="G734">
        <v>38364114.5625</v>
      </c>
      <c r="H734">
        <v>0.94944638386368752</v>
      </c>
      <c r="I734">
        <v>0.94551282051282048</v>
      </c>
      <c r="J734">
        <v>9492229.916666666</v>
      </c>
      <c r="K734">
        <v>52175</v>
      </c>
      <c r="L734">
        <v>2</v>
      </c>
      <c r="M734">
        <v>153</v>
      </c>
      <c r="N734">
        <v>0.94303613053613056</v>
      </c>
      <c r="O734">
        <v>9416603.2916666679</v>
      </c>
      <c r="P734">
        <v>52824</v>
      </c>
      <c r="Q734">
        <v>2</v>
      </c>
      <c r="R734">
        <v>154</v>
      </c>
      <c r="S734" t="s">
        <v>624</v>
      </c>
      <c r="W734">
        <f>Cancer_doubles_final2[[#This Row],[mlp_params]]</f>
        <v>52175</v>
      </c>
      <c r="X734">
        <f>Cancer_doubles_final2[[#This Row],[kan_test_acc]]</f>
        <v>0.94944638386368752</v>
      </c>
      <c r="Y734">
        <f>Cancer_doubles_final2[[#This Row],[mlp_test_acc]]</f>
        <v>0.94551282051282048</v>
      </c>
      <c r="Z734">
        <f>Cancer_doubles_final2[[#This Row],[mlp_test_acc2]]</f>
        <v>0.94303613053613056</v>
      </c>
    </row>
    <row r="735" spans="1:26" hidden="1" x14ac:dyDescent="0.25">
      <c r="A735" t="s">
        <v>19</v>
      </c>
      <c r="B735">
        <v>5</v>
      </c>
      <c r="C735">
        <v>3</v>
      </c>
      <c r="D735">
        <v>0</v>
      </c>
      <c r="E735" t="s">
        <v>272</v>
      </c>
      <c r="F735">
        <v>26342</v>
      </c>
      <c r="G735">
        <v>43711751.625</v>
      </c>
      <c r="H735">
        <v>0.9731934666633606</v>
      </c>
      <c r="I735">
        <v>0.94143356643356646</v>
      </c>
      <c r="J735">
        <v>8493553.75</v>
      </c>
      <c r="K735">
        <v>42920</v>
      </c>
      <c r="L735">
        <v>2</v>
      </c>
      <c r="M735">
        <v>138</v>
      </c>
      <c r="N735">
        <v>0.93735431235431244</v>
      </c>
      <c r="O735">
        <v>9704566.875</v>
      </c>
      <c r="P735">
        <v>43509</v>
      </c>
      <c r="Q735">
        <v>2</v>
      </c>
      <c r="R735">
        <v>139</v>
      </c>
      <c r="S735" t="s">
        <v>625</v>
      </c>
      <c r="W735">
        <f>Cancer_doubles_final2[[#This Row],[mlp_params]]</f>
        <v>42920</v>
      </c>
      <c r="X735">
        <f>Cancer_doubles_final2[[#This Row],[kan_test_acc]]</f>
        <v>0.9731934666633606</v>
      </c>
      <c r="Y735">
        <f>Cancer_doubles_final2[[#This Row],[mlp_test_acc]]</f>
        <v>0.94143356643356646</v>
      </c>
      <c r="Z735">
        <f>Cancer_doubles_final2[[#This Row],[mlp_test_acc2]]</f>
        <v>0.93735431235431244</v>
      </c>
    </row>
    <row r="736" spans="1:26" x14ac:dyDescent="0.25">
      <c r="A736" t="s">
        <v>19</v>
      </c>
      <c r="B736">
        <v>3</v>
      </c>
      <c r="C736">
        <v>5</v>
      </c>
      <c r="D736">
        <v>0</v>
      </c>
      <c r="E736" t="s">
        <v>272</v>
      </c>
      <c r="F736">
        <v>26342</v>
      </c>
      <c r="G736">
        <v>42319503.125</v>
      </c>
      <c r="H736">
        <v>0.96212120354175568</v>
      </c>
      <c r="I736">
        <v>0.94055944055944063</v>
      </c>
      <c r="J736">
        <v>9302648.9583333321</v>
      </c>
      <c r="K736">
        <v>52175</v>
      </c>
      <c r="L736">
        <v>2</v>
      </c>
      <c r="M736">
        <v>153</v>
      </c>
      <c r="N736">
        <v>0.93648018648018649</v>
      </c>
      <c r="O736">
        <v>9641722.416666666</v>
      </c>
      <c r="P736">
        <v>52824</v>
      </c>
      <c r="Q736">
        <v>2</v>
      </c>
      <c r="R736">
        <v>154</v>
      </c>
      <c r="S736" t="s">
        <v>624</v>
      </c>
      <c r="W736">
        <f>Cancer_doubles_final2[[#This Row],[mlp_params]]</f>
        <v>52175</v>
      </c>
      <c r="X736">
        <f>Cancer_doubles_final2[[#This Row],[kan_test_acc]]</f>
        <v>0.96212120354175568</v>
      </c>
      <c r="Y736">
        <f>Cancer_doubles_final2[[#This Row],[mlp_test_acc]]</f>
        <v>0.94055944055944063</v>
      </c>
      <c r="Z736">
        <f>Cancer_doubles_final2[[#This Row],[mlp_test_acc2]]</f>
        <v>0.93648018648018649</v>
      </c>
    </row>
    <row r="737" spans="1:26" hidden="1" x14ac:dyDescent="0.25">
      <c r="A737" t="s">
        <v>19</v>
      </c>
      <c r="B737">
        <v>5</v>
      </c>
      <c r="C737">
        <v>3</v>
      </c>
      <c r="D737">
        <v>0</v>
      </c>
      <c r="E737" t="s">
        <v>272</v>
      </c>
      <c r="F737">
        <v>26342</v>
      </c>
      <c r="G737">
        <v>39799701.666666664</v>
      </c>
      <c r="H737">
        <v>0.95396269857883453</v>
      </c>
      <c r="I737">
        <v>0.92074592074592077</v>
      </c>
      <c r="J737">
        <v>9292301.791666666</v>
      </c>
      <c r="K737">
        <v>42920</v>
      </c>
      <c r="L737">
        <v>2</v>
      </c>
      <c r="M737">
        <v>138</v>
      </c>
      <c r="N737">
        <v>0.91054778554778548</v>
      </c>
      <c r="O737">
        <v>9053627.375</v>
      </c>
      <c r="P737">
        <v>43509</v>
      </c>
      <c r="Q737">
        <v>2</v>
      </c>
      <c r="R737">
        <v>139</v>
      </c>
      <c r="S737" t="s">
        <v>625</v>
      </c>
      <c r="W737">
        <f>Cancer_doubles_final2[[#This Row],[mlp_params]]</f>
        <v>42920</v>
      </c>
      <c r="X737">
        <f>Cancer_doubles_final2[[#This Row],[kan_test_acc]]</f>
        <v>0.95396269857883453</v>
      </c>
      <c r="Y737">
        <f>Cancer_doubles_final2[[#This Row],[mlp_test_acc]]</f>
        <v>0.92074592074592077</v>
      </c>
      <c r="Z737">
        <f>Cancer_doubles_final2[[#This Row],[mlp_test_acc2]]</f>
        <v>0.91054778554778548</v>
      </c>
    </row>
    <row r="738" spans="1:26" x14ac:dyDescent="0.25">
      <c r="A738" t="s">
        <v>19</v>
      </c>
      <c r="B738">
        <v>3</v>
      </c>
      <c r="C738">
        <v>5</v>
      </c>
      <c r="D738">
        <v>0</v>
      </c>
      <c r="E738" t="s">
        <v>274</v>
      </c>
      <c r="F738">
        <v>26344</v>
      </c>
      <c r="G738">
        <v>40815882.041666664</v>
      </c>
      <c r="H738">
        <v>0.96270395567019784</v>
      </c>
      <c r="I738">
        <v>0.91958041958041958</v>
      </c>
      <c r="J738">
        <v>8287928.083333334</v>
      </c>
      <c r="K738">
        <v>52175</v>
      </c>
      <c r="L738">
        <v>2</v>
      </c>
      <c r="M738">
        <v>153</v>
      </c>
      <c r="N738">
        <v>0.91142191142191142</v>
      </c>
      <c r="O738">
        <v>9808451.375</v>
      </c>
      <c r="P738">
        <v>52824</v>
      </c>
      <c r="Q738">
        <v>2</v>
      </c>
      <c r="R738">
        <v>154</v>
      </c>
      <c r="S738" t="s">
        <v>626</v>
      </c>
      <c r="W738">
        <f>Cancer_doubles_final2[[#This Row],[mlp_params]]</f>
        <v>52175</v>
      </c>
      <c r="X738">
        <f>Cancer_doubles_final2[[#This Row],[kan_test_acc]]</f>
        <v>0.96270395567019784</v>
      </c>
      <c r="Y738">
        <f>Cancer_doubles_final2[[#This Row],[mlp_test_acc]]</f>
        <v>0.91958041958041958</v>
      </c>
      <c r="Z738">
        <f>Cancer_doubles_final2[[#This Row],[mlp_test_acc2]]</f>
        <v>0.91142191142191142</v>
      </c>
    </row>
    <row r="739" spans="1:26" hidden="1" x14ac:dyDescent="0.25">
      <c r="A739" t="s">
        <v>19</v>
      </c>
      <c r="B739">
        <v>5</v>
      </c>
      <c r="C739">
        <v>3</v>
      </c>
      <c r="D739">
        <v>0</v>
      </c>
      <c r="E739" t="s">
        <v>274</v>
      </c>
      <c r="F739">
        <v>26344</v>
      </c>
      <c r="G739">
        <v>44954572.416666664</v>
      </c>
      <c r="H739">
        <v>0.96998833368221926</v>
      </c>
      <c r="I739">
        <v>0.93706293706293708</v>
      </c>
      <c r="J739">
        <v>8288599.375</v>
      </c>
      <c r="K739">
        <v>42920</v>
      </c>
      <c r="L739">
        <v>2</v>
      </c>
      <c r="M739">
        <v>138</v>
      </c>
      <c r="N739">
        <v>0.9391025641025641</v>
      </c>
      <c r="O739">
        <v>10422651.875</v>
      </c>
      <c r="P739">
        <v>43509</v>
      </c>
      <c r="Q739">
        <v>2</v>
      </c>
      <c r="R739">
        <v>139</v>
      </c>
      <c r="S739" t="s">
        <v>627</v>
      </c>
      <c r="W739">
        <f>Cancer_doubles_final2[[#This Row],[mlp_params]]</f>
        <v>42920</v>
      </c>
      <c r="X739">
        <f>Cancer_doubles_final2[[#This Row],[kan_test_acc]]</f>
        <v>0.96998833368221926</v>
      </c>
      <c r="Y739">
        <f>Cancer_doubles_final2[[#This Row],[mlp_test_acc]]</f>
        <v>0.93706293706293708</v>
      </c>
      <c r="Z739">
        <f>Cancer_doubles_final2[[#This Row],[mlp_test_acc2]]</f>
        <v>0.9391025641025641</v>
      </c>
    </row>
    <row r="740" spans="1:26" x14ac:dyDescent="0.25">
      <c r="A740" t="s">
        <v>19</v>
      </c>
      <c r="B740">
        <v>3</v>
      </c>
      <c r="C740">
        <v>5</v>
      </c>
      <c r="D740">
        <v>0</v>
      </c>
      <c r="E740" t="s">
        <v>274</v>
      </c>
      <c r="F740">
        <v>26344</v>
      </c>
      <c r="G740">
        <v>47385641.25</v>
      </c>
      <c r="H740">
        <v>0.9583333283662796</v>
      </c>
      <c r="I740">
        <v>0.93822843822843827</v>
      </c>
      <c r="J740">
        <v>8691655.1666666679</v>
      </c>
      <c r="K740">
        <v>52175</v>
      </c>
      <c r="L740">
        <v>2</v>
      </c>
      <c r="M740">
        <v>153</v>
      </c>
      <c r="N740">
        <v>0.93881118881118886</v>
      </c>
      <c r="O740">
        <v>9173516</v>
      </c>
      <c r="P740">
        <v>52824</v>
      </c>
      <c r="Q740">
        <v>2</v>
      </c>
      <c r="R740">
        <v>154</v>
      </c>
      <c r="S740" t="s">
        <v>626</v>
      </c>
      <c r="W740">
        <f>Cancer_doubles_final2[[#This Row],[mlp_params]]</f>
        <v>52175</v>
      </c>
      <c r="X740">
        <f>Cancer_doubles_final2[[#This Row],[kan_test_acc]]</f>
        <v>0.9583333283662796</v>
      </c>
      <c r="Y740">
        <f>Cancer_doubles_final2[[#This Row],[mlp_test_acc]]</f>
        <v>0.93822843822843827</v>
      </c>
      <c r="Z740">
        <f>Cancer_doubles_final2[[#This Row],[mlp_test_acc2]]</f>
        <v>0.93881118881118886</v>
      </c>
    </row>
    <row r="741" spans="1:26" hidden="1" x14ac:dyDescent="0.25">
      <c r="A741" t="s">
        <v>19</v>
      </c>
      <c r="B741">
        <v>5</v>
      </c>
      <c r="C741">
        <v>3</v>
      </c>
      <c r="D741">
        <v>0</v>
      </c>
      <c r="E741" t="s">
        <v>274</v>
      </c>
      <c r="F741">
        <v>26344</v>
      </c>
      <c r="G741">
        <v>44192738.541666664</v>
      </c>
      <c r="H741">
        <v>0.94638694326082873</v>
      </c>
      <c r="I741">
        <v>0.9184149184149184</v>
      </c>
      <c r="J741">
        <v>9181789.625</v>
      </c>
      <c r="K741">
        <v>42920</v>
      </c>
      <c r="L741">
        <v>2</v>
      </c>
      <c r="M741">
        <v>138</v>
      </c>
      <c r="N741">
        <v>0.91579254079254091</v>
      </c>
      <c r="O741">
        <v>8552163.541666666</v>
      </c>
      <c r="P741">
        <v>43509</v>
      </c>
      <c r="Q741">
        <v>2</v>
      </c>
      <c r="R741">
        <v>139</v>
      </c>
      <c r="S741" t="s">
        <v>627</v>
      </c>
      <c r="W741">
        <f>Cancer_doubles_final2[[#This Row],[mlp_params]]</f>
        <v>42920</v>
      </c>
      <c r="X741">
        <f>Cancer_doubles_final2[[#This Row],[kan_test_acc]]</f>
        <v>0.94638694326082873</v>
      </c>
      <c r="Y741">
        <f>Cancer_doubles_final2[[#This Row],[mlp_test_acc]]</f>
        <v>0.9184149184149184</v>
      </c>
      <c r="Z741">
        <f>Cancer_doubles_final2[[#This Row],[mlp_test_acc2]]</f>
        <v>0.91579254079254091</v>
      </c>
    </row>
    <row r="742" spans="1:26" hidden="1" x14ac:dyDescent="0.25">
      <c r="A742" t="s">
        <v>19</v>
      </c>
      <c r="B742">
        <v>3</v>
      </c>
      <c r="C742">
        <v>4</v>
      </c>
      <c r="D742">
        <v>0</v>
      </c>
      <c r="E742" t="s">
        <v>353</v>
      </c>
      <c r="F742">
        <v>26366</v>
      </c>
      <c r="G742">
        <v>34799896.041666664</v>
      </c>
      <c r="H742">
        <v>0.96037295460700989</v>
      </c>
      <c r="I742">
        <v>0.92453379953379955</v>
      </c>
      <c r="J742">
        <v>9479442.291666666</v>
      </c>
      <c r="K742">
        <v>49619</v>
      </c>
      <c r="L742">
        <v>2</v>
      </c>
      <c r="M742">
        <v>149</v>
      </c>
      <c r="N742">
        <v>0.92395104895104896</v>
      </c>
      <c r="O742">
        <v>9038075.791666666</v>
      </c>
      <c r="P742">
        <v>50252</v>
      </c>
      <c r="Q742">
        <v>2</v>
      </c>
      <c r="R742">
        <v>150</v>
      </c>
      <c r="S742" t="s">
        <v>628</v>
      </c>
      <c r="W742">
        <f>Cancer_doubles_final2[[#This Row],[mlp_params]]</f>
        <v>49619</v>
      </c>
      <c r="X742">
        <f>Cancer_doubles_final2[[#This Row],[kan_test_acc]]</f>
        <v>0.96037295460700989</v>
      </c>
      <c r="Y742">
        <f>Cancer_doubles_final2[[#This Row],[mlp_test_acc]]</f>
        <v>0.92453379953379955</v>
      </c>
      <c r="Z742">
        <f>Cancer_doubles_final2[[#This Row],[mlp_test_acc2]]</f>
        <v>0.92395104895104896</v>
      </c>
    </row>
    <row r="743" spans="1:26" hidden="1" x14ac:dyDescent="0.25">
      <c r="A743" t="s">
        <v>19</v>
      </c>
      <c r="B743">
        <v>5</v>
      </c>
      <c r="C743">
        <v>2</v>
      </c>
      <c r="D743">
        <v>0</v>
      </c>
      <c r="E743" t="s">
        <v>353</v>
      </c>
      <c r="F743">
        <v>26366</v>
      </c>
      <c r="G743">
        <v>38811689.125</v>
      </c>
      <c r="H743">
        <v>0.96853146702051163</v>
      </c>
      <c r="I743">
        <v>0.94871794871794868</v>
      </c>
      <c r="J743">
        <v>8790554.541666666</v>
      </c>
      <c r="K743">
        <v>39470</v>
      </c>
      <c r="L743">
        <v>2</v>
      </c>
      <c r="M743">
        <v>132</v>
      </c>
      <c r="N743">
        <v>0.94609557109557108</v>
      </c>
      <c r="O743">
        <v>8943308.833333334</v>
      </c>
      <c r="P743">
        <v>40035</v>
      </c>
      <c r="Q743">
        <v>2</v>
      </c>
      <c r="R743">
        <v>133</v>
      </c>
      <c r="S743" t="s">
        <v>629</v>
      </c>
      <c r="W743">
        <f>Cancer_doubles_final2[[#This Row],[mlp_params]]</f>
        <v>39470</v>
      </c>
      <c r="X743">
        <f>Cancer_doubles_final2[[#This Row],[kan_test_acc]]</f>
        <v>0.96853146702051163</v>
      </c>
      <c r="Y743">
        <f>Cancer_doubles_final2[[#This Row],[mlp_test_acc]]</f>
        <v>0.94871794871794868</v>
      </c>
      <c r="Z743">
        <f>Cancer_doubles_final2[[#This Row],[mlp_test_acc2]]</f>
        <v>0.94609557109557108</v>
      </c>
    </row>
    <row r="744" spans="1:26" hidden="1" x14ac:dyDescent="0.25">
      <c r="A744" t="s">
        <v>19</v>
      </c>
      <c r="B744">
        <v>3</v>
      </c>
      <c r="C744">
        <v>4</v>
      </c>
      <c r="D744">
        <v>0</v>
      </c>
      <c r="E744" t="s">
        <v>353</v>
      </c>
      <c r="F744">
        <v>26366</v>
      </c>
      <c r="G744">
        <v>42315429.541666672</v>
      </c>
      <c r="H744">
        <v>0.96416083723306656</v>
      </c>
      <c r="I744">
        <v>0.93356643356643354</v>
      </c>
      <c r="J744">
        <v>8412480.125</v>
      </c>
      <c r="K744">
        <v>49619</v>
      </c>
      <c r="L744">
        <v>2</v>
      </c>
      <c r="M744">
        <v>149</v>
      </c>
      <c r="N744">
        <v>0.93123543123543129</v>
      </c>
      <c r="O744">
        <v>9192192.6666666679</v>
      </c>
      <c r="P744">
        <v>50252</v>
      </c>
      <c r="Q744">
        <v>2</v>
      </c>
      <c r="R744">
        <v>150</v>
      </c>
      <c r="S744" t="s">
        <v>628</v>
      </c>
      <c r="W744">
        <f>Cancer_doubles_final2[[#This Row],[mlp_params]]</f>
        <v>49619</v>
      </c>
      <c r="X744">
        <f>Cancer_doubles_final2[[#This Row],[kan_test_acc]]</f>
        <v>0.96416083723306656</v>
      </c>
      <c r="Y744">
        <f>Cancer_doubles_final2[[#This Row],[mlp_test_acc]]</f>
        <v>0.93356643356643354</v>
      </c>
      <c r="Z744">
        <f>Cancer_doubles_final2[[#This Row],[mlp_test_acc2]]</f>
        <v>0.93123543123543129</v>
      </c>
    </row>
    <row r="745" spans="1:26" hidden="1" x14ac:dyDescent="0.25">
      <c r="A745" t="s">
        <v>19</v>
      </c>
      <c r="B745">
        <v>5</v>
      </c>
      <c r="C745">
        <v>2</v>
      </c>
      <c r="D745">
        <v>0</v>
      </c>
      <c r="E745" t="s">
        <v>353</v>
      </c>
      <c r="F745">
        <v>26366</v>
      </c>
      <c r="G745">
        <v>35999583.625</v>
      </c>
      <c r="H745">
        <v>0.96969696382681525</v>
      </c>
      <c r="I745">
        <v>0.92977855477855487</v>
      </c>
      <c r="J745">
        <v>9104194.75</v>
      </c>
      <c r="K745">
        <v>39470</v>
      </c>
      <c r="L745">
        <v>2</v>
      </c>
      <c r="M745">
        <v>132</v>
      </c>
      <c r="N745">
        <v>0.93473193473193472</v>
      </c>
      <c r="O745">
        <v>9233040.6666666679</v>
      </c>
      <c r="P745">
        <v>40035</v>
      </c>
      <c r="Q745">
        <v>2</v>
      </c>
      <c r="R745">
        <v>133</v>
      </c>
      <c r="S745" t="s">
        <v>629</v>
      </c>
      <c r="W745">
        <f>Cancer_doubles_final2[[#This Row],[mlp_params]]</f>
        <v>39470</v>
      </c>
      <c r="X745">
        <f>Cancer_doubles_final2[[#This Row],[kan_test_acc]]</f>
        <v>0.96969696382681525</v>
      </c>
      <c r="Y745">
        <f>Cancer_doubles_final2[[#This Row],[mlp_test_acc]]</f>
        <v>0.92977855477855487</v>
      </c>
      <c r="Z745">
        <f>Cancer_doubles_final2[[#This Row],[mlp_test_acc2]]</f>
        <v>0.93473193473193472</v>
      </c>
    </row>
    <row r="746" spans="1:26" hidden="1" x14ac:dyDescent="0.25">
      <c r="A746" t="s">
        <v>19</v>
      </c>
      <c r="B746">
        <v>3</v>
      </c>
      <c r="C746">
        <v>2</v>
      </c>
      <c r="D746">
        <v>0</v>
      </c>
      <c r="E746" t="s">
        <v>630</v>
      </c>
      <c r="F746">
        <v>26368</v>
      </c>
      <c r="G746">
        <v>39605394.791666664</v>
      </c>
      <c r="H746">
        <v>0.97581584751605988</v>
      </c>
      <c r="I746">
        <v>0.9417249417249417</v>
      </c>
      <c r="J746">
        <v>9042619.083333334</v>
      </c>
      <c r="K746">
        <v>42335</v>
      </c>
      <c r="L746">
        <v>2</v>
      </c>
      <c r="M746">
        <v>137</v>
      </c>
      <c r="N746">
        <v>0.94638694638694632</v>
      </c>
      <c r="O746">
        <v>8826633.5416666679</v>
      </c>
      <c r="P746">
        <v>42920</v>
      </c>
      <c r="Q746">
        <v>2</v>
      </c>
      <c r="R746">
        <v>138</v>
      </c>
      <c r="S746" t="s">
        <v>631</v>
      </c>
      <c r="W746">
        <f>Cancer_doubles_final2[[#This Row],[mlp_params]]</f>
        <v>42335</v>
      </c>
      <c r="X746">
        <f>Cancer_doubles_final2[[#This Row],[kan_test_acc]]</f>
        <v>0.97581584751605988</v>
      </c>
      <c r="Y746">
        <f>Cancer_doubles_final2[[#This Row],[mlp_test_acc]]</f>
        <v>0.9417249417249417</v>
      </c>
      <c r="Z746">
        <f>Cancer_doubles_final2[[#This Row],[mlp_test_acc2]]</f>
        <v>0.94638694638694632</v>
      </c>
    </row>
    <row r="747" spans="1:26" hidden="1" x14ac:dyDescent="0.25">
      <c r="A747" t="s">
        <v>19</v>
      </c>
      <c r="B747">
        <v>3</v>
      </c>
      <c r="C747">
        <v>3</v>
      </c>
      <c r="D747">
        <v>0</v>
      </c>
      <c r="E747" t="s">
        <v>479</v>
      </c>
      <c r="F747">
        <v>26480</v>
      </c>
      <c r="G747">
        <v>43695509.888888888</v>
      </c>
      <c r="H747">
        <v>0.96153845555252504</v>
      </c>
      <c r="I747">
        <v>0.94483294483294489</v>
      </c>
      <c r="J747">
        <v>8480145.527777778</v>
      </c>
      <c r="K747">
        <v>46514</v>
      </c>
      <c r="L747">
        <v>2</v>
      </c>
      <c r="M747">
        <v>144</v>
      </c>
      <c r="N747">
        <v>0.94289044289044288</v>
      </c>
      <c r="O747">
        <v>9314139.5</v>
      </c>
      <c r="P747">
        <v>47127</v>
      </c>
      <c r="Q747">
        <v>2</v>
      </c>
      <c r="R747">
        <v>145</v>
      </c>
      <c r="S747" t="s">
        <v>632</v>
      </c>
      <c r="W747">
        <f>Cancer_doubles_final2[[#This Row],[mlp_params]]</f>
        <v>46514</v>
      </c>
      <c r="X747">
        <f>Cancer_doubles_final2[[#This Row],[kan_test_acc]]</f>
        <v>0.96153845555252504</v>
      </c>
      <c r="Y747">
        <f>Cancer_doubles_final2[[#This Row],[mlp_test_acc]]</f>
        <v>0.94483294483294489</v>
      </c>
      <c r="Z747">
        <f>Cancer_doubles_final2[[#This Row],[mlp_test_acc2]]</f>
        <v>0.94289044289044288</v>
      </c>
    </row>
    <row r="748" spans="1:26" hidden="1" x14ac:dyDescent="0.25">
      <c r="A748" t="s">
        <v>19</v>
      </c>
      <c r="B748">
        <v>3</v>
      </c>
      <c r="C748">
        <v>2</v>
      </c>
      <c r="D748">
        <v>0</v>
      </c>
      <c r="E748" t="s">
        <v>633</v>
      </c>
      <c r="F748">
        <v>26494</v>
      </c>
      <c r="G748">
        <v>42116869.55555556</v>
      </c>
      <c r="H748">
        <v>0.96561771134535468</v>
      </c>
      <c r="I748">
        <v>0.94522144522144524</v>
      </c>
      <c r="J748">
        <v>9132267.944444444</v>
      </c>
      <c r="K748">
        <v>42920</v>
      </c>
      <c r="L748">
        <v>2</v>
      </c>
      <c r="M748">
        <v>138</v>
      </c>
      <c r="N748">
        <v>0.94347319347319347</v>
      </c>
      <c r="O748">
        <v>9403636.8611111101</v>
      </c>
      <c r="P748">
        <v>43509</v>
      </c>
      <c r="Q748">
        <v>2</v>
      </c>
      <c r="R748">
        <v>139</v>
      </c>
      <c r="S748" t="s">
        <v>634</v>
      </c>
      <c r="W748">
        <f>Cancer_doubles_final2[[#This Row],[mlp_params]]</f>
        <v>42920</v>
      </c>
      <c r="X748">
        <f>Cancer_doubles_final2[[#This Row],[kan_test_acc]]</f>
        <v>0.96561771134535468</v>
      </c>
      <c r="Y748">
        <f>Cancer_doubles_final2[[#This Row],[mlp_test_acc]]</f>
        <v>0.94522144522144524</v>
      </c>
      <c r="Z748">
        <f>Cancer_doubles_final2[[#This Row],[mlp_test_acc2]]</f>
        <v>0.94347319347319347</v>
      </c>
    </row>
    <row r="749" spans="1:26" hidden="1" x14ac:dyDescent="0.25">
      <c r="A749" t="s">
        <v>19</v>
      </c>
      <c r="B749">
        <v>3</v>
      </c>
      <c r="C749">
        <v>4</v>
      </c>
      <c r="D749">
        <v>0</v>
      </c>
      <c r="E749" t="s">
        <v>365</v>
      </c>
      <c r="F749">
        <v>26678</v>
      </c>
      <c r="G749">
        <v>37835909.861111112</v>
      </c>
      <c r="H749">
        <v>0.9586247056722641</v>
      </c>
      <c r="I749">
        <v>0.94522144522144524</v>
      </c>
      <c r="J749">
        <v>9076880.8888888881</v>
      </c>
      <c r="K749">
        <v>50252</v>
      </c>
      <c r="L749">
        <v>2</v>
      </c>
      <c r="M749">
        <v>150</v>
      </c>
      <c r="N749">
        <v>0.94308469308469312</v>
      </c>
      <c r="O749">
        <v>9226091.972222222</v>
      </c>
      <c r="P749">
        <v>50889</v>
      </c>
      <c r="Q749">
        <v>2</v>
      </c>
      <c r="R749">
        <v>151</v>
      </c>
      <c r="S749" t="s">
        <v>635</v>
      </c>
      <c r="W749">
        <f>Cancer_doubles_final2[[#This Row],[mlp_params]]</f>
        <v>50252</v>
      </c>
      <c r="X749">
        <f>Cancer_doubles_final2[[#This Row],[kan_test_acc]]</f>
        <v>0.9586247056722641</v>
      </c>
      <c r="Y749">
        <f>Cancer_doubles_final2[[#This Row],[mlp_test_acc]]</f>
        <v>0.94522144522144524</v>
      </c>
      <c r="Z749">
        <f>Cancer_doubles_final2[[#This Row],[mlp_test_acc2]]</f>
        <v>0.94308469308469312</v>
      </c>
    </row>
    <row r="750" spans="1:26" hidden="1" x14ac:dyDescent="0.25">
      <c r="A750" t="s">
        <v>19</v>
      </c>
      <c r="B750">
        <v>5</v>
      </c>
      <c r="C750">
        <v>2</v>
      </c>
      <c r="D750">
        <v>0</v>
      </c>
      <c r="E750" t="s">
        <v>365</v>
      </c>
      <c r="F750">
        <v>26678</v>
      </c>
      <c r="G750">
        <v>33300617.208333336</v>
      </c>
      <c r="H750">
        <v>0.96649183829625451</v>
      </c>
      <c r="I750">
        <v>0.94609557109557108</v>
      </c>
      <c r="J750">
        <v>8355480.791666666</v>
      </c>
      <c r="K750">
        <v>39470</v>
      </c>
      <c r="L750">
        <v>2</v>
      </c>
      <c r="M750">
        <v>132</v>
      </c>
      <c r="N750">
        <v>0.94289044289044288</v>
      </c>
      <c r="O750">
        <v>9106758.625</v>
      </c>
      <c r="P750">
        <v>40035</v>
      </c>
      <c r="Q750">
        <v>2</v>
      </c>
      <c r="R750">
        <v>133</v>
      </c>
      <c r="S750" t="s">
        <v>636</v>
      </c>
      <c r="W750">
        <f>Cancer_doubles_final2[[#This Row],[mlp_params]]</f>
        <v>39470</v>
      </c>
      <c r="X750">
        <f>Cancer_doubles_final2[[#This Row],[kan_test_acc]]</f>
        <v>0.96649183829625451</v>
      </c>
      <c r="Y750">
        <f>Cancer_doubles_final2[[#This Row],[mlp_test_acc]]</f>
        <v>0.94609557109557108</v>
      </c>
      <c r="Z750">
        <f>Cancer_doubles_final2[[#This Row],[mlp_test_acc2]]</f>
        <v>0.94289044289044288</v>
      </c>
    </row>
    <row r="751" spans="1:26" hidden="1" x14ac:dyDescent="0.25">
      <c r="A751" t="s">
        <v>19</v>
      </c>
      <c r="B751">
        <v>9</v>
      </c>
      <c r="C751">
        <v>4</v>
      </c>
      <c r="D751">
        <v>0</v>
      </c>
      <c r="E751" t="s">
        <v>123</v>
      </c>
      <c r="F751">
        <v>26678</v>
      </c>
      <c r="G751">
        <v>31129631.625</v>
      </c>
      <c r="H751">
        <v>0.96299533297618234</v>
      </c>
      <c r="I751">
        <v>0.95425407925407923</v>
      </c>
      <c r="J751">
        <v>7766987.541666667</v>
      </c>
      <c r="K751">
        <v>41177</v>
      </c>
      <c r="L751">
        <v>2</v>
      </c>
      <c r="M751">
        <v>135</v>
      </c>
      <c r="N751">
        <v>0.95308857808857805</v>
      </c>
      <c r="O751">
        <v>9795019.4166666679</v>
      </c>
      <c r="P751">
        <v>41754</v>
      </c>
      <c r="Q751">
        <v>2</v>
      </c>
      <c r="R751">
        <v>136</v>
      </c>
      <c r="S751" t="s">
        <v>637</v>
      </c>
      <c r="W751">
        <f>Cancer_doubles_final2[[#This Row],[mlp_params]]</f>
        <v>41177</v>
      </c>
      <c r="X751">
        <f>Cancer_doubles_final2[[#This Row],[kan_test_acc]]</f>
        <v>0.96299533297618234</v>
      </c>
      <c r="Y751">
        <f>Cancer_doubles_final2[[#This Row],[mlp_test_acc]]</f>
        <v>0.95425407925407923</v>
      </c>
      <c r="Z751">
        <f>Cancer_doubles_final2[[#This Row],[mlp_test_acc2]]</f>
        <v>0.95308857808857805</v>
      </c>
    </row>
    <row r="752" spans="1:26" hidden="1" x14ac:dyDescent="0.25">
      <c r="A752" t="s">
        <v>19</v>
      </c>
      <c r="B752">
        <v>3</v>
      </c>
      <c r="C752">
        <v>4</v>
      </c>
      <c r="D752">
        <v>0</v>
      </c>
      <c r="E752" t="s">
        <v>365</v>
      </c>
      <c r="F752">
        <v>26678</v>
      </c>
      <c r="G752">
        <v>35371809.833333336</v>
      </c>
      <c r="H752">
        <v>0.96590908120075869</v>
      </c>
      <c r="I752">
        <v>0.9475524475524475</v>
      </c>
      <c r="J752">
        <v>8265455.541666667</v>
      </c>
      <c r="K752">
        <v>50252</v>
      </c>
      <c r="L752">
        <v>2</v>
      </c>
      <c r="M752">
        <v>150</v>
      </c>
      <c r="N752">
        <v>0.94580419580419584</v>
      </c>
      <c r="O752">
        <v>9302480.7916666679</v>
      </c>
      <c r="P752">
        <v>50889</v>
      </c>
      <c r="Q752">
        <v>2</v>
      </c>
      <c r="R752">
        <v>151</v>
      </c>
      <c r="S752" t="s">
        <v>635</v>
      </c>
      <c r="W752">
        <f>Cancer_doubles_final2[[#This Row],[mlp_params]]</f>
        <v>50252</v>
      </c>
      <c r="X752">
        <f>Cancer_doubles_final2[[#This Row],[kan_test_acc]]</f>
        <v>0.96590908120075869</v>
      </c>
      <c r="Y752">
        <f>Cancer_doubles_final2[[#This Row],[mlp_test_acc]]</f>
        <v>0.9475524475524475</v>
      </c>
      <c r="Z752">
        <f>Cancer_doubles_final2[[#This Row],[mlp_test_acc2]]</f>
        <v>0.94580419580419584</v>
      </c>
    </row>
    <row r="753" spans="1:26" hidden="1" x14ac:dyDescent="0.25">
      <c r="A753" t="s">
        <v>19</v>
      </c>
      <c r="B753">
        <v>5</v>
      </c>
      <c r="C753">
        <v>2</v>
      </c>
      <c r="D753">
        <v>0</v>
      </c>
      <c r="E753" t="s">
        <v>365</v>
      </c>
      <c r="F753">
        <v>26678</v>
      </c>
      <c r="G753">
        <v>30552977.166666672</v>
      </c>
      <c r="H753">
        <v>0.96940558155377698</v>
      </c>
      <c r="I753">
        <v>0.90821678321678323</v>
      </c>
      <c r="J753">
        <v>7640491.666666667</v>
      </c>
      <c r="K753">
        <v>39470</v>
      </c>
      <c r="L753">
        <v>2</v>
      </c>
      <c r="M753">
        <v>132</v>
      </c>
      <c r="N753">
        <v>0.91054778554778559</v>
      </c>
      <c r="O753">
        <v>9007612.4166666679</v>
      </c>
      <c r="P753">
        <v>40035</v>
      </c>
      <c r="Q753">
        <v>2</v>
      </c>
      <c r="R753">
        <v>133</v>
      </c>
      <c r="S753" t="s">
        <v>636</v>
      </c>
      <c r="W753">
        <f>Cancer_doubles_final2[[#This Row],[mlp_params]]</f>
        <v>39470</v>
      </c>
      <c r="X753">
        <f>Cancer_doubles_final2[[#This Row],[kan_test_acc]]</f>
        <v>0.96940558155377698</v>
      </c>
      <c r="Y753">
        <f>Cancer_doubles_final2[[#This Row],[mlp_test_acc]]</f>
        <v>0.90821678321678323</v>
      </c>
      <c r="Z753">
        <f>Cancer_doubles_final2[[#This Row],[mlp_test_acc2]]</f>
        <v>0.91054778554778559</v>
      </c>
    </row>
    <row r="754" spans="1:26" hidden="1" x14ac:dyDescent="0.25">
      <c r="A754" t="s">
        <v>19</v>
      </c>
      <c r="B754">
        <v>3</v>
      </c>
      <c r="C754">
        <v>4</v>
      </c>
      <c r="D754">
        <v>0</v>
      </c>
      <c r="E754" t="s">
        <v>367</v>
      </c>
      <c r="F754">
        <v>26684</v>
      </c>
      <c r="G754">
        <v>31739235.166666672</v>
      </c>
      <c r="H754">
        <v>0.97231934467951453</v>
      </c>
      <c r="I754">
        <v>0.92132867132867124</v>
      </c>
      <c r="J754">
        <v>7602534</v>
      </c>
      <c r="K754">
        <v>50252</v>
      </c>
      <c r="L754">
        <v>2</v>
      </c>
      <c r="M754">
        <v>150</v>
      </c>
      <c r="N754">
        <v>0.92336829836829837</v>
      </c>
      <c r="O754">
        <v>8414716.25</v>
      </c>
      <c r="P754">
        <v>50889</v>
      </c>
      <c r="Q754">
        <v>2</v>
      </c>
      <c r="R754">
        <v>151</v>
      </c>
      <c r="S754" t="s">
        <v>638</v>
      </c>
      <c r="W754">
        <f>Cancer_doubles_final2[[#This Row],[mlp_params]]</f>
        <v>50252</v>
      </c>
      <c r="X754">
        <f>Cancer_doubles_final2[[#This Row],[kan_test_acc]]</f>
        <v>0.97231934467951453</v>
      </c>
      <c r="Y754">
        <f>Cancer_doubles_final2[[#This Row],[mlp_test_acc]]</f>
        <v>0.92132867132867124</v>
      </c>
      <c r="Z754">
        <f>Cancer_doubles_final2[[#This Row],[mlp_test_acc2]]</f>
        <v>0.92336829836829837</v>
      </c>
    </row>
    <row r="755" spans="1:26" hidden="1" x14ac:dyDescent="0.25">
      <c r="A755" t="s">
        <v>19</v>
      </c>
      <c r="B755">
        <v>5</v>
      </c>
      <c r="C755">
        <v>2</v>
      </c>
      <c r="D755">
        <v>0</v>
      </c>
      <c r="E755" t="s">
        <v>367</v>
      </c>
      <c r="F755">
        <v>26684</v>
      </c>
      <c r="G755">
        <v>37660985.541666672</v>
      </c>
      <c r="H755">
        <v>0.97610721985499072</v>
      </c>
      <c r="I755">
        <v>0.94667832167832167</v>
      </c>
      <c r="J755">
        <v>8381558.916666666</v>
      </c>
      <c r="K755">
        <v>39470</v>
      </c>
      <c r="L755">
        <v>2</v>
      </c>
      <c r="M755">
        <v>132</v>
      </c>
      <c r="N755">
        <v>0.94551282051282048</v>
      </c>
      <c r="O755">
        <v>8625089.1666666679</v>
      </c>
      <c r="P755">
        <v>40035</v>
      </c>
      <c r="Q755">
        <v>2</v>
      </c>
      <c r="R755">
        <v>133</v>
      </c>
      <c r="S755" t="s">
        <v>639</v>
      </c>
      <c r="W755">
        <f>Cancer_doubles_final2[[#This Row],[mlp_params]]</f>
        <v>39470</v>
      </c>
      <c r="X755">
        <f>Cancer_doubles_final2[[#This Row],[kan_test_acc]]</f>
        <v>0.97610721985499072</v>
      </c>
      <c r="Y755">
        <f>Cancer_doubles_final2[[#This Row],[mlp_test_acc]]</f>
        <v>0.94667832167832167</v>
      </c>
      <c r="Z755">
        <f>Cancer_doubles_final2[[#This Row],[mlp_test_acc2]]</f>
        <v>0.94551282051282048</v>
      </c>
    </row>
    <row r="756" spans="1:26" hidden="1" x14ac:dyDescent="0.25">
      <c r="A756" t="s">
        <v>19</v>
      </c>
      <c r="B756">
        <v>3</v>
      </c>
      <c r="C756">
        <v>4</v>
      </c>
      <c r="D756">
        <v>0</v>
      </c>
      <c r="E756" t="s">
        <v>367</v>
      </c>
      <c r="F756">
        <v>26684</v>
      </c>
      <c r="G756">
        <v>36901128.416666672</v>
      </c>
      <c r="H756">
        <v>0.97465033084154129</v>
      </c>
      <c r="I756">
        <v>0.9332750582750583</v>
      </c>
      <c r="J756">
        <v>8513360.1666666679</v>
      </c>
      <c r="K756">
        <v>50252</v>
      </c>
      <c r="L756">
        <v>2</v>
      </c>
      <c r="M756">
        <v>150</v>
      </c>
      <c r="N756">
        <v>0.93356643356643354</v>
      </c>
      <c r="O756">
        <v>9182335.8333333321</v>
      </c>
      <c r="P756">
        <v>50889</v>
      </c>
      <c r="Q756">
        <v>2</v>
      </c>
      <c r="R756">
        <v>151</v>
      </c>
      <c r="S756" t="s">
        <v>638</v>
      </c>
      <c r="W756">
        <f>Cancer_doubles_final2[[#This Row],[mlp_params]]</f>
        <v>50252</v>
      </c>
      <c r="X756">
        <f>Cancer_doubles_final2[[#This Row],[kan_test_acc]]</f>
        <v>0.97465033084154129</v>
      </c>
      <c r="Y756">
        <f>Cancer_doubles_final2[[#This Row],[mlp_test_acc]]</f>
        <v>0.9332750582750583</v>
      </c>
      <c r="Z756">
        <f>Cancer_doubles_final2[[#This Row],[mlp_test_acc2]]</f>
        <v>0.93356643356643354</v>
      </c>
    </row>
    <row r="757" spans="1:26" hidden="1" x14ac:dyDescent="0.25">
      <c r="A757" t="s">
        <v>19</v>
      </c>
      <c r="B757">
        <v>5</v>
      </c>
      <c r="C757">
        <v>2</v>
      </c>
      <c r="D757">
        <v>0</v>
      </c>
      <c r="E757" t="s">
        <v>367</v>
      </c>
      <c r="F757">
        <v>26684</v>
      </c>
      <c r="G757">
        <v>35997147.125</v>
      </c>
      <c r="H757">
        <v>0.97552445282538724</v>
      </c>
      <c r="I757">
        <v>0.93385780885780889</v>
      </c>
      <c r="J757">
        <v>9525183.708333334</v>
      </c>
      <c r="K757">
        <v>39470</v>
      </c>
      <c r="L757">
        <v>2</v>
      </c>
      <c r="M757">
        <v>132</v>
      </c>
      <c r="N757">
        <v>0.93240093240093236</v>
      </c>
      <c r="O757">
        <v>9116986</v>
      </c>
      <c r="P757">
        <v>40035</v>
      </c>
      <c r="Q757">
        <v>2</v>
      </c>
      <c r="R757">
        <v>133</v>
      </c>
      <c r="S757" t="s">
        <v>639</v>
      </c>
      <c r="W757">
        <f>Cancer_doubles_final2[[#This Row],[mlp_params]]</f>
        <v>39470</v>
      </c>
      <c r="X757">
        <f>Cancer_doubles_final2[[#This Row],[kan_test_acc]]</f>
        <v>0.97552445282538724</v>
      </c>
      <c r="Y757">
        <f>Cancer_doubles_final2[[#This Row],[mlp_test_acc]]</f>
        <v>0.93385780885780889</v>
      </c>
      <c r="Z757">
        <f>Cancer_doubles_final2[[#This Row],[mlp_test_acc2]]</f>
        <v>0.93240093240093236</v>
      </c>
    </row>
    <row r="758" spans="1:26" hidden="1" x14ac:dyDescent="0.25">
      <c r="A758" t="s">
        <v>19</v>
      </c>
      <c r="B758">
        <v>5</v>
      </c>
      <c r="C758">
        <v>5</v>
      </c>
      <c r="D758">
        <v>0</v>
      </c>
      <c r="E758" t="s">
        <v>189</v>
      </c>
      <c r="F758">
        <v>26690</v>
      </c>
      <c r="G758">
        <v>40356002.791666672</v>
      </c>
      <c r="H758">
        <v>0.95163168758153915</v>
      </c>
      <c r="I758">
        <v>0.93706293706293708</v>
      </c>
      <c r="J758">
        <v>9346605.666666666</v>
      </c>
      <c r="K758">
        <v>48990</v>
      </c>
      <c r="L758">
        <v>2</v>
      </c>
      <c r="M758">
        <v>148</v>
      </c>
      <c r="N758">
        <v>0.9364801864801866</v>
      </c>
      <c r="O758">
        <v>9881574.0416666679</v>
      </c>
      <c r="P758">
        <v>49619</v>
      </c>
      <c r="Q758">
        <v>2</v>
      </c>
      <c r="R758">
        <v>149</v>
      </c>
      <c r="S758" t="s">
        <v>640</v>
      </c>
      <c r="W758">
        <f>Cancer_doubles_final2[[#This Row],[mlp_params]]</f>
        <v>48990</v>
      </c>
      <c r="X758">
        <f>Cancer_doubles_final2[[#This Row],[kan_test_acc]]</f>
        <v>0.95163168758153915</v>
      </c>
      <c r="Y758">
        <f>Cancer_doubles_final2[[#This Row],[mlp_test_acc]]</f>
        <v>0.93706293706293708</v>
      </c>
      <c r="Z758">
        <f>Cancer_doubles_final2[[#This Row],[mlp_test_acc2]]</f>
        <v>0.9364801864801866</v>
      </c>
    </row>
    <row r="759" spans="1:26" hidden="1" x14ac:dyDescent="0.25">
      <c r="A759" t="s">
        <v>19</v>
      </c>
      <c r="B759">
        <v>5</v>
      </c>
      <c r="C759">
        <v>3</v>
      </c>
      <c r="D759">
        <v>0</v>
      </c>
      <c r="E759" t="s">
        <v>283</v>
      </c>
      <c r="F759">
        <v>26692</v>
      </c>
      <c r="G759">
        <v>43784100.25</v>
      </c>
      <c r="H759">
        <v>0.93842268983523047</v>
      </c>
      <c r="I759">
        <v>0.94677544677544678</v>
      </c>
      <c r="J759">
        <v>9130993.722222222</v>
      </c>
      <c r="K759">
        <v>43509</v>
      </c>
      <c r="L759">
        <v>2</v>
      </c>
      <c r="M759">
        <v>139</v>
      </c>
      <c r="N759">
        <v>0.94794094794094796</v>
      </c>
      <c r="O759">
        <v>10767847.694444444</v>
      </c>
      <c r="P759">
        <v>44102</v>
      </c>
      <c r="Q759">
        <v>2</v>
      </c>
      <c r="R759">
        <v>140</v>
      </c>
      <c r="S759" t="s">
        <v>641</v>
      </c>
      <c r="W759">
        <f>Cancer_doubles_final2[[#This Row],[mlp_params]]</f>
        <v>43509</v>
      </c>
      <c r="X759">
        <f>Cancer_doubles_final2[[#This Row],[kan_test_acc]]</f>
        <v>0.93842268983523047</v>
      </c>
      <c r="Y759">
        <f>Cancer_doubles_final2[[#This Row],[mlp_test_acc]]</f>
        <v>0.94677544677544678</v>
      </c>
      <c r="Z759">
        <f>Cancer_doubles_final2[[#This Row],[mlp_test_acc2]]</f>
        <v>0.94794094794094796</v>
      </c>
    </row>
    <row r="760" spans="1:26" x14ac:dyDescent="0.25">
      <c r="A760" t="s">
        <v>19</v>
      </c>
      <c r="B760">
        <v>3</v>
      </c>
      <c r="C760">
        <v>5</v>
      </c>
      <c r="D760">
        <v>0</v>
      </c>
      <c r="E760" t="s">
        <v>283</v>
      </c>
      <c r="F760">
        <v>26692</v>
      </c>
      <c r="G760">
        <v>49347059.25</v>
      </c>
      <c r="H760">
        <v>0.98076923439900077</v>
      </c>
      <c r="I760">
        <v>0.95017482517482521</v>
      </c>
      <c r="J760">
        <v>9917302.916666666</v>
      </c>
      <c r="K760">
        <v>52824</v>
      </c>
      <c r="L760">
        <v>2</v>
      </c>
      <c r="M760">
        <v>154</v>
      </c>
      <c r="N760">
        <v>0.94522144522144524</v>
      </c>
      <c r="O760">
        <v>10562524.333333334</v>
      </c>
      <c r="P760">
        <v>53477</v>
      </c>
      <c r="Q760">
        <v>2</v>
      </c>
      <c r="R760">
        <v>155</v>
      </c>
      <c r="S760" t="s">
        <v>642</v>
      </c>
      <c r="W760">
        <f>Cancer_doubles_final2[[#This Row],[mlp_params]]</f>
        <v>52824</v>
      </c>
      <c r="X760">
        <f>Cancer_doubles_final2[[#This Row],[kan_test_acc]]</f>
        <v>0.98076923439900077</v>
      </c>
      <c r="Y760">
        <f>Cancer_doubles_final2[[#This Row],[mlp_test_acc]]</f>
        <v>0.95017482517482521</v>
      </c>
      <c r="Z760">
        <f>Cancer_doubles_final2[[#This Row],[mlp_test_acc2]]</f>
        <v>0.94522144522144524</v>
      </c>
    </row>
    <row r="761" spans="1:26" hidden="1" x14ac:dyDescent="0.25">
      <c r="A761" t="s">
        <v>19</v>
      </c>
      <c r="B761">
        <v>5</v>
      </c>
      <c r="C761">
        <v>3</v>
      </c>
      <c r="D761">
        <v>0</v>
      </c>
      <c r="E761" t="s">
        <v>283</v>
      </c>
      <c r="F761">
        <v>26692</v>
      </c>
      <c r="G761">
        <v>52338523.166666672</v>
      </c>
      <c r="H761">
        <v>0.96940558403730392</v>
      </c>
      <c r="I761">
        <v>0.93881118881118875</v>
      </c>
      <c r="J761">
        <v>10143135.083333332</v>
      </c>
      <c r="K761">
        <v>43509</v>
      </c>
      <c r="L761">
        <v>2</v>
      </c>
      <c r="M761">
        <v>139</v>
      </c>
      <c r="N761">
        <v>0.93531468531468542</v>
      </c>
      <c r="O761">
        <v>10318741.708333332</v>
      </c>
      <c r="P761">
        <v>44102</v>
      </c>
      <c r="Q761">
        <v>2</v>
      </c>
      <c r="R761">
        <v>140</v>
      </c>
      <c r="S761" t="s">
        <v>641</v>
      </c>
      <c r="W761">
        <f>Cancer_doubles_final2[[#This Row],[mlp_params]]</f>
        <v>43509</v>
      </c>
      <c r="X761">
        <f>Cancer_doubles_final2[[#This Row],[kan_test_acc]]</f>
        <v>0.96940558403730392</v>
      </c>
      <c r="Y761">
        <f>Cancer_doubles_final2[[#This Row],[mlp_test_acc]]</f>
        <v>0.93881118881118875</v>
      </c>
      <c r="Z761">
        <f>Cancer_doubles_final2[[#This Row],[mlp_test_acc2]]</f>
        <v>0.93531468531468542</v>
      </c>
    </row>
    <row r="762" spans="1:26" x14ac:dyDescent="0.25">
      <c r="A762" t="s">
        <v>19</v>
      </c>
      <c r="B762">
        <v>3</v>
      </c>
      <c r="C762">
        <v>5</v>
      </c>
      <c r="D762">
        <v>0</v>
      </c>
      <c r="E762" t="s">
        <v>283</v>
      </c>
      <c r="F762">
        <v>26692</v>
      </c>
      <c r="G762">
        <v>54533060.583333336</v>
      </c>
      <c r="H762">
        <v>0.94755243758360552</v>
      </c>
      <c r="I762">
        <v>0.93851981351981351</v>
      </c>
      <c r="J762">
        <v>10814767.375</v>
      </c>
      <c r="K762">
        <v>52824</v>
      </c>
      <c r="L762">
        <v>2</v>
      </c>
      <c r="M762">
        <v>154</v>
      </c>
      <c r="N762">
        <v>0.93764568764568768</v>
      </c>
      <c r="O762">
        <v>11202276.333333332</v>
      </c>
      <c r="P762">
        <v>53477</v>
      </c>
      <c r="Q762">
        <v>2</v>
      </c>
      <c r="R762">
        <v>155</v>
      </c>
      <c r="S762" t="s">
        <v>642</v>
      </c>
      <c r="W762">
        <f>Cancer_doubles_final2[[#This Row],[mlp_params]]</f>
        <v>52824</v>
      </c>
      <c r="X762">
        <f>Cancer_doubles_final2[[#This Row],[kan_test_acc]]</f>
        <v>0.94755243758360552</v>
      </c>
      <c r="Y762">
        <f>Cancer_doubles_final2[[#This Row],[mlp_test_acc]]</f>
        <v>0.93851981351981351</v>
      </c>
      <c r="Z762">
        <f>Cancer_doubles_final2[[#This Row],[mlp_test_acc2]]</f>
        <v>0.93764568764568768</v>
      </c>
    </row>
    <row r="763" spans="1:26" hidden="1" x14ac:dyDescent="0.25">
      <c r="A763" t="s">
        <v>19</v>
      </c>
      <c r="B763">
        <v>5</v>
      </c>
      <c r="C763">
        <v>3</v>
      </c>
      <c r="D763">
        <v>0</v>
      </c>
      <c r="E763" t="s">
        <v>283</v>
      </c>
      <c r="F763">
        <v>26692</v>
      </c>
      <c r="G763">
        <v>52116032.458333336</v>
      </c>
      <c r="H763">
        <v>0.94055943687756849</v>
      </c>
      <c r="I763">
        <v>0.91812354312354305</v>
      </c>
      <c r="J763">
        <v>10186391.791666668</v>
      </c>
      <c r="K763">
        <v>43509</v>
      </c>
      <c r="L763">
        <v>2</v>
      </c>
      <c r="M763">
        <v>139</v>
      </c>
      <c r="N763">
        <v>0.91491841491841486</v>
      </c>
      <c r="O763">
        <v>10871706.166666666</v>
      </c>
      <c r="P763">
        <v>44102</v>
      </c>
      <c r="Q763">
        <v>2</v>
      </c>
      <c r="R763">
        <v>140</v>
      </c>
      <c r="S763" t="s">
        <v>641</v>
      </c>
      <c r="W763">
        <f>Cancer_doubles_final2[[#This Row],[mlp_params]]</f>
        <v>43509</v>
      </c>
      <c r="X763">
        <f>Cancer_doubles_final2[[#This Row],[kan_test_acc]]</f>
        <v>0.94055943687756849</v>
      </c>
      <c r="Y763">
        <f>Cancer_doubles_final2[[#This Row],[mlp_test_acc]]</f>
        <v>0.91812354312354305</v>
      </c>
      <c r="Z763">
        <f>Cancer_doubles_final2[[#This Row],[mlp_test_acc2]]</f>
        <v>0.91491841491841486</v>
      </c>
    </row>
    <row r="764" spans="1:26" hidden="1" x14ac:dyDescent="0.25">
      <c r="A764" t="s">
        <v>19</v>
      </c>
      <c r="B764">
        <v>5</v>
      </c>
      <c r="C764">
        <v>4</v>
      </c>
      <c r="D764">
        <v>0</v>
      </c>
      <c r="E764" t="s">
        <v>225</v>
      </c>
      <c r="F764">
        <v>26708</v>
      </c>
      <c r="G764">
        <v>41686658.75</v>
      </c>
      <c r="H764">
        <v>0.95046619822581613</v>
      </c>
      <c r="I764">
        <v>0.91433566433566438</v>
      </c>
      <c r="J764">
        <v>8846605.958333334</v>
      </c>
      <c r="K764">
        <v>46514</v>
      </c>
      <c r="L764">
        <v>2</v>
      </c>
      <c r="M764">
        <v>144</v>
      </c>
      <c r="N764">
        <v>0.91025641025641024</v>
      </c>
      <c r="O764">
        <v>9183263.4583333321</v>
      </c>
      <c r="P764">
        <v>47127</v>
      </c>
      <c r="Q764">
        <v>2</v>
      </c>
      <c r="R764">
        <v>145</v>
      </c>
      <c r="S764" t="s">
        <v>643</v>
      </c>
      <c r="W764">
        <f>Cancer_doubles_final2[[#This Row],[mlp_params]]</f>
        <v>46514</v>
      </c>
      <c r="X764">
        <f>Cancer_doubles_final2[[#This Row],[kan_test_acc]]</f>
        <v>0.95046619822581613</v>
      </c>
      <c r="Y764">
        <f>Cancer_doubles_final2[[#This Row],[mlp_test_acc]]</f>
        <v>0.91433566433566438</v>
      </c>
      <c r="Z764">
        <f>Cancer_doubles_final2[[#This Row],[mlp_test_acc2]]</f>
        <v>0.91025641025641024</v>
      </c>
    </row>
    <row r="765" spans="1:26" hidden="1" x14ac:dyDescent="0.25">
      <c r="A765" t="s">
        <v>19</v>
      </c>
      <c r="B765">
        <v>5</v>
      </c>
      <c r="C765">
        <v>5</v>
      </c>
      <c r="D765">
        <v>0</v>
      </c>
      <c r="E765" t="s">
        <v>191</v>
      </c>
      <c r="F765">
        <v>26744</v>
      </c>
      <c r="G765">
        <v>42827671.916666664</v>
      </c>
      <c r="H765">
        <v>0.93919968770609963</v>
      </c>
      <c r="I765">
        <v>0.93473193473193472</v>
      </c>
      <c r="J765">
        <v>9681693.6111111119</v>
      </c>
      <c r="K765">
        <v>48990</v>
      </c>
      <c r="L765">
        <v>2</v>
      </c>
      <c r="M765">
        <v>148</v>
      </c>
      <c r="N765">
        <v>0.93725718725718721</v>
      </c>
      <c r="O765">
        <v>8833049.25</v>
      </c>
      <c r="P765">
        <v>49619</v>
      </c>
      <c r="Q765">
        <v>2</v>
      </c>
      <c r="R765">
        <v>149</v>
      </c>
      <c r="S765" t="s">
        <v>644</v>
      </c>
      <c r="W765">
        <f>Cancer_doubles_final2[[#This Row],[mlp_params]]</f>
        <v>48990</v>
      </c>
      <c r="X765">
        <f>Cancer_doubles_final2[[#This Row],[kan_test_acc]]</f>
        <v>0.93919968770609963</v>
      </c>
      <c r="Y765">
        <f>Cancer_doubles_final2[[#This Row],[mlp_test_acc]]</f>
        <v>0.93473193473193472</v>
      </c>
      <c r="Z765">
        <f>Cancer_doubles_final2[[#This Row],[mlp_test_acc2]]</f>
        <v>0.93725718725718721</v>
      </c>
    </row>
    <row r="766" spans="1:26" hidden="1" x14ac:dyDescent="0.25">
      <c r="A766" t="s">
        <v>19</v>
      </c>
      <c r="B766">
        <v>3</v>
      </c>
      <c r="C766">
        <v>3</v>
      </c>
      <c r="D766">
        <v>0</v>
      </c>
      <c r="E766" t="s">
        <v>487</v>
      </c>
      <c r="F766">
        <v>26766</v>
      </c>
      <c r="G766">
        <v>40433384.333333336</v>
      </c>
      <c r="H766">
        <v>0.93240093522601664</v>
      </c>
      <c r="I766">
        <v>0.93997668997668993</v>
      </c>
      <c r="J766">
        <v>9795406.194444444</v>
      </c>
      <c r="K766">
        <v>47127</v>
      </c>
      <c r="L766">
        <v>2</v>
      </c>
      <c r="M766">
        <v>145</v>
      </c>
      <c r="N766">
        <v>0.94153069153069147</v>
      </c>
      <c r="O766">
        <v>8963060.3333333321</v>
      </c>
      <c r="P766">
        <v>47744</v>
      </c>
      <c r="Q766">
        <v>2</v>
      </c>
      <c r="R766">
        <v>146</v>
      </c>
      <c r="S766" t="s">
        <v>645</v>
      </c>
      <c r="W766">
        <f>Cancer_doubles_final2[[#This Row],[mlp_params]]</f>
        <v>47127</v>
      </c>
      <c r="X766">
        <f>Cancer_doubles_final2[[#This Row],[kan_test_acc]]</f>
        <v>0.93240093522601664</v>
      </c>
      <c r="Y766">
        <f>Cancer_doubles_final2[[#This Row],[mlp_test_acc]]</f>
        <v>0.93997668997668993</v>
      </c>
      <c r="Z766">
        <f>Cancer_doubles_final2[[#This Row],[mlp_test_acc2]]</f>
        <v>0.94153069153069147</v>
      </c>
    </row>
    <row r="767" spans="1:26" hidden="1" x14ac:dyDescent="0.25">
      <c r="A767" t="s">
        <v>19</v>
      </c>
      <c r="B767">
        <v>3</v>
      </c>
      <c r="C767">
        <v>4</v>
      </c>
      <c r="D767">
        <v>0</v>
      </c>
      <c r="E767" t="s">
        <v>371</v>
      </c>
      <c r="F767">
        <v>26840</v>
      </c>
      <c r="G767">
        <v>41966779.30555556</v>
      </c>
      <c r="H767">
        <v>0.96561771465672386</v>
      </c>
      <c r="I767">
        <v>0.94580419580419572</v>
      </c>
      <c r="J767">
        <v>9243823.472222222</v>
      </c>
      <c r="K767">
        <v>50889</v>
      </c>
      <c r="L767">
        <v>2</v>
      </c>
      <c r="M767">
        <v>151</v>
      </c>
      <c r="N767">
        <v>0.94638694638694632</v>
      </c>
      <c r="O767">
        <v>9389144.222222222</v>
      </c>
      <c r="P767">
        <v>51530</v>
      </c>
      <c r="Q767">
        <v>2</v>
      </c>
      <c r="R767">
        <v>152</v>
      </c>
      <c r="S767" t="s">
        <v>646</v>
      </c>
      <c r="W767">
        <f>Cancer_doubles_final2[[#This Row],[mlp_params]]</f>
        <v>50889</v>
      </c>
      <c r="X767">
        <f>Cancer_doubles_final2[[#This Row],[kan_test_acc]]</f>
        <v>0.96561771465672386</v>
      </c>
      <c r="Y767">
        <f>Cancer_doubles_final2[[#This Row],[mlp_test_acc]]</f>
        <v>0.94580419580419572</v>
      </c>
      <c r="Z767">
        <f>Cancer_doubles_final2[[#This Row],[mlp_test_acc2]]</f>
        <v>0.94638694638694632</v>
      </c>
    </row>
    <row r="768" spans="1:26" hidden="1" x14ac:dyDescent="0.25">
      <c r="A768" t="s">
        <v>19</v>
      </c>
      <c r="B768">
        <v>5</v>
      </c>
      <c r="C768">
        <v>2</v>
      </c>
      <c r="D768">
        <v>0</v>
      </c>
      <c r="E768" t="s">
        <v>371</v>
      </c>
      <c r="F768">
        <v>26840</v>
      </c>
      <c r="G768">
        <v>34556136.791666672</v>
      </c>
      <c r="H768">
        <v>0.97494171559810638</v>
      </c>
      <c r="I768">
        <v>0.94259906759906764</v>
      </c>
      <c r="J768">
        <v>8358343.541666666</v>
      </c>
      <c r="K768">
        <v>40035</v>
      </c>
      <c r="L768">
        <v>2</v>
      </c>
      <c r="M768">
        <v>133</v>
      </c>
      <c r="N768">
        <v>0.94463869463869465</v>
      </c>
      <c r="O768">
        <v>9044051.875</v>
      </c>
      <c r="P768">
        <v>40604</v>
      </c>
      <c r="Q768">
        <v>2</v>
      </c>
      <c r="R768">
        <v>134</v>
      </c>
      <c r="S768" t="s">
        <v>647</v>
      </c>
      <c r="W768">
        <f>Cancer_doubles_final2[[#This Row],[mlp_params]]</f>
        <v>40035</v>
      </c>
      <c r="X768">
        <f>Cancer_doubles_final2[[#This Row],[kan_test_acc]]</f>
        <v>0.97494171559810638</v>
      </c>
      <c r="Y768">
        <f>Cancer_doubles_final2[[#This Row],[mlp_test_acc]]</f>
        <v>0.94259906759906764</v>
      </c>
      <c r="Z768">
        <f>Cancer_doubles_final2[[#This Row],[mlp_test_acc2]]</f>
        <v>0.94463869463869465</v>
      </c>
    </row>
    <row r="769" spans="1:26" hidden="1" x14ac:dyDescent="0.25">
      <c r="A769" t="s">
        <v>19</v>
      </c>
      <c r="B769">
        <v>3</v>
      </c>
      <c r="C769">
        <v>4</v>
      </c>
      <c r="D769">
        <v>0</v>
      </c>
      <c r="E769" t="s">
        <v>371</v>
      </c>
      <c r="F769">
        <v>26840</v>
      </c>
      <c r="G769">
        <v>34897843</v>
      </c>
      <c r="H769">
        <v>0.97202795992294955</v>
      </c>
      <c r="I769">
        <v>0.92919580419580416</v>
      </c>
      <c r="J769">
        <v>8307450.5</v>
      </c>
      <c r="K769">
        <v>50889</v>
      </c>
      <c r="L769">
        <v>2</v>
      </c>
      <c r="M769">
        <v>151</v>
      </c>
      <c r="N769">
        <v>0.93181818181818188</v>
      </c>
      <c r="O769">
        <v>8924839.0833333321</v>
      </c>
      <c r="P769">
        <v>51530</v>
      </c>
      <c r="Q769">
        <v>2</v>
      </c>
      <c r="R769">
        <v>152</v>
      </c>
      <c r="S769" t="s">
        <v>646</v>
      </c>
      <c r="W769">
        <f>Cancer_doubles_final2[[#This Row],[mlp_params]]</f>
        <v>50889</v>
      </c>
      <c r="X769">
        <f>Cancer_doubles_final2[[#This Row],[kan_test_acc]]</f>
        <v>0.97202795992294955</v>
      </c>
      <c r="Y769">
        <f>Cancer_doubles_final2[[#This Row],[mlp_test_acc]]</f>
        <v>0.92919580419580416</v>
      </c>
      <c r="Z769">
        <f>Cancer_doubles_final2[[#This Row],[mlp_test_acc2]]</f>
        <v>0.93181818181818188</v>
      </c>
    </row>
    <row r="770" spans="1:26" hidden="1" x14ac:dyDescent="0.25">
      <c r="A770" t="s">
        <v>19</v>
      </c>
      <c r="B770">
        <v>5</v>
      </c>
      <c r="C770">
        <v>2</v>
      </c>
      <c r="D770">
        <v>0</v>
      </c>
      <c r="E770" t="s">
        <v>371</v>
      </c>
      <c r="F770">
        <v>26840</v>
      </c>
      <c r="G770">
        <v>33775981</v>
      </c>
      <c r="H770">
        <v>0.96357808013757063</v>
      </c>
      <c r="I770">
        <v>0.90879953379953382</v>
      </c>
      <c r="J770">
        <v>8274266.875</v>
      </c>
      <c r="K770">
        <v>40035</v>
      </c>
      <c r="L770">
        <v>2</v>
      </c>
      <c r="M770">
        <v>133</v>
      </c>
      <c r="N770">
        <v>0.90879953379953382</v>
      </c>
      <c r="O770">
        <v>8401748.875</v>
      </c>
      <c r="P770">
        <v>40604</v>
      </c>
      <c r="Q770">
        <v>2</v>
      </c>
      <c r="R770">
        <v>134</v>
      </c>
      <c r="S770" t="s">
        <v>647</v>
      </c>
      <c r="W770">
        <f>Cancer_doubles_final2[[#This Row],[mlp_params]]</f>
        <v>40035</v>
      </c>
      <c r="X770">
        <f>Cancer_doubles_final2[[#This Row],[kan_test_acc]]</f>
        <v>0.96357808013757063</v>
      </c>
      <c r="Y770">
        <f>Cancer_doubles_final2[[#This Row],[mlp_test_acc]]</f>
        <v>0.90879953379953382</v>
      </c>
      <c r="Z770">
        <f>Cancer_doubles_final2[[#This Row],[mlp_test_acc2]]</f>
        <v>0.90879953379953382</v>
      </c>
    </row>
    <row r="771" spans="1:26" hidden="1" x14ac:dyDescent="0.25">
      <c r="A771" t="s">
        <v>19</v>
      </c>
      <c r="B771">
        <v>3</v>
      </c>
      <c r="C771">
        <v>4</v>
      </c>
      <c r="D771">
        <v>0</v>
      </c>
      <c r="E771" t="s">
        <v>373</v>
      </c>
      <c r="F771">
        <v>26842</v>
      </c>
      <c r="G771">
        <v>30964315.25</v>
      </c>
      <c r="H771">
        <v>0.96445220708847046</v>
      </c>
      <c r="I771">
        <v>0.92307692307692313</v>
      </c>
      <c r="J771">
        <v>8311612.833333334</v>
      </c>
      <c r="K771">
        <v>50889</v>
      </c>
      <c r="L771">
        <v>2</v>
      </c>
      <c r="M771">
        <v>151</v>
      </c>
      <c r="N771">
        <v>0.92191142191142195</v>
      </c>
      <c r="O771">
        <v>8871211.4583333321</v>
      </c>
      <c r="P771">
        <v>51530</v>
      </c>
      <c r="Q771">
        <v>2</v>
      </c>
      <c r="R771">
        <v>152</v>
      </c>
      <c r="S771" t="s">
        <v>648</v>
      </c>
      <c r="W771">
        <f>Cancer_doubles_final2[[#This Row],[mlp_params]]</f>
        <v>50889</v>
      </c>
      <c r="X771">
        <f>Cancer_doubles_final2[[#This Row],[kan_test_acc]]</f>
        <v>0.96445220708847046</v>
      </c>
      <c r="Y771">
        <f>Cancer_doubles_final2[[#This Row],[mlp_test_acc]]</f>
        <v>0.92307692307692313</v>
      </c>
      <c r="Z771">
        <f>Cancer_doubles_final2[[#This Row],[mlp_test_acc2]]</f>
        <v>0.92191142191142195</v>
      </c>
    </row>
    <row r="772" spans="1:26" hidden="1" x14ac:dyDescent="0.25">
      <c r="A772" t="s">
        <v>19</v>
      </c>
      <c r="B772">
        <v>5</v>
      </c>
      <c r="C772">
        <v>2</v>
      </c>
      <c r="D772">
        <v>0</v>
      </c>
      <c r="E772" t="s">
        <v>373</v>
      </c>
      <c r="F772">
        <v>26842</v>
      </c>
      <c r="G772">
        <v>33709656.791666672</v>
      </c>
      <c r="H772">
        <v>0.96037295460700989</v>
      </c>
      <c r="I772">
        <v>0.94609557109557119</v>
      </c>
      <c r="J772">
        <v>8676883.833333334</v>
      </c>
      <c r="K772">
        <v>40035</v>
      </c>
      <c r="L772">
        <v>2</v>
      </c>
      <c r="M772">
        <v>133</v>
      </c>
      <c r="N772">
        <v>0.94347319347319347</v>
      </c>
      <c r="O772">
        <v>9087497.416666666</v>
      </c>
      <c r="P772">
        <v>40604</v>
      </c>
      <c r="Q772">
        <v>2</v>
      </c>
      <c r="R772">
        <v>134</v>
      </c>
      <c r="S772" t="s">
        <v>649</v>
      </c>
      <c r="W772">
        <f>Cancer_doubles_final2[[#This Row],[mlp_params]]</f>
        <v>40035</v>
      </c>
      <c r="X772">
        <f>Cancer_doubles_final2[[#This Row],[kan_test_acc]]</f>
        <v>0.96037295460700989</v>
      </c>
      <c r="Y772">
        <f>Cancer_doubles_final2[[#This Row],[mlp_test_acc]]</f>
        <v>0.94609557109557119</v>
      </c>
      <c r="Z772">
        <f>Cancer_doubles_final2[[#This Row],[mlp_test_acc2]]</f>
        <v>0.94347319347319347</v>
      </c>
    </row>
    <row r="773" spans="1:26" hidden="1" x14ac:dyDescent="0.25">
      <c r="A773" t="s">
        <v>19</v>
      </c>
      <c r="B773">
        <v>3</v>
      </c>
      <c r="C773">
        <v>4</v>
      </c>
      <c r="D773">
        <v>0</v>
      </c>
      <c r="E773" t="s">
        <v>373</v>
      </c>
      <c r="F773">
        <v>26842</v>
      </c>
      <c r="G773">
        <v>34608825.333333328</v>
      </c>
      <c r="H773">
        <v>0.96386945496002829</v>
      </c>
      <c r="I773">
        <v>0.93152680652680653</v>
      </c>
      <c r="J773">
        <v>8854204.458333334</v>
      </c>
      <c r="K773">
        <v>50889</v>
      </c>
      <c r="L773">
        <v>2</v>
      </c>
      <c r="M773">
        <v>151</v>
      </c>
      <c r="N773">
        <v>0.92803030303030298</v>
      </c>
      <c r="O773">
        <v>9060899.708333334</v>
      </c>
      <c r="P773">
        <v>51530</v>
      </c>
      <c r="Q773">
        <v>2</v>
      </c>
      <c r="R773">
        <v>152</v>
      </c>
      <c r="S773" t="s">
        <v>648</v>
      </c>
      <c r="W773">
        <f>Cancer_doubles_final2[[#This Row],[mlp_params]]</f>
        <v>50889</v>
      </c>
      <c r="X773">
        <f>Cancer_doubles_final2[[#This Row],[kan_test_acc]]</f>
        <v>0.96386945496002829</v>
      </c>
      <c r="Y773">
        <f>Cancer_doubles_final2[[#This Row],[mlp_test_acc]]</f>
        <v>0.93152680652680653</v>
      </c>
      <c r="Z773">
        <f>Cancer_doubles_final2[[#This Row],[mlp_test_acc2]]</f>
        <v>0.92803030303030298</v>
      </c>
    </row>
    <row r="774" spans="1:26" hidden="1" x14ac:dyDescent="0.25">
      <c r="A774" t="s">
        <v>19</v>
      </c>
      <c r="B774">
        <v>5</v>
      </c>
      <c r="C774">
        <v>2</v>
      </c>
      <c r="D774">
        <v>0</v>
      </c>
      <c r="E774" t="s">
        <v>373</v>
      </c>
      <c r="F774">
        <v>26842</v>
      </c>
      <c r="G774">
        <v>32358068.916666664</v>
      </c>
      <c r="H774">
        <v>0.94930069148540497</v>
      </c>
      <c r="I774">
        <v>0.90792540792540799</v>
      </c>
      <c r="J774">
        <v>8284136.541666667</v>
      </c>
      <c r="K774">
        <v>40035</v>
      </c>
      <c r="L774">
        <v>2</v>
      </c>
      <c r="M774">
        <v>133</v>
      </c>
      <c r="N774">
        <v>0.91083916083916083</v>
      </c>
      <c r="O774">
        <v>8666156.875</v>
      </c>
      <c r="P774">
        <v>40604</v>
      </c>
      <c r="Q774">
        <v>2</v>
      </c>
      <c r="R774">
        <v>134</v>
      </c>
      <c r="S774" t="s">
        <v>649</v>
      </c>
      <c r="W774">
        <f>Cancer_doubles_final2[[#This Row],[mlp_params]]</f>
        <v>40035</v>
      </c>
      <c r="X774">
        <f>Cancer_doubles_final2[[#This Row],[kan_test_acc]]</f>
        <v>0.94930069148540497</v>
      </c>
      <c r="Y774">
        <f>Cancer_doubles_final2[[#This Row],[mlp_test_acc]]</f>
        <v>0.90792540792540799</v>
      </c>
      <c r="Z774">
        <f>Cancer_doubles_final2[[#This Row],[mlp_test_acc2]]</f>
        <v>0.91083916083916083</v>
      </c>
    </row>
    <row r="775" spans="1:26" x14ac:dyDescent="0.25">
      <c r="A775" t="s">
        <v>19</v>
      </c>
      <c r="B775">
        <v>3</v>
      </c>
      <c r="C775">
        <v>5</v>
      </c>
      <c r="D775">
        <v>0</v>
      </c>
      <c r="E775" t="s">
        <v>286</v>
      </c>
      <c r="F775">
        <v>26876</v>
      </c>
      <c r="G775">
        <v>40645929.416666672</v>
      </c>
      <c r="H775">
        <v>0.94230768581231439</v>
      </c>
      <c r="I775">
        <v>0.92249417249417243</v>
      </c>
      <c r="J775">
        <v>8711749.541666666</v>
      </c>
      <c r="K775">
        <v>53477</v>
      </c>
      <c r="L775">
        <v>2</v>
      </c>
      <c r="M775">
        <v>155</v>
      </c>
      <c r="N775">
        <v>0.9242424242424242</v>
      </c>
      <c r="O775">
        <v>8906558.333333334</v>
      </c>
      <c r="P775">
        <v>54134</v>
      </c>
      <c r="Q775">
        <v>2</v>
      </c>
      <c r="R775">
        <v>156</v>
      </c>
      <c r="S775" t="s">
        <v>650</v>
      </c>
      <c r="W775">
        <f>Cancer_doubles_final2[[#This Row],[mlp_params]]</f>
        <v>53477</v>
      </c>
      <c r="X775">
        <f>Cancer_doubles_final2[[#This Row],[kan_test_acc]]</f>
        <v>0.94230768581231439</v>
      </c>
      <c r="Y775">
        <f>Cancer_doubles_final2[[#This Row],[mlp_test_acc]]</f>
        <v>0.92249417249417243</v>
      </c>
      <c r="Z775">
        <f>Cancer_doubles_final2[[#This Row],[mlp_test_acc2]]</f>
        <v>0.9242424242424242</v>
      </c>
    </row>
    <row r="776" spans="1:26" hidden="1" x14ac:dyDescent="0.25">
      <c r="A776" t="s">
        <v>19</v>
      </c>
      <c r="B776">
        <v>5</v>
      </c>
      <c r="C776">
        <v>3</v>
      </c>
      <c r="D776">
        <v>0</v>
      </c>
      <c r="E776" t="s">
        <v>286</v>
      </c>
      <c r="F776">
        <v>26876</v>
      </c>
      <c r="G776">
        <v>45374886.833333328</v>
      </c>
      <c r="H776">
        <v>0.96241257836421334</v>
      </c>
      <c r="I776">
        <v>0.94405594405594406</v>
      </c>
      <c r="J776">
        <v>9028904.25</v>
      </c>
      <c r="K776">
        <v>43509</v>
      </c>
      <c r="L776">
        <v>2</v>
      </c>
      <c r="M776">
        <v>139</v>
      </c>
      <c r="N776">
        <v>0.94230769230769229</v>
      </c>
      <c r="O776">
        <v>9567030.125</v>
      </c>
      <c r="P776">
        <v>44102</v>
      </c>
      <c r="Q776">
        <v>2</v>
      </c>
      <c r="R776">
        <v>140</v>
      </c>
      <c r="S776" t="s">
        <v>651</v>
      </c>
      <c r="W776">
        <f>Cancer_doubles_final2[[#This Row],[mlp_params]]</f>
        <v>43509</v>
      </c>
      <c r="X776">
        <f>Cancer_doubles_final2[[#This Row],[kan_test_acc]]</f>
        <v>0.96241257836421334</v>
      </c>
      <c r="Y776">
        <f>Cancer_doubles_final2[[#This Row],[mlp_test_acc]]</f>
        <v>0.94405594405594406</v>
      </c>
      <c r="Z776">
        <f>Cancer_doubles_final2[[#This Row],[mlp_test_acc2]]</f>
        <v>0.94230769230769229</v>
      </c>
    </row>
    <row r="777" spans="1:26" x14ac:dyDescent="0.25">
      <c r="A777" t="s">
        <v>19</v>
      </c>
      <c r="B777">
        <v>3</v>
      </c>
      <c r="C777">
        <v>5</v>
      </c>
      <c r="D777">
        <v>0</v>
      </c>
      <c r="E777" t="s">
        <v>286</v>
      </c>
      <c r="F777">
        <v>26876</v>
      </c>
      <c r="G777">
        <v>43461802.708333328</v>
      </c>
      <c r="H777">
        <v>0.97057108332713449</v>
      </c>
      <c r="I777">
        <v>0.93006993006993011</v>
      </c>
      <c r="J777">
        <v>8245010.791666667</v>
      </c>
      <c r="K777">
        <v>53477</v>
      </c>
      <c r="L777">
        <v>2</v>
      </c>
      <c r="M777">
        <v>155</v>
      </c>
      <c r="N777">
        <v>0.93094405594405605</v>
      </c>
      <c r="O777">
        <v>8949324.0416666679</v>
      </c>
      <c r="P777">
        <v>54134</v>
      </c>
      <c r="Q777">
        <v>2</v>
      </c>
      <c r="R777">
        <v>156</v>
      </c>
      <c r="S777" t="s">
        <v>650</v>
      </c>
      <c r="W777">
        <f>Cancer_doubles_final2[[#This Row],[mlp_params]]</f>
        <v>53477</v>
      </c>
      <c r="X777">
        <f>Cancer_doubles_final2[[#This Row],[kan_test_acc]]</f>
        <v>0.97057108332713449</v>
      </c>
      <c r="Y777">
        <f>Cancer_doubles_final2[[#This Row],[mlp_test_acc]]</f>
        <v>0.93006993006993011</v>
      </c>
      <c r="Z777">
        <f>Cancer_doubles_final2[[#This Row],[mlp_test_acc2]]</f>
        <v>0.93094405594405605</v>
      </c>
    </row>
    <row r="778" spans="1:26" hidden="1" x14ac:dyDescent="0.25">
      <c r="A778" t="s">
        <v>19</v>
      </c>
      <c r="B778">
        <v>5</v>
      </c>
      <c r="C778">
        <v>3</v>
      </c>
      <c r="D778">
        <v>0</v>
      </c>
      <c r="E778" t="s">
        <v>286</v>
      </c>
      <c r="F778">
        <v>26876</v>
      </c>
      <c r="G778">
        <v>44480334.125</v>
      </c>
      <c r="H778">
        <v>0.96824008226394653</v>
      </c>
      <c r="I778">
        <v>0.91025641025641035</v>
      </c>
      <c r="J778">
        <v>8379144.458333333</v>
      </c>
      <c r="K778">
        <v>43509</v>
      </c>
      <c r="L778">
        <v>2</v>
      </c>
      <c r="M778">
        <v>139</v>
      </c>
      <c r="N778">
        <v>0.90413752913752909</v>
      </c>
      <c r="O778">
        <v>9022207.333333334</v>
      </c>
      <c r="P778">
        <v>44102</v>
      </c>
      <c r="Q778">
        <v>2</v>
      </c>
      <c r="R778">
        <v>140</v>
      </c>
      <c r="S778" t="s">
        <v>651</v>
      </c>
      <c r="W778">
        <f>Cancer_doubles_final2[[#This Row],[mlp_params]]</f>
        <v>43509</v>
      </c>
      <c r="X778">
        <f>Cancer_doubles_final2[[#This Row],[kan_test_acc]]</f>
        <v>0.96824008226394653</v>
      </c>
      <c r="Y778">
        <f>Cancer_doubles_final2[[#This Row],[mlp_test_acc]]</f>
        <v>0.91025641025641035</v>
      </c>
      <c r="Z778">
        <f>Cancer_doubles_final2[[#This Row],[mlp_test_acc2]]</f>
        <v>0.90413752913752909</v>
      </c>
    </row>
    <row r="779" spans="1:26" hidden="1" x14ac:dyDescent="0.25">
      <c r="A779" t="s">
        <v>19</v>
      </c>
      <c r="B779">
        <v>3</v>
      </c>
      <c r="C779">
        <v>3</v>
      </c>
      <c r="D779">
        <v>0</v>
      </c>
      <c r="E779" t="s">
        <v>492</v>
      </c>
      <c r="F779">
        <v>26906</v>
      </c>
      <c r="G779">
        <v>39765541.666666672</v>
      </c>
      <c r="H779">
        <v>0.9688228343923887</v>
      </c>
      <c r="I779">
        <v>0.92569930069930073</v>
      </c>
      <c r="J779">
        <v>8836838.958333334</v>
      </c>
      <c r="K779">
        <v>47744</v>
      </c>
      <c r="L779">
        <v>2</v>
      </c>
      <c r="M779">
        <v>146</v>
      </c>
      <c r="N779">
        <v>0.91870629370629375</v>
      </c>
      <c r="O779">
        <v>9013624.25</v>
      </c>
      <c r="P779">
        <v>48365</v>
      </c>
      <c r="Q779">
        <v>2</v>
      </c>
      <c r="R779">
        <v>147</v>
      </c>
      <c r="S779" t="s">
        <v>652</v>
      </c>
      <c r="W779">
        <f>Cancer_doubles_final2[[#This Row],[mlp_params]]</f>
        <v>47744</v>
      </c>
      <c r="X779">
        <f>Cancer_doubles_final2[[#This Row],[kan_test_acc]]</f>
        <v>0.9688228343923887</v>
      </c>
      <c r="Y779">
        <f>Cancer_doubles_final2[[#This Row],[mlp_test_acc]]</f>
        <v>0.92569930069930073</v>
      </c>
      <c r="Z779">
        <f>Cancer_doubles_final2[[#This Row],[mlp_test_acc2]]</f>
        <v>0.91870629370629375</v>
      </c>
    </row>
    <row r="780" spans="1:26" hidden="1" x14ac:dyDescent="0.25">
      <c r="A780" t="s">
        <v>19</v>
      </c>
      <c r="B780">
        <v>3</v>
      </c>
      <c r="C780">
        <v>3</v>
      </c>
      <c r="D780">
        <v>0</v>
      </c>
      <c r="E780" t="s">
        <v>494</v>
      </c>
      <c r="F780">
        <v>26908</v>
      </c>
      <c r="G780">
        <v>43057592.972222224</v>
      </c>
      <c r="H780">
        <v>0.97766122056378257</v>
      </c>
      <c r="I780">
        <v>0.94114219114219111</v>
      </c>
      <c r="J780">
        <v>8012436.75</v>
      </c>
      <c r="K780">
        <v>47744</v>
      </c>
      <c r="L780">
        <v>2</v>
      </c>
      <c r="M780">
        <v>146</v>
      </c>
      <c r="N780">
        <v>0.94541569541569548</v>
      </c>
      <c r="O780">
        <v>9045212.666666666</v>
      </c>
      <c r="P780">
        <v>48365</v>
      </c>
      <c r="Q780">
        <v>2</v>
      </c>
      <c r="R780">
        <v>147</v>
      </c>
      <c r="S780" t="s">
        <v>653</v>
      </c>
      <c r="W780">
        <f>Cancer_doubles_final2[[#This Row],[mlp_params]]</f>
        <v>47744</v>
      </c>
      <c r="X780">
        <f>Cancer_doubles_final2[[#This Row],[kan_test_acc]]</f>
        <v>0.97766122056378257</v>
      </c>
      <c r="Y780">
        <f>Cancer_doubles_final2[[#This Row],[mlp_test_acc]]</f>
        <v>0.94114219114219111</v>
      </c>
      <c r="Z780">
        <f>Cancer_doubles_final2[[#This Row],[mlp_test_acc2]]</f>
        <v>0.94541569541569548</v>
      </c>
    </row>
    <row r="781" spans="1:26" hidden="1" x14ac:dyDescent="0.25">
      <c r="A781" t="s">
        <v>19</v>
      </c>
      <c r="B781">
        <v>9</v>
      </c>
      <c r="C781">
        <v>3</v>
      </c>
      <c r="D781">
        <v>0</v>
      </c>
      <c r="E781" t="s">
        <v>143</v>
      </c>
      <c r="F781">
        <v>26938</v>
      </c>
      <c r="G781">
        <v>37183102.138888888</v>
      </c>
      <c r="H781">
        <v>0.96386945744355523</v>
      </c>
      <c r="I781">
        <v>0.92968142968142964</v>
      </c>
      <c r="J781">
        <v>9139817.75</v>
      </c>
      <c r="K781">
        <v>39470</v>
      </c>
      <c r="L781">
        <v>2</v>
      </c>
      <c r="M781">
        <v>132</v>
      </c>
      <c r="N781">
        <v>0.932012432012432</v>
      </c>
      <c r="O781">
        <v>9283177.583333334</v>
      </c>
      <c r="P781">
        <v>40035</v>
      </c>
      <c r="Q781">
        <v>2</v>
      </c>
      <c r="R781">
        <v>133</v>
      </c>
      <c r="S781" t="s">
        <v>654</v>
      </c>
      <c r="W781">
        <f>Cancer_doubles_final2[[#This Row],[mlp_params]]</f>
        <v>39470</v>
      </c>
      <c r="X781">
        <f>Cancer_doubles_final2[[#This Row],[kan_test_acc]]</f>
        <v>0.96386945744355523</v>
      </c>
      <c r="Y781">
        <f>Cancer_doubles_final2[[#This Row],[mlp_test_acc]]</f>
        <v>0.92968142968142964</v>
      </c>
      <c r="Z781">
        <f>Cancer_doubles_final2[[#This Row],[mlp_test_acc2]]</f>
        <v>0.932012432012432</v>
      </c>
    </row>
    <row r="782" spans="1:26" hidden="1" x14ac:dyDescent="0.25">
      <c r="A782" t="s">
        <v>19</v>
      </c>
      <c r="B782">
        <v>9</v>
      </c>
      <c r="C782">
        <v>2</v>
      </c>
      <c r="D782">
        <v>0</v>
      </c>
      <c r="E782" t="s">
        <v>165</v>
      </c>
      <c r="F782">
        <v>26942</v>
      </c>
      <c r="G782">
        <v>26173026.472222224</v>
      </c>
      <c r="H782">
        <v>0.93531467020511627</v>
      </c>
      <c r="I782">
        <v>0.91530691530691533</v>
      </c>
      <c r="J782">
        <v>10055623.75</v>
      </c>
      <c r="K782">
        <v>36164</v>
      </c>
      <c r="L782">
        <v>2</v>
      </c>
      <c r="M782">
        <v>126</v>
      </c>
      <c r="N782">
        <v>0.91317016317016309</v>
      </c>
      <c r="O782">
        <v>9539782.027777778</v>
      </c>
      <c r="P782">
        <v>36705</v>
      </c>
      <c r="Q782">
        <v>2</v>
      </c>
      <c r="R782">
        <v>127</v>
      </c>
      <c r="S782" t="s">
        <v>655</v>
      </c>
      <c r="W782">
        <f>Cancer_doubles_final2[[#This Row],[mlp_params]]</f>
        <v>36164</v>
      </c>
      <c r="X782">
        <f>Cancer_doubles_final2[[#This Row],[kan_test_acc]]</f>
        <v>0.93531467020511627</v>
      </c>
      <c r="Y782">
        <f>Cancer_doubles_final2[[#This Row],[mlp_test_acc]]</f>
        <v>0.91530691530691533</v>
      </c>
      <c r="Z782">
        <f>Cancer_doubles_final2[[#This Row],[mlp_test_acc2]]</f>
        <v>0.91317016317016309</v>
      </c>
    </row>
    <row r="783" spans="1:26" hidden="1" x14ac:dyDescent="0.25">
      <c r="A783" t="s">
        <v>19</v>
      </c>
      <c r="B783">
        <v>3</v>
      </c>
      <c r="C783">
        <v>2</v>
      </c>
      <c r="D783">
        <v>0</v>
      </c>
      <c r="E783" t="s">
        <v>656</v>
      </c>
      <c r="F783">
        <v>26978</v>
      </c>
      <c r="G783">
        <v>34516484.527777776</v>
      </c>
      <c r="H783">
        <v>0.94172494610150659</v>
      </c>
      <c r="I783">
        <v>0.92657342657342656</v>
      </c>
      <c r="J783">
        <v>9216069.6111111101</v>
      </c>
      <c r="K783">
        <v>43509</v>
      </c>
      <c r="L783">
        <v>2</v>
      </c>
      <c r="M783">
        <v>139</v>
      </c>
      <c r="N783">
        <v>0.92074592074592065</v>
      </c>
      <c r="O783">
        <v>7970174.861111111</v>
      </c>
      <c r="P783">
        <v>44102</v>
      </c>
      <c r="Q783">
        <v>2</v>
      </c>
      <c r="R783">
        <v>140</v>
      </c>
      <c r="S783" t="s">
        <v>657</v>
      </c>
      <c r="W783">
        <f>Cancer_doubles_final2[[#This Row],[mlp_params]]</f>
        <v>43509</v>
      </c>
      <c r="X783">
        <f>Cancer_doubles_final2[[#This Row],[kan_test_acc]]</f>
        <v>0.94172494610150659</v>
      </c>
      <c r="Y783">
        <f>Cancer_doubles_final2[[#This Row],[mlp_test_acc]]</f>
        <v>0.92657342657342656</v>
      </c>
      <c r="Z783">
        <f>Cancer_doubles_final2[[#This Row],[mlp_test_acc2]]</f>
        <v>0.92074592074592065</v>
      </c>
    </row>
    <row r="784" spans="1:26" hidden="1" x14ac:dyDescent="0.25">
      <c r="A784" t="s">
        <v>19</v>
      </c>
      <c r="B784">
        <v>5</v>
      </c>
      <c r="C784">
        <v>4</v>
      </c>
      <c r="D784">
        <v>0</v>
      </c>
      <c r="E784" t="s">
        <v>233</v>
      </c>
      <c r="F784">
        <v>26998</v>
      </c>
      <c r="G784">
        <v>42995302.416666664</v>
      </c>
      <c r="H784">
        <v>0.95260295106305015</v>
      </c>
      <c r="I784">
        <v>0.95027195027195022</v>
      </c>
      <c r="J784">
        <v>8961758.3888888899</v>
      </c>
      <c r="K784">
        <v>47127</v>
      </c>
      <c r="L784">
        <v>2</v>
      </c>
      <c r="M784">
        <v>145</v>
      </c>
      <c r="N784">
        <v>0.94405594405594406</v>
      </c>
      <c r="O784">
        <v>9552089.222222222</v>
      </c>
      <c r="P784">
        <v>47744</v>
      </c>
      <c r="Q784">
        <v>2</v>
      </c>
      <c r="R784">
        <v>146</v>
      </c>
      <c r="S784" t="s">
        <v>658</v>
      </c>
      <c r="W784">
        <f>Cancer_doubles_final2[[#This Row],[mlp_params]]</f>
        <v>47127</v>
      </c>
      <c r="X784">
        <f>Cancer_doubles_final2[[#This Row],[kan_test_acc]]</f>
        <v>0.95260295106305015</v>
      </c>
      <c r="Y784">
        <f>Cancer_doubles_final2[[#This Row],[mlp_test_acc]]</f>
        <v>0.95027195027195022</v>
      </c>
      <c r="Z784">
        <f>Cancer_doubles_final2[[#This Row],[mlp_test_acc2]]</f>
        <v>0.94405594405594406</v>
      </c>
    </row>
    <row r="785" spans="1:26" hidden="1" x14ac:dyDescent="0.25">
      <c r="A785" t="s">
        <v>19</v>
      </c>
      <c r="B785">
        <v>9</v>
      </c>
      <c r="C785">
        <v>2</v>
      </c>
      <c r="D785">
        <v>0</v>
      </c>
      <c r="E785" t="s">
        <v>167</v>
      </c>
      <c r="F785">
        <v>27000</v>
      </c>
      <c r="G785">
        <v>30485065.770833336</v>
      </c>
      <c r="H785">
        <v>0.94507575283447898</v>
      </c>
      <c r="I785">
        <v>0.94085081585081576</v>
      </c>
      <c r="J785">
        <v>8692051.4791666679</v>
      </c>
      <c r="K785">
        <v>36164</v>
      </c>
      <c r="L785">
        <v>2</v>
      </c>
      <c r="M785">
        <v>126</v>
      </c>
      <c r="N785">
        <v>0.9358974358974359</v>
      </c>
      <c r="O785">
        <v>9274494.7291666679</v>
      </c>
      <c r="P785">
        <v>36705</v>
      </c>
      <c r="Q785">
        <v>2</v>
      </c>
      <c r="R785">
        <v>127</v>
      </c>
      <c r="S785" t="s">
        <v>659</v>
      </c>
      <c r="W785">
        <f>Cancer_doubles_final2[[#This Row],[mlp_params]]</f>
        <v>36164</v>
      </c>
      <c r="X785">
        <f>Cancer_doubles_final2[[#This Row],[kan_test_acc]]</f>
        <v>0.94507575283447898</v>
      </c>
      <c r="Y785">
        <f>Cancer_doubles_final2[[#This Row],[mlp_test_acc]]</f>
        <v>0.94085081585081576</v>
      </c>
      <c r="Z785">
        <f>Cancer_doubles_final2[[#This Row],[mlp_test_acc2]]</f>
        <v>0.9358974358974359</v>
      </c>
    </row>
    <row r="786" spans="1:26" hidden="1" x14ac:dyDescent="0.25">
      <c r="A786" t="s">
        <v>19</v>
      </c>
      <c r="B786">
        <v>5</v>
      </c>
      <c r="C786">
        <v>4</v>
      </c>
      <c r="D786">
        <v>0</v>
      </c>
      <c r="E786" t="s">
        <v>235</v>
      </c>
      <c r="F786">
        <v>27002</v>
      </c>
      <c r="G786">
        <v>28414300.388888888</v>
      </c>
      <c r="H786">
        <v>0.93783993356757689</v>
      </c>
      <c r="I786">
        <v>0.92249417249417243</v>
      </c>
      <c r="J786">
        <v>9631847.9166666679</v>
      </c>
      <c r="K786">
        <v>47127</v>
      </c>
      <c r="L786">
        <v>2</v>
      </c>
      <c r="M786">
        <v>145</v>
      </c>
      <c r="N786">
        <v>0.92773892773892774</v>
      </c>
      <c r="O786">
        <v>9064201.472222222</v>
      </c>
      <c r="P786">
        <v>47744</v>
      </c>
      <c r="Q786">
        <v>2</v>
      </c>
      <c r="R786">
        <v>146</v>
      </c>
      <c r="S786" t="s">
        <v>660</v>
      </c>
      <c r="W786">
        <f>Cancer_doubles_final2[[#This Row],[mlp_params]]</f>
        <v>47127</v>
      </c>
      <c r="X786">
        <f>Cancer_doubles_final2[[#This Row],[kan_test_acc]]</f>
        <v>0.93783993356757689</v>
      </c>
      <c r="Y786">
        <f>Cancer_doubles_final2[[#This Row],[mlp_test_acc]]</f>
        <v>0.92249417249417243</v>
      </c>
      <c r="Z786">
        <f>Cancer_doubles_final2[[#This Row],[mlp_test_acc2]]</f>
        <v>0.92773892773892774</v>
      </c>
    </row>
    <row r="787" spans="1:26" x14ac:dyDescent="0.25">
      <c r="A787" t="s">
        <v>19</v>
      </c>
      <c r="B787">
        <v>3</v>
      </c>
      <c r="C787">
        <v>5</v>
      </c>
      <c r="D787">
        <v>0</v>
      </c>
      <c r="E787" t="s">
        <v>290</v>
      </c>
      <c r="F787">
        <v>27002</v>
      </c>
      <c r="G787">
        <v>46883932.041666672</v>
      </c>
      <c r="H787">
        <v>0.97435897588729858</v>
      </c>
      <c r="I787">
        <v>0.94522144522144524</v>
      </c>
      <c r="J787">
        <v>9296324.6666666679</v>
      </c>
      <c r="K787">
        <v>53477</v>
      </c>
      <c r="L787">
        <v>2</v>
      </c>
      <c r="M787">
        <v>155</v>
      </c>
      <c r="N787">
        <v>0.94667832167832167</v>
      </c>
      <c r="O787">
        <v>10008578.958333334</v>
      </c>
      <c r="P787">
        <v>54134</v>
      </c>
      <c r="Q787">
        <v>2</v>
      </c>
      <c r="R787">
        <v>156</v>
      </c>
      <c r="S787" t="s">
        <v>661</v>
      </c>
      <c r="W787">
        <f>Cancer_doubles_final2[[#This Row],[mlp_params]]</f>
        <v>53477</v>
      </c>
      <c r="X787">
        <f>Cancer_doubles_final2[[#This Row],[kan_test_acc]]</f>
        <v>0.97435897588729858</v>
      </c>
      <c r="Y787">
        <f>Cancer_doubles_final2[[#This Row],[mlp_test_acc]]</f>
        <v>0.94522144522144524</v>
      </c>
      <c r="Z787">
        <f>Cancer_doubles_final2[[#This Row],[mlp_test_acc2]]</f>
        <v>0.94667832167832167</v>
      </c>
    </row>
    <row r="788" spans="1:26" hidden="1" x14ac:dyDescent="0.25">
      <c r="A788" t="s">
        <v>19</v>
      </c>
      <c r="B788">
        <v>5</v>
      </c>
      <c r="C788">
        <v>3</v>
      </c>
      <c r="D788">
        <v>0</v>
      </c>
      <c r="E788" t="s">
        <v>290</v>
      </c>
      <c r="F788">
        <v>27002</v>
      </c>
      <c r="G788">
        <v>48179056.333333336</v>
      </c>
      <c r="H788">
        <v>0.96794871240854263</v>
      </c>
      <c r="I788">
        <v>0.94055944055944063</v>
      </c>
      <c r="J788">
        <v>8963454.958333334</v>
      </c>
      <c r="K788">
        <v>44102</v>
      </c>
      <c r="L788">
        <v>2</v>
      </c>
      <c r="M788">
        <v>140</v>
      </c>
      <c r="N788">
        <v>0.94026806526806528</v>
      </c>
      <c r="O788">
        <v>8900068.125</v>
      </c>
      <c r="P788">
        <v>44699</v>
      </c>
      <c r="Q788">
        <v>2</v>
      </c>
      <c r="R788">
        <v>141</v>
      </c>
      <c r="S788" t="s">
        <v>662</v>
      </c>
      <c r="W788">
        <f>Cancer_doubles_final2[[#This Row],[mlp_params]]</f>
        <v>44102</v>
      </c>
      <c r="X788">
        <f>Cancer_doubles_final2[[#This Row],[kan_test_acc]]</f>
        <v>0.96794871240854263</v>
      </c>
      <c r="Y788">
        <f>Cancer_doubles_final2[[#This Row],[mlp_test_acc]]</f>
        <v>0.94055944055944063</v>
      </c>
      <c r="Z788">
        <f>Cancer_doubles_final2[[#This Row],[mlp_test_acc2]]</f>
        <v>0.94026806526806528</v>
      </c>
    </row>
    <row r="789" spans="1:26" hidden="1" x14ac:dyDescent="0.25">
      <c r="A789" t="s">
        <v>19</v>
      </c>
      <c r="B789">
        <v>5</v>
      </c>
      <c r="C789">
        <v>4</v>
      </c>
      <c r="D789">
        <v>0</v>
      </c>
      <c r="E789" t="s">
        <v>235</v>
      </c>
      <c r="F789">
        <v>27002</v>
      </c>
      <c r="G789">
        <v>33491641.833333336</v>
      </c>
      <c r="H789">
        <v>0.96357808013757063</v>
      </c>
      <c r="I789">
        <v>0.93473193473193472</v>
      </c>
      <c r="J789">
        <v>9230714.958333334</v>
      </c>
      <c r="K789">
        <v>47127</v>
      </c>
      <c r="L789">
        <v>2</v>
      </c>
      <c r="M789">
        <v>145</v>
      </c>
      <c r="N789">
        <v>0.93240093240093236</v>
      </c>
      <c r="O789">
        <v>8823657.916666666</v>
      </c>
      <c r="P789">
        <v>47744</v>
      </c>
      <c r="Q789">
        <v>2</v>
      </c>
      <c r="R789">
        <v>146</v>
      </c>
      <c r="S789" t="s">
        <v>660</v>
      </c>
      <c r="W789">
        <f>Cancer_doubles_final2[[#This Row],[mlp_params]]</f>
        <v>47127</v>
      </c>
      <c r="X789">
        <f>Cancer_doubles_final2[[#This Row],[kan_test_acc]]</f>
        <v>0.96357808013757063</v>
      </c>
      <c r="Y789">
        <f>Cancer_doubles_final2[[#This Row],[mlp_test_acc]]</f>
        <v>0.93473193473193472</v>
      </c>
      <c r="Z789">
        <f>Cancer_doubles_final2[[#This Row],[mlp_test_acc2]]</f>
        <v>0.93240093240093236</v>
      </c>
    </row>
    <row r="790" spans="1:26" x14ac:dyDescent="0.25">
      <c r="A790" t="s">
        <v>19</v>
      </c>
      <c r="B790">
        <v>3</v>
      </c>
      <c r="C790">
        <v>5</v>
      </c>
      <c r="D790">
        <v>0</v>
      </c>
      <c r="E790" t="s">
        <v>290</v>
      </c>
      <c r="F790">
        <v>27002</v>
      </c>
      <c r="G790">
        <v>38285530.583333328</v>
      </c>
      <c r="H790">
        <v>0.96182982871929801</v>
      </c>
      <c r="I790">
        <v>0.9364801864801866</v>
      </c>
      <c r="J790">
        <v>8623754.458333334</v>
      </c>
      <c r="K790">
        <v>53477</v>
      </c>
      <c r="L790">
        <v>2</v>
      </c>
      <c r="M790">
        <v>155</v>
      </c>
      <c r="N790">
        <v>0.93531468531468531</v>
      </c>
      <c r="O790">
        <v>9902629.3333333321</v>
      </c>
      <c r="P790">
        <v>54134</v>
      </c>
      <c r="Q790">
        <v>2</v>
      </c>
      <c r="R790">
        <v>156</v>
      </c>
      <c r="S790" t="s">
        <v>661</v>
      </c>
      <c r="W790">
        <f>Cancer_doubles_final2[[#This Row],[mlp_params]]</f>
        <v>53477</v>
      </c>
      <c r="X790">
        <f>Cancer_doubles_final2[[#This Row],[kan_test_acc]]</f>
        <v>0.96182982871929801</v>
      </c>
      <c r="Y790">
        <f>Cancer_doubles_final2[[#This Row],[mlp_test_acc]]</f>
        <v>0.9364801864801866</v>
      </c>
      <c r="Z790">
        <f>Cancer_doubles_final2[[#This Row],[mlp_test_acc2]]</f>
        <v>0.93531468531468531</v>
      </c>
    </row>
    <row r="791" spans="1:26" hidden="1" x14ac:dyDescent="0.25">
      <c r="A791" t="s">
        <v>19</v>
      </c>
      <c r="B791">
        <v>5</v>
      </c>
      <c r="C791">
        <v>3</v>
      </c>
      <c r="D791">
        <v>0</v>
      </c>
      <c r="E791" t="s">
        <v>290</v>
      </c>
      <c r="F791">
        <v>27002</v>
      </c>
      <c r="G791">
        <v>40327179.875</v>
      </c>
      <c r="H791">
        <v>0.94842656205097842</v>
      </c>
      <c r="I791">
        <v>0.91812354312354316</v>
      </c>
      <c r="J791">
        <v>8337679.958333333</v>
      </c>
      <c r="K791">
        <v>44102</v>
      </c>
      <c r="L791">
        <v>2</v>
      </c>
      <c r="M791">
        <v>140</v>
      </c>
      <c r="N791">
        <v>0.91870629370629375</v>
      </c>
      <c r="O791">
        <v>9583963.3333333321</v>
      </c>
      <c r="P791">
        <v>44699</v>
      </c>
      <c r="Q791">
        <v>2</v>
      </c>
      <c r="R791">
        <v>141</v>
      </c>
      <c r="S791" t="s">
        <v>662</v>
      </c>
      <c r="W791">
        <f>Cancer_doubles_final2[[#This Row],[mlp_params]]</f>
        <v>44102</v>
      </c>
      <c r="X791">
        <f>Cancer_doubles_final2[[#This Row],[kan_test_acc]]</f>
        <v>0.94842656205097842</v>
      </c>
      <c r="Y791">
        <f>Cancer_doubles_final2[[#This Row],[mlp_test_acc]]</f>
        <v>0.91812354312354316</v>
      </c>
      <c r="Z791">
        <f>Cancer_doubles_final2[[#This Row],[mlp_test_acc2]]</f>
        <v>0.91870629370629375</v>
      </c>
    </row>
    <row r="792" spans="1:26" hidden="1" x14ac:dyDescent="0.25">
      <c r="A792" t="s">
        <v>19</v>
      </c>
      <c r="B792">
        <v>5</v>
      </c>
      <c r="C792">
        <v>4</v>
      </c>
      <c r="D792">
        <v>0</v>
      </c>
      <c r="E792" t="s">
        <v>235</v>
      </c>
      <c r="F792">
        <v>27002</v>
      </c>
      <c r="G792">
        <v>32144972.125</v>
      </c>
      <c r="H792">
        <v>0.93502330034971237</v>
      </c>
      <c r="I792">
        <v>0.89889277389277389</v>
      </c>
      <c r="J792">
        <v>8083156.291666666</v>
      </c>
      <c r="K792">
        <v>47127</v>
      </c>
      <c r="L792">
        <v>2</v>
      </c>
      <c r="M792">
        <v>145</v>
      </c>
      <c r="N792">
        <v>0.89627039627039617</v>
      </c>
      <c r="O792">
        <v>9322447.2083333321</v>
      </c>
      <c r="P792">
        <v>47744</v>
      </c>
      <c r="Q792">
        <v>2</v>
      </c>
      <c r="R792">
        <v>146</v>
      </c>
      <c r="S792" t="s">
        <v>660</v>
      </c>
      <c r="W792">
        <f>Cancer_doubles_final2[[#This Row],[mlp_params]]</f>
        <v>47127</v>
      </c>
      <c r="X792">
        <f>Cancer_doubles_final2[[#This Row],[kan_test_acc]]</f>
        <v>0.93502330034971237</v>
      </c>
      <c r="Y792">
        <f>Cancer_doubles_final2[[#This Row],[mlp_test_acc]]</f>
        <v>0.89889277389277389</v>
      </c>
      <c r="Z792">
        <f>Cancer_doubles_final2[[#This Row],[mlp_test_acc2]]</f>
        <v>0.89627039627039617</v>
      </c>
    </row>
    <row r="793" spans="1:26" hidden="1" x14ac:dyDescent="0.25">
      <c r="A793" t="s">
        <v>19</v>
      </c>
      <c r="B793">
        <v>3</v>
      </c>
      <c r="C793">
        <v>4</v>
      </c>
      <c r="D793">
        <v>0</v>
      </c>
      <c r="E793" t="s">
        <v>380</v>
      </c>
      <c r="F793">
        <v>27008</v>
      </c>
      <c r="G793">
        <v>35463443.708333328</v>
      </c>
      <c r="H793">
        <v>0.95192306737105059</v>
      </c>
      <c r="I793">
        <v>0.92948717948717952</v>
      </c>
      <c r="J793">
        <v>8463348.5</v>
      </c>
      <c r="K793">
        <v>50889</v>
      </c>
      <c r="L793">
        <v>2</v>
      </c>
      <c r="M793">
        <v>151</v>
      </c>
      <c r="N793">
        <v>0.9294871794871794</v>
      </c>
      <c r="O793">
        <v>9357338.416666666</v>
      </c>
      <c r="P793">
        <v>51530</v>
      </c>
      <c r="Q793">
        <v>2</v>
      </c>
      <c r="R793">
        <v>152</v>
      </c>
      <c r="S793" t="s">
        <v>663</v>
      </c>
      <c r="W793">
        <f>Cancer_doubles_final2[[#This Row],[mlp_params]]</f>
        <v>50889</v>
      </c>
      <c r="X793">
        <f>Cancer_doubles_final2[[#This Row],[kan_test_acc]]</f>
        <v>0.95192306737105059</v>
      </c>
      <c r="Y793">
        <f>Cancer_doubles_final2[[#This Row],[mlp_test_acc]]</f>
        <v>0.92948717948717952</v>
      </c>
      <c r="Z793">
        <f>Cancer_doubles_final2[[#This Row],[mlp_test_acc2]]</f>
        <v>0.9294871794871794</v>
      </c>
    </row>
    <row r="794" spans="1:26" hidden="1" x14ac:dyDescent="0.25">
      <c r="A794" t="s">
        <v>19</v>
      </c>
      <c r="B794">
        <v>5</v>
      </c>
      <c r="C794">
        <v>2</v>
      </c>
      <c r="D794">
        <v>0</v>
      </c>
      <c r="E794" t="s">
        <v>380</v>
      </c>
      <c r="F794">
        <v>27008</v>
      </c>
      <c r="G794">
        <v>40270846.416666672</v>
      </c>
      <c r="H794">
        <v>0.96940558900435769</v>
      </c>
      <c r="I794">
        <v>0.94930069930069938</v>
      </c>
      <c r="J794">
        <v>8919140.5</v>
      </c>
      <c r="K794">
        <v>40035</v>
      </c>
      <c r="L794">
        <v>2</v>
      </c>
      <c r="M794">
        <v>133</v>
      </c>
      <c r="N794">
        <v>0.94930069930069927</v>
      </c>
      <c r="O794">
        <v>9266936.333333334</v>
      </c>
      <c r="P794">
        <v>40604</v>
      </c>
      <c r="Q794">
        <v>2</v>
      </c>
      <c r="R794">
        <v>134</v>
      </c>
      <c r="S794" t="s">
        <v>664</v>
      </c>
      <c r="W794">
        <f>Cancer_doubles_final2[[#This Row],[mlp_params]]</f>
        <v>40035</v>
      </c>
      <c r="X794">
        <f>Cancer_doubles_final2[[#This Row],[kan_test_acc]]</f>
        <v>0.96940558900435769</v>
      </c>
      <c r="Y794">
        <f>Cancer_doubles_final2[[#This Row],[mlp_test_acc]]</f>
        <v>0.94930069930069938</v>
      </c>
      <c r="Z794">
        <f>Cancer_doubles_final2[[#This Row],[mlp_test_acc2]]</f>
        <v>0.94930069930069927</v>
      </c>
    </row>
    <row r="795" spans="1:26" hidden="1" x14ac:dyDescent="0.25">
      <c r="A795" t="s">
        <v>19</v>
      </c>
      <c r="B795">
        <v>3</v>
      </c>
      <c r="C795">
        <v>4</v>
      </c>
      <c r="D795">
        <v>0</v>
      </c>
      <c r="E795" t="s">
        <v>380</v>
      </c>
      <c r="F795">
        <v>27008</v>
      </c>
      <c r="G795">
        <v>41479774.208333336</v>
      </c>
      <c r="H795">
        <v>0.96620046347379684</v>
      </c>
      <c r="I795">
        <v>0.93473193473193472</v>
      </c>
      <c r="J795">
        <v>9293460.625</v>
      </c>
      <c r="K795">
        <v>50889</v>
      </c>
      <c r="L795">
        <v>2</v>
      </c>
      <c r="M795">
        <v>151</v>
      </c>
      <c r="N795">
        <v>0.93123543123543129</v>
      </c>
      <c r="O795">
        <v>9555976.375</v>
      </c>
      <c r="P795">
        <v>51530</v>
      </c>
      <c r="Q795">
        <v>2</v>
      </c>
      <c r="R795">
        <v>152</v>
      </c>
      <c r="S795" t="s">
        <v>663</v>
      </c>
      <c r="W795">
        <f>Cancer_doubles_final2[[#This Row],[mlp_params]]</f>
        <v>50889</v>
      </c>
      <c r="X795">
        <f>Cancer_doubles_final2[[#This Row],[kan_test_acc]]</f>
        <v>0.96620046347379684</v>
      </c>
      <c r="Y795">
        <f>Cancer_doubles_final2[[#This Row],[mlp_test_acc]]</f>
        <v>0.93473193473193472</v>
      </c>
      <c r="Z795">
        <f>Cancer_doubles_final2[[#This Row],[mlp_test_acc2]]</f>
        <v>0.93123543123543129</v>
      </c>
    </row>
    <row r="796" spans="1:26" hidden="1" x14ac:dyDescent="0.25">
      <c r="A796" t="s">
        <v>19</v>
      </c>
      <c r="B796">
        <v>5</v>
      </c>
      <c r="C796">
        <v>2</v>
      </c>
      <c r="D796">
        <v>0</v>
      </c>
      <c r="E796" t="s">
        <v>380</v>
      </c>
      <c r="F796">
        <v>27008</v>
      </c>
      <c r="G796">
        <v>35410097.916666672</v>
      </c>
      <c r="H796">
        <v>0.9682400872310003</v>
      </c>
      <c r="I796">
        <v>0.9306526806526807</v>
      </c>
      <c r="J796">
        <v>9723545.0833333321</v>
      </c>
      <c r="K796">
        <v>40035</v>
      </c>
      <c r="L796">
        <v>2</v>
      </c>
      <c r="M796">
        <v>133</v>
      </c>
      <c r="N796">
        <v>0.93444055944055948</v>
      </c>
      <c r="O796">
        <v>9050738.625</v>
      </c>
      <c r="P796">
        <v>40604</v>
      </c>
      <c r="Q796">
        <v>2</v>
      </c>
      <c r="R796">
        <v>134</v>
      </c>
      <c r="S796" t="s">
        <v>664</v>
      </c>
      <c r="W796">
        <f>Cancer_doubles_final2[[#This Row],[mlp_params]]</f>
        <v>40035</v>
      </c>
      <c r="X796">
        <f>Cancer_doubles_final2[[#This Row],[kan_test_acc]]</f>
        <v>0.9682400872310003</v>
      </c>
      <c r="Y796">
        <f>Cancer_doubles_final2[[#This Row],[mlp_test_acc]]</f>
        <v>0.9306526806526807</v>
      </c>
      <c r="Z796">
        <f>Cancer_doubles_final2[[#This Row],[mlp_test_acc2]]</f>
        <v>0.93444055944055948</v>
      </c>
    </row>
    <row r="797" spans="1:26" hidden="1" x14ac:dyDescent="0.25">
      <c r="A797" t="s">
        <v>19</v>
      </c>
      <c r="B797">
        <v>3</v>
      </c>
      <c r="C797">
        <v>3</v>
      </c>
      <c r="D797">
        <v>0</v>
      </c>
      <c r="E797" t="s">
        <v>508</v>
      </c>
      <c r="F797">
        <v>27094</v>
      </c>
      <c r="G797">
        <v>39227018.25</v>
      </c>
      <c r="H797">
        <v>0.97086245814959216</v>
      </c>
      <c r="I797">
        <v>0.94318181818181812</v>
      </c>
      <c r="J797">
        <v>9063663.8333333321</v>
      </c>
      <c r="K797">
        <v>47744</v>
      </c>
      <c r="L797">
        <v>2</v>
      </c>
      <c r="M797">
        <v>146</v>
      </c>
      <c r="N797">
        <v>0.94609557109557108</v>
      </c>
      <c r="O797">
        <v>8972056.3333333321</v>
      </c>
      <c r="P797">
        <v>48365</v>
      </c>
      <c r="Q797">
        <v>2</v>
      </c>
      <c r="R797">
        <v>147</v>
      </c>
      <c r="S797" t="s">
        <v>665</v>
      </c>
      <c r="W797">
        <f>Cancer_doubles_final2[[#This Row],[mlp_params]]</f>
        <v>47744</v>
      </c>
      <c r="X797">
        <f>Cancer_doubles_final2[[#This Row],[kan_test_acc]]</f>
        <v>0.97086245814959216</v>
      </c>
      <c r="Y797">
        <f>Cancer_doubles_final2[[#This Row],[mlp_test_acc]]</f>
        <v>0.94318181818181812</v>
      </c>
      <c r="Z797">
        <f>Cancer_doubles_final2[[#This Row],[mlp_test_acc2]]</f>
        <v>0.94609557109557108</v>
      </c>
    </row>
    <row r="798" spans="1:26" x14ac:dyDescent="0.25">
      <c r="A798" t="s">
        <v>19</v>
      </c>
      <c r="B798">
        <v>3</v>
      </c>
      <c r="C798">
        <v>5</v>
      </c>
      <c r="D798">
        <v>0</v>
      </c>
      <c r="E798" t="s">
        <v>293</v>
      </c>
      <c r="F798">
        <v>27094</v>
      </c>
      <c r="G798">
        <v>47777437.375</v>
      </c>
      <c r="H798">
        <v>0.97377620885769534</v>
      </c>
      <c r="I798">
        <v>0.94871794871794868</v>
      </c>
      <c r="J798">
        <v>8913374.833333334</v>
      </c>
      <c r="K798">
        <v>53477</v>
      </c>
      <c r="L798">
        <v>2</v>
      </c>
      <c r="M798">
        <v>155</v>
      </c>
      <c r="N798">
        <v>0.94347319347319347</v>
      </c>
      <c r="O798">
        <v>9451771.125</v>
      </c>
      <c r="P798">
        <v>54134</v>
      </c>
      <c r="Q798">
        <v>2</v>
      </c>
      <c r="R798">
        <v>156</v>
      </c>
      <c r="S798" t="s">
        <v>666</v>
      </c>
      <c r="W798">
        <f>Cancer_doubles_final2[[#This Row],[mlp_params]]</f>
        <v>53477</v>
      </c>
      <c r="X798">
        <f>Cancer_doubles_final2[[#This Row],[kan_test_acc]]</f>
        <v>0.97377620885769534</v>
      </c>
      <c r="Y798">
        <f>Cancer_doubles_final2[[#This Row],[mlp_test_acc]]</f>
        <v>0.94871794871794868</v>
      </c>
      <c r="Z798">
        <f>Cancer_doubles_final2[[#This Row],[mlp_test_acc2]]</f>
        <v>0.94347319347319347</v>
      </c>
    </row>
    <row r="799" spans="1:26" hidden="1" x14ac:dyDescent="0.25">
      <c r="A799" t="s">
        <v>19</v>
      </c>
      <c r="B799">
        <v>5</v>
      </c>
      <c r="C799">
        <v>3</v>
      </c>
      <c r="D799">
        <v>0</v>
      </c>
      <c r="E799" t="s">
        <v>293</v>
      </c>
      <c r="F799">
        <v>27094</v>
      </c>
      <c r="G799">
        <v>45941106.416666664</v>
      </c>
      <c r="H799">
        <v>0.97115383545557665</v>
      </c>
      <c r="I799">
        <v>0.94114219114219122</v>
      </c>
      <c r="J799">
        <v>9109075.375</v>
      </c>
      <c r="K799">
        <v>44102</v>
      </c>
      <c r="L799">
        <v>2</v>
      </c>
      <c r="M799">
        <v>140</v>
      </c>
      <c r="N799">
        <v>0.93764568764568768</v>
      </c>
      <c r="O799">
        <v>9647521.083333334</v>
      </c>
      <c r="P799">
        <v>44699</v>
      </c>
      <c r="Q799">
        <v>2</v>
      </c>
      <c r="R799">
        <v>141</v>
      </c>
      <c r="S799" t="s">
        <v>667</v>
      </c>
      <c r="W799">
        <f>Cancer_doubles_final2[[#This Row],[mlp_params]]</f>
        <v>44102</v>
      </c>
      <c r="X799">
        <f>Cancer_doubles_final2[[#This Row],[kan_test_acc]]</f>
        <v>0.97115383545557665</v>
      </c>
      <c r="Y799">
        <f>Cancer_doubles_final2[[#This Row],[mlp_test_acc]]</f>
        <v>0.94114219114219122</v>
      </c>
      <c r="Z799">
        <f>Cancer_doubles_final2[[#This Row],[mlp_test_acc2]]</f>
        <v>0.93764568764568768</v>
      </c>
    </row>
    <row r="800" spans="1:26" hidden="1" x14ac:dyDescent="0.25">
      <c r="A800" t="s">
        <v>19</v>
      </c>
      <c r="B800">
        <v>3</v>
      </c>
      <c r="C800">
        <v>3</v>
      </c>
      <c r="D800">
        <v>0</v>
      </c>
      <c r="E800" t="s">
        <v>508</v>
      </c>
      <c r="F800">
        <v>27094</v>
      </c>
      <c r="G800">
        <v>42369865.791666664</v>
      </c>
      <c r="H800">
        <v>0.95833332588275277</v>
      </c>
      <c r="I800">
        <v>0.93881118881118886</v>
      </c>
      <c r="J800">
        <v>9003142.208333334</v>
      </c>
      <c r="K800">
        <v>47744</v>
      </c>
      <c r="L800">
        <v>2</v>
      </c>
      <c r="M800">
        <v>146</v>
      </c>
      <c r="N800">
        <v>0.9391025641025641</v>
      </c>
      <c r="O800">
        <v>9551517.9166666679</v>
      </c>
      <c r="P800">
        <v>48365</v>
      </c>
      <c r="Q800">
        <v>2</v>
      </c>
      <c r="R800">
        <v>147</v>
      </c>
      <c r="S800" t="s">
        <v>665</v>
      </c>
      <c r="W800">
        <f>Cancer_doubles_final2[[#This Row],[mlp_params]]</f>
        <v>47744</v>
      </c>
      <c r="X800">
        <f>Cancer_doubles_final2[[#This Row],[kan_test_acc]]</f>
        <v>0.95833332588275277</v>
      </c>
      <c r="Y800">
        <f>Cancer_doubles_final2[[#This Row],[mlp_test_acc]]</f>
        <v>0.93881118881118886</v>
      </c>
      <c r="Z800">
        <f>Cancer_doubles_final2[[#This Row],[mlp_test_acc2]]</f>
        <v>0.9391025641025641</v>
      </c>
    </row>
    <row r="801" spans="1:26" x14ac:dyDescent="0.25">
      <c r="A801" t="s">
        <v>19</v>
      </c>
      <c r="B801">
        <v>3</v>
      </c>
      <c r="C801">
        <v>5</v>
      </c>
      <c r="D801">
        <v>0</v>
      </c>
      <c r="E801" t="s">
        <v>293</v>
      </c>
      <c r="F801">
        <v>27094</v>
      </c>
      <c r="G801">
        <v>47925091.208333328</v>
      </c>
      <c r="H801">
        <v>0.94726106772820151</v>
      </c>
      <c r="I801">
        <v>0.94259906759906764</v>
      </c>
      <c r="J801">
        <v>9134022.666666666</v>
      </c>
      <c r="K801">
        <v>53477</v>
      </c>
      <c r="L801">
        <v>2</v>
      </c>
      <c r="M801">
        <v>155</v>
      </c>
      <c r="N801">
        <v>0.94143356643356646</v>
      </c>
      <c r="O801">
        <v>9154335.458333334</v>
      </c>
      <c r="P801">
        <v>54134</v>
      </c>
      <c r="Q801">
        <v>2</v>
      </c>
      <c r="R801">
        <v>156</v>
      </c>
      <c r="S801" t="s">
        <v>666</v>
      </c>
      <c r="W801">
        <f>Cancer_doubles_final2[[#This Row],[mlp_params]]</f>
        <v>53477</v>
      </c>
      <c r="X801">
        <f>Cancer_doubles_final2[[#This Row],[kan_test_acc]]</f>
        <v>0.94726106772820151</v>
      </c>
      <c r="Y801">
        <f>Cancer_doubles_final2[[#This Row],[mlp_test_acc]]</f>
        <v>0.94259906759906764</v>
      </c>
      <c r="Z801">
        <f>Cancer_doubles_final2[[#This Row],[mlp_test_acc2]]</f>
        <v>0.94143356643356646</v>
      </c>
    </row>
    <row r="802" spans="1:26" hidden="1" x14ac:dyDescent="0.25">
      <c r="A802" t="s">
        <v>19</v>
      </c>
      <c r="B802">
        <v>5</v>
      </c>
      <c r="C802">
        <v>3</v>
      </c>
      <c r="D802">
        <v>0</v>
      </c>
      <c r="E802" t="s">
        <v>293</v>
      </c>
      <c r="F802">
        <v>27094</v>
      </c>
      <c r="G802">
        <v>45894657.958333328</v>
      </c>
      <c r="H802">
        <v>0.9344405556718508</v>
      </c>
      <c r="I802">
        <v>0.91987179487179493</v>
      </c>
      <c r="J802">
        <v>9548271.375</v>
      </c>
      <c r="K802">
        <v>44102</v>
      </c>
      <c r="L802">
        <v>2</v>
      </c>
      <c r="M802">
        <v>140</v>
      </c>
      <c r="N802">
        <v>0.91287878787878785</v>
      </c>
      <c r="O802">
        <v>8164052.625</v>
      </c>
      <c r="P802">
        <v>44699</v>
      </c>
      <c r="Q802">
        <v>2</v>
      </c>
      <c r="R802">
        <v>141</v>
      </c>
      <c r="S802" t="s">
        <v>667</v>
      </c>
      <c r="W802">
        <f>Cancer_doubles_final2[[#This Row],[mlp_params]]</f>
        <v>44102</v>
      </c>
      <c r="X802">
        <f>Cancer_doubles_final2[[#This Row],[kan_test_acc]]</f>
        <v>0.9344405556718508</v>
      </c>
      <c r="Y802">
        <f>Cancer_doubles_final2[[#This Row],[mlp_test_acc]]</f>
        <v>0.91987179487179493</v>
      </c>
      <c r="Z802">
        <f>Cancer_doubles_final2[[#This Row],[mlp_test_acc2]]</f>
        <v>0.91287878787878785</v>
      </c>
    </row>
    <row r="803" spans="1:26" hidden="1" x14ac:dyDescent="0.25">
      <c r="A803" t="s">
        <v>19</v>
      </c>
      <c r="B803">
        <v>5</v>
      </c>
      <c r="C803">
        <v>4</v>
      </c>
      <c r="D803">
        <v>0</v>
      </c>
      <c r="E803" t="s">
        <v>237</v>
      </c>
      <c r="F803">
        <v>27096</v>
      </c>
      <c r="G803">
        <v>39836207.166666664</v>
      </c>
      <c r="H803">
        <v>0.9449300691485405</v>
      </c>
      <c r="I803">
        <v>0.92336829836829837</v>
      </c>
      <c r="J803">
        <v>10631909.166666666</v>
      </c>
      <c r="K803">
        <v>47127</v>
      </c>
      <c r="L803">
        <v>2</v>
      </c>
      <c r="M803">
        <v>145</v>
      </c>
      <c r="N803">
        <v>0.92045454545454541</v>
      </c>
      <c r="O803">
        <v>8956155.5</v>
      </c>
      <c r="P803">
        <v>47744</v>
      </c>
      <c r="Q803">
        <v>2</v>
      </c>
      <c r="R803">
        <v>146</v>
      </c>
      <c r="S803" t="s">
        <v>668</v>
      </c>
      <c r="W803">
        <f>Cancer_doubles_final2[[#This Row],[mlp_params]]</f>
        <v>47127</v>
      </c>
      <c r="X803">
        <f>Cancer_doubles_final2[[#This Row],[kan_test_acc]]</f>
        <v>0.9449300691485405</v>
      </c>
      <c r="Y803">
        <f>Cancer_doubles_final2[[#This Row],[mlp_test_acc]]</f>
        <v>0.92336829836829837</v>
      </c>
      <c r="Z803">
        <f>Cancer_doubles_final2[[#This Row],[mlp_test_acc2]]</f>
        <v>0.92045454545454541</v>
      </c>
    </row>
    <row r="804" spans="1:26" hidden="1" x14ac:dyDescent="0.25">
      <c r="A804" t="s">
        <v>19</v>
      </c>
      <c r="B804">
        <v>3</v>
      </c>
      <c r="C804">
        <v>2</v>
      </c>
      <c r="D804">
        <v>0</v>
      </c>
      <c r="E804" t="s">
        <v>669</v>
      </c>
      <c r="F804">
        <v>27136</v>
      </c>
      <c r="G804">
        <v>36857133.4375</v>
      </c>
      <c r="H804">
        <v>0.95847902198632551</v>
      </c>
      <c r="I804">
        <v>0.94507575757575757</v>
      </c>
      <c r="J804">
        <v>10024036.333333332</v>
      </c>
      <c r="K804">
        <v>43509</v>
      </c>
      <c r="L804">
        <v>2</v>
      </c>
      <c r="M804">
        <v>139</v>
      </c>
      <c r="N804">
        <v>0.94507575757575757</v>
      </c>
      <c r="O804">
        <v>9394247.166666666</v>
      </c>
      <c r="P804">
        <v>44102</v>
      </c>
      <c r="Q804">
        <v>2</v>
      </c>
      <c r="R804">
        <v>140</v>
      </c>
      <c r="S804" t="s">
        <v>670</v>
      </c>
      <c r="W804">
        <f>Cancer_doubles_final2[[#This Row],[mlp_params]]</f>
        <v>43509</v>
      </c>
      <c r="X804">
        <f>Cancer_doubles_final2[[#This Row],[kan_test_acc]]</f>
        <v>0.95847902198632551</v>
      </c>
      <c r="Y804">
        <f>Cancer_doubles_final2[[#This Row],[mlp_test_acc]]</f>
        <v>0.94507575757575757</v>
      </c>
      <c r="Z804">
        <f>Cancer_doubles_final2[[#This Row],[mlp_test_acc2]]</f>
        <v>0.94507575757575757</v>
      </c>
    </row>
    <row r="805" spans="1:26" x14ac:dyDescent="0.25">
      <c r="A805" t="s">
        <v>19</v>
      </c>
      <c r="B805">
        <v>3</v>
      </c>
      <c r="C805">
        <v>5</v>
      </c>
      <c r="D805">
        <v>0</v>
      </c>
      <c r="E805" t="s">
        <v>296</v>
      </c>
      <c r="F805">
        <v>27136</v>
      </c>
      <c r="G805">
        <v>42927011.666666664</v>
      </c>
      <c r="H805">
        <v>0.96794871985912323</v>
      </c>
      <c r="I805">
        <v>0.94405594405594406</v>
      </c>
      <c r="J805">
        <v>9796371.625</v>
      </c>
      <c r="K805">
        <v>54134</v>
      </c>
      <c r="L805">
        <v>2</v>
      </c>
      <c r="M805">
        <v>156</v>
      </c>
      <c r="N805">
        <v>0.94376456876456882</v>
      </c>
      <c r="O805">
        <v>9171845.7083333321</v>
      </c>
      <c r="P805">
        <v>54795</v>
      </c>
      <c r="Q805">
        <v>2</v>
      </c>
      <c r="R805">
        <v>157</v>
      </c>
      <c r="S805" t="s">
        <v>671</v>
      </c>
      <c r="W805">
        <f>Cancer_doubles_final2[[#This Row],[mlp_params]]</f>
        <v>54134</v>
      </c>
      <c r="X805">
        <f>Cancer_doubles_final2[[#This Row],[kan_test_acc]]</f>
        <v>0.96794871985912323</v>
      </c>
      <c r="Y805">
        <f>Cancer_doubles_final2[[#This Row],[mlp_test_acc]]</f>
        <v>0.94405594405594406</v>
      </c>
      <c r="Z805">
        <f>Cancer_doubles_final2[[#This Row],[mlp_test_acc2]]</f>
        <v>0.94376456876456882</v>
      </c>
    </row>
    <row r="806" spans="1:26" hidden="1" x14ac:dyDescent="0.25">
      <c r="A806" t="s">
        <v>19</v>
      </c>
      <c r="B806">
        <v>5</v>
      </c>
      <c r="C806">
        <v>3</v>
      </c>
      <c r="D806">
        <v>0</v>
      </c>
      <c r="E806" t="s">
        <v>296</v>
      </c>
      <c r="F806">
        <v>27136</v>
      </c>
      <c r="G806">
        <v>42686441.958333328</v>
      </c>
      <c r="H806">
        <v>0.96620046099027002</v>
      </c>
      <c r="I806">
        <v>0.94143356643356646</v>
      </c>
      <c r="J806">
        <v>9269751.0833333321</v>
      </c>
      <c r="K806">
        <v>44102</v>
      </c>
      <c r="L806">
        <v>2</v>
      </c>
      <c r="M806">
        <v>140</v>
      </c>
      <c r="N806">
        <v>0.93851981351981362</v>
      </c>
      <c r="O806">
        <v>9213571.5</v>
      </c>
      <c r="P806">
        <v>44699</v>
      </c>
      <c r="Q806">
        <v>2</v>
      </c>
      <c r="R806">
        <v>141</v>
      </c>
      <c r="S806" t="s">
        <v>672</v>
      </c>
      <c r="W806">
        <f>Cancer_doubles_final2[[#This Row],[mlp_params]]</f>
        <v>44102</v>
      </c>
      <c r="X806">
        <f>Cancer_doubles_final2[[#This Row],[kan_test_acc]]</f>
        <v>0.96620046099027002</v>
      </c>
      <c r="Y806">
        <f>Cancer_doubles_final2[[#This Row],[mlp_test_acc]]</f>
        <v>0.94143356643356646</v>
      </c>
      <c r="Z806">
        <f>Cancer_doubles_final2[[#This Row],[mlp_test_acc2]]</f>
        <v>0.93851981351981362</v>
      </c>
    </row>
    <row r="807" spans="1:26" hidden="1" x14ac:dyDescent="0.25">
      <c r="A807" t="s">
        <v>19</v>
      </c>
      <c r="B807">
        <v>3</v>
      </c>
      <c r="C807">
        <v>2</v>
      </c>
      <c r="D807">
        <v>0</v>
      </c>
      <c r="E807" t="s">
        <v>669</v>
      </c>
      <c r="F807">
        <v>27136</v>
      </c>
      <c r="G807">
        <v>36429549.083333328</v>
      </c>
      <c r="H807">
        <v>0.94755244006713235</v>
      </c>
      <c r="I807">
        <v>0.93735431235431244</v>
      </c>
      <c r="J807">
        <v>8833998.4583333321</v>
      </c>
      <c r="K807">
        <v>43509</v>
      </c>
      <c r="L807">
        <v>2</v>
      </c>
      <c r="M807">
        <v>139</v>
      </c>
      <c r="N807">
        <v>0.9391025641025641</v>
      </c>
      <c r="O807">
        <v>9662691.25</v>
      </c>
      <c r="P807">
        <v>44102</v>
      </c>
      <c r="Q807">
        <v>2</v>
      </c>
      <c r="R807">
        <v>140</v>
      </c>
      <c r="S807" t="s">
        <v>670</v>
      </c>
      <c r="W807">
        <f>Cancer_doubles_final2[[#This Row],[mlp_params]]</f>
        <v>43509</v>
      </c>
      <c r="X807">
        <f>Cancer_doubles_final2[[#This Row],[kan_test_acc]]</f>
        <v>0.94755244006713235</v>
      </c>
      <c r="Y807">
        <f>Cancer_doubles_final2[[#This Row],[mlp_test_acc]]</f>
        <v>0.93735431235431244</v>
      </c>
      <c r="Z807">
        <f>Cancer_doubles_final2[[#This Row],[mlp_test_acc2]]</f>
        <v>0.9391025641025641</v>
      </c>
    </row>
    <row r="808" spans="1:26" x14ac:dyDescent="0.25">
      <c r="A808" t="s">
        <v>19</v>
      </c>
      <c r="B808">
        <v>3</v>
      </c>
      <c r="C808">
        <v>5</v>
      </c>
      <c r="D808">
        <v>0</v>
      </c>
      <c r="E808" t="s">
        <v>296</v>
      </c>
      <c r="F808">
        <v>27136</v>
      </c>
      <c r="G808">
        <v>40065777.791666672</v>
      </c>
      <c r="H808">
        <v>0.93706293155749643</v>
      </c>
      <c r="I808">
        <v>0.93939393939393945</v>
      </c>
      <c r="J808">
        <v>9198418.3333333321</v>
      </c>
      <c r="K808">
        <v>54134</v>
      </c>
      <c r="L808">
        <v>2</v>
      </c>
      <c r="M808">
        <v>156</v>
      </c>
      <c r="N808">
        <v>0.9391025641025641</v>
      </c>
      <c r="O808">
        <v>10139788.166666666</v>
      </c>
      <c r="P808">
        <v>54795</v>
      </c>
      <c r="Q808">
        <v>2</v>
      </c>
      <c r="R808">
        <v>157</v>
      </c>
      <c r="S808" t="s">
        <v>671</v>
      </c>
      <c r="W808">
        <f>Cancer_doubles_final2[[#This Row],[mlp_params]]</f>
        <v>54134</v>
      </c>
      <c r="X808">
        <f>Cancer_doubles_final2[[#This Row],[kan_test_acc]]</f>
        <v>0.93706293155749643</v>
      </c>
      <c r="Y808">
        <f>Cancer_doubles_final2[[#This Row],[mlp_test_acc]]</f>
        <v>0.93939393939393945</v>
      </c>
      <c r="Z808">
        <f>Cancer_doubles_final2[[#This Row],[mlp_test_acc2]]</f>
        <v>0.9391025641025641</v>
      </c>
    </row>
    <row r="809" spans="1:26" hidden="1" x14ac:dyDescent="0.25">
      <c r="A809" t="s">
        <v>19</v>
      </c>
      <c r="B809">
        <v>5</v>
      </c>
      <c r="C809">
        <v>3</v>
      </c>
      <c r="D809">
        <v>0</v>
      </c>
      <c r="E809" t="s">
        <v>296</v>
      </c>
      <c r="F809">
        <v>27136</v>
      </c>
      <c r="G809">
        <v>42843280.958333328</v>
      </c>
      <c r="H809">
        <v>0.94522143652041757</v>
      </c>
      <c r="I809">
        <v>0.92016317016317006</v>
      </c>
      <c r="J809">
        <v>9301887.25</v>
      </c>
      <c r="K809">
        <v>44102</v>
      </c>
      <c r="L809">
        <v>2</v>
      </c>
      <c r="M809">
        <v>140</v>
      </c>
      <c r="N809">
        <v>0.91433566433566438</v>
      </c>
      <c r="O809">
        <v>9645838.4583333321</v>
      </c>
      <c r="P809">
        <v>44699</v>
      </c>
      <c r="Q809">
        <v>2</v>
      </c>
      <c r="R809">
        <v>141</v>
      </c>
      <c r="S809" t="s">
        <v>672</v>
      </c>
      <c r="W809">
        <f>Cancer_doubles_final2[[#This Row],[mlp_params]]</f>
        <v>44102</v>
      </c>
      <c r="X809">
        <f>Cancer_doubles_final2[[#This Row],[kan_test_acc]]</f>
        <v>0.94522143652041757</v>
      </c>
      <c r="Y809">
        <f>Cancer_doubles_final2[[#This Row],[mlp_test_acc]]</f>
        <v>0.92016317016317006</v>
      </c>
      <c r="Z809">
        <f>Cancer_doubles_final2[[#This Row],[mlp_test_acc2]]</f>
        <v>0.91433566433566438</v>
      </c>
    </row>
    <row r="810" spans="1:26" hidden="1" x14ac:dyDescent="0.25">
      <c r="A810" t="s">
        <v>19</v>
      </c>
      <c r="B810">
        <v>9</v>
      </c>
      <c r="C810">
        <v>5</v>
      </c>
      <c r="D810">
        <v>0</v>
      </c>
      <c r="E810" t="s">
        <v>116</v>
      </c>
      <c r="F810">
        <v>27252</v>
      </c>
      <c r="G810">
        <v>38023137.375</v>
      </c>
      <c r="H810">
        <v>0.93648018439610803</v>
      </c>
      <c r="I810">
        <v>0.92511655011655014</v>
      </c>
      <c r="J810">
        <v>9251924.083333334</v>
      </c>
      <c r="K810">
        <v>44699</v>
      </c>
      <c r="L810">
        <v>2</v>
      </c>
      <c r="M810">
        <v>141</v>
      </c>
      <c r="N810">
        <v>0.92249417249417243</v>
      </c>
      <c r="O810">
        <v>10024473.041666666</v>
      </c>
      <c r="P810">
        <v>45300</v>
      </c>
      <c r="Q810">
        <v>2</v>
      </c>
      <c r="R810">
        <v>142</v>
      </c>
      <c r="S810" t="s">
        <v>673</v>
      </c>
      <c r="W810">
        <f>Cancer_doubles_final2[[#This Row],[mlp_params]]</f>
        <v>44699</v>
      </c>
      <c r="X810">
        <f>Cancer_doubles_final2[[#This Row],[kan_test_acc]]</f>
        <v>0.93648018439610803</v>
      </c>
      <c r="Y810">
        <f>Cancer_doubles_final2[[#This Row],[mlp_test_acc]]</f>
        <v>0.92511655011655014</v>
      </c>
      <c r="Z810">
        <f>Cancer_doubles_final2[[#This Row],[mlp_test_acc2]]</f>
        <v>0.92249417249417243</v>
      </c>
    </row>
    <row r="811" spans="1:26" hidden="1" x14ac:dyDescent="0.25">
      <c r="A811" t="s">
        <v>19</v>
      </c>
      <c r="B811">
        <v>3</v>
      </c>
      <c r="C811">
        <v>4</v>
      </c>
      <c r="D811">
        <v>0</v>
      </c>
      <c r="E811" t="s">
        <v>393</v>
      </c>
      <c r="F811">
        <v>27366</v>
      </c>
      <c r="G811">
        <v>39128306.041666664</v>
      </c>
      <c r="H811">
        <v>0.95425408085187269</v>
      </c>
      <c r="I811">
        <v>0.95163170163170163</v>
      </c>
      <c r="J811">
        <v>8732547.083333334</v>
      </c>
      <c r="K811">
        <v>51530</v>
      </c>
      <c r="L811">
        <v>2</v>
      </c>
      <c r="M811">
        <v>152</v>
      </c>
      <c r="N811">
        <v>0.94900932400932403</v>
      </c>
      <c r="O811">
        <v>9850002.25</v>
      </c>
      <c r="P811">
        <v>52175</v>
      </c>
      <c r="Q811">
        <v>2</v>
      </c>
      <c r="R811">
        <v>153</v>
      </c>
      <c r="S811" t="s">
        <v>674</v>
      </c>
      <c r="W811">
        <f>Cancer_doubles_final2[[#This Row],[mlp_params]]</f>
        <v>51530</v>
      </c>
      <c r="X811">
        <f>Cancer_doubles_final2[[#This Row],[kan_test_acc]]</f>
        <v>0.95425408085187269</v>
      </c>
      <c r="Y811">
        <f>Cancer_doubles_final2[[#This Row],[mlp_test_acc]]</f>
        <v>0.95163170163170163</v>
      </c>
      <c r="Z811">
        <f>Cancer_doubles_final2[[#This Row],[mlp_test_acc2]]</f>
        <v>0.94900932400932403</v>
      </c>
    </row>
    <row r="812" spans="1:26" hidden="1" x14ac:dyDescent="0.25">
      <c r="A812" t="s">
        <v>19</v>
      </c>
      <c r="B812">
        <v>5</v>
      </c>
      <c r="C812">
        <v>2</v>
      </c>
      <c r="D812">
        <v>0</v>
      </c>
      <c r="E812" t="s">
        <v>393</v>
      </c>
      <c r="F812">
        <v>27366</v>
      </c>
      <c r="G812">
        <v>41274602.958333336</v>
      </c>
      <c r="H812">
        <v>0.97639860212802887</v>
      </c>
      <c r="I812">
        <v>0.94784382284382285</v>
      </c>
      <c r="J812">
        <v>7957991.875</v>
      </c>
      <c r="K812">
        <v>40604</v>
      </c>
      <c r="L812">
        <v>2</v>
      </c>
      <c r="M812">
        <v>134</v>
      </c>
      <c r="N812">
        <v>0.94259906759906753</v>
      </c>
      <c r="O812">
        <v>9167589.8333333321</v>
      </c>
      <c r="P812">
        <v>41177</v>
      </c>
      <c r="Q812">
        <v>2</v>
      </c>
      <c r="R812">
        <v>135</v>
      </c>
      <c r="S812" t="s">
        <v>675</v>
      </c>
      <c r="W812">
        <f>Cancer_doubles_final2[[#This Row],[mlp_params]]</f>
        <v>40604</v>
      </c>
      <c r="X812">
        <f>Cancer_doubles_final2[[#This Row],[kan_test_acc]]</f>
        <v>0.97639860212802887</v>
      </c>
      <c r="Y812">
        <f>Cancer_doubles_final2[[#This Row],[mlp_test_acc]]</f>
        <v>0.94784382284382285</v>
      </c>
      <c r="Z812">
        <f>Cancer_doubles_final2[[#This Row],[mlp_test_acc2]]</f>
        <v>0.94259906759906753</v>
      </c>
    </row>
    <row r="813" spans="1:26" hidden="1" x14ac:dyDescent="0.25">
      <c r="A813" t="s">
        <v>19</v>
      </c>
      <c r="B813">
        <v>5</v>
      </c>
      <c r="C813">
        <v>5</v>
      </c>
      <c r="D813">
        <v>0</v>
      </c>
      <c r="E813" t="s">
        <v>198</v>
      </c>
      <c r="F813">
        <v>27366</v>
      </c>
      <c r="G813">
        <v>47457977.083333336</v>
      </c>
      <c r="H813">
        <v>0.92599068085352587</v>
      </c>
      <c r="I813">
        <v>0.93414918414918413</v>
      </c>
      <c r="J813">
        <v>8868509.2083333321</v>
      </c>
      <c r="K813">
        <v>50252</v>
      </c>
      <c r="L813">
        <v>2</v>
      </c>
      <c r="M813">
        <v>150</v>
      </c>
      <c r="N813">
        <v>0.93298368298368295</v>
      </c>
      <c r="O813">
        <v>10062423.958333332</v>
      </c>
      <c r="P813">
        <v>50889</v>
      </c>
      <c r="Q813">
        <v>2</v>
      </c>
      <c r="R813">
        <v>151</v>
      </c>
      <c r="S813" t="s">
        <v>676</v>
      </c>
      <c r="W813">
        <f>Cancer_doubles_final2[[#This Row],[mlp_params]]</f>
        <v>50252</v>
      </c>
      <c r="X813">
        <f>Cancer_doubles_final2[[#This Row],[kan_test_acc]]</f>
        <v>0.92599068085352587</v>
      </c>
      <c r="Y813">
        <f>Cancer_doubles_final2[[#This Row],[mlp_test_acc]]</f>
        <v>0.93414918414918413</v>
      </c>
      <c r="Z813">
        <f>Cancer_doubles_final2[[#This Row],[mlp_test_acc2]]</f>
        <v>0.93298368298368295</v>
      </c>
    </row>
    <row r="814" spans="1:26" hidden="1" x14ac:dyDescent="0.25">
      <c r="A814" t="s">
        <v>19</v>
      </c>
      <c r="B814">
        <v>3</v>
      </c>
      <c r="C814">
        <v>4</v>
      </c>
      <c r="D814">
        <v>0</v>
      </c>
      <c r="E814" t="s">
        <v>393</v>
      </c>
      <c r="F814">
        <v>27366</v>
      </c>
      <c r="G814">
        <v>45432747.625</v>
      </c>
      <c r="H814">
        <v>0.92569929361343384</v>
      </c>
      <c r="I814">
        <v>0.92336829836829848</v>
      </c>
      <c r="J814">
        <v>9517239.875</v>
      </c>
      <c r="K814">
        <v>51530</v>
      </c>
      <c r="L814">
        <v>2</v>
      </c>
      <c r="M814">
        <v>152</v>
      </c>
      <c r="N814">
        <v>0.92395104895104896</v>
      </c>
      <c r="O814">
        <v>9975447.5833333321</v>
      </c>
      <c r="P814">
        <v>52175</v>
      </c>
      <c r="Q814">
        <v>2</v>
      </c>
      <c r="R814">
        <v>153</v>
      </c>
      <c r="S814" t="s">
        <v>674</v>
      </c>
      <c r="W814">
        <f>Cancer_doubles_final2[[#This Row],[mlp_params]]</f>
        <v>51530</v>
      </c>
      <c r="X814">
        <f>Cancer_doubles_final2[[#This Row],[kan_test_acc]]</f>
        <v>0.92569929361343384</v>
      </c>
      <c r="Y814">
        <f>Cancer_doubles_final2[[#This Row],[mlp_test_acc]]</f>
        <v>0.92336829836829848</v>
      </c>
      <c r="Z814">
        <f>Cancer_doubles_final2[[#This Row],[mlp_test_acc2]]</f>
        <v>0.92395104895104896</v>
      </c>
    </row>
    <row r="815" spans="1:26" hidden="1" x14ac:dyDescent="0.25">
      <c r="A815" t="s">
        <v>19</v>
      </c>
      <c r="B815">
        <v>5</v>
      </c>
      <c r="C815">
        <v>2</v>
      </c>
      <c r="D815">
        <v>0</v>
      </c>
      <c r="E815" t="s">
        <v>393</v>
      </c>
      <c r="F815">
        <v>27366</v>
      </c>
      <c r="G815">
        <v>36479737.166666672</v>
      </c>
      <c r="H815">
        <v>0.97319345424572623</v>
      </c>
      <c r="I815">
        <v>0.93269230769230771</v>
      </c>
      <c r="J815">
        <v>9591778.5833333321</v>
      </c>
      <c r="K815">
        <v>40604</v>
      </c>
      <c r="L815">
        <v>2</v>
      </c>
      <c r="M815">
        <v>134</v>
      </c>
      <c r="N815">
        <v>0.93123543123543129</v>
      </c>
      <c r="O815">
        <v>8796935.5</v>
      </c>
      <c r="P815">
        <v>41177</v>
      </c>
      <c r="Q815">
        <v>2</v>
      </c>
      <c r="R815">
        <v>135</v>
      </c>
      <c r="S815" t="s">
        <v>675</v>
      </c>
      <c r="W815">
        <f>Cancer_doubles_final2[[#This Row],[mlp_params]]</f>
        <v>40604</v>
      </c>
      <c r="X815">
        <f>Cancer_doubles_final2[[#This Row],[kan_test_acc]]</f>
        <v>0.97319345424572623</v>
      </c>
      <c r="Y815">
        <f>Cancer_doubles_final2[[#This Row],[mlp_test_acc]]</f>
        <v>0.93269230769230771</v>
      </c>
      <c r="Z815">
        <f>Cancer_doubles_final2[[#This Row],[mlp_test_acc2]]</f>
        <v>0.93123543123543129</v>
      </c>
    </row>
    <row r="816" spans="1:26" hidden="1" x14ac:dyDescent="0.25">
      <c r="A816" t="s">
        <v>19</v>
      </c>
      <c r="B816">
        <v>5</v>
      </c>
      <c r="C816">
        <v>5</v>
      </c>
      <c r="D816">
        <v>0</v>
      </c>
      <c r="E816" t="s">
        <v>198</v>
      </c>
      <c r="F816">
        <v>27366</v>
      </c>
      <c r="G816">
        <v>44560273.875</v>
      </c>
      <c r="H816">
        <v>0.9391025577982266</v>
      </c>
      <c r="I816">
        <v>0.94551282051282048</v>
      </c>
      <c r="J816">
        <v>9657422.5833333321</v>
      </c>
      <c r="K816">
        <v>50252</v>
      </c>
      <c r="L816">
        <v>2</v>
      </c>
      <c r="M816">
        <v>150</v>
      </c>
      <c r="N816">
        <v>0.94289044289044288</v>
      </c>
      <c r="O816">
        <v>9186606.75</v>
      </c>
      <c r="P816">
        <v>50889</v>
      </c>
      <c r="Q816">
        <v>2</v>
      </c>
      <c r="R816">
        <v>151</v>
      </c>
      <c r="S816" t="s">
        <v>676</v>
      </c>
      <c r="W816">
        <f>Cancer_doubles_final2[[#This Row],[mlp_params]]</f>
        <v>50252</v>
      </c>
      <c r="X816">
        <f>Cancer_doubles_final2[[#This Row],[kan_test_acc]]</f>
        <v>0.9391025577982266</v>
      </c>
      <c r="Y816">
        <f>Cancer_doubles_final2[[#This Row],[mlp_test_acc]]</f>
        <v>0.94551282051282048</v>
      </c>
      <c r="Z816">
        <f>Cancer_doubles_final2[[#This Row],[mlp_test_acc2]]</f>
        <v>0.94289044289044288</v>
      </c>
    </row>
    <row r="817" spans="1:26" hidden="1" x14ac:dyDescent="0.25">
      <c r="A817" t="s">
        <v>19</v>
      </c>
      <c r="B817">
        <v>3</v>
      </c>
      <c r="C817">
        <v>3</v>
      </c>
      <c r="D817">
        <v>0</v>
      </c>
      <c r="E817" t="s">
        <v>520</v>
      </c>
      <c r="F817">
        <v>27416</v>
      </c>
      <c r="G817">
        <v>50813508.541666664</v>
      </c>
      <c r="H817">
        <v>0.94289044787486387</v>
      </c>
      <c r="I817">
        <v>0.94900932400932403</v>
      </c>
      <c r="J817">
        <v>9131884.416666666</v>
      </c>
      <c r="K817">
        <v>48365</v>
      </c>
      <c r="L817">
        <v>2</v>
      </c>
      <c r="M817">
        <v>147</v>
      </c>
      <c r="N817">
        <v>0.94638694638694632</v>
      </c>
      <c r="O817">
        <v>10000267.833333332</v>
      </c>
      <c r="P817">
        <v>48990</v>
      </c>
      <c r="Q817">
        <v>2</v>
      </c>
      <c r="R817">
        <v>148</v>
      </c>
      <c r="S817" t="s">
        <v>677</v>
      </c>
      <c r="W817">
        <f>Cancer_doubles_final2[[#This Row],[mlp_params]]</f>
        <v>48365</v>
      </c>
      <c r="X817">
        <f>Cancer_doubles_final2[[#This Row],[kan_test_acc]]</f>
        <v>0.94289044787486387</v>
      </c>
      <c r="Y817">
        <f>Cancer_doubles_final2[[#This Row],[mlp_test_acc]]</f>
        <v>0.94900932400932403</v>
      </c>
      <c r="Z817">
        <f>Cancer_doubles_final2[[#This Row],[mlp_test_acc2]]</f>
        <v>0.94638694638694632</v>
      </c>
    </row>
    <row r="818" spans="1:26" hidden="1" x14ac:dyDescent="0.25">
      <c r="A818" t="s">
        <v>19</v>
      </c>
      <c r="B818">
        <v>3</v>
      </c>
      <c r="C818">
        <v>4</v>
      </c>
      <c r="D818">
        <v>0</v>
      </c>
      <c r="E818" t="s">
        <v>399</v>
      </c>
      <c r="F818">
        <v>27480</v>
      </c>
      <c r="G818">
        <v>41688735.222222224</v>
      </c>
      <c r="H818">
        <v>0.96348096595870125</v>
      </c>
      <c r="I818">
        <v>0.94696969696969691</v>
      </c>
      <c r="J818">
        <v>9365211.333333334</v>
      </c>
      <c r="K818">
        <v>51530</v>
      </c>
      <c r="L818">
        <v>2</v>
      </c>
      <c r="M818">
        <v>152</v>
      </c>
      <c r="N818">
        <v>0.94502719502719501</v>
      </c>
      <c r="O818">
        <v>9040065.805555556</v>
      </c>
      <c r="P818">
        <v>52175</v>
      </c>
      <c r="Q818">
        <v>2</v>
      </c>
      <c r="R818">
        <v>153</v>
      </c>
      <c r="S818" t="s">
        <v>678</v>
      </c>
      <c r="W818">
        <f>Cancer_doubles_final2[[#This Row],[mlp_params]]</f>
        <v>51530</v>
      </c>
      <c r="X818">
        <f>Cancer_doubles_final2[[#This Row],[kan_test_acc]]</f>
        <v>0.96348096595870125</v>
      </c>
      <c r="Y818">
        <f>Cancer_doubles_final2[[#This Row],[mlp_test_acc]]</f>
        <v>0.94696969696969691</v>
      </c>
      <c r="Z818">
        <f>Cancer_doubles_final2[[#This Row],[mlp_test_acc2]]</f>
        <v>0.94502719502719501</v>
      </c>
    </row>
    <row r="819" spans="1:26" hidden="1" x14ac:dyDescent="0.25">
      <c r="A819" t="s">
        <v>19</v>
      </c>
      <c r="B819">
        <v>5</v>
      </c>
      <c r="C819">
        <v>2</v>
      </c>
      <c r="D819">
        <v>0</v>
      </c>
      <c r="E819" t="s">
        <v>399</v>
      </c>
      <c r="F819">
        <v>27480</v>
      </c>
      <c r="G819">
        <v>34491397.416666672</v>
      </c>
      <c r="H819">
        <v>0.96241258581479394</v>
      </c>
      <c r="I819">
        <v>0.94376456876456882</v>
      </c>
      <c r="J819">
        <v>8415022.958333334</v>
      </c>
      <c r="K819">
        <v>41177</v>
      </c>
      <c r="L819">
        <v>2</v>
      </c>
      <c r="M819">
        <v>135</v>
      </c>
      <c r="N819">
        <v>0.94114219114219111</v>
      </c>
      <c r="O819">
        <v>9363850.083333334</v>
      </c>
      <c r="P819">
        <v>41754</v>
      </c>
      <c r="Q819">
        <v>2</v>
      </c>
      <c r="R819">
        <v>136</v>
      </c>
      <c r="S819" t="s">
        <v>679</v>
      </c>
      <c r="W819">
        <f>Cancer_doubles_final2[[#This Row],[mlp_params]]</f>
        <v>41177</v>
      </c>
      <c r="X819">
        <f>Cancer_doubles_final2[[#This Row],[kan_test_acc]]</f>
        <v>0.96241258581479394</v>
      </c>
      <c r="Y819">
        <f>Cancer_doubles_final2[[#This Row],[mlp_test_acc]]</f>
        <v>0.94376456876456882</v>
      </c>
      <c r="Z819">
        <f>Cancer_doubles_final2[[#This Row],[mlp_test_acc2]]</f>
        <v>0.94114219114219111</v>
      </c>
    </row>
    <row r="820" spans="1:26" hidden="1" x14ac:dyDescent="0.25">
      <c r="A820" t="s">
        <v>19</v>
      </c>
      <c r="B820">
        <v>3</v>
      </c>
      <c r="C820">
        <v>4</v>
      </c>
      <c r="D820">
        <v>0</v>
      </c>
      <c r="E820" t="s">
        <v>399</v>
      </c>
      <c r="F820">
        <v>27480</v>
      </c>
      <c r="G820">
        <v>35254628.541666672</v>
      </c>
      <c r="H820">
        <v>0.96503495424985886</v>
      </c>
      <c r="I820">
        <v>0.92832167832167833</v>
      </c>
      <c r="J820">
        <v>7941067.5</v>
      </c>
      <c r="K820">
        <v>51530</v>
      </c>
      <c r="L820">
        <v>2</v>
      </c>
      <c r="M820">
        <v>152</v>
      </c>
      <c r="N820">
        <v>0.92861305361305368</v>
      </c>
      <c r="O820">
        <v>9746662.4166666679</v>
      </c>
      <c r="P820">
        <v>52175</v>
      </c>
      <c r="Q820">
        <v>2</v>
      </c>
      <c r="R820">
        <v>153</v>
      </c>
      <c r="S820" t="s">
        <v>678</v>
      </c>
      <c r="W820">
        <f>Cancer_doubles_final2[[#This Row],[mlp_params]]</f>
        <v>51530</v>
      </c>
      <c r="X820">
        <f>Cancer_doubles_final2[[#This Row],[kan_test_acc]]</f>
        <v>0.96503495424985886</v>
      </c>
      <c r="Y820">
        <f>Cancer_doubles_final2[[#This Row],[mlp_test_acc]]</f>
        <v>0.92832167832167833</v>
      </c>
      <c r="Z820">
        <f>Cancer_doubles_final2[[#This Row],[mlp_test_acc2]]</f>
        <v>0.92861305361305368</v>
      </c>
    </row>
    <row r="821" spans="1:26" hidden="1" x14ac:dyDescent="0.25">
      <c r="A821" t="s">
        <v>19</v>
      </c>
      <c r="B821">
        <v>5</v>
      </c>
      <c r="C821">
        <v>2</v>
      </c>
      <c r="D821">
        <v>0</v>
      </c>
      <c r="E821" t="s">
        <v>399</v>
      </c>
      <c r="F821">
        <v>27480</v>
      </c>
      <c r="G821">
        <v>33398080.958333336</v>
      </c>
      <c r="H821">
        <v>0.96707458297411597</v>
      </c>
      <c r="I821">
        <v>0.91142191142191142</v>
      </c>
      <c r="J821">
        <v>7884305.75</v>
      </c>
      <c r="K821">
        <v>41177</v>
      </c>
      <c r="L821">
        <v>2</v>
      </c>
      <c r="M821">
        <v>135</v>
      </c>
      <c r="N821">
        <v>0.909965034965035</v>
      </c>
      <c r="O821">
        <v>9477784.625</v>
      </c>
      <c r="P821">
        <v>41754</v>
      </c>
      <c r="Q821">
        <v>2</v>
      </c>
      <c r="R821">
        <v>136</v>
      </c>
      <c r="S821" t="s">
        <v>679</v>
      </c>
      <c r="W821">
        <f>Cancer_doubles_final2[[#This Row],[mlp_params]]</f>
        <v>41177</v>
      </c>
      <c r="X821">
        <f>Cancer_doubles_final2[[#This Row],[kan_test_acc]]</f>
        <v>0.96707458297411597</v>
      </c>
      <c r="Y821">
        <f>Cancer_doubles_final2[[#This Row],[mlp_test_acc]]</f>
        <v>0.91142191142191142</v>
      </c>
      <c r="Z821">
        <f>Cancer_doubles_final2[[#This Row],[mlp_test_acc2]]</f>
        <v>0.909965034965035</v>
      </c>
    </row>
    <row r="822" spans="1:26" hidden="1" x14ac:dyDescent="0.25">
      <c r="A822" t="s">
        <v>19</v>
      </c>
      <c r="B822">
        <v>3</v>
      </c>
      <c r="C822">
        <v>4</v>
      </c>
      <c r="D822">
        <v>0</v>
      </c>
      <c r="E822" t="s">
        <v>402</v>
      </c>
      <c r="F822">
        <v>27564</v>
      </c>
      <c r="G822">
        <v>32433969.666666668</v>
      </c>
      <c r="H822">
        <v>0.9662004609902699</v>
      </c>
      <c r="I822">
        <v>0.93152680652680653</v>
      </c>
      <c r="J822">
        <v>7707670.333333333</v>
      </c>
      <c r="K822">
        <v>52175</v>
      </c>
      <c r="L822">
        <v>2</v>
      </c>
      <c r="M822">
        <v>153</v>
      </c>
      <c r="N822">
        <v>0.92511655011655014</v>
      </c>
      <c r="O822">
        <v>9388897.833333334</v>
      </c>
      <c r="P822">
        <v>52824</v>
      </c>
      <c r="Q822">
        <v>2</v>
      </c>
      <c r="R822">
        <v>154</v>
      </c>
      <c r="S822" t="s">
        <v>680</v>
      </c>
      <c r="W822">
        <f>Cancer_doubles_final2[[#This Row],[mlp_params]]</f>
        <v>52175</v>
      </c>
      <c r="X822">
        <f>Cancer_doubles_final2[[#This Row],[kan_test_acc]]</f>
        <v>0.9662004609902699</v>
      </c>
      <c r="Y822">
        <f>Cancer_doubles_final2[[#This Row],[mlp_test_acc]]</f>
        <v>0.93152680652680653</v>
      </c>
      <c r="Z822">
        <f>Cancer_doubles_final2[[#This Row],[mlp_test_acc2]]</f>
        <v>0.92511655011655014</v>
      </c>
    </row>
    <row r="823" spans="1:26" hidden="1" x14ac:dyDescent="0.25">
      <c r="A823" t="s">
        <v>19</v>
      </c>
      <c r="B823">
        <v>5</v>
      </c>
      <c r="C823">
        <v>2</v>
      </c>
      <c r="D823">
        <v>0</v>
      </c>
      <c r="E823" t="s">
        <v>402</v>
      </c>
      <c r="F823">
        <v>27564</v>
      </c>
      <c r="G823">
        <v>39450860.875</v>
      </c>
      <c r="H823">
        <v>0.96532633155584335</v>
      </c>
      <c r="I823">
        <v>0.94900932400932403</v>
      </c>
      <c r="J823">
        <v>8347798.25</v>
      </c>
      <c r="K823">
        <v>41177</v>
      </c>
      <c r="L823">
        <v>2</v>
      </c>
      <c r="M823">
        <v>135</v>
      </c>
      <c r="N823">
        <v>0.94405594405594406</v>
      </c>
      <c r="O823">
        <v>9311992.7916666679</v>
      </c>
      <c r="P823">
        <v>41754</v>
      </c>
      <c r="Q823">
        <v>2</v>
      </c>
      <c r="R823">
        <v>136</v>
      </c>
      <c r="S823" t="s">
        <v>681</v>
      </c>
      <c r="W823">
        <f>Cancer_doubles_final2[[#This Row],[mlp_params]]</f>
        <v>41177</v>
      </c>
      <c r="X823">
        <f>Cancer_doubles_final2[[#This Row],[kan_test_acc]]</f>
        <v>0.96532633155584335</v>
      </c>
      <c r="Y823">
        <f>Cancer_doubles_final2[[#This Row],[mlp_test_acc]]</f>
        <v>0.94900932400932403</v>
      </c>
      <c r="Z823">
        <f>Cancer_doubles_final2[[#This Row],[mlp_test_acc2]]</f>
        <v>0.94405594405594406</v>
      </c>
    </row>
    <row r="824" spans="1:26" hidden="1" x14ac:dyDescent="0.25">
      <c r="A824" t="s">
        <v>19</v>
      </c>
      <c r="B824">
        <v>3</v>
      </c>
      <c r="C824">
        <v>4</v>
      </c>
      <c r="D824">
        <v>0</v>
      </c>
      <c r="E824" t="s">
        <v>402</v>
      </c>
      <c r="F824">
        <v>27564</v>
      </c>
      <c r="G824">
        <v>39109463.458333336</v>
      </c>
      <c r="H824">
        <v>0.96620045602321625</v>
      </c>
      <c r="I824">
        <v>0.92919580419580416</v>
      </c>
      <c r="J824">
        <v>8575011.333333334</v>
      </c>
      <c r="K824">
        <v>52175</v>
      </c>
      <c r="L824">
        <v>2</v>
      </c>
      <c r="M824">
        <v>153</v>
      </c>
      <c r="N824">
        <v>0.92803030303030298</v>
      </c>
      <c r="O824">
        <v>8900457.75</v>
      </c>
      <c r="P824">
        <v>52824</v>
      </c>
      <c r="Q824">
        <v>2</v>
      </c>
      <c r="R824">
        <v>154</v>
      </c>
      <c r="S824" t="s">
        <v>680</v>
      </c>
      <c r="W824">
        <f>Cancer_doubles_final2[[#This Row],[mlp_params]]</f>
        <v>52175</v>
      </c>
      <c r="X824">
        <f>Cancer_doubles_final2[[#This Row],[kan_test_acc]]</f>
        <v>0.96620045602321625</v>
      </c>
      <c r="Y824">
        <f>Cancer_doubles_final2[[#This Row],[mlp_test_acc]]</f>
        <v>0.92919580419580416</v>
      </c>
      <c r="Z824">
        <f>Cancer_doubles_final2[[#This Row],[mlp_test_acc2]]</f>
        <v>0.92803030303030298</v>
      </c>
    </row>
    <row r="825" spans="1:26" hidden="1" x14ac:dyDescent="0.25">
      <c r="A825" t="s">
        <v>19</v>
      </c>
      <c r="B825">
        <v>5</v>
      </c>
      <c r="C825">
        <v>2</v>
      </c>
      <c r="D825">
        <v>0</v>
      </c>
      <c r="E825" t="s">
        <v>402</v>
      </c>
      <c r="F825">
        <v>27564</v>
      </c>
      <c r="G825">
        <v>31670279.5</v>
      </c>
      <c r="H825">
        <v>0.95658507446448005</v>
      </c>
      <c r="I825">
        <v>0.90705128205128205</v>
      </c>
      <c r="J825">
        <v>7673064.75</v>
      </c>
      <c r="K825">
        <v>41177</v>
      </c>
      <c r="L825">
        <v>2</v>
      </c>
      <c r="M825">
        <v>135</v>
      </c>
      <c r="N825">
        <v>0.90850815850815847</v>
      </c>
      <c r="O825">
        <v>7361154.0000000009</v>
      </c>
      <c r="P825">
        <v>41754</v>
      </c>
      <c r="Q825">
        <v>2</v>
      </c>
      <c r="R825">
        <v>136</v>
      </c>
      <c r="S825" t="s">
        <v>681</v>
      </c>
      <c r="W825">
        <f>Cancer_doubles_final2[[#This Row],[mlp_params]]</f>
        <v>41177</v>
      </c>
      <c r="X825">
        <f>Cancer_doubles_final2[[#This Row],[kan_test_acc]]</f>
        <v>0.95658507446448005</v>
      </c>
      <c r="Y825">
        <f>Cancer_doubles_final2[[#This Row],[mlp_test_acc]]</f>
        <v>0.90705128205128205</v>
      </c>
      <c r="Z825">
        <f>Cancer_doubles_final2[[#This Row],[mlp_test_acc2]]</f>
        <v>0.90850815850815847</v>
      </c>
    </row>
    <row r="826" spans="1:26" hidden="1" x14ac:dyDescent="0.25">
      <c r="A826" t="s">
        <v>19</v>
      </c>
      <c r="B826">
        <v>5</v>
      </c>
      <c r="C826">
        <v>3</v>
      </c>
      <c r="D826">
        <v>0</v>
      </c>
      <c r="E826" t="s">
        <v>310</v>
      </c>
      <c r="F826">
        <v>27574</v>
      </c>
      <c r="G826">
        <v>29818526.666666668</v>
      </c>
      <c r="H826">
        <v>0.96532634148995078</v>
      </c>
      <c r="I826">
        <v>0.92511655011655014</v>
      </c>
      <c r="J826">
        <v>8824776.25</v>
      </c>
      <c r="K826">
        <v>44699</v>
      </c>
      <c r="L826">
        <v>2</v>
      </c>
      <c r="M826">
        <v>141</v>
      </c>
      <c r="N826">
        <v>0.9242424242424242</v>
      </c>
      <c r="O826">
        <v>8140132.291666667</v>
      </c>
      <c r="P826">
        <v>45300</v>
      </c>
      <c r="Q826">
        <v>2</v>
      </c>
      <c r="R826">
        <v>142</v>
      </c>
      <c r="S826" t="s">
        <v>682</v>
      </c>
      <c r="W826">
        <f>Cancer_doubles_final2[[#This Row],[mlp_params]]</f>
        <v>44699</v>
      </c>
      <c r="X826">
        <f>Cancer_doubles_final2[[#This Row],[kan_test_acc]]</f>
        <v>0.96532634148995078</v>
      </c>
      <c r="Y826">
        <f>Cancer_doubles_final2[[#This Row],[mlp_test_acc]]</f>
        <v>0.92511655011655014</v>
      </c>
      <c r="Z826">
        <f>Cancer_doubles_final2[[#This Row],[mlp_test_acc2]]</f>
        <v>0.9242424242424242</v>
      </c>
    </row>
    <row r="827" spans="1:26" x14ac:dyDescent="0.25">
      <c r="A827" t="s">
        <v>19</v>
      </c>
      <c r="B827">
        <v>3</v>
      </c>
      <c r="C827">
        <v>5</v>
      </c>
      <c r="D827">
        <v>0</v>
      </c>
      <c r="E827" t="s">
        <v>310</v>
      </c>
      <c r="F827">
        <v>27574</v>
      </c>
      <c r="G827">
        <v>47693272.416666672</v>
      </c>
      <c r="H827">
        <v>0.98106060425440467</v>
      </c>
      <c r="I827">
        <v>0.94930069930069938</v>
      </c>
      <c r="J827">
        <v>10329626.416666666</v>
      </c>
      <c r="K827">
        <v>54795</v>
      </c>
      <c r="L827">
        <v>2</v>
      </c>
      <c r="M827">
        <v>157</v>
      </c>
      <c r="N827">
        <v>0.94551282051282048</v>
      </c>
      <c r="O827">
        <v>10170001.25</v>
      </c>
      <c r="P827">
        <v>55460</v>
      </c>
      <c r="Q827">
        <v>2</v>
      </c>
      <c r="R827">
        <v>158</v>
      </c>
      <c r="S827" t="s">
        <v>683</v>
      </c>
      <c r="W827">
        <f>Cancer_doubles_final2[[#This Row],[mlp_params]]</f>
        <v>54795</v>
      </c>
      <c r="X827">
        <f>Cancer_doubles_final2[[#This Row],[kan_test_acc]]</f>
        <v>0.98106060425440467</v>
      </c>
      <c r="Y827">
        <f>Cancer_doubles_final2[[#This Row],[mlp_test_acc]]</f>
        <v>0.94930069930069938</v>
      </c>
      <c r="Z827">
        <f>Cancer_doubles_final2[[#This Row],[mlp_test_acc2]]</f>
        <v>0.94551282051282048</v>
      </c>
    </row>
    <row r="828" spans="1:26" hidden="1" x14ac:dyDescent="0.25">
      <c r="A828" t="s">
        <v>19</v>
      </c>
      <c r="B828">
        <v>5</v>
      </c>
      <c r="C828">
        <v>3</v>
      </c>
      <c r="D828">
        <v>0</v>
      </c>
      <c r="E828" t="s">
        <v>310</v>
      </c>
      <c r="F828">
        <v>27574</v>
      </c>
      <c r="G828">
        <v>49448593.625</v>
      </c>
      <c r="H828">
        <v>0.9723193347454071</v>
      </c>
      <c r="I828">
        <v>0.93764568764568768</v>
      </c>
      <c r="J828">
        <v>9500602.875</v>
      </c>
      <c r="K828">
        <v>44699</v>
      </c>
      <c r="L828">
        <v>2</v>
      </c>
      <c r="M828">
        <v>141</v>
      </c>
      <c r="N828">
        <v>0.93822843822843827</v>
      </c>
      <c r="O828">
        <v>10169612.625</v>
      </c>
      <c r="P828">
        <v>45300</v>
      </c>
      <c r="Q828">
        <v>2</v>
      </c>
      <c r="R828">
        <v>142</v>
      </c>
      <c r="S828" t="s">
        <v>682</v>
      </c>
      <c r="W828">
        <f>Cancer_doubles_final2[[#This Row],[mlp_params]]</f>
        <v>44699</v>
      </c>
      <c r="X828">
        <f>Cancer_doubles_final2[[#This Row],[kan_test_acc]]</f>
        <v>0.9723193347454071</v>
      </c>
      <c r="Y828">
        <f>Cancer_doubles_final2[[#This Row],[mlp_test_acc]]</f>
        <v>0.93764568764568768</v>
      </c>
      <c r="Z828">
        <f>Cancer_doubles_final2[[#This Row],[mlp_test_acc2]]</f>
        <v>0.93822843822843827</v>
      </c>
    </row>
    <row r="829" spans="1:26" x14ac:dyDescent="0.25">
      <c r="A829" t="s">
        <v>19</v>
      </c>
      <c r="B829">
        <v>3</v>
      </c>
      <c r="C829">
        <v>5</v>
      </c>
      <c r="D829">
        <v>0</v>
      </c>
      <c r="E829" t="s">
        <v>310</v>
      </c>
      <c r="F829">
        <v>27574</v>
      </c>
      <c r="G829">
        <v>45016641.166666664</v>
      </c>
      <c r="H829">
        <v>0.95104894042015076</v>
      </c>
      <c r="I829">
        <v>0.94085081585081587</v>
      </c>
      <c r="J829">
        <v>9817807.25</v>
      </c>
      <c r="K829">
        <v>54795</v>
      </c>
      <c r="L829">
        <v>2</v>
      </c>
      <c r="M829">
        <v>157</v>
      </c>
      <c r="N829">
        <v>0.93939393939393945</v>
      </c>
      <c r="O829">
        <v>10062012.875</v>
      </c>
      <c r="P829">
        <v>55460</v>
      </c>
      <c r="Q829">
        <v>2</v>
      </c>
      <c r="R829">
        <v>158</v>
      </c>
      <c r="S829" t="s">
        <v>683</v>
      </c>
      <c r="W829">
        <f>Cancer_doubles_final2[[#This Row],[mlp_params]]</f>
        <v>54795</v>
      </c>
      <c r="X829">
        <f>Cancer_doubles_final2[[#This Row],[kan_test_acc]]</f>
        <v>0.95104894042015076</v>
      </c>
      <c r="Y829">
        <f>Cancer_doubles_final2[[#This Row],[mlp_test_acc]]</f>
        <v>0.94085081585081587</v>
      </c>
      <c r="Z829">
        <f>Cancer_doubles_final2[[#This Row],[mlp_test_acc2]]</f>
        <v>0.93939393939393945</v>
      </c>
    </row>
    <row r="830" spans="1:26" hidden="1" x14ac:dyDescent="0.25">
      <c r="A830" t="s">
        <v>19</v>
      </c>
      <c r="B830">
        <v>5</v>
      </c>
      <c r="C830">
        <v>3</v>
      </c>
      <c r="D830">
        <v>0</v>
      </c>
      <c r="E830" t="s">
        <v>310</v>
      </c>
      <c r="F830">
        <v>27574</v>
      </c>
      <c r="G830">
        <v>45930112.958333328</v>
      </c>
      <c r="H830">
        <v>0.94201631347338355</v>
      </c>
      <c r="I830">
        <v>0.91783216783216781</v>
      </c>
      <c r="J830">
        <v>9110510.7916666679</v>
      </c>
      <c r="K830">
        <v>44699</v>
      </c>
      <c r="L830">
        <v>2</v>
      </c>
      <c r="M830">
        <v>141</v>
      </c>
      <c r="N830">
        <v>0.91462703962703962</v>
      </c>
      <c r="O830">
        <v>9190001.791666666</v>
      </c>
      <c r="P830">
        <v>45300</v>
      </c>
      <c r="Q830">
        <v>2</v>
      </c>
      <c r="R830">
        <v>142</v>
      </c>
      <c r="S830" t="s">
        <v>682</v>
      </c>
      <c r="W830">
        <f>Cancer_doubles_final2[[#This Row],[mlp_params]]</f>
        <v>44699</v>
      </c>
      <c r="X830">
        <f>Cancer_doubles_final2[[#This Row],[kan_test_acc]]</f>
        <v>0.94201631347338355</v>
      </c>
      <c r="Y830">
        <f>Cancer_doubles_final2[[#This Row],[mlp_test_acc]]</f>
        <v>0.91783216783216781</v>
      </c>
      <c r="Z830">
        <f>Cancer_doubles_final2[[#This Row],[mlp_test_acc2]]</f>
        <v>0.91462703962703962</v>
      </c>
    </row>
    <row r="831" spans="1:26" hidden="1" x14ac:dyDescent="0.25">
      <c r="A831" t="s">
        <v>19</v>
      </c>
      <c r="B831">
        <v>5</v>
      </c>
      <c r="C831">
        <v>5</v>
      </c>
      <c r="D831">
        <v>0</v>
      </c>
      <c r="E831" t="s">
        <v>203</v>
      </c>
      <c r="F831">
        <v>27576</v>
      </c>
      <c r="G831">
        <v>41755169.875</v>
      </c>
      <c r="H831">
        <v>0.93385780602693558</v>
      </c>
      <c r="I831">
        <v>0.90909090909090906</v>
      </c>
      <c r="J831">
        <v>8235107.583333333</v>
      </c>
      <c r="K831">
        <v>50252</v>
      </c>
      <c r="L831">
        <v>2</v>
      </c>
      <c r="M831">
        <v>150</v>
      </c>
      <c r="N831">
        <v>0.91054778554778559</v>
      </c>
      <c r="O831">
        <v>9201067.3333333321</v>
      </c>
      <c r="P831">
        <v>50889</v>
      </c>
      <c r="Q831">
        <v>2</v>
      </c>
      <c r="R831">
        <v>151</v>
      </c>
      <c r="S831" t="s">
        <v>684</v>
      </c>
      <c r="W831">
        <f>Cancer_doubles_final2[[#This Row],[mlp_params]]</f>
        <v>50252</v>
      </c>
      <c r="X831">
        <f>Cancer_doubles_final2[[#This Row],[kan_test_acc]]</f>
        <v>0.93385780602693558</v>
      </c>
      <c r="Y831">
        <f>Cancer_doubles_final2[[#This Row],[mlp_test_acc]]</f>
        <v>0.90909090909090906</v>
      </c>
      <c r="Z831">
        <f>Cancer_doubles_final2[[#This Row],[mlp_test_acc2]]</f>
        <v>0.91054778554778559</v>
      </c>
    </row>
    <row r="832" spans="1:26" hidden="1" x14ac:dyDescent="0.25">
      <c r="A832" t="s">
        <v>19</v>
      </c>
      <c r="B832">
        <v>5</v>
      </c>
      <c r="C832">
        <v>5</v>
      </c>
      <c r="D832">
        <v>0</v>
      </c>
      <c r="E832" t="s">
        <v>205</v>
      </c>
      <c r="F832">
        <v>27578</v>
      </c>
      <c r="G832">
        <v>41325135.194444448</v>
      </c>
      <c r="H832">
        <v>0.91569541063573623</v>
      </c>
      <c r="I832">
        <v>0.93628593628593626</v>
      </c>
      <c r="J832">
        <v>8699352.555555556</v>
      </c>
      <c r="K832">
        <v>50252</v>
      </c>
      <c r="L832">
        <v>2</v>
      </c>
      <c r="M832">
        <v>150</v>
      </c>
      <c r="N832">
        <v>0.93764568764568768</v>
      </c>
      <c r="O832">
        <v>9713120.416666666</v>
      </c>
      <c r="P832">
        <v>50889</v>
      </c>
      <c r="Q832">
        <v>2</v>
      </c>
      <c r="R832">
        <v>151</v>
      </c>
      <c r="S832" t="s">
        <v>685</v>
      </c>
      <c r="W832">
        <f>Cancer_doubles_final2[[#This Row],[mlp_params]]</f>
        <v>50252</v>
      </c>
      <c r="X832">
        <f>Cancer_doubles_final2[[#This Row],[kan_test_acc]]</f>
        <v>0.91569541063573623</v>
      </c>
      <c r="Y832">
        <f>Cancer_doubles_final2[[#This Row],[mlp_test_acc]]</f>
        <v>0.93628593628593626</v>
      </c>
      <c r="Z832">
        <f>Cancer_doubles_final2[[#This Row],[mlp_test_acc2]]</f>
        <v>0.93764568764568768</v>
      </c>
    </row>
    <row r="833" spans="1:26" x14ac:dyDescent="0.25">
      <c r="A833" t="s">
        <v>19</v>
      </c>
      <c r="B833">
        <v>3</v>
      </c>
      <c r="C833">
        <v>5</v>
      </c>
      <c r="D833">
        <v>0</v>
      </c>
      <c r="E833" t="s">
        <v>312</v>
      </c>
      <c r="F833">
        <v>27582</v>
      </c>
      <c r="G833">
        <v>42704337.111111112</v>
      </c>
      <c r="H833">
        <v>0.92773892647690237</v>
      </c>
      <c r="I833">
        <v>0.93919968919968921</v>
      </c>
      <c r="J833">
        <v>9033979.6111111101</v>
      </c>
      <c r="K833">
        <v>54795</v>
      </c>
      <c r="L833">
        <v>2</v>
      </c>
      <c r="M833">
        <v>157</v>
      </c>
      <c r="N833">
        <v>0.94133644133644134</v>
      </c>
      <c r="O833">
        <v>9443666.055555556</v>
      </c>
      <c r="P833">
        <v>55460</v>
      </c>
      <c r="Q833">
        <v>2</v>
      </c>
      <c r="R833">
        <v>158</v>
      </c>
      <c r="S833" t="s">
        <v>686</v>
      </c>
      <c r="W833">
        <f>Cancer_doubles_final2[[#This Row],[mlp_params]]</f>
        <v>54795</v>
      </c>
      <c r="X833">
        <f>Cancer_doubles_final2[[#This Row],[kan_test_acc]]</f>
        <v>0.92773892647690237</v>
      </c>
      <c r="Y833">
        <f>Cancer_doubles_final2[[#This Row],[mlp_test_acc]]</f>
        <v>0.93919968919968921</v>
      </c>
      <c r="Z833">
        <f>Cancer_doubles_final2[[#This Row],[mlp_test_acc2]]</f>
        <v>0.94133644133644134</v>
      </c>
    </row>
    <row r="834" spans="1:26" hidden="1" x14ac:dyDescent="0.25">
      <c r="A834" t="s">
        <v>19</v>
      </c>
      <c r="B834">
        <v>5</v>
      </c>
      <c r="C834">
        <v>3</v>
      </c>
      <c r="D834">
        <v>0</v>
      </c>
      <c r="E834" t="s">
        <v>312</v>
      </c>
      <c r="F834">
        <v>27582</v>
      </c>
      <c r="G834">
        <v>44280414.666666672</v>
      </c>
      <c r="H834">
        <v>0.95367132375637698</v>
      </c>
      <c r="I834">
        <v>0.94026806526806528</v>
      </c>
      <c r="J834">
        <v>8744452.666666666</v>
      </c>
      <c r="K834">
        <v>44699</v>
      </c>
      <c r="L834">
        <v>2</v>
      </c>
      <c r="M834">
        <v>141</v>
      </c>
      <c r="N834">
        <v>0.94259906759906764</v>
      </c>
      <c r="O834">
        <v>9598047.625</v>
      </c>
      <c r="P834">
        <v>45300</v>
      </c>
      <c r="Q834">
        <v>2</v>
      </c>
      <c r="R834">
        <v>142</v>
      </c>
      <c r="S834" t="s">
        <v>687</v>
      </c>
      <c r="W834">
        <f>Cancer_doubles_final2[[#This Row],[mlp_params]]</f>
        <v>44699</v>
      </c>
      <c r="X834">
        <f>Cancer_doubles_final2[[#This Row],[kan_test_acc]]</f>
        <v>0.95367132375637698</v>
      </c>
      <c r="Y834">
        <f>Cancer_doubles_final2[[#This Row],[mlp_test_acc]]</f>
        <v>0.94026806526806528</v>
      </c>
      <c r="Z834">
        <f>Cancer_doubles_final2[[#This Row],[mlp_test_acc2]]</f>
        <v>0.94259906759906764</v>
      </c>
    </row>
    <row r="835" spans="1:26" x14ac:dyDescent="0.25">
      <c r="A835" t="s">
        <v>19</v>
      </c>
      <c r="B835">
        <v>3</v>
      </c>
      <c r="C835">
        <v>5</v>
      </c>
      <c r="D835">
        <v>0</v>
      </c>
      <c r="E835" t="s">
        <v>312</v>
      </c>
      <c r="F835">
        <v>27582</v>
      </c>
      <c r="G835">
        <v>44582636.083333336</v>
      </c>
      <c r="H835">
        <v>0.96649183332920074</v>
      </c>
      <c r="I835">
        <v>0.93181818181818188</v>
      </c>
      <c r="J835">
        <v>8627423.708333334</v>
      </c>
      <c r="K835">
        <v>54795</v>
      </c>
      <c r="L835">
        <v>2</v>
      </c>
      <c r="M835">
        <v>157</v>
      </c>
      <c r="N835">
        <v>0.93385780885780889</v>
      </c>
      <c r="O835">
        <v>8961451.125</v>
      </c>
      <c r="P835">
        <v>55460</v>
      </c>
      <c r="Q835">
        <v>2</v>
      </c>
      <c r="R835">
        <v>158</v>
      </c>
      <c r="S835" t="s">
        <v>686</v>
      </c>
      <c r="W835">
        <f>Cancer_doubles_final2[[#This Row],[mlp_params]]</f>
        <v>54795</v>
      </c>
      <c r="X835">
        <f>Cancer_doubles_final2[[#This Row],[kan_test_acc]]</f>
        <v>0.96649183332920074</v>
      </c>
      <c r="Y835">
        <f>Cancer_doubles_final2[[#This Row],[mlp_test_acc]]</f>
        <v>0.93181818181818188</v>
      </c>
      <c r="Z835">
        <f>Cancer_doubles_final2[[#This Row],[mlp_test_acc2]]</f>
        <v>0.93385780885780889</v>
      </c>
    </row>
    <row r="836" spans="1:26" hidden="1" x14ac:dyDescent="0.25">
      <c r="A836" t="s">
        <v>19</v>
      </c>
      <c r="B836">
        <v>5</v>
      </c>
      <c r="C836">
        <v>3</v>
      </c>
      <c r="D836">
        <v>0</v>
      </c>
      <c r="E836" t="s">
        <v>312</v>
      </c>
      <c r="F836">
        <v>27582</v>
      </c>
      <c r="G836">
        <v>45023457.333333336</v>
      </c>
      <c r="H836">
        <v>0.96037295212348306</v>
      </c>
      <c r="I836">
        <v>0.90909090909090906</v>
      </c>
      <c r="J836">
        <v>8542154.75</v>
      </c>
      <c r="K836">
        <v>44699</v>
      </c>
      <c r="L836">
        <v>2</v>
      </c>
      <c r="M836">
        <v>141</v>
      </c>
      <c r="N836">
        <v>0.90530303030303028</v>
      </c>
      <c r="O836">
        <v>7914052.083333333</v>
      </c>
      <c r="P836">
        <v>45300</v>
      </c>
      <c r="Q836">
        <v>2</v>
      </c>
      <c r="R836">
        <v>142</v>
      </c>
      <c r="S836" t="s">
        <v>687</v>
      </c>
      <c r="W836">
        <f>Cancer_doubles_final2[[#This Row],[mlp_params]]</f>
        <v>44699</v>
      </c>
      <c r="X836">
        <f>Cancer_doubles_final2[[#This Row],[kan_test_acc]]</f>
        <v>0.96037295212348306</v>
      </c>
      <c r="Y836">
        <f>Cancer_doubles_final2[[#This Row],[mlp_test_acc]]</f>
        <v>0.90909090909090906</v>
      </c>
      <c r="Z836">
        <f>Cancer_doubles_final2[[#This Row],[mlp_test_acc2]]</f>
        <v>0.90530303030303028</v>
      </c>
    </row>
    <row r="837" spans="1:26" hidden="1" x14ac:dyDescent="0.25">
      <c r="A837" t="s">
        <v>19</v>
      </c>
      <c r="B837">
        <v>3</v>
      </c>
      <c r="C837">
        <v>3</v>
      </c>
      <c r="D837">
        <v>0</v>
      </c>
      <c r="E837" t="s">
        <v>526</v>
      </c>
      <c r="F837">
        <v>27594</v>
      </c>
      <c r="G837">
        <v>41726069.125</v>
      </c>
      <c r="H837">
        <v>0.96940559397141135</v>
      </c>
      <c r="I837">
        <v>0.91608391608391604</v>
      </c>
      <c r="J837">
        <v>8543831.75</v>
      </c>
      <c r="K837">
        <v>48365</v>
      </c>
      <c r="L837">
        <v>2</v>
      </c>
      <c r="M837">
        <v>147</v>
      </c>
      <c r="N837">
        <v>0.91754079254079246</v>
      </c>
      <c r="O837">
        <v>8223116.833333333</v>
      </c>
      <c r="P837">
        <v>48990</v>
      </c>
      <c r="Q837">
        <v>2</v>
      </c>
      <c r="R837">
        <v>148</v>
      </c>
      <c r="S837" t="s">
        <v>688</v>
      </c>
      <c r="W837">
        <f>Cancer_doubles_final2[[#This Row],[mlp_params]]</f>
        <v>48365</v>
      </c>
      <c r="X837">
        <f>Cancer_doubles_final2[[#This Row],[kan_test_acc]]</f>
        <v>0.96940559397141135</v>
      </c>
      <c r="Y837">
        <f>Cancer_doubles_final2[[#This Row],[mlp_test_acc]]</f>
        <v>0.91608391608391604</v>
      </c>
      <c r="Z837">
        <f>Cancer_doubles_final2[[#This Row],[mlp_test_acc2]]</f>
        <v>0.91754079254079246</v>
      </c>
    </row>
    <row r="838" spans="1:26" hidden="1" x14ac:dyDescent="0.25">
      <c r="A838" t="s">
        <v>19</v>
      </c>
      <c r="B838">
        <v>3</v>
      </c>
      <c r="C838">
        <v>4</v>
      </c>
      <c r="D838">
        <v>0</v>
      </c>
      <c r="E838" t="s">
        <v>404</v>
      </c>
      <c r="F838">
        <v>27602</v>
      </c>
      <c r="G838">
        <v>43515000.361111112</v>
      </c>
      <c r="H838">
        <v>0.97707847919729018</v>
      </c>
      <c r="I838">
        <v>0.93783993783993791</v>
      </c>
      <c r="J838">
        <v>8751730.694444444</v>
      </c>
      <c r="K838">
        <v>52175</v>
      </c>
      <c r="L838">
        <v>2</v>
      </c>
      <c r="M838">
        <v>153</v>
      </c>
      <c r="N838">
        <v>0.94483294483294478</v>
      </c>
      <c r="O838">
        <v>9171077.472222222</v>
      </c>
      <c r="P838">
        <v>52824</v>
      </c>
      <c r="Q838">
        <v>2</v>
      </c>
      <c r="R838">
        <v>154</v>
      </c>
      <c r="S838" t="s">
        <v>689</v>
      </c>
      <c r="W838">
        <f>Cancer_doubles_final2[[#This Row],[mlp_params]]</f>
        <v>52175</v>
      </c>
      <c r="X838">
        <f>Cancer_doubles_final2[[#This Row],[kan_test_acc]]</f>
        <v>0.97707847919729018</v>
      </c>
      <c r="Y838">
        <f>Cancer_doubles_final2[[#This Row],[mlp_test_acc]]</f>
        <v>0.93783993783993791</v>
      </c>
      <c r="Z838">
        <f>Cancer_doubles_final2[[#This Row],[mlp_test_acc2]]</f>
        <v>0.94483294483294478</v>
      </c>
    </row>
    <row r="839" spans="1:26" hidden="1" x14ac:dyDescent="0.25">
      <c r="A839" t="s">
        <v>19</v>
      </c>
      <c r="B839">
        <v>5</v>
      </c>
      <c r="C839">
        <v>2</v>
      </c>
      <c r="D839">
        <v>0</v>
      </c>
      <c r="E839" t="s">
        <v>404</v>
      </c>
      <c r="F839">
        <v>27602</v>
      </c>
      <c r="G839">
        <v>36172278.791666672</v>
      </c>
      <c r="H839">
        <v>0.97377622127532959</v>
      </c>
      <c r="I839">
        <v>0.94405594405594406</v>
      </c>
      <c r="J839">
        <v>8244059.583333333</v>
      </c>
      <c r="K839">
        <v>41177</v>
      </c>
      <c r="L839">
        <v>2</v>
      </c>
      <c r="M839">
        <v>135</v>
      </c>
      <c r="N839">
        <v>0.94726107226107226</v>
      </c>
      <c r="O839">
        <v>9737678.4583333321</v>
      </c>
      <c r="P839">
        <v>41754</v>
      </c>
      <c r="Q839">
        <v>2</v>
      </c>
      <c r="R839">
        <v>136</v>
      </c>
      <c r="S839" t="s">
        <v>690</v>
      </c>
      <c r="W839">
        <f>Cancer_doubles_final2[[#This Row],[mlp_params]]</f>
        <v>41177</v>
      </c>
      <c r="X839">
        <f>Cancer_doubles_final2[[#This Row],[kan_test_acc]]</f>
        <v>0.97377622127532959</v>
      </c>
      <c r="Y839">
        <f>Cancer_doubles_final2[[#This Row],[mlp_test_acc]]</f>
        <v>0.94405594405594406</v>
      </c>
      <c r="Z839">
        <f>Cancer_doubles_final2[[#This Row],[mlp_test_acc2]]</f>
        <v>0.94726107226107226</v>
      </c>
    </row>
    <row r="840" spans="1:26" hidden="1" x14ac:dyDescent="0.25">
      <c r="A840" t="s">
        <v>19</v>
      </c>
      <c r="B840">
        <v>3</v>
      </c>
      <c r="C840">
        <v>4</v>
      </c>
      <c r="D840">
        <v>0</v>
      </c>
      <c r="E840" t="s">
        <v>404</v>
      </c>
      <c r="F840">
        <v>27602</v>
      </c>
      <c r="G840">
        <v>35195607.25</v>
      </c>
      <c r="H840">
        <v>0.96940558652083086</v>
      </c>
      <c r="I840">
        <v>0.92948717948717952</v>
      </c>
      <c r="J840">
        <v>8276154.666666666</v>
      </c>
      <c r="K840">
        <v>52175</v>
      </c>
      <c r="L840">
        <v>2</v>
      </c>
      <c r="M840">
        <v>153</v>
      </c>
      <c r="N840">
        <v>0.93036130536130535</v>
      </c>
      <c r="O840">
        <v>9283882.708333334</v>
      </c>
      <c r="P840">
        <v>52824</v>
      </c>
      <c r="Q840">
        <v>2</v>
      </c>
      <c r="R840">
        <v>154</v>
      </c>
      <c r="S840" t="s">
        <v>689</v>
      </c>
      <c r="W840">
        <f>Cancer_doubles_final2[[#This Row],[mlp_params]]</f>
        <v>52175</v>
      </c>
      <c r="X840">
        <f>Cancer_doubles_final2[[#This Row],[kan_test_acc]]</f>
        <v>0.96940558652083086</v>
      </c>
      <c r="Y840">
        <f>Cancer_doubles_final2[[#This Row],[mlp_test_acc]]</f>
        <v>0.92948717948717952</v>
      </c>
      <c r="Z840">
        <f>Cancer_doubles_final2[[#This Row],[mlp_test_acc2]]</f>
        <v>0.93036130536130535</v>
      </c>
    </row>
    <row r="841" spans="1:26" hidden="1" x14ac:dyDescent="0.25">
      <c r="A841" t="s">
        <v>19</v>
      </c>
      <c r="B841">
        <v>5</v>
      </c>
      <c r="C841">
        <v>2</v>
      </c>
      <c r="D841">
        <v>0</v>
      </c>
      <c r="E841" t="s">
        <v>404</v>
      </c>
      <c r="F841">
        <v>27602</v>
      </c>
      <c r="G841">
        <v>37004976.25</v>
      </c>
      <c r="H841">
        <v>0.96095570425192511</v>
      </c>
      <c r="I841">
        <v>0.909965034965035</v>
      </c>
      <c r="J841">
        <v>8008108.25</v>
      </c>
      <c r="K841">
        <v>41177</v>
      </c>
      <c r="L841">
        <v>2</v>
      </c>
      <c r="M841">
        <v>135</v>
      </c>
      <c r="N841">
        <v>0.90967365967365965</v>
      </c>
      <c r="O841">
        <v>8752579.75</v>
      </c>
      <c r="P841">
        <v>41754</v>
      </c>
      <c r="Q841">
        <v>2</v>
      </c>
      <c r="R841">
        <v>136</v>
      </c>
      <c r="S841" t="s">
        <v>690</v>
      </c>
      <c r="W841">
        <f>Cancer_doubles_final2[[#This Row],[mlp_params]]</f>
        <v>41177</v>
      </c>
      <c r="X841">
        <f>Cancer_doubles_final2[[#This Row],[kan_test_acc]]</f>
        <v>0.96095570425192511</v>
      </c>
      <c r="Y841">
        <f>Cancer_doubles_final2[[#This Row],[mlp_test_acc]]</f>
        <v>0.909965034965035</v>
      </c>
      <c r="Z841">
        <f>Cancer_doubles_final2[[#This Row],[mlp_test_acc2]]</f>
        <v>0.90967365967365965</v>
      </c>
    </row>
    <row r="842" spans="1:26" hidden="1" x14ac:dyDescent="0.25">
      <c r="A842" t="s">
        <v>19</v>
      </c>
      <c r="B842">
        <v>5</v>
      </c>
      <c r="C842">
        <v>4</v>
      </c>
      <c r="D842">
        <v>0</v>
      </c>
      <c r="E842" t="s">
        <v>243</v>
      </c>
      <c r="F842">
        <v>27622</v>
      </c>
      <c r="G842">
        <v>34256027.291666664</v>
      </c>
      <c r="H842">
        <v>0.94930069645245863</v>
      </c>
      <c r="I842">
        <v>0.91870629370629375</v>
      </c>
      <c r="J842">
        <v>8451778.7916666679</v>
      </c>
      <c r="K842">
        <v>47744</v>
      </c>
      <c r="L842">
        <v>2</v>
      </c>
      <c r="M842">
        <v>146</v>
      </c>
      <c r="N842">
        <v>0.91142191142191153</v>
      </c>
      <c r="O842">
        <v>8437485.583333334</v>
      </c>
      <c r="P842">
        <v>48365</v>
      </c>
      <c r="Q842">
        <v>2</v>
      </c>
      <c r="R842">
        <v>147</v>
      </c>
      <c r="S842" t="s">
        <v>691</v>
      </c>
      <c r="W842">
        <f>Cancer_doubles_final2[[#This Row],[mlp_params]]</f>
        <v>47744</v>
      </c>
      <c r="X842">
        <f>Cancer_doubles_final2[[#This Row],[kan_test_acc]]</f>
        <v>0.94930069645245863</v>
      </c>
      <c r="Y842">
        <f>Cancer_doubles_final2[[#This Row],[mlp_test_acc]]</f>
        <v>0.91870629370629375</v>
      </c>
      <c r="Z842">
        <f>Cancer_doubles_final2[[#This Row],[mlp_test_acc2]]</f>
        <v>0.91142191142191153</v>
      </c>
    </row>
    <row r="843" spans="1:26" hidden="1" x14ac:dyDescent="0.25">
      <c r="A843" t="s">
        <v>19</v>
      </c>
      <c r="B843">
        <v>3</v>
      </c>
      <c r="C843">
        <v>3</v>
      </c>
      <c r="D843">
        <v>0</v>
      </c>
      <c r="E843" t="s">
        <v>530</v>
      </c>
      <c r="F843">
        <v>27628</v>
      </c>
      <c r="G843">
        <v>40012396.777777776</v>
      </c>
      <c r="H843">
        <v>0.95493395295408035</v>
      </c>
      <c r="I843">
        <v>0.94502719502719501</v>
      </c>
      <c r="J843">
        <v>8646101.25</v>
      </c>
      <c r="K843">
        <v>48990</v>
      </c>
      <c r="L843">
        <v>2</v>
      </c>
      <c r="M843">
        <v>148</v>
      </c>
      <c r="N843">
        <v>0.9423076923076924</v>
      </c>
      <c r="O843">
        <v>8784593.722222222</v>
      </c>
      <c r="P843">
        <v>49619</v>
      </c>
      <c r="Q843">
        <v>2</v>
      </c>
      <c r="R843">
        <v>149</v>
      </c>
      <c r="S843" t="s">
        <v>692</v>
      </c>
      <c r="W843">
        <f>Cancer_doubles_final2[[#This Row],[mlp_params]]</f>
        <v>48990</v>
      </c>
      <c r="X843">
        <f>Cancer_doubles_final2[[#This Row],[kan_test_acc]]</f>
        <v>0.95493395295408035</v>
      </c>
      <c r="Y843">
        <f>Cancer_doubles_final2[[#This Row],[mlp_test_acc]]</f>
        <v>0.94502719502719501</v>
      </c>
      <c r="Z843">
        <f>Cancer_doubles_final2[[#This Row],[mlp_test_acc2]]</f>
        <v>0.9423076923076924</v>
      </c>
    </row>
    <row r="844" spans="1:26" hidden="1" x14ac:dyDescent="0.25">
      <c r="A844" t="s">
        <v>19</v>
      </c>
      <c r="B844">
        <v>3</v>
      </c>
      <c r="C844">
        <v>4</v>
      </c>
      <c r="D844">
        <v>0</v>
      </c>
      <c r="E844" t="s">
        <v>408</v>
      </c>
      <c r="F844">
        <v>27650</v>
      </c>
      <c r="G844">
        <v>42706325.083333336</v>
      </c>
      <c r="H844">
        <v>0.97552447021007538</v>
      </c>
      <c r="I844">
        <v>0.94250194250194252</v>
      </c>
      <c r="J844">
        <v>8444007.333333334</v>
      </c>
      <c r="K844">
        <v>52175</v>
      </c>
      <c r="L844">
        <v>2</v>
      </c>
      <c r="M844">
        <v>153</v>
      </c>
      <c r="N844">
        <v>0.94444444444444453</v>
      </c>
      <c r="O844">
        <v>8997750.027777778</v>
      </c>
      <c r="P844">
        <v>52824</v>
      </c>
      <c r="Q844">
        <v>2</v>
      </c>
      <c r="R844">
        <v>154</v>
      </c>
      <c r="S844" t="s">
        <v>693</v>
      </c>
      <c r="W844">
        <f>Cancer_doubles_final2[[#This Row],[mlp_params]]</f>
        <v>52175</v>
      </c>
      <c r="X844">
        <f>Cancer_doubles_final2[[#This Row],[kan_test_acc]]</f>
        <v>0.97552447021007538</v>
      </c>
      <c r="Y844">
        <f>Cancer_doubles_final2[[#This Row],[mlp_test_acc]]</f>
        <v>0.94250194250194252</v>
      </c>
      <c r="Z844">
        <f>Cancer_doubles_final2[[#This Row],[mlp_test_acc2]]</f>
        <v>0.94444444444444453</v>
      </c>
    </row>
    <row r="845" spans="1:26" hidden="1" x14ac:dyDescent="0.25">
      <c r="A845" t="s">
        <v>19</v>
      </c>
      <c r="B845">
        <v>5</v>
      </c>
      <c r="C845">
        <v>2</v>
      </c>
      <c r="D845">
        <v>0</v>
      </c>
      <c r="E845" t="s">
        <v>408</v>
      </c>
      <c r="F845">
        <v>27650</v>
      </c>
      <c r="G845">
        <v>40464638.25</v>
      </c>
      <c r="H845">
        <v>0.97231933722893404</v>
      </c>
      <c r="I845">
        <v>0.94871794871794868</v>
      </c>
      <c r="J845">
        <v>8673577.7083333321</v>
      </c>
      <c r="K845">
        <v>41177</v>
      </c>
      <c r="L845">
        <v>2</v>
      </c>
      <c r="M845">
        <v>135</v>
      </c>
      <c r="N845">
        <v>0.94900932400932403</v>
      </c>
      <c r="O845">
        <v>8808568.75</v>
      </c>
      <c r="P845">
        <v>41754</v>
      </c>
      <c r="Q845">
        <v>2</v>
      </c>
      <c r="R845">
        <v>136</v>
      </c>
      <c r="S845" t="s">
        <v>694</v>
      </c>
      <c r="W845">
        <f>Cancer_doubles_final2[[#This Row],[mlp_params]]</f>
        <v>41177</v>
      </c>
      <c r="X845">
        <f>Cancer_doubles_final2[[#This Row],[kan_test_acc]]</f>
        <v>0.97231933722893404</v>
      </c>
      <c r="Y845">
        <f>Cancer_doubles_final2[[#This Row],[mlp_test_acc]]</f>
        <v>0.94871794871794868</v>
      </c>
      <c r="Z845">
        <f>Cancer_doubles_final2[[#This Row],[mlp_test_acc2]]</f>
        <v>0.94900932400932403</v>
      </c>
    </row>
    <row r="846" spans="1:26" hidden="1" x14ac:dyDescent="0.25">
      <c r="A846" t="s">
        <v>19</v>
      </c>
      <c r="B846">
        <v>3</v>
      </c>
      <c r="C846">
        <v>4</v>
      </c>
      <c r="D846">
        <v>0</v>
      </c>
      <c r="E846" t="s">
        <v>408</v>
      </c>
      <c r="F846">
        <v>27650</v>
      </c>
      <c r="G846">
        <v>38973998.958333336</v>
      </c>
      <c r="H846">
        <v>0.97202795992294955</v>
      </c>
      <c r="I846">
        <v>0.9332750582750583</v>
      </c>
      <c r="J846">
        <v>9225555.7083333321</v>
      </c>
      <c r="K846">
        <v>52175</v>
      </c>
      <c r="L846">
        <v>2</v>
      </c>
      <c r="M846">
        <v>153</v>
      </c>
      <c r="N846">
        <v>0.93152680652680653</v>
      </c>
      <c r="O846">
        <v>9539142.625</v>
      </c>
      <c r="P846">
        <v>52824</v>
      </c>
      <c r="Q846">
        <v>2</v>
      </c>
      <c r="R846">
        <v>154</v>
      </c>
      <c r="S846" t="s">
        <v>693</v>
      </c>
      <c r="W846">
        <f>Cancer_doubles_final2[[#This Row],[mlp_params]]</f>
        <v>52175</v>
      </c>
      <c r="X846">
        <f>Cancer_doubles_final2[[#This Row],[kan_test_acc]]</f>
        <v>0.97202795992294955</v>
      </c>
      <c r="Y846">
        <f>Cancer_doubles_final2[[#This Row],[mlp_test_acc]]</f>
        <v>0.9332750582750583</v>
      </c>
      <c r="Z846">
        <f>Cancer_doubles_final2[[#This Row],[mlp_test_acc2]]</f>
        <v>0.93152680652680653</v>
      </c>
    </row>
    <row r="847" spans="1:26" hidden="1" x14ac:dyDescent="0.25">
      <c r="A847" t="s">
        <v>19</v>
      </c>
      <c r="B847">
        <v>5</v>
      </c>
      <c r="C847">
        <v>2</v>
      </c>
      <c r="D847">
        <v>0</v>
      </c>
      <c r="E847" t="s">
        <v>408</v>
      </c>
      <c r="F847">
        <v>27650</v>
      </c>
      <c r="G847">
        <v>34798489.208333336</v>
      </c>
      <c r="H847">
        <v>0.97290209184090304</v>
      </c>
      <c r="I847">
        <v>0.93356643356643365</v>
      </c>
      <c r="J847">
        <v>9602916</v>
      </c>
      <c r="K847">
        <v>41177</v>
      </c>
      <c r="L847">
        <v>2</v>
      </c>
      <c r="M847">
        <v>135</v>
      </c>
      <c r="N847">
        <v>0.93356643356643354</v>
      </c>
      <c r="O847">
        <v>9319754.666666666</v>
      </c>
      <c r="P847">
        <v>41754</v>
      </c>
      <c r="Q847">
        <v>2</v>
      </c>
      <c r="R847">
        <v>136</v>
      </c>
      <c r="S847" t="s">
        <v>694</v>
      </c>
      <c r="W847">
        <f>Cancer_doubles_final2[[#This Row],[mlp_params]]</f>
        <v>41177</v>
      </c>
      <c r="X847">
        <f>Cancer_doubles_final2[[#This Row],[kan_test_acc]]</f>
        <v>0.97290209184090304</v>
      </c>
      <c r="Y847">
        <f>Cancer_doubles_final2[[#This Row],[mlp_test_acc]]</f>
        <v>0.93356643356643365</v>
      </c>
      <c r="Z847">
        <f>Cancer_doubles_final2[[#This Row],[mlp_test_acc2]]</f>
        <v>0.93356643356643354</v>
      </c>
    </row>
    <row r="848" spans="1:26" hidden="1" x14ac:dyDescent="0.25">
      <c r="A848" t="s">
        <v>19</v>
      </c>
      <c r="B848">
        <v>9</v>
      </c>
      <c r="C848">
        <v>4</v>
      </c>
      <c r="D848">
        <v>0</v>
      </c>
      <c r="E848" t="s">
        <v>133</v>
      </c>
      <c r="F848">
        <v>27704</v>
      </c>
      <c r="G848">
        <v>30789735.083333332</v>
      </c>
      <c r="H848">
        <v>0.96416083723306656</v>
      </c>
      <c r="I848">
        <v>0.95571095571095577</v>
      </c>
      <c r="J848">
        <v>8996501.75</v>
      </c>
      <c r="K848">
        <v>42920</v>
      </c>
      <c r="L848">
        <v>2</v>
      </c>
      <c r="M848">
        <v>138</v>
      </c>
      <c r="N848">
        <v>0.9565850815850816</v>
      </c>
      <c r="O848">
        <v>8591977.916666666</v>
      </c>
      <c r="P848">
        <v>43509</v>
      </c>
      <c r="Q848">
        <v>2</v>
      </c>
      <c r="R848">
        <v>139</v>
      </c>
      <c r="S848" t="s">
        <v>695</v>
      </c>
      <c r="W848">
        <f>Cancer_doubles_final2[[#This Row],[mlp_params]]</f>
        <v>42920</v>
      </c>
      <c r="X848">
        <f>Cancer_doubles_final2[[#This Row],[kan_test_acc]]</f>
        <v>0.96416083723306656</v>
      </c>
      <c r="Y848">
        <f>Cancer_doubles_final2[[#This Row],[mlp_test_acc]]</f>
        <v>0.95571095571095577</v>
      </c>
      <c r="Z848">
        <f>Cancer_doubles_final2[[#This Row],[mlp_test_acc2]]</f>
        <v>0.9565850815850816</v>
      </c>
    </row>
    <row r="849" spans="1:26" hidden="1" x14ac:dyDescent="0.25">
      <c r="A849" t="s">
        <v>19</v>
      </c>
      <c r="B849">
        <v>5</v>
      </c>
      <c r="C849">
        <v>4</v>
      </c>
      <c r="D849">
        <v>0</v>
      </c>
      <c r="E849" t="s">
        <v>250</v>
      </c>
      <c r="F849">
        <v>27772</v>
      </c>
      <c r="G849">
        <v>34128943.666666672</v>
      </c>
      <c r="H849">
        <v>0.96882283935944247</v>
      </c>
      <c r="I849">
        <v>0.95949883449883455</v>
      </c>
      <c r="J849">
        <v>9655411.375</v>
      </c>
      <c r="K849">
        <v>48365</v>
      </c>
      <c r="L849">
        <v>2</v>
      </c>
      <c r="M849">
        <v>147</v>
      </c>
      <c r="N849">
        <v>0.96299533799533799</v>
      </c>
      <c r="O849">
        <v>8893372.2916666679</v>
      </c>
      <c r="P849">
        <v>48990</v>
      </c>
      <c r="Q849">
        <v>2</v>
      </c>
      <c r="R849">
        <v>148</v>
      </c>
      <c r="S849" t="s">
        <v>696</v>
      </c>
      <c r="W849">
        <f>Cancer_doubles_final2[[#This Row],[mlp_params]]</f>
        <v>48365</v>
      </c>
      <c r="X849">
        <f>Cancer_doubles_final2[[#This Row],[kan_test_acc]]</f>
        <v>0.96882283935944247</v>
      </c>
      <c r="Y849">
        <f>Cancer_doubles_final2[[#This Row],[mlp_test_acc]]</f>
        <v>0.95949883449883455</v>
      </c>
      <c r="Z849">
        <f>Cancer_doubles_final2[[#This Row],[mlp_test_acc2]]</f>
        <v>0.96299533799533799</v>
      </c>
    </row>
    <row r="850" spans="1:26" hidden="1" x14ac:dyDescent="0.25">
      <c r="A850" t="s">
        <v>19</v>
      </c>
      <c r="B850">
        <v>3</v>
      </c>
      <c r="C850">
        <v>2</v>
      </c>
      <c r="D850">
        <v>0</v>
      </c>
      <c r="E850" t="s">
        <v>697</v>
      </c>
      <c r="F850">
        <v>27778</v>
      </c>
      <c r="G850">
        <v>36681145.229166664</v>
      </c>
      <c r="H850">
        <v>0.95760489503542578</v>
      </c>
      <c r="I850">
        <v>0.93079836829836826</v>
      </c>
      <c r="J850">
        <v>9297357.520833334</v>
      </c>
      <c r="K850">
        <v>44699</v>
      </c>
      <c r="L850">
        <v>2</v>
      </c>
      <c r="M850">
        <v>141</v>
      </c>
      <c r="N850">
        <v>0.93283799533799527</v>
      </c>
      <c r="O850">
        <v>9424461.75</v>
      </c>
      <c r="P850">
        <v>45300</v>
      </c>
      <c r="Q850">
        <v>2</v>
      </c>
      <c r="R850">
        <v>142</v>
      </c>
      <c r="S850" t="s">
        <v>698</v>
      </c>
      <c r="W850">
        <f>Cancer_doubles_final2[[#This Row],[mlp_params]]</f>
        <v>44699</v>
      </c>
      <c r="X850">
        <f>Cancer_doubles_final2[[#This Row],[kan_test_acc]]</f>
        <v>0.95760489503542578</v>
      </c>
      <c r="Y850">
        <f>Cancer_doubles_final2[[#This Row],[mlp_test_acc]]</f>
        <v>0.93079836829836826</v>
      </c>
      <c r="Z850">
        <f>Cancer_doubles_final2[[#This Row],[mlp_test_acc2]]</f>
        <v>0.93283799533799527</v>
      </c>
    </row>
    <row r="851" spans="1:26" hidden="1" x14ac:dyDescent="0.25">
      <c r="A851" t="s">
        <v>19</v>
      </c>
      <c r="B851">
        <v>9</v>
      </c>
      <c r="C851">
        <v>2</v>
      </c>
      <c r="D851">
        <v>0</v>
      </c>
      <c r="E851" t="s">
        <v>173</v>
      </c>
      <c r="F851">
        <v>27784</v>
      </c>
      <c r="G851">
        <v>35329991.472222224</v>
      </c>
      <c r="H851">
        <v>0.94541569219695198</v>
      </c>
      <c r="I851">
        <v>0.93473193473193472</v>
      </c>
      <c r="J851">
        <v>9347646.694444444</v>
      </c>
      <c r="K851">
        <v>37250</v>
      </c>
      <c r="L851">
        <v>2</v>
      </c>
      <c r="M851">
        <v>128</v>
      </c>
      <c r="N851">
        <v>0.9358974358974359</v>
      </c>
      <c r="O851">
        <v>9631866.916666666</v>
      </c>
      <c r="P851">
        <v>37799</v>
      </c>
      <c r="Q851">
        <v>2</v>
      </c>
      <c r="R851">
        <v>129</v>
      </c>
      <c r="S851" t="s">
        <v>699</v>
      </c>
      <c r="W851">
        <f>Cancer_doubles_final2[[#This Row],[mlp_params]]</f>
        <v>37250</v>
      </c>
      <c r="X851">
        <f>Cancer_doubles_final2[[#This Row],[kan_test_acc]]</f>
        <v>0.94541569219695198</v>
      </c>
      <c r="Y851">
        <f>Cancer_doubles_final2[[#This Row],[mlp_test_acc]]</f>
        <v>0.93473193473193472</v>
      </c>
      <c r="Z851">
        <f>Cancer_doubles_final2[[#This Row],[mlp_test_acc2]]</f>
        <v>0.9358974358974359</v>
      </c>
    </row>
    <row r="852" spans="1:26" x14ac:dyDescent="0.25">
      <c r="A852" t="s">
        <v>19</v>
      </c>
      <c r="B852">
        <v>3</v>
      </c>
      <c r="C852">
        <v>5</v>
      </c>
      <c r="D852">
        <v>0</v>
      </c>
      <c r="E852" t="s">
        <v>316</v>
      </c>
      <c r="F852">
        <v>27840</v>
      </c>
      <c r="G852">
        <v>38936816.25</v>
      </c>
      <c r="H852">
        <v>0.93783993522326148</v>
      </c>
      <c r="I852">
        <v>0.9222999222999223</v>
      </c>
      <c r="J852">
        <v>9750232.4166666679</v>
      </c>
      <c r="K852">
        <v>55460</v>
      </c>
      <c r="L852">
        <v>2</v>
      </c>
      <c r="M852">
        <v>158</v>
      </c>
      <c r="N852">
        <v>0.92152292152292159</v>
      </c>
      <c r="O852">
        <v>9262259.5</v>
      </c>
      <c r="P852">
        <v>56129</v>
      </c>
      <c r="Q852">
        <v>2</v>
      </c>
      <c r="R852">
        <v>159</v>
      </c>
      <c r="S852" t="s">
        <v>700</v>
      </c>
      <c r="W852">
        <f>Cancer_doubles_final2[[#This Row],[mlp_params]]</f>
        <v>55460</v>
      </c>
      <c r="X852">
        <f>Cancer_doubles_final2[[#This Row],[kan_test_acc]]</f>
        <v>0.93783993522326148</v>
      </c>
      <c r="Y852">
        <f>Cancer_doubles_final2[[#This Row],[mlp_test_acc]]</f>
        <v>0.9222999222999223</v>
      </c>
      <c r="Z852">
        <f>Cancer_doubles_final2[[#This Row],[mlp_test_acc2]]</f>
        <v>0.92152292152292159</v>
      </c>
    </row>
    <row r="853" spans="1:26" hidden="1" x14ac:dyDescent="0.25">
      <c r="A853" t="s">
        <v>19</v>
      </c>
      <c r="B853">
        <v>5</v>
      </c>
      <c r="C853">
        <v>3</v>
      </c>
      <c r="D853">
        <v>0</v>
      </c>
      <c r="E853" t="s">
        <v>316</v>
      </c>
      <c r="F853">
        <v>27840</v>
      </c>
      <c r="G853">
        <v>48246082.833333336</v>
      </c>
      <c r="H853">
        <v>0.96853146205345797</v>
      </c>
      <c r="I853">
        <v>0.93851981351981351</v>
      </c>
      <c r="J853">
        <v>9301494.0416666679</v>
      </c>
      <c r="K853">
        <v>45300</v>
      </c>
      <c r="L853">
        <v>2</v>
      </c>
      <c r="M853">
        <v>142</v>
      </c>
      <c r="N853">
        <v>0.93881118881118886</v>
      </c>
      <c r="O853">
        <v>9654908.3333333321</v>
      </c>
      <c r="P853">
        <v>45905</v>
      </c>
      <c r="Q853">
        <v>2</v>
      </c>
      <c r="R853">
        <v>143</v>
      </c>
      <c r="S853" t="s">
        <v>701</v>
      </c>
      <c r="W853">
        <f>Cancer_doubles_final2[[#This Row],[mlp_params]]</f>
        <v>45300</v>
      </c>
      <c r="X853">
        <f>Cancer_doubles_final2[[#This Row],[kan_test_acc]]</f>
        <v>0.96853146205345797</v>
      </c>
      <c r="Y853">
        <f>Cancer_doubles_final2[[#This Row],[mlp_test_acc]]</f>
        <v>0.93851981351981351</v>
      </c>
      <c r="Z853">
        <f>Cancer_doubles_final2[[#This Row],[mlp_test_acc2]]</f>
        <v>0.93881118881118886</v>
      </c>
    </row>
    <row r="854" spans="1:26" hidden="1" x14ac:dyDescent="0.25">
      <c r="A854" t="s">
        <v>19</v>
      </c>
      <c r="B854">
        <v>9</v>
      </c>
      <c r="C854">
        <v>2</v>
      </c>
      <c r="D854">
        <v>0</v>
      </c>
      <c r="E854" t="s">
        <v>175</v>
      </c>
      <c r="F854">
        <v>27840</v>
      </c>
      <c r="G854">
        <v>34180786.416666672</v>
      </c>
      <c r="H854">
        <v>0.95192306985457731</v>
      </c>
      <c r="I854">
        <v>0.92890442890442892</v>
      </c>
      <c r="J854">
        <v>8908472.2916666679</v>
      </c>
      <c r="K854">
        <v>37250</v>
      </c>
      <c r="L854">
        <v>2</v>
      </c>
      <c r="M854">
        <v>128</v>
      </c>
      <c r="N854">
        <v>0.92657342657342656</v>
      </c>
      <c r="O854">
        <v>9504715.5833333321</v>
      </c>
      <c r="P854">
        <v>37799</v>
      </c>
      <c r="Q854">
        <v>2</v>
      </c>
      <c r="R854">
        <v>129</v>
      </c>
      <c r="S854" t="s">
        <v>702</v>
      </c>
      <c r="W854">
        <f>Cancer_doubles_final2[[#This Row],[mlp_params]]</f>
        <v>37250</v>
      </c>
      <c r="X854">
        <f>Cancer_doubles_final2[[#This Row],[kan_test_acc]]</f>
        <v>0.95192306985457731</v>
      </c>
      <c r="Y854">
        <f>Cancer_doubles_final2[[#This Row],[mlp_test_acc]]</f>
        <v>0.92890442890442892</v>
      </c>
      <c r="Z854">
        <f>Cancer_doubles_final2[[#This Row],[mlp_test_acc2]]</f>
        <v>0.92657342657342656</v>
      </c>
    </row>
    <row r="855" spans="1:26" x14ac:dyDescent="0.25">
      <c r="A855" t="s">
        <v>19</v>
      </c>
      <c r="B855">
        <v>3</v>
      </c>
      <c r="C855">
        <v>5</v>
      </c>
      <c r="D855">
        <v>0</v>
      </c>
      <c r="E855" t="s">
        <v>316</v>
      </c>
      <c r="F855">
        <v>27840</v>
      </c>
      <c r="G855">
        <v>39574466.833333328</v>
      </c>
      <c r="H855">
        <v>0.94609555602073669</v>
      </c>
      <c r="I855">
        <v>0.9332750582750583</v>
      </c>
      <c r="J855">
        <v>9219867.458333334</v>
      </c>
      <c r="K855">
        <v>55460</v>
      </c>
      <c r="L855">
        <v>2</v>
      </c>
      <c r="M855">
        <v>158</v>
      </c>
      <c r="N855">
        <v>0.92890442890442881</v>
      </c>
      <c r="O855">
        <v>9455493.375</v>
      </c>
      <c r="P855">
        <v>56129</v>
      </c>
      <c r="Q855">
        <v>2</v>
      </c>
      <c r="R855">
        <v>159</v>
      </c>
      <c r="S855" t="s">
        <v>700</v>
      </c>
      <c r="W855">
        <f>Cancer_doubles_final2[[#This Row],[mlp_params]]</f>
        <v>55460</v>
      </c>
      <c r="X855">
        <f>Cancer_doubles_final2[[#This Row],[kan_test_acc]]</f>
        <v>0.94609555602073669</v>
      </c>
      <c r="Y855">
        <f>Cancer_doubles_final2[[#This Row],[mlp_test_acc]]</f>
        <v>0.9332750582750583</v>
      </c>
      <c r="Z855">
        <f>Cancer_doubles_final2[[#This Row],[mlp_test_acc2]]</f>
        <v>0.92890442890442881</v>
      </c>
    </row>
    <row r="856" spans="1:26" hidden="1" x14ac:dyDescent="0.25">
      <c r="A856" t="s">
        <v>19</v>
      </c>
      <c r="B856">
        <v>5</v>
      </c>
      <c r="C856">
        <v>3</v>
      </c>
      <c r="D856">
        <v>0</v>
      </c>
      <c r="E856" t="s">
        <v>316</v>
      </c>
      <c r="F856">
        <v>27840</v>
      </c>
      <c r="G856">
        <v>43759315.916666664</v>
      </c>
      <c r="H856">
        <v>0.95308856666088104</v>
      </c>
      <c r="I856">
        <v>0.92220279720279719</v>
      </c>
      <c r="J856">
        <v>9057386.2916666679</v>
      </c>
      <c r="K856">
        <v>45300</v>
      </c>
      <c r="L856">
        <v>2</v>
      </c>
      <c r="M856">
        <v>142</v>
      </c>
      <c r="N856">
        <v>0.91666666666666663</v>
      </c>
      <c r="O856">
        <v>9407810.875</v>
      </c>
      <c r="P856">
        <v>45905</v>
      </c>
      <c r="Q856">
        <v>2</v>
      </c>
      <c r="R856">
        <v>143</v>
      </c>
      <c r="S856" t="s">
        <v>701</v>
      </c>
      <c r="W856">
        <f>Cancer_doubles_final2[[#This Row],[mlp_params]]</f>
        <v>45300</v>
      </c>
      <c r="X856">
        <f>Cancer_doubles_final2[[#This Row],[kan_test_acc]]</f>
        <v>0.95308856666088104</v>
      </c>
      <c r="Y856">
        <f>Cancer_doubles_final2[[#This Row],[mlp_test_acc]]</f>
        <v>0.92220279720279719</v>
      </c>
      <c r="Z856">
        <f>Cancer_doubles_final2[[#This Row],[mlp_test_acc2]]</f>
        <v>0.91666666666666663</v>
      </c>
    </row>
    <row r="857" spans="1:26" hidden="1" x14ac:dyDescent="0.25">
      <c r="A857" t="s">
        <v>19</v>
      </c>
      <c r="B857">
        <v>9</v>
      </c>
      <c r="C857">
        <v>2</v>
      </c>
      <c r="D857">
        <v>0</v>
      </c>
      <c r="E857" t="s">
        <v>175</v>
      </c>
      <c r="F857">
        <v>27840</v>
      </c>
      <c r="G857">
        <v>34432278.958333328</v>
      </c>
      <c r="H857">
        <v>0.93385781099398935</v>
      </c>
      <c r="I857">
        <v>0.90326340326340326</v>
      </c>
      <c r="J857">
        <v>8580877</v>
      </c>
      <c r="K857">
        <v>37250</v>
      </c>
      <c r="L857">
        <v>2</v>
      </c>
      <c r="M857">
        <v>128</v>
      </c>
      <c r="N857">
        <v>0.90180652680652673</v>
      </c>
      <c r="O857">
        <v>8606563.875</v>
      </c>
      <c r="P857">
        <v>37799</v>
      </c>
      <c r="Q857">
        <v>2</v>
      </c>
      <c r="R857">
        <v>129</v>
      </c>
      <c r="S857" t="s">
        <v>702</v>
      </c>
      <c r="W857">
        <f>Cancer_doubles_final2[[#This Row],[mlp_params]]</f>
        <v>37250</v>
      </c>
      <c r="X857">
        <f>Cancer_doubles_final2[[#This Row],[kan_test_acc]]</f>
        <v>0.93385781099398935</v>
      </c>
      <c r="Y857">
        <f>Cancer_doubles_final2[[#This Row],[mlp_test_acc]]</f>
        <v>0.90326340326340326</v>
      </c>
      <c r="Z857">
        <f>Cancer_doubles_final2[[#This Row],[mlp_test_acc2]]</f>
        <v>0.90180652680652673</v>
      </c>
    </row>
    <row r="858" spans="1:26" x14ac:dyDescent="0.25">
      <c r="A858" t="s">
        <v>19</v>
      </c>
      <c r="B858">
        <v>3</v>
      </c>
      <c r="C858">
        <v>5</v>
      </c>
      <c r="D858">
        <v>0</v>
      </c>
      <c r="E858" t="s">
        <v>319</v>
      </c>
      <c r="F858">
        <v>27844</v>
      </c>
      <c r="G858">
        <v>39445603.666666672</v>
      </c>
      <c r="H858">
        <v>0.9449300691485405</v>
      </c>
      <c r="I858">
        <v>0.92657342657342656</v>
      </c>
      <c r="J858">
        <v>8862243.3333333321</v>
      </c>
      <c r="K858">
        <v>55460</v>
      </c>
      <c r="L858">
        <v>2</v>
      </c>
      <c r="M858">
        <v>158</v>
      </c>
      <c r="N858">
        <v>0.92715617715617715</v>
      </c>
      <c r="O858">
        <v>8675294.5416666679</v>
      </c>
      <c r="P858">
        <v>56129</v>
      </c>
      <c r="Q858">
        <v>2</v>
      </c>
      <c r="R858">
        <v>159</v>
      </c>
      <c r="S858" t="s">
        <v>703</v>
      </c>
      <c r="W858">
        <f>Cancer_doubles_final2[[#This Row],[mlp_params]]</f>
        <v>55460</v>
      </c>
      <c r="X858">
        <f>Cancer_doubles_final2[[#This Row],[kan_test_acc]]</f>
        <v>0.9449300691485405</v>
      </c>
      <c r="Y858">
        <f>Cancer_doubles_final2[[#This Row],[mlp_test_acc]]</f>
        <v>0.92657342657342656</v>
      </c>
      <c r="Z858">
        <f>Cancer_doubles_final2[[#This Row],[mlp_test_acc2]]</f>
        <v>0.92715617715617715</v>
      </c>
    </row>
    <row r="859" spans="1:26" hidden="1" x14ac:dyDescent="0.25">
      <c r="A859" t="s">
        <v>19</v>
      </c>
      <c r="B859">
        <v>5</v>
      </c>
      <c r="C859">
        <v>3</v>
      </c>
      <c r="D859">
        <v>0</v>
      </c>
      <c r="E859" t="s">
        <v>319</v>
      </c>
      <c r="F859">
        <v>27844</v>
      </c>
      <c r="G859">
        <v>43392026.916666664</v>
      </c>
      <c r="H859">
        <v>0.96969695885976148</v>
      </c>
      <c r="I859">
        <v>0.94114219114219111</v>
      </c>
      <c r="J859">
        <v>8926574.875</v>
      </c>
      <c r="K859">
        <v>45300</v>
      </c>
      <c r="L859">
        <v>2</v>
      </c>
      <c r="M859">
        <v>142</v>
      </c>
      <c r="N859">
        <v>0.93997668997669004</v>
      </c>
      <c r="O859">
        <v>8285302.833333334</v>
      </c>
      <c r="P859">
        <v>45905</v>
      </c>
      <c r="Q859">
        <v>2</v>
      </c>
      <c r="R859">
        <v>143</v>
      </c>
      <c r="S859" t="s">
        <v>704</v>
      </c>
      <c r="W859">
        <f>Cancer_doubles_final2[[#This Row],[mlp_params]]</f>
        <v>45300</v>
      </c>
      <c r="X859">
        <f>Cancer_doubles_final2[[#This Row],[kan_test_acc]]</f>
        <v>0.96969695885976148</v>
      </c>
      <c r="Y859">
        <f>Cancer_doubles_final2[[#This Row],[mlp_test_acc]]</f>
        <v>0.94114219114219111</v>
      </c>
      <c r="Z859">
        <f>Cancer_doubles_final2[[#This Row],[mlp_test_acc2]]</f>
        <v>0.93997668997669004</v>
      </c>
    </row>
    <row r="860" spans="1:26" x14ac:dyDescent="0.25">
      <c r="A860" t="s">
        <v>19</v>
      </c>
      <c r="B860">
        <v>3</v>
      </c>
      <c r="C860">
        <v>5</v>
      </c>
      <c r="D860">
        <v>0</v>
      </c>
      <c r="E860" t="s">
        <v>319</v>
      </c>
      <c r="F860">
        <v>27844</v>
      </c>
      <c r="G860">
        <v>49934110.875</v>
      </c>
      <c r="H860">
        <v>0.95658507198095322</v>
      </c>
      <c r="I860">
        <v>0.93968531468531469</v>
      </c>
      <c r="J860">
        <v>8807252.3333333321</v>
      </c>
      <c r="K860">
        <v>55460</v>
      </c>
      <c r="L860">
        <v>2</v>
      </c>
      <c r="M860">
        <v>158</v>
      </c>
      <c r="N860">
        <v>0.94085081585081587</v>
      </c>
      <c r="O860">
        <v>8732150.75</v>
      </c>
      <c r="P860">
        <v>56129</v>
      </c>
      <c r="Q860">
        <v>2</v>
      </c>
      <c r="R860">
        <v>159</v>
      </c>
      <c r="S860" t="s">
        <v>703</v>
      </c>
      <c r="W860">
        <f>Cancer_doubles_final2[[#This Row],[mlp_params]]</f>
        <v>55460</v>
      </c>
      <c r="X860">
        <f>Cancer_doubles_final2[[#This Row],[kan_test_acc]]</f>
        <v>0.95658507198095322</v>
      </c>
      <c r="Y860">
        <f>Cancer_doubles_final2[[#This Row],[mlp_test_acc]]</f>
        <v>0.93968531468531469</v>
      </c>
      <c r="Z860">
        <f>Cancer_doubles_final2[[#This Row],[mlp_test_acc2]]</f>
        <v>0.94085081585081587</v>
      </c>
    </row>
    <row r="861" spans="1:26" hidden="1" x14ac:dyDescent="0.25">
      <c r="A861" t="s">
        <v>19</v>
      </c>
      <c r="B861">
        <v>5</v>
      </c>
      <c r="C861">
        <v>3</v>
      </c>
      <c r="D861">
        <v>0</v>
      </c>
      <c r="E861" t="s">
        <v>319</v>
      </c>
      <c r="F861">
        <v>27844</v>
      </c>
      <c r="G861">
        <v>46529054.25</v>
      </c>
      <c r="H861">
        <v>0.9344405556718508</v>
      </c>
      <c r="I861">
        <v>0.92249417249417243</v>
      </c>
      <c r="J861">
        <v>9269277.25</v>
      </c>
      <c r="K861">
        <v>45300</v>
      </c>
      <c r="L861">
        <v>2</v>
      </c>
      <c r="M861">
        <v>142</v>
      </c>
      <c r="N861">
        <v>0.91724941724941722</v>
      </c>
      <c r="O861">
        <v>8677055.291666666</v>
      </c>
      <c r="P861">
        <v>45905</v>
      </c>
      <c r="Q861">
        <v>2</v>
      </c>
      <c r="R861">
        <v>143</v>
      </c>
      <c r="S861" t="s">
        <v>704</v>
      </c>
      <c r="W861">
        <f>Cancer_doubles_final2[[#This Row],[mlp_params]]</f>
        <v>45300</v>
      </c>
      <c r="X861">
        <f>Cancer_doubles_final2[[#This Row],[kan_test_acc]]</f>
        <v>0.9344405556718508</v>
      </c>
      <c r="Y861">
        <f>Cancer_doubles_final2[[#This Row],[mlp_test_acc]]</f>
        <v>0.92249417249417243</v>
      </c>
      <c r="Z861">
        <f>Cancer_doubles_final2[[#This Row],[mlp_test_acc2]]</f>
        <v>0.91724941724941722</v>
      </c>
    </row>
    <row r="862" spans="1:26" hidden="1" x14ac:dyDescent="0.25">
      <c r="A862" t="s">
        <v>19</v>
      </c>
      <c r="B862">
        <v>5</v>
      </c>
      <c r="C862">
        <v>4</v>
      </c>
      <c r="D862">
        <v>0</v>
      </c>
      <c r="E862" t="s">
        <v>252</v>
      </c>
      <c r="F862">
        <v>27864</v>
      </c>
      <c r="G862">
        <v>36606221.958333328</v>
      </c>
      <c r="H862">
        <v>0.93618880709012342</v>
      </c>
      <c r="I862">
        <v>0.93152680652680653</v>
      </c>
      <c r="J862">
        <v>9665308.166666666</v>
      </c>
      <c r="K862">
        <v>48365</v>
      </c>
      <c r="L862">
        <v>2</v>
      </c>
      <c r="M862">
        <v>147</v>
      </c>
      <c r="N862">
        <v>0.92278554778554778</v>
      </c>
      <c r="O862">
        <v>9254291.8333333321</v>
      </c>
      <c r="P862">
        <v>48990</v>
      </c>
      <c r="Q862">
        <v>2</v>
      </c>
      <c r="R862">
        <v>148</v>
      </c>
      <c r="S862" t="s">
        <v>705</v>
      </c>
      <c r="W862">
        <f>Cancer_doubles_final2[[#This Row],[mlp_params]]</f>
        <v>48365</v>
      </c>
      <c r="X862">
        <f>Cancer_doubles_final2[[#This Row],[kan_test_acc]]</f>
        <v>0.93618880709012342</v>
      </c>
      <c r="Y862">
        <f>Cancer_doubles_final2[[#This Row],[mlp_test_acc]]</f>
        <v>0.93152680652680653</v>
      </c>
      <c r="Z862">
        <f>Cancer_doubles_final2[[#This Row],[mlp_test_acc2]]</f>
        <v>0.92278554778554778</v>
      </c>
    </row>
    <row r="863" spans="1:26" hidden="1" x14ac:dyDescent="0.25">
      <c r="A863" t="s">
        <v>19</v>
      </c>
      <c r="B863">
        <v>9</v>
      </c>
      <c r="C863">
        <v>2</v>
      </c>
      <c r="D863">
        <v>0</v>
      </c>
      <c r="E863" t="s">
        <v>177</v>
      </c>
      <c r="F863">
        <v>27898</v>
      </c>
      <c r="G863">
        <v>33887377.916666672</v>
      </c>
      <c r="H863">
        <v>0.94318181400497758</v>
      </c>
      <c r="I863">
        <v>0.94085081585081576</v>
      </c>
      <c r="J863">
        <v>8920468.270833334</v>
      </c>
      <c r="K863">
        <v>37799</v>
      </c>
      <c r="L863">
        <v>2</v>
      </c>
      <c r="M863">
        <v>129</v>
      </c>
      <c r="N863">
        <v>0.93779137529137535</v>
      </c>
      <c r="O863">
        <v>9526200.375</v>
      </c>
      <c r="P863">
        <v>38352</v>
      </c>
      <c r="Q863">
        <v>2</v>
      </c>
      <c r="R863">
        <v>130</v>
      </c>
      <c r="S863" t="s">
        <v>706</v>
      </c>
      <c r="W863">
        <f>Cancer_doubles_final2[[#This Row],[mlp_params]]</f>
        <v>37799</v>
      </c>
      <c r="X863">
        <f>Cancer_doubles_final2[[#This Row],[kan_test_acc]]</f>
        <v>0.94318181400497758</v>
      </c>
      <c r="Y863">
        <f>Cancer_doubles_final2[[#This Row],[mlp_test_acc]]</f>
        <v>0.94085081585081576</v>
      </c>
      <c r="Z863">
        <f>Cancer_doubles_final2[[#This Row],[mlp_test_acc2]]</f>
        <v>0.93779137529137535</v>
      </c>
    </row>
    <row r="864" spans="1:26" hidden="1" x14ac:dyDescent="0.25">
      <c r="A864" t="s">
        <v>19</v>
      </c>
      <c r="B864">
        <v>9</v>
      </c>
      <c r="C864">
        <v>3</v>
      </c>
      <c r="D864">
        <v>0</v>
      </c>
      <c r="E864" t="s">
        <v>152</v>
      </c>
      <c r="F864">
        <v>27900</v>
      </c>
      <c r="G864">
        <v>24572369.72222222</v>
      </c>
      <c r="H864">
        <v>0.91938616500960457</v>
      </c>
      <c r="I864">
        <v>0.91355866355866355</v>
      </c>
      <c r="J864">
        <v>9659742.027777778</v>
      </c>
      <c r="K864">
        <v>40604</v>
      </c>
      <c r="L864">
        <v>2</v>
      </c>
      <c r="M864">
        <v>134</v>
      </c>
      <c r="N864">
        <v>0.91258741258741261</v>
      </c>
      <c r="O864">
        <v>8250316.916666667</v>
      </c>
      <c r="P864">
        <v>41177</v>
      </c>
      <c r="Q864">
        <v>2</v>
      </c>
      <c r="R864">
        <v>135</v>
      </c>
      <c r="S864" t="s">
        <v>707</v>
      </c>
      <c r="W864">
        <f>Cancer_doubles_final2[[#This Row],[mlp_params]]</f>
        <v>40604</v>
      </c>
      <c r="X864">
        <f>Cancer_doubles_final2[[#This Row],[kan_test_acc]]</f>
        <v>0.91938616500960457</v>
      </c>
      <c r="Y864">
        <f>Cancer_doubles_final2[[#This Row],[mlp_test_acc]]</f>
        <v>0.91355866355866355</v>
      </c>
      <c r="Z864">
        <f>Cancer_doubles_final2[[#This Row],[mlp_test_acc2]]</f>
        <v>0.91258741258741261</v>
      </c>
    </row>
    <row r="865" spans="1:26" hidden="1" x14ac:dyDescent="0.25">
      <c r="A865" t="s">
        <v>19</v>
      </c>
      <c r="B865">
        <v>5</v>
      </c>
      <c r="C865">
        <v>4</v>
      </c>
      <c r="D865">
        <v>0</v>
      </c>
      <c r="E865" t="s">
        <v>256</v>
      </c>
      <c r="F865">
        <v>27914</v>
      </c>
      <c r="G865">
        <v>31834025.111111108</v>
      </c>
      <c r="H865">
        <v>0.94114218486679924</v>
      </c>
      <c r="I865">
        <v>0.92521367521367526</v>
      </c>
      <c r="J865">
        <v>10175631.694444444</v>
      </c>
      <c r="K865">
        <v>48365</v>
      </c>
      <c r="L865">
        <v>2</v>
      </c>
      <c r="M865">
        <v>147</v>
      </c>
      <c r="N865">
        <v>0.92560217560217561</v>
      </c>
      <c r="O865">
        <v>9586916.6111111119</v>
      </c>
      <c r="P865">
        <v>48990</v>
      </c>
      <c r="Q865">
        <v>2</v>
      </c>
      <c r="R865">
        <v>148</v>
      </c>
      <c r="S865" t="s">
        <v>708</v>
      </c>
      <c r="W865">
        <f>Cancer_doubles_final2[[#This Row],[mlp_params]]</f>
        <v>48365</v>
      </c>
      <c r="X865">
        <f>Cancer_doubles_final2[[#This Row],[kan_test_acc]]</f>
        <v>0.94114218486679924</v>
      </c>
      <c r="Y865">
        <f>Cancer_doubles_final2[[#This Row],[mlp_test_acc]]</f>
        <v>0.92521367521367526</v>
      </c>
      <c r="Z865">
        <f>Cancer_doubles_final2[[#This Row],[mlp_test_acc2]]</f>
        <v>0.92560217560217561</v>
      </c>
    </row>
    <row r="866" spans="1:26" x14ac:dyDescent="0.25">
      <c r="A866" t="s">
        <v>19</v>
      </c>
      <c r="B866">
        <v>3</v>
      </c>
      <c r="C866">
        <v>5</v>
      </c>
      <c r="D866">
        <v>0</v>
      </c>
      <c r="E866" t="s">
        <v>321</v>
      </c>
      <c r="F866">
        <v>27930</v>
      </c>
      <c r="G866">
        <v>37535629.354166664</v>
      </c>
      <c r="H866">
        <v>0.95600232978661859</v>
      </c>
      <c r="I866">
        <v>0.94332750582750591</v>
      </c>
      <c r="J866">
        <v>10202177.895833332</v>
      </c>
      <c r="K866">
        <v>55460</v>
      </c>
      <c r="L866">
        <v>2</v>
      </c>
      <c r="M866">
        <v>158</v>
      </c>
      <c r="N866">
        <v>0.94449300699300698</v>
      </c>
      <c r="O866">
        <v>9211561.3125</v>
      </c>
      <c r="P866">
        <v>56129</v>
      </c>
      <c r="Q866">
        <v>2</v>
      </c>
      <c r="R866">
        <v>159</v>
      </c>
      <c r="S866" t="s">
        <v>709</v>
      </c>
      <c r="W866">
        <f>Cancer_doubles_final2[[#This Row],[mlp_params]]</f>
        <v>55460</v>
      </c>
      <c r="X866">
        <f>Cancer_doubles_final2[[#This Row],[kan_test_acc]]</f>
        <v>0.95600232978661859</v>
      </c>
      <c r="Y866">
        <f>Cancer_doubles_final2[[#This Row],[mlp_test_acc]]</f>
        <v>0.94332750582750591</v>
      </c>
      <c r="Z866">
        <f>Cancer_doubles_final2[[#This Row],[mlp_test_acc2]]</f>
        <v>0.94449300699300698</v>
      </c>
    </row>
    <row r="867" spans="1:26" hidden="1" x14ac:dyDescent="0.25">
      <c r="A867" t="s">
        <v>19</v>
      </c>
      <c r="B867">
        <v>5</v>
      </c>
      <c r="C867">
        <v>3</v>
      </c>
      <c r="D867">
        <v>0</v>
      </c>
      <c r="E867" t="s">
        <v>321</v>
      </c>
      <c r="F867">
        <v>27930</v>
      </c>
      <c r="G867">
        <v>42778109.583333336</v>
      </c>
      <c r="H867">
        <v>0.9635780851046245</v>
      </c>
      <c r="I867">
        <v>0.93793706293706292</v>
      </c>
      <c r="J867">
        <v>9903402</v>
      </c>
      <c r="K867">
        <v>45300</v>
      </c>
      <c r="L867">
        <v>2</v>
      </c>
      <c r="M867">
        <v>142</v>
      </c>
      <c r="N867">
        <v>0.94143356643356646</v>
      </c>
      <c r="O867">
        <v>9402285.5</v>
      </c>
      <c r="P867">
        <v>45905</v>
      </c>
      <c r="Q867">
        <v>2</v>
      </c>
      <c r="R867">
        <v>143</v>
      </c>
      <c r="S867" t="s">
        <v>710</v>
      </c>
      <c r="W867">
        <f>Cancer_doubles_final2[[#This Row],[mlp_params]]</f>
        <v>45300</v>
      </c>
      <c r="X867">
        <f>Cancer_doubles_final2[[#This Row],[kan_test_acc]]</f>
        <v>0.9635780851046245</v>
      </c>
      <c r="Y867">
        <f>Cancer_doubles_final2[[#This Row],[mlp_test_acc]]</f>
        <v>0.93793706293706292</v>
      </c>
      <c r="Z867">
        <f>Cancer_doubles_final2[[#This Row],[mlp_test_acc2]]</f>
        <v>0.94143356643356646</v>
      </c>
    </row>
    <row r="868" spans="1:26" x14ac:dyDescent="0.25">
      <c r="A868" t="s">
        <v>19</v>
      </c>
      <c r="B868">
        <v>3</v>
      </c>
      <c r="C868">
        <v>5</v>
      </c>
      <c r="D868">
        <v>0</v>
      </c>
      <c r="E868" t="s">
        <v>321</v>
      </c>
      <c r="F868">
        <v>27930</v>
      </c>
      <c r="G868">
        <v>42215958.291666664</v>
      </c>
      <c r="H868">
        <v>0.95716782410939538</v>
      </c>
      <c r="I868">
        <v>0.94026806526806528</v>
      </c>
      <c r="J868">
        <v>9334367.833333334</v>
      </c>
      <c r="K868">
        <v>55460</v>
      </c>
      <c r="L868">
        <v>2</v>
      </c>
      <c r="M868">
        <v>158</v>
      </c>
      <c r="N868">
        <v>0.94026806526806528</v>
      </c>
      <c r="O868">
        <v>9940917.0833333321</v>
      </c>
      <c r="P868">
        <v>56129</v>
      </c>
      <c r="Q868">
        <v>2</v>
      </c>
      <c r="R868">
        <v>159</v>
      </c>
      <c r="S868" t="s">
        <v>709</v>
      </c>
      <c r="W868">
        <f>Cancer_doubles_final2[[#This Row],[mlp_params]]</f>
        <v>55460</v>
      </c>
      <c r="X868">
        <f>Cancer_doubles_final2[[#This Row],[kan_test_acc]]</f>
        <v>0.95716782410939538</v>
      </c>
      <c r="Y868">
        <f>Cancer_doubles_final2[[#This Row],[mlp_test_acc]]</f>
        <v>0.94026806526806528</v>
      </c>
      <c r="Z868">
        <f>Cancer_doubles_final2[[#This Row],[mlp_test_acc2]]</f>
        <v>0.94026806526806528</v>
      </c>
    </row>
    <row r="869" spans="1:26" hidden="1" x14ac:dyDescent="0.25">
      <c r="A869" t="s">
        <v>19</v>
      </c>
      <c r="B869">
        <v>5</v>
      </c>
      <c r="C869">
        <v>3</v>
      </c>
      <c r="D869">
        <v>0</v>
      </c>
      <c r="E869" t="s">
        <v>321</v>
      </c>
      <c r="F869">
        <v>27930</v>
      </c>
      <c r="G869">
        <v>41839064.125</v>
      </c>
      <c r="H869">
        <v>0.94434731205304467</v>
      </c>
      <c r="I869">
        <v>0.92132867132867124</v>
      </c>
      <c r="J869">
        <v>9217829.875</v>
      </c>
      <c r="K869">
        <v>45300</v>
      </c>
      <c r="L869">
        <v>2</v>
      </c>
      <c r="M869">
        <v>142</v>
      </c>
      <c r="N869">
        <v>0.91812354312354305</v>
      </c>
      <c r="O869">
        <v>9844419.791666666</v>
      </c>
      <c r="P869">
        <v>45905</v>
      </c>
      <c r="Q869">
        <v>2</v>
      </c>
      <c r="R869">
        <v>143</v>
      </c>
      <c r="S869" t="s">
        <v>710</v>
      </c>
      <c r="W869">
        <f>Cancer_doubles_final2[[#This Row],[mlp_params]]</f>
        <v>45300</v>
      </c>
      <c r="X869">
        <f>Cancer_doubles_final2[[#This Row],[kan_test_acc]]</f>
        <v>0.94434731205304467</v>
      </c>
      <c r="Y869">
        <f>Cancer_doubles_final2[[#This Row],[mlp_test_acc]]</f>
        <v>0.92132867132867124</v>
      </c>
      <c r="Z869">
        <f>Cancer_doubles_final2[[#This Row],[mlp_test_acc2]]</f>
        <v>0.91812354312354305</v>
      </c>
    </row>
    <row r="870" spans="1:26" hidden="1" x14ac:dyDescent="0.25">
      <c r="A870" t="s">
        <v>19</v>
      </c>
      <c r="B870">
        <v>9</v>
      </c>
      <c r="C870">
        <v>3</v>
      </c>
      <c r="D870">
        <v>0</v>
      </c>
      <c r="E870" t="s">
        <v>154</v>
      </c>
      <c r="F870">
        <v>27962</v>
      </c>
      <c r="G870">
        <v>29554211.541666664</v>
      </c>
      <c r="H870">
        <v>0.93648017694552743</v>
      </c>
      <c r="I870">
        <v>0.91054778554778548</v>
      </c>
      <c r="J870">
        <v>9826651.791666666</v>
      </c>
      <c r="K870">
        <v>40604</v>
      </c>
      <c r="L870">
        <v>2</v>
      </c>
      <c r="M870">
        <v>134</v>
      </c>
      <c r="N870">
        <v>0.90559440559440563</v>
      </c>
      <c r="O870">
        <v>9446587.5416666679</v>
      </c>
      <c r="P870">
        <v>41177</v>
      </c>
      <c r="Q870">
        <v>2</v>
      </c>
      <c r="R870">
        <v>135</v>
      </c>
      <c r="S870" t="s">
        <v>711</v>
      </c>
      <c r="W870">
        <f>Cancer_doubles_final2[[#This Row],[mlp_params]]</f>
        <v>40604</v>
      </c>
      <c r="X870">
        <f>Cancer_doubles_final2[[#This Row],[kan_test_acc]]</f>
        <v>0.93648017694552743</v>
      </c>
      <c r="Y870">
        <f>Cancer_doubles_final2[[#This Row],[mlp_test_acc]]</f>
        <v>0.91054778554778548</v>
      </c>
      <c r="Z870">
        <f>Cancer_doubles_final2[[#This Row],[mlp_test_acc2]]</f>
        <v>0.90559440559440563</v>
      </c>
    </row>
    <row r="871" spans="1:26" hidden="1" x14ac:dyDescent="0.25">
      <c r="A871" t="s">
        <v>19</v>
      </c>
      <c r="B871">
        <v>3</v>
      </c>
      <c r="C871">
        <v>4</v>
      </c>
      <c r="D871">
        <v>0</v>
      </c>
      <c r="E871" t="s">
        <v>417</v>
      </c>
      <c r="F871">
        <v>28048</v>
      </c>
      <c r="G871">
        <v>31517833.583333332</v>
      </c>
      <c r="H871">
        <v>0.94949493971135879</v>
      </c>
      <c r="I871">
        <v>0.92599067599067597</v>
      </c>
      <c r="J871">
        <v>9118559.222222222</v>
      </c>
      <c r="K871">
        <v>52824</v>
      </c>
      <c r="L871">
        <v>2</v>
      </c>
      <c r="M871">
        <v>154</v>
      </c>
      <c r="N871">
        <v>0.9261849261849262</v>
      </c>
      <c r="O871">
        <v>9549797</v>
      </c>
      <c r="P871">
        <v>53477</v>
      </c>
      <c r="Q871">
        <v>2</v>
      </c>
      <c r="R871">
        <v>155</v>
      </c>
      <c r="S871" t="s">
        <v>712</v>
      </c>
      <c r="W871">
        <f>Cancer_doubles_final2[[#This Row],[mlp_params]]</f>
        <v>52824</v>
      </c>
      <c r="X871">
        <f>Cancer_doubles_final2[[#This Row],[kan_test_acc]]</f>
        <v>0.94949493971135879</v>
      </c>
      <c r="Y871">
        <f>Cancer_doubles_final2[[#This Row],[mlp_test_acc]]</f>
        <v>0.92599067599067597</v>
      </c>
      <c r="Z871">
        <f>Cancer_doubles_final2[[#This Row],[mlp_test_acc2]]</f>
        <v>0.9261849261849262</v>
      </c>
    </row>
    <row r="872" spans="1:26" hidden="1" x14ac:dyDescent="0.25">
      <c r="A872" t="s">
        <v>19</v>
      </c>
      <c r="B872">
        <v>5</v>
      </c>
      <c r="C872">
        <v>2</v>
      </c>
      <c r="D872">
        <v>0</v>
      </c>
      <c r="E872" t="s">
        <v>417</v>
      </c>
      <c r="F872">
        <v>28048</v>
      </c>
      <c r="G872">
        <v>42817415</v>
      </c>
      <c r="H872">
        <v>0.97115385035673785</v>
      </c>
      <c r="I872">
        <v>0.94638694638694632</v>
      </c>
      <c r="J872">
        <v>7787906.75</v>
      </c>
      <c r="K872">
        <v>41754</v>
      </c>
      <c r="L872">
        <v>2</v>
      </c>
      <c r="M872">
        <v>136</v>
      </c>
      <c r="N872">
        <v>0.94318181818181812</v>
      </c>
      <c r="O872">
        <v>8966764.8333333321</v>
      </c>
      <c r="P872">
        <v>42335</v>
      </c>
      <c r="Q872">
        <v>2</v>
      </c>
      <c r="R872">
        <v>137</v>
      </c>
      <c r="S872" t="s">
        <v>713</v>
      </c>
      <c r="W872">
        <f>Cancer_doubles_final2[[#This Row],[mlp_params]]</f>
        <v>41754</v>
      </c>
      <c r="X872">
        <f>Cancer_doubles_final2[[#This Row],[kan_test_acc]]</f>
        <v>0.97115385035673785</v>
      </c>
      <c r="Y872">
        <f>Cancer_doubles_final2[[#This Row],[mlp_test_acc]]</f>
        <v>0.94638694638694632</v>
      </c>
      <c r="Z872">
        <f>Cancer_doubles_final2[[#This Row],[mlp_test_acc2]]</f>
        <v>0.94318181818181812</v>
      </c>
    </row>
    <row r="873" spans="1:26" hidden="1" x14ac:dyDescent="0.25">
      <c r="A873" t="s">
        <v>19</v>
      </c>
      <c r="B873">
        <v>3</v>
      </c>
      <c r="C873">
        <v>4</v>
      </c>
      <c r="D873">
        <v>0</v>
      </c>
      <c r="E873" t="s">
        <v>417</v>
      </c>
      <c r="F873">
        <v>28048</v>
      </c>
      <c r="G873">
        <v>40706928.916666672</v>
      </c>
      <c r="H873">
        <v>0.96911421666542696</v>
      </c>
      <c r="I873">
        <v>0.93240093240093236</v>
      </c>
      <c r="J873">
        <v>8249401.625</v>
      </c>
      <c r="K873">
        <v>52824</v>
      </c>
      <c r="L873">
        <v>2</v>
      </c>
      <c r="M873">
        <v>154</v>
      </c>
      <c r="N873">
        <v>0.93006993006993011</v>
      </c>
      <c r="O873">
        <v>8992814.5</v>
      </c>
      <c r="P873">
        <v>53477</v>
      </c>
      <c r="Q873">
        <v>2</v>
      </c>
      <c r="R873">
        <v>155</v>
      </c>
      <c r="S873" t="s">
        <v>712</v>
      </c>
      <c r="W873">
        <f>Cancer_doubles_final2[[#This Row],[mlp_params]]</f>
        <v>52824</v>
      </c>
      <c r="X873">
        <f>Cancer_doubles_final2[[#This Row],[kan_test_acc]]</f>
        <v>0.96911421666542696</v>
      </c>
      <c r="Y873">
        <f>Cancer_doubles_final2[[#This Row],[mlp_test_acc]]</f>
        <v>0.93240093240093236</v>
      </c>
      <c r="Z873">
        <f>Cancer_doubles_final2[[#This Row],[mlp_test_acc2]]</f>
        <v>0.93006993006993011</v>
      </c>
    </row>
    <row r="874" spans="1:26" hidden="1" x14ac:dyDescent="0.25">
      <c r="A874" t="s">
        <v>19</v>
      </c>
      <c r="B874">
        <v>5</v>
      </c>
      <c r="C874">
        <v>2</v>
      </c>
      <c r="D874">
        <v>0</v>
      </c>
      <c r="E874" t="s">
        <v>417</v>
      </c>
      <c r="F874">
        <v>28048</v>
      </c>
      <c r="G874">
        <v>36402277.291666672</v>
      </c>
      <c r="H874">
        <v>0.97144520779450738</v>
      </c>
      <c r="I874">
        <v>0.93036130536130535</v>
      </c>
      <c r="J874">
        <v>9118450.208333334</v>
      </c>
      <c r="K874">
        <v>41754</v>
      </c>
      <c r="L874">
        <v>2</v>
      </c>
      <c r="M874">
        <v>136</v>
      </c>
      <c r="N874">
        <v>0.93240093240093236</v>
      </c>
      <c r="O874">
        <v>9465570.708333334</v>
      </c>
      <c r="P874">
        <v>42335</v>
      </c>
      <c r="Q874">
        <v>2</v>
      </c>
      <c r="R874">
        <v>137</v>
      </c>
      <c r="S874" t="s">
        <v>713</v>
      </c>
      <c r="W874">
        <f>Cancer_doubles_final2[[#This Row],[mlp_params]]</f>
        <v>41754</v>
      </c>
      <c r="X874">
        <f>Cancer_doubles_final2[[#This Row],[kan_test_acc]]</f>
        <v>0.97144520779450738</v>
      </c>
      <c r="Y874">
        <f>Cancer_doubles_final2[[#This Row],[mlp_test_acc]]</f>
        <v>0.93036130536130535</v>
      </c>
      <c r="Z874">
        <f>Cancer_doubles_final2[[#This Row],[mlp_test_acc2]]</f>
        <v>0.93240093240093236</v>
      </c>
    </row>
    <row r="875" spans="1:26" hidden="1" x14ac:dyDescent="0.25">
      <c r="A875" t="s">
        <v>19</v>
      </c>
      <c r="B875">
        <v>3</v>
      </c>
      <c r="C875">
        <v>3</v>
      </c>
      <c r="D875">
        <v>0</v>
      </c>
      <c r="E875" t="s">
        <v>550</v>
      </c>
      <c r="F875">
        <v>28066</v>
      </c>
      <c r="G875">
        <v>43619732.416666672</v>
      </c>
      <c r="H875">
        <v>0.97435896843671799</v>
      </c>
      <c r="I875">
        <v>0.94347319347319347</v>
      </c>
      <c r="J875">
        <v>9387549.625</v>
      </c>
      <c r="K875">
        <v>49619</v>
      </c>
      <c r="L875">
        <v>2</v>
      </c>
      <c r="M875">
        <v>149</v>
      </c>
      <c r="N875">
        <v>0.94463869463869465</v>
      </c>
      <c r="O875">
        <v>9720466.6666666679</v>
      </c>
      <c r="P875">
        <v>50252</v>
      </c>
      <c r="Q875">
        <v>2</v>
      </c>
      <c r="R875">
        <v>150</v>
      </c>
      <c r="S875" t="s">
        <v>714</v>
      </c>
      <c r="W875">
        <f>Cancer_doubles_final2[[#This Row],[mlp_params]]</f>
        <v>49619</v>
      </c>
      <c r="X875">
        <f>Cancer_doubles_final2[[#This Row],[kan_test_acc]]</f>
        <v>0.97435896843671799</v>
      </c>
      <c r="Y875">
        <f>Cancer_doubles_final2[[#This Row],[mlp_test_acc]]</f>
        <v>0.94347319347319347</v>
      </c>
      <c r="Z875">
        <f>Cancer_doubles_final2[[#This Row],[mlp_test_acc2]]</f>
        <v>0.94463869463869465</v>
      </c>
    </row>
    <row r="876" spans="1:26" hidden="1" x14ac:dyDescent="0.25">
      <c r="A876" t="s">
        <v>19</v>
      </c>
      <c r="B876">
        <v>5</v>
      </c>
      <c r="C876">
        <v>4</v>
      </c>
      <c r="D876">
        <v>0</v>
      </c>
      <c r="E876" t="s">
        <v>260</v>
      </c>
      <c r="F876">
        <v>28150</v>
      </c>
      <c r="G876">
        <v>43522156.722222224</v>
      </c>
      <c r="H876">
        <v>0.95920745531717932</v>
      </c>
      <c r="I876">
        <v>0.93550893550893555</v>
      </c>
      <c r="J876">
        <v>8737039.694444444</v>
      </c>
      <c r="K876">
        <v>48990</v>
      </c>
      <c r="L876">
        <v>2</v>
      </c>
      <c r="M876">
        <v>148</v>
      </c>
      <c r="N876">
        <v>0.93842268842268839</v>
      </c>
      <c r="O876">
        <v>9416555.8888888881</v>
      </c>
      <c r="P876">
        <v>49619</v>
      </c>
      <c r="Q876">
        <v>2</v>
      </c>
      <c r="R876">
        <v>149</v>
      </c>
      <c r="S876" t="s">
        <v>715</v>
      </c>
      <c r="W876">
        <f>Cancer_doubles_final2[[#This Row],[mlp_params]]</f>
        <v>48990</v>
      </c>
      <c r="X876">
        <f>Cancer_doubles_final2[[#This Row],[kan_test_acc]]</f>
        <v>0.95920745531717932</v>
      </c>
      <c r="Y876">
        <f>Cancer_doubles_final2[[#This Row],[mlp_test_acc]]</f>
        <v>0.93550893550893555</v>
      </c>
      <c r="Z876">
        <f>Cancer_doubles_final2[[#This Row],[mlp_test_acc2]]</f>
        <v>0.93842268842268839</v>
      </c>
    </row>
    <row r="877" spans="1:26" hidden="1" x14ac:dyDescent="0.25">
      <c r="A877" t="s">
        <v>19</v>
      </c>
      <c r="B877">
        <v>3</v>
      </c>
      <c r="C877">
        <v>3</v>
      </c>
      <c r="D877">
        <v>0</v>
      </c>
      <c r="E877" t="s">
        <v>561</v>
      </c>
      <c r="F877">
        <v>28280</v>
      </c>
      <c r="G877">
        <v>43099829.055555552</v>
      </c>
      <c r="H877">
        <v>0.96891996926731527</v>
      </c>
      <c r="I877">
        <v>0.93822843822843827</v>
      </c>
      <c r="J877">
        <v>9188353.3888888881</v>
      </c>
      <c r="K877">
        <v>49619</v>
      </c>
      <c r="L877">
        <v>2</v>
      </c>
      <c r="M877">
        <v>149</v>
      </c>
      <c r="N877">
        <v>0.94366744366744371</v>
      </c>
      <c r="O877">
        <v>9136794.75</v>
      </c>
      <c r="P877">
        <v>50252</v>
      </c>
      <c r="Q877">
        <v>2</v>
      </c>
      <c r="R877">
        <v>150</v>
      </c>
      <c r="S877" t="s">
        <v>716</v>
      </c>
      <c r="W877">
        <f>Cancer_doubles_final2[[#This Row],[mlp_params]]</f>
        <v>49619</v>
      </c>
      <c r="X877">
        <f>Cancer_doubles_final2[[#This Row],[kan_test_acc]]</f>
        <v>0.96891996926731527</v>
      </c>
      <c r="Y877">
        <f>Cancer_doubles_final2[[#This Row],[mlp_test_acc]]</f>
        <v>0.93822843822843827</v>
      </c>
      <c r="Z877">
        <f>Cancer_doubles_final2[[#This Row],[mlp_test_acc2]]</f>
        <v>0.94366744366744371</v>
      </c>
    </row>
    <row r="878" spans="1:26" hidden="1" x14ac:dyDescent="0.25">
      <c r="A878" t="s">
        <v>19</v>
      </c>
      <c r="B878">
        <v>3</v>
      </c>
      <c r="C878">
        <v>4</v>
      </c>
      <c r="D878">
        <v>0</v>
      </c>
      <c r="E878" t="s">
        <v>433</v>
      </c>
      <c r="F878">
        <v>28282</v>
      </c>
      <c r="G878">
        <v>41626158.638888888</v>
      </c>
      <c r="H878">
        <v>0.9749417271878984</v>
      </c>
      <c r="I878">
        <v>0.9397824397824398</v>
      </c>
      <c r="J878">
        <v>9675144.333333334</v>
      </c>
      <c r="K878">
        <v>53477</v>
      </c>
      <c r="L878">
        <v>2</v>
      </c>
      <c r="M878">
        <v>155</v>
      </c>
      <c r="N878">
        <v>0.94191919191919193</v>
      </c>
      <c r="O878">
        <v>8616353.194444444</v>
      </c>
      <c r="P878">
        <v>54134</v>
      </c>
      <c r="Q878">
        <v>2</v>
      </c>
      <c r="R878">
        <v>156</v>
      </c>
      <c r="S878" t="s">
        <v>717</v>
      </c>
      <c r="W878">
        <f>Cancer_doubles_final2[[#This Row],[mlp_params]]</f>
        <v>53477</v>
      </c>
      <c r="X878">
        <f>Cancer_doubles_final2[[#This Row],[kan_test_acc]]</f>
        <v>0.9749417271878984</v>
      </c>
      <c r="Y878">
        <f>Cancer_doubles_final2[[#This Row],[mlp_test_acc]]</f>
        <v>0.9397824397824398</v>
      </c>
      <c r="Z878">
        <f>Cancer_doubles_final2[[#This Row],[mlp_test_acc2]]</f>
        <v>0.94191919191919193</v>
      </c>
    </row>
    <row r="879" spans="1:26" hidden="1" x14ac:dyDescent="0.25">
      <c r="A879" t="s">
        <v>19</v>
      </c>
      <c r="B879">
        <v>5</v>
      </c>
      <c r="C879">
        <v>2</v>
      </c>
      <c r="D879">
        <v>0</v>
      </c>
      <c r="E879" t="s">
        <v>433</v>
      </c>
      <c r="F879">
        <v>28282</v>
      </c>
      <c r="G879">
        <v>35825068.083333328</v>
      </c>
      <c r="H879">
        <v>0.96503496418396639</v>
      </c>
      <c r="I879">
        <v>0.94376456876456882</v>
      </c>
      <c r="J879">
        <v>8455255.7083333321</v>
      </c>
      <c r="K879">
        <v>42335</v>
      </c>
      <c r="L879">
        <v>2</v>
      </c>
      <c r="M879">
        <v>137</v>
      </c>
      <c r="N879">
        <v>0.94143356643356646</v>
      </c>
      <c r="O879">
        <v>9523998.875</v>
      </c>
      <c r="P879">
        <v>42920</v>
      </c>
      <c r="Q879">
        <v>2</v>
      </c>
      <c r="R879">
        <v>138</v>
      </c>
      <c r="S879" t="s">
        <v>718</v>
      </c>
      <c r="W879">
        <f>Cancer_doubles_final2[[#This Row],[mlp_params]]</f>
        <v>42335</v>
      </c>
      <c r="X879">
        <f>Cancer_doubles_final2[[#This Row],[kan_test_acc]]</f>
        <v>0.96503496418396639</v>
      </c>
      <c r="Y879">
        <f>Cancer_doubles_final2[[#This Row],[mlp_test_acc]]</f>
        <v>0.94376456876456882</v>
      </c>
      <c r="Z879">
        <f>Cancer_doubles_final2[[#This Row],[mlp_test_acc2]]</f>
        <v>0.94143356643356646</v>
      </c>
    </row>
    <row r="880" spans="1:26" hidden="1" x14ac:dyDescent="0.25">
      <c r="A880" t="s">
        <v>19</v>
      </c>
      <c r="B880">
        <v>3</v>
      </c>
      <c r="C880">
        <v>4</v>
      </c>
      <c r="D880">
        <v>0</v>
      </c>
      <c r="E880" t="s">
        <v>433</v>
      </c>
      <c r="F880">
        <v>28282</v>
      </c>
      <c r="G880">
        <v>35942209.416666672</v>
      </c>
      <c r="H880">
        <v>0.96474358191092802</v>
      </c>
      <c r="I880">
        <v>0.92919580419580416</v>
      </c>
      <c r="J880">
        <v>8199975.75</v>
      </c>
      <c r="K880">
        <v>53477</v>
      </c>
      <c r="L880">
        <v>2</v>
      </c>
      <c r="M880">
        <v>155</v>
      </c>
      <c r="N880">
        <v>0.92803030303030298</v>
      </c>
      <c r="O880">
        <v>9246581.25</v>
      </c>
      <c r="P880">
        <v>54134</v>
      </c>
      <c r="Q880">
        <v>2</v>
      </c>
      <c r="R880">
        <v>156</v>
      </c>
      <c r="S880" t="s">
        <v>717</v>
      </c>
      <c r="W880">
        <f>Cancer_doubles_final2[[#This Row],[mlp_params]]</f>
        <v>53477</v>
      </c>
      <c r="X880">
        <f>Cancer_doubles_final2[[#This Row],[kan_test_acc]]</f>
        <v>0.96474358191092802</v>
      </c>
      <c r="Y880">
        <f>Cancer_doubles_final2[[#This Row],[mlp_test_acc]]</f>
        <v>0.92919580419580416</v>
      </c>
      <c r="Z880">
        <f>Cancer_doubles_final2[[#This Row],[mlp_test_acc2]]</f>
        <v>0.92803030303030298</v>
      </c>
    </row>
    <row r="881" spans="1:26" hidden="1" x14ac:dyDescent="0.25">
      <c r="A881" t="s">
        <v>19</v>
      </c>
      <c r="B881">
        <v>5</v>
      </c>
      <c r="C881">
        <v>2</v>
      </c>
      <c r="D881">
        <v>0</v>
      </c>
      <c r="E881" t="s">
        <v>433</v>
      </c>
      <c r="F881">
        <v>28282</v>
      </c>
      <c r="G881">
        <v>34223412.166666672</v>
      </c>
      <c r="H881">
        <v>0.96649183332920074</v>
      </c>
      <c r="I881">
        <v>0.91054778554778548</v>
      </c>
      <c r="J881">
        <v>8107622.333333334</v>
      </c>
      <c r="K881">
        <v>42335</v>
      </c>
      <c r="L881">
        <v>2</v>
      </c>
      <c r="M881">
        <v>137</v>
      </c>
      <c r="N881">
        <v>0.90763403263403264</v>
      </c>
      <c r="O881">
        <v>9002578.375</v>
      </c>
      <c r="P881">
        <v>42920</v>
      </c>
      <c r="Q881">
        <v>2</v>
      </c>
      <c r="R881">
        <v>138</v>
      </c>
      <c r="S881" t="s">
        <v>718</v>
      </c>
      <c r="W881">
        <f>Cancer_doubles_final2[[#This Row],[mlp_params]]</f>
        <v>42335</v>
      </c>
      <c r="X881">
        <f>Cancer_doubles_final2[[#This Row],[kan_test_acc]]</f>
        <v>0.96649183332920074</v>
      </c>
      <c r="Y881">
        <f>Cancer_doubles_final2[[#This Row],[mlp_test_acc]]</f>
        <v>0.91054778554778548</v>
      </c>
      <c r="Z881">
        <f>Cancer_doubles_final2[[#This Row],[mlp_test_acc2]]</f>
        <v>0.90763403263403264</v>
      </c>
    </row>
    <row r="882" spans="1:26" hidden="1" x14ac:dyDescent="0.25">
      <c r="A882" t="s">
        <v>19</v>
      </c>
      <c r="B882">
        <v>3</v>
      </c>
      <c r="C882">
        <v>4</v>
      </c>
      <c r="D882">
        <v>0</v>
      </c>
      <c r="E882" t="s">
        <v>435</v>
      </c>
      <c r="F882">
        <v>28286</v>
      </c>
      <c r="G882">
        <v>34782169.375</v>
      </c>
      <c r="H882">
        <v>0.96998834113279986</v>
      </c>
      <c r="I882">
        <v>0.92861305361305357</v>
      </c>
      <c r="J882">
        <v>8302435</v>
      </c>
      <c r="K882">
        <v>53477</v>
      </c>
      <c r="L882">
        <v>2</v>
      </c>
      <c r="M882">
        <v>155</v>
      </c>
      <c r="N882">
        <v>0.92103729603729612</v>
      </c>
      <c r="O882">
        <v>9161420.2916666679</v>
      </c>
      <c r="P882">
        <v>54134</v>
      </c>
      <c r="Q882">
        <v>2</v>
      </c>
      <c r="R882">
        <v>156</v>
      </c>
      <c r="S882" t="s">
        <v>719</v>
      </c>
      <c r="W882">
        <f>Cancer_doubles_final2[[#This Row],[mlp_params]]</f>
        <v>53477</v>
      </c>
      <c r="X882">
        <f>Cancer_doubles_final2[[#This Row],[kan_test_acc]]</f>
        <v>0.96998834113279986</v>
      </c>
      <c r="Y882">
        <f>Cancer_doubles_final2[[#This Row],[mlp_test_acc]]</f>
        <v>0.92861305361305357</v>
      </c>
      <c r="Z882">
        <f>Cancer_doubles_final2[[#This Row],[mlp_test_acc2]]</f>
        <v>0.92103729603729612</v>
      </c>
    </row>
    <row r="883" spans="1:26" hidden="1" x14ac:dyDescent="0.25">
      <c r="A883" t="s">
        <v>19</v>
      </c>
      <c r="B883">
        <v>5</v>
      </c>
      <c r="C883">
        <v>2</v>
      </c>
      <c r="D883">
        <v>0</v>
      </c>
      <c r="E883" t="s">
        <v>435</v>
      </c>
      <c r="F883">
        <v>28286</v>
      </c>
      <c r="G883">
        <v>39364085.208333336</v>
      </c>
      <c r="H883">
        <v>0.97902097801367449</v>
      </c>
      <c r="I883">
        <v>0.94784382284382285</v>
      </c>
      <c r="J883">
        <v>7986949</v>
      </c>
      <c r="K883">
        <v>42335</v>
      </c>
      <c r="L883">
        <v>2</v>
      </c>
      <c r="M883">
        <v>137</v>
      </c>
      <c r="N883">
        <v>0.94318181818181823</v>
      </c>
      <c r="O883">
        <v>9276188.25</v>
      </c>
      <c r="P883">
        <v>42920</v>
      </c>
      <c r="Q883">
        <v>2</v>
      </c>
      <c r="R883">
        <v>138</v>
      </c>
      <c r="S883" t="s">
        <v>720</v>
      </c>
      <c r="W883">
        <f>Cancer_doubles_final2[[#This Row],[mlp_params]]</f>
        <v>42335</v>
      </c>
      <c r="X883">
        <f>Cancer_doubles_final2[[#This Row],[kan_test_acc]]</f>
        <v>0.97902097801367449</v>
      </c>
      <c r="Y883">
        <f>Cancer_doubles_final2[[#This Row],[mlp_test_acc]]</f>
        <v>0.94784382284382285</v>
      </c>
      <c r="Z883">
        <f>Cancer_doubles_final2[[#This Row],[mlp_test_acc2]]</f>
        <v>0.94318181818181823</v>
      </c>
    </row>
    <row r="884" spans="1:26" hidden="1" x14ac:dyDescent="0.25">
      <c r="A884" t="s">
        <v>19</v>
      </c>
      <c r="B884">
        <v>3</v>
      </c>
      <c r="C884">
        <v>4</v>
      </c>
      <c r="D884">
        <v>0</v>
      </c>
      <c r="E884" t="s">
        <v>435</v>
      </c>
      <c r="F884">
        <v>28286</v>
      </c>
      <c r="G884">
        <v>36305780.166666672</v>
      </c>
      <c r="H884">
        <v>0.97465034574270248</v>
      </c>
      <c r="I884">
        <v>0.92744755244755239</v>
      </c>
      <c r="J884">
        <v>7060520.666666666</v>
      </c>
      <c r="K884">
        <v>53477</v>
      </c>
      <c r="L884">
        <v>2</v>
      </c>
      <c r="M884">
        <v>155</v>
      </c>
      <c r="N884">
        <v>0.93006993006993011</v>
      </c>
      <c r="O884">
        <v>8381944.9166666679</v>
      </c>
      <c r="P884">
        <v>54134</v>
      </c>
      <c r="Q884">
        <v>2</v>
      </c>
      <c r="R884">
        <v>156</v>
      </c>
      <c r="S884" t="s">
        <v>719</v>
      </c>
      <c r="W884">
        <f>Cancer_doubles_final2[[#This Row],[mlp_params]]</f>
        <v>53477</v>
      </c>
      <c r="X884">
        <f>Cancer_doubles_final2[[#This Row],[kan_test_acc]]</f>
        <v>0.97465034574270248</v>
      </c>
      <c r="Y884">
        <f>Cancer_doubles_final2[[#This Row],[mlp_test_acc]]</f>
        <v>0.92744755244755239</v>
      </c>
      <c r="Z884">
        <f>Cancer_doubles_final2[[#This Row],[mlp_test_acc2]]</f>
        <v>0.93006993006993011</v>
      </c>
    </row>
    <row r="885" spans="1:26" hidden="1" x14ac:dyDescent="0.25">
      <c r="A885" t="s">
        <v>19</v>
      </c>
      <c r="B885">
        <v>5</v>
      </c>
      <c r="C885">
        <v>2</v>
      </c>
      <c r="D885">
        <v>0</v>
      </c>
      <c r="E885" t="s">
        <v>435</v>
      </c>
      <c r="F885">
        <v>28286</v>
      </c>
      <c r="G885">
        <v>30262241.625</v>
      </c>
      <c r="H885">
        <v>0.95775057623783755</v>
      </c>
      <c r="I885">
        <v>0.90763403263403264</v>
      </c>
      <c r="J885">
        <v>7320379.916666667</v>
      </c>
      <c r="K885">
        <v>42335</v>
      </c>
      <c r="L885">
        <v>2</v>
      </c>
      <c r="M885">
        <v>137</v>
      </c>
      <c r="N885">
        <v>0.90559440559440563</v>
      </c>
      <c r="O885">
        <v>7319500.875</v>
      </c>
      <c r="P885">
        <v>42920</v>
      </c>
      <c r="Q885">
        <v>2</v>
      </c>
      <c r="R885">
        <v>138</v>
      </c>
      <c r="S885" t="s">
        <v>720</v>
      </c>
      <c r="W885">
        <f>Cancer_doubles_final2[[#This Row],[mlp_params]]</f>
        <v>42335</v>
      </c>
      <c r="X885">
        <f>Cancer_doubles_final2[[#This Row],[kan_test_acc]]</f>
        <v>0.95775057623783755</v>
      </c>
      <c r="Y885">
        <f>Cancer_doubles_final2[[#This Row],[mlp_test_acc]]</f>
        <v>0.90763403263403264</v>
      </c>
      <c r="Z885">
        <f>Cancer_doubles_final2[[#This Row],[mlp_test_acc2]]</f>
        <v>0.90559440559440563</v>
      </c>
    </row>
    <row r="886" spans="1:26" x14ac:dyDescent="0.25">
      <c r="A886" t="s">
        <v>19</v>
      </c>
      <c r="B886">
        <v>3</v>
      </c>
      <c r="C886">
        <v>5</v>
      </c>
      <c r="D886">
        <v>0</v>
      </c>
      <c r="E886" t="s">
        <v>333</v>
      </c>
      <c r="F886">
        <v>28288</v>
      </c>
      <c r="G886">
        <v>38960177.25</v>
      </c>
      <c r="H886">
        <v>0.94900932659705484</v>
      </c>
      <c r="I886">
        <v>0.91870629370629375</v>
      </c>
      <c r="J886">
        <v>7772668.916666667</v>
      </c>
      <c r="K886">
        <v>56129</v>
      </c>
      <c r="L886">
        <v>2</v>
      </c>
      <c r="M886">
        <v>159</v>
      </c>
      <c r="N886">
        <v>0.91346153846153844</v>
      </c>
      <c r="O886">
        <v>8283630.416666667</v>
      </c>
      <c r="P886">
        <v>56802</v>
      </c>
      <c r="Q886">
        <v>2</v>
      </c>
      <c r="R886">
        <v>160</v>
      </c>
      <c r="S886" t="s">
        <v>721</v>
      </c>
      <c r="W886">
        <f>Cancer_doubles_final2[[#This Row],[mlp_params]]</f>
        <v>56129</v>
      </c>
      <c r="X886">
        <f>Cancer_doubles_final2[[#This Row],[kan_test_acc]]</f>
        <v>0.94900932659705484</v>
      </c>
      <c r="Y886">
        <f>Cancer_doubles_final2[[#This Row],[mlp_test_acc]]</f>
        <v>0.91870629370629375</v>
      </c>
      <c r="Z886">
        <f>Cancer_doubles_final2[[#This Row],[mlp_test_acc2]]</f>
        <v>0.91346153846153844</v>
      </c>
    </row>
    <row r="887" spans="1:26" hidden="1" x14ac:dyDescent="0.25">
      <c r="A887" t="s">
        <v>19</v>
      </c>
      <c r="B887">
        <v>5</v>
      </c>
      <c r="C887">
        <v>3</v>
      </c>
      <c r="D887">
        <v>0</v>
      </c>
      <c r="E887" t="s">
        <v>333</v>
      </c>
      <c r="F887">
        <v>28288</v>
      </c>
      <c r="G887">
        <v>46369208.5</v>
      </c>
      <c r="H887">
        <v>0.96182983368635178</v>
      </c>
      <c r="I887">
        <v>0.93851981351981362</v>
      </c>
      <c r="J887">
        <v>8371162</v>
      </c>
      <c r="K887">
        <v>45905</v>
      </c>
      <c r="L887">
        <v>2</v>
      </c>
      <c r="M887">
        <v>143</v>
      </c>
      <c r="N887">
        <v>0.93822843822843827</v>
      </c>
      <c r="O887">
        <v>10102258.666666668</v>
      </c>
      <c r="P887">
        <v>46514</v>
      </c>
      <c r="Q887">
        <v>2</v>
      </c>
      <c r="R887">
        <v>144</v>
      </c>
      <c r="S887" t="s">
        <v>722</v>
      </c>
      <c r="W887">
        <f>Cancer_doubles_final2[[#This Row],[mlp_params]]</f>
        <v>45905</v>
      </c>
      <c r="X887">
        <f>Cancer_doubles_final2[[#This Row],[kan_test_acc]]</f>
        <v>0.96182983368635178</v>
      </c>
      <c r="Y887">
        <f>Cancer_doubles_final2[[#This Row],[mlp_test_acc]]</f>
        <v>0.93851981351981362</v>
      </c>
      <c r="Z887">
        <f>Cancer_doubles_final2[[#This Row],[mlp_test_acc2]]</f>
        <v>0.93822843822843827</v>
      </c>
    </row>
    <row r="888" spans="1:26" x14ac:dyDescent="0.25">
      <c r="A888" t="s">
        <v>19</v>
      </c>
      <c r="B888">
        <v>3</v>
      </c>
      <c r="C888">
        <v>5</v>
      </c>
      <c r="D888">
        <v>0</v>
      </c>
      <c r="E888" t="s">
        <v>333</v>
      </c>
      <c r="F888">
        <v>28288</v>
      </c>
      <c r="G888">
        <v>44350545.208333336</v>
      </c>
      <c r="H888">
        <v>0.96561770886182785</v>
      </c>
      <c r="I888">
        <v>0.93414918414918424</v>
      </c>
      <c r="J888">
        <v>9407858.125</v>
      </c>
      <c r="K888">
        <v>56129</v>
      </c>
      <c r="L888">
        <v>2</v>
      </c>
      <c r="M888">
        <v>159</v>
      </c>
      <c r="N888">
        <v>0.93706293706293708</v>
      </c>
      <c r="O888">
        <v>9130305.5416666679</v>
      </c>
      <c r="P888">
        <v>56802</v>
      </c>
      <c r="Q888">
        <v>2</v>
      </c>
      <c r="R888">
        <v>160</v>
      </c>
      <c r="S888" t="s">
        <v>721</v>
      </c>
      <c r="W888">
        <f>Cancer_doubles_final2[[#This Row],[mlp_params]]</f>
        <v>56129</v>
      </c>
      <c r="X888">
        <f>Cancer_doubles_final2[[#This Row],[kan_test_acc]]</f>
        <v>0.96561770886182785</v>
      </c>
      <c r="Y888">
        <f>Cancer_doubles_final2[[#This Row],[mlp_test_acc]]</f>
        <v>0.93414918414918424</v>
      </c>
      <c r="Z888">
        <f>Cancer_doubles_final2[[#This Row],[mlp_test_acc2]]</f>
        <v>0.93706293706293708</v>
      </c>
    </row>
    <row r="889" spans="1:26" hidden="1" x14ac:dyDescent="0.25">
      <c r="A889" t="s">
        <v>19</v>
      </c>
      <c r="B889">
        <v>5</v>
      </c>
      <c r="C889">
        <v>3</v>
      </c>
      <c r="D889">
        <v>0</v>
      </c>
      <c r="E889" t="s">
        <v>333</v>
      </c>
      <c r="F889">
        <v>28288</v>
      </c>
      <c r="G889">
        <v>43819581.75</v>
      </c>
      <c r="H889">
        <v>0.95512820283571886</v>
      </c>
      <c r="I889">
        <v>0.91113053613053618</v>
      </c>
      <c r="J889">
        <v>8930448.25</v>
      </c>
      <c r="K889">
        <v>45905</v>
      </c>
      <c r="L889">
        <v>2</v>
      </c>
      <c r="M889">
        <v>143</v>
      </c>
      <c r="N889">
        <v>0.91666666666666674</v>
      </c>
      <c r="O889">
        <v>8200458.125</v>
      </c>
      <c r="P889">
        <v>46514</v>
      </c>
      <c r="Q889">
        <v>2</v>
      </c>
      <c r="R889">
        <v>144</v>
      </c>
      <c r="S889" t="s">
        <v>722</v>
      </c>
      <c r="W889">
        <f>Cancer_doubles_final2[[#This Row],[mlp_params]]</f>
        <v>45905</v>
      </c>
      <c r="X889">
        <f>Cancer_doubles_final2[[#This Row],[kan_test_acc]]</f>
        <v>0.95512820283571886</v>
      </c>
      <c r="Y889">
        <f>Cancer_doubles_final2[[#This Row],[mlp_test_acc]]</f>
        <v>0.91113053613053618</v>
      </c>
      <c r="Z889">
        <f>Cancer_doubles_final2[[#This Row],[mlp_test_acc2]]</f>
        <v>0.91666666666666674</v>
      </c>
    </row>
    <row r="890" spans="1:26" hidden="1" x14ac:dyDescent="0.25">
      <c r="A890" t="s">
        <v>19</v>
      </c>
      <c r="B890">
        <v>3</v>
      </c>
      <c r="C890">
        <v>4</v>
      </c>
      <c r="D890">
        <v>0</v>
      </c>
      <c r="E890" t="s">
        <v>437</v>
      </c>
      <c r="F890">
        <v>28292</v>
      </c>
      <c r="G890">
        <v>39975549.75</v>
      </c>
      <c r="H890">
        <v>0.96270396063725161</v>
      </c>
      <c r="I890">
        <v>0.92278554778554778</v>
      </c>
      <c r="J890">
        <v>8276756.916666666</v>
      </c>
      <c r="K890">
        <v>53477</v>
      </c>
      <c r="L890">
        <v>2</v>
      </c>
      <c r="M890">
        <v>155</v>
      </c>
      <c r="N890">
        <v>0.92540792540792538</v>
      </c>
      <c r="O890">
        <v>8087873.208333333</v>
      </c>
      <c r="P890">
        <v>54134</v>
      </c>
      <c r="Q890">
        <v>2</v>
      </c>
      <c r="R890">
        <v>156</v>
      </c>
      <c r="S890" t="s">
        <v>723</v>
      </c>
      <c r="W890">
        <f>Cancer_doubles_final2[[#This Row],[mlp_params]]</f>
        <v>53477</v>
      </c>
      <c r="X890">
        <f>Cancer_doubles_final2[[#This Row],[kan_test_acc]]</f>
        <v>0.96270396063725161</v>
      </c>
      <c r="Y890">
        <f>Cancer_doubles_final2[[#This Row],[mlp_test_acc]]</f>
        <v>0.92278554778554778</v>
      </c>
      <c r="Z890">
        <f>Cancer_doubles_final2[[#This Row],[mlp_test_acc2]]</f>
        <v>0.92540792540792538</v>
      </c>
    </row>
    <row r="891" spans="1:26" hidden="1" x14ac:dyDescent="0.25">
      <c r="A891" t="s">
        <v>19</v>
      </c>
      <c r="B891">
        <v>5</v>
      </c>
      <c r="C891">
        <v>2</v>
      </c>
      <c r="D891">
        <v>0</v>
      </c>
      <c r="E891" t="s">
        <v>437</v>
      </c>
      <c r="F891">
        <v>28292</v>
      </c>
      <c r="G891">
        <v>42915036.916666672</v>
      </c>
      <c r="H891">
        <v>0.97406759113073349</v>
      </c>
      <c r="I891">
        <v>0.94930069930069927</v>
      </c>
      <c r="J891">
        <v>8630729.875</v>
      </c>
      <c r="K891">
        <v>42335</v>
      </c>
      <c r="L891">
        <v>2</v>
      </c>
      <c r="M891">
        <v>137</v>
      </c>
      <c r="N891">
        <v>0.94871794871794868</v>
      </c>
      <c r="O891">
        <v>8554214.2083333321</v>
      </c>
      <c r="P891">
        <v>42920</v>
      </c>
      <c r="Q891">
        <v>2</v>
      </c>
      <c r="R891">
        <v>138</v>
      </c>
      <c r="S891" t="s">
        <v>724</v>
      </c>
      <c r="W891">
        <f>Cancer_doubles_final2[[#This Row],[mlp_params]]</f>
        <v>42335</v>
      </c>
      <c r="X891">
        <f>Cancer_doubles_final2[[#This Row],[kan_test_acc]]</f>
        <v>0.97406759113073349</v>
      </c>
      <c r="Y891">
        <f>Cancer_doubles_final2[[#This Row],[mlp_test_acc]]</f>
        <v>0.94930069930069927</v>
      </c>
      <c r="Z891">
        <f>Cancer_doubles_final2[[#This Row],[mlp_test_acc2]]</f>
        <v>0.94871794871794868</v>
      </c>
    </row>
    <row r="892" spans="1:26" hidden="1" x14ac:dyDescent="0.25">
      <c r="A892" t="s">
        <v>19</v>
      </c>
      <c r="B892">
        <v>3</v>
      </c>
      <c r="C892">
        <v>4</v>
      </c>
      <c r="D892">
        <v>0</v>
      </c>
      <c r="E892" t="s">
        <v>437</v>
      </c>
      <c r="F892">
        <v>28292</v>
      </c>
      <c r="G892">
        <v>41519747.625</v>
      </c>
      <c r="H892">
        <v>0.97261070708433783</v>
      </c>
      <c r="I892">
        <v>0.93356643356643354</v>
      </c>
      <c r="J892">
        <v>8592330</v>
      </c>
      <c r="K892">
        <v>53477</v>
      </c>
      <c r="L892">
        <v>2</v>
      </c>
      <c r="M892">
        <v>155</v>
      </c>
      <c r="N892">
        <v>0.93269230769230771</v>
      </c>
      <c r="O892">
        <v>9589985.4583333321</v>
      </c>
      <c r="P892">
        <v>54134</v>
      </c>
      <c r="Q892">
        <v>2</v>
      </c>
      <c r="R892">
        <v>156</v>
      </c>
      <c r="S892" t="s">
        <v>723</v>
      </c>
      <c r="W892">
        <f>Cancer_doubles_final2[[#This Row],[mlp_params]]</f>
        <v>53477</v>
      </c>
      <c r="X892">
        <f>Cancer_doubles_final2[[#This Row],[kan_test_acc]]</f>
        <v>0.97261070708433783</v>
      </c>
      <c r="Y892">
        <f>Cancer_doubles_final2[[#This Row],[mlp_test_acc]]</f>
        <v>0.93356643356643354</v>
      </c>
      <c r="Z892">
        <f>Cancer_doubles_final2[[#This Row],[mlp_test_acc2]]</f>
        <v>0.93269230769230771</v>
      </c>
    </row>
    <row r="893" spans="1:26" hidden="1" x14ac:dyDescent="0.25">
      <c r="A893" t="s">
        <v>19</v>
      </c>
      <c r="B893">
        <v>5</v>
      </c>
      <c r="C893">
        <v>2</v>
      </c>
      <c r="D893">
        <v>0</v>
      </c>
      <c r="E893" t="s">
        <v>437</v>
      </c>
      <c r="F893">
        <v>28292</v>
      </c>
      <c r="G893">
        <v>35433785.125</v>
      </c>
      <c r="H893">
        <v>0.97173659006754554</v>
      </c>
      <c r="I893">
        <v>0.9332750582750583</v>
      </c>
      <c r="J893">
        <v>9091939.2083333321</v>
      </c>
      <c r="K893">
        <v>42335</v>
      </c>
      <c r="L893">
        <v>2</v>
      </c>
      <c r="M893">
        <v>137</v>
      </c>
      <c r="N893">
        <v>0.9332750582750583</v>
      </c>
      <c r="O893">
        <v>9925325.416666666</v>
      </c>
      <c r="P893">
        <v>42920</v>
      </c>
      <c r="Q893">
        <v>2</v>
      </c>
      <c r="R893">
        <v>138</v>
      </c>
      <c r="S893" t="s">
        <v>724</v>
      </c>
      <c r="W893">
        <f>Cancer_doubles_final2[[#This Row],[mlp_params]]</f>
        <v>42335</v>
      </c>
      <c r="X893">
        <f>Cancer_doubles_final2[[#This Row],[kan_test_acc]]</f>
        <v>0.97173659006754554</v>
      </c>
      <c r="Y893">
        <f>Cancer_doubles_final2[[#This Row],[mlp_test_acc]]</f>
        <v>0.9332750582750583</v>
      </c>
      <c r="Z893">
        <f>Cancer_doubles_final2[[#This Row],[mlp_test_acc2]]</f>
        <v>0.9332750582750583</v>
      </c>
    </row>
    <row r="894" spans="1:26" hidden="1" x14ac:dyDescent="0.25">
      <c r="A894" t="s">
        <v>19</v>
      </c>
      <c r="B894">
        <v>5</v>
      </c>
      <c r="C894">
        <v>5</v>
      </c>
      <c r="D894">
        <v>0</v>
      </c>
      <c r="E894" t="s">
        <v>214</v>
      </c>
      <c r="F894">
        <v>28304</v>
      </c>
      <c r="G894">
        <v>37968496.625</v>
      </c>
      <c r="H894">
        <v>0.95396270354588819</v>
      </c>
      <c r="I894">
        <v>0.93414918414918424</v>
      </c>
      <c r="J894">
        <v>9670302.416666666</v>
      </c>
      <c r="K894">
        <v>52175</v>
      </c>
      <c r="L894">
        <v>2</v>
      </c>
      <c r="M894">
        <v>153</v>
      </c>
      <c r="N894">
        <v>0.93706293706293708</v>
      </c>
      <c r="O894">
        <v>10233129.833333332</v>
      </c>
      <c r="P894">
        <v>52824</v>
      </c>
      <c r="Q894">
        <v>2</v>
      </c>
      <c r="R894">
        <v>154</v>
      </c>
      <c r="S894" t="s">
        <v>725</v>
      </c>
      <c r="W894">
        <f>Cancer_doubles_final2[[#This Row],[mlp_params]]</f>
        <v>52175</v>
      </c>
      <c r="X894">
        <f>Cancer_doubles_final2[[#This Row],[kan_test_acc]]</f>
        <v>0.95396270354588819</v>
      </c>
      <c r="Y894">
        <f>Cancer_doubles_final2[[#This Row],[mlp_test_acc]]</f>
        <v>0.93414918414918424</v>
      </c>
      <c r="Z894">
        <f>Cancer_doubles_final2[[#This Row],[mlp_test_acc2]]</f>
        <v>0.93706293706293708</v>
      </c>
    </row>
    <row r="895" spans="1:26" hidden="1" x14ac:dyDescent="0.25">
      <c r="A895" t="s">
        <v>19</v>
      </c>
      <c r="B895">
        <v>9</v>
      </c>
      <c r="C895">
        <v>5</v>
      </c>
      <c r="D895">
        <v>0</v>
      </c>
      <c r="E895" t="s">
        <v>123</v>
      </c>
      <c r="F895">
        <v>28342</v>
      </c>
      <c r="G895">
        <v>42694921.805555552</v>
      </c>
      <c r="H895">
        <v>0.93686868415938485</v>
      </c>
      <c r="I895">
        <v>0.94250194250194252</v>
      </c>
      <c r="J895">
        <v>9687878.8888888899</v>
      </c>
      <c r="K895">
        <v>46514</v>
      </c>
      <c r="L895">
        <v>2</v>
      </c>
      <c r="M895">
        <v>144</v>
      </c>
      <c r="N895">
        <v>0.9442501942501943</v>
      </c>
      <c r="O895">
        <v>10106116.888888888</v>
      </c>
      <c r="P895">
        <v>47127</v>
      </c>
      <c r="Q895">
        <v>2</v>
      </c>
      <c r="R895">
        <v>145</v>
      </c>
      <c r="S895" t="s">
        <v>726</v>
      </c>
      <c r="W895">
        <f>Cancer_doubles_final2[[#This Row],[mlp_params]]</f>
        <v>46514</v>
      </c>
      <c r="X895">
        <f>Cancer_doubles_final2[[#This Row],[kan_test_acc]]</f>
        <v>0.93686868415938485</v>
      </c>
      <c r="Y895">
        <f>Cancer_doubles_final2[[#This Row],[mlp_test_acc]]</f>
        <v>0.94250194250194252</v>
      </c>
      <c r="Z895">
        <f>Cancer_doubles_final2[[#This Row],[mlp_test_acc2]]</f>
        <v>0.9442501942501943</v>
      </c>
    </row>
    <row r="896" spans="1:26" hidden="1" x14ac:dyDescent="0.25">
      <c r="A896" t="s">
        <v>19</v>
      </c>
      <c r="B896">
        <v>3</v>
      </c>
      <c r="C896">
        <v>3</v>
      </c>
      <c r="D896">
        <v>0</v>
      </c>
      <c r="E896" t="s">
        <v>563</v>
      </c>
      <c r="F896">
        <v>28350</v>
      </c>
      <c r="G896">
        <v>41095651.166666672</v>
      </c>
      <c r="H896">
        <v>0.95600233475367236</v>
      </c>
      <c r="I896">
        <v>0.95046620046620045</v>
      </c>
      <c r="J896">
        <v>9241521.958333334</v>
      </c>
      <c r="K896">
        <v>50252</v>
      </c>
      <c r="L896">
        <v>2</v>
      </c>
      <c r="M896">
        <v>150</v>
      </c>
      <c r="N896">
        <v>0.95134032634032639</v>
      </c>
      <c r="O896">
        <v>9386162.2083333321</v>
      </c>
      <c r="P896">
        <v>50889</v>
      </c>
      <c r="Q896">
        <v>2</v>
      </c>
      <c r="R896">
        <v>151</v>
      </c>
      <c r="S896" t="s">
        <v>727</v>
      </c>
      <c r="W896">
        <f>Cancer_doubles_final2[[#This Row],[mlp_params]]</f>
        <v>50252</v>
      </c>
      <c r="X896">
        <f>Cancer_doubles_final2[[#This Row],[kan_test_acc]]</f>
        <v>0.95600233475367236</v>
      </c>
      <c r="Y896">
        <f>Cancer_doubles_final2[[#This Row],[mlp_test_acc]]</f>
        <v>0.95046620046620045</v>
      </c>
      <c r="Z896">
        <f>Cancer_doubles_final2[[#This Row],[mlp_test_acc2]]</f>
        <v>0.95134032634032639</v>
      </c>
    </row>
    <row r="897" spans="1:26" hidden="1" x14ac:dyDescent="0.25">
      <c r="A897" t="s">
        <v>19</v>
      </c>
      <c r="B897">
        <v>3</v>
      </c>
      <c r="C897">
        <v>4</v>
      </c>
      <c r="D897">
        <v>0</v>
      </c>
      <c r="E897" t="s">
        <v>439</v>
      </c>
      <c r="F897">
        <v>28364</v>
      </c>
      <c r="G897">
        <v>43843969.861111112</v>
      </c>
      <c r="H897">
        <v>0.97824398014280534</v>
      </c>
      <c r="I897">
        <v>0.94211344211344217</v>
      </c>
      <c r="J897">
        <v>8263961.638888889</v>
      </c>
      <c r="K897">
        <v>53477</v>
      </c>
      <c r="L897">
        <v>2</v>
      </c>
      <c r="M897">
        <v>155</v>
      </c>
      <c r="N897">
        <v>0.94347319347319358</v>
      </c>
      <c r="O897">
        <v>9313504.416666666</v>
      </c>
      <c r="P897">
        <v>54134</v>
      </c>
      <c r="Q897">
        <v>2</v>
      </c>
      <c r="R897">
        <v>156</v>
      </c>
      <c r="S897" t="s">
        <v>728</v>
      </c>
      <c r="W897">
        <f>Cancer_doubles_final2[[#This Row],[mlp_params]]</f>
        <v>53477</v>
      </c>
      <c r="X897">
        <f>Cancer_doubles_final2[[#This Row],[kan_test_acc]]</f>
        <v>0.97824398014280534</v>
      </c>
      <c r="Y897">
        <f>Cancer_doubles_final2[[#This Row],[mlp_test_acc]]</f>
        <v>0.94211344211344217</v>
      </c>
      <c r="Z897">
        <f>Cancer_doubles_final2[[#This Row],[mlp_test_acc2]]</f>
        <v>0.94347319347319358</v>
      </c>
    </row>
    <row r="898" spans="1:26" hidden="1" x14ac:dyDescent="0.25">
      <c r="A898" t="s">
        <v>19</v>
      </c>
      <c r="B898">
        <v>5</v>
      </c>
      <c r="C898">
        <v>2</v>
      </c>
      <c r="D898">
        <v>0</v>
      </c>
      <c r="E898" t="s">
        <v>439</v>
      </c>
      <c r="F898">
        <v>28364</v>
      </c>
      <c r="G898">
        <v>34756308.708333328</v>
      </c>
      <c r="H898">
        <v>0.96998834609985352</v>
      </c>
      <c r="I898">
        <v>0.94318181818181812</v>
      </c>
      <c r="J898">
        <v>8399873.166666666</v>
      </c>
      <c r="K898">
        <v>42335</v>
      </c>
      <c r="L898">
        <v>2</v>
      </c>
      <c r="M898">
        <v>137</v>
      </c>
      <c r="N898">
        <v>0.94434731934731941</v>
      </c>
      <c r="O898">
        <v>9755265.875</v>
      </c>
      <c r="P898">
        <v>42920</v>
      </c>
      <c r="Q898">
        <v>2</v>
      </c>
      <c r="R898">
        <v>138</v>
      </c>
      <c r="S898" t="s">
        <v>729</v>
      </c>
      <c r="W898">
        <f>Cancer_doubles_final2[[#This Row],[mlp_params]]</f>
        <v>42335</v>
      </c>
      <c r="X898">
        <f>Cancer_doubles_final2[[#This Row],[kan_test_acc]]</f>
        <v>0.96998834609985352</v>
      </c>
      <c r="Y898">
        <f>Cancer_doubles_final2[[#This Row],[mlp_test_acc]]</f>
        <v>0.94318181818181812</v>
      </c>
      <c r="Z898">
        <f>Cancer_doubles_final2[[#This Row],[mlp_test_acc2]]</f>
        <v>0.94434731934731941</v>
      </c>
    </row>
    <row r="899" spans="1:26" hidden="1" x14ac:dyDescent="0.25">
      <c r="A899" t="s">
        <v>19</v>
      </c>
      <c r="B899">
        <v>3</v>
      </c>
      <c r="C899">
        <v>4</v>
      </c>
      <c r="D899">
        <v>0</v>
      </c>
      <c r="E899" t="s">
        <v>439</v>
      </c>
      <c r="F899">
        <v>28364</v>
      </c>
      <c r="G899">
        <v>34368624.833333328</v>
      </c>
      <c r="H899">
        <v>0.96794871240854263</v>
      </c>
      <c r="I899">
        <v>0.92890442890442892</v>
      </c>
      <c r="J899">
        <v>7927119.083333333</v>
      </c>
      <c r="K899">
        <v>53477</v>
      </c>
      <c r="L899">
        <v>2</v>
      </c>
      <c r="M899">
        <v>155</v>
      </c>
      <c r="N899">
        <v>0.92861305361305368</v>
      </c>
      <c r="O899">
        <v>9330283.208333334</v>
      </c>
      <c r="P899">
        <v>54134</v>
      </c>
      <c r="Q899">
        <v>2</v>
      </c>
      <c r="R899">
        <v>156</v>
      </c>
      <c r="S899" t="s">
        <v>728</v>
      </c>
      <c r="W899">
        <f>Cancer_doubles_final2[[#This Row],[mlp_params]]</f>
        <v>53477</v>
      </c>
      <c r="X899">
        <f>Cancer_doubles_final2[[#This Row],[kan_test_acc]]</f>
        <v>0.96794871240854263</v>
      </c>
      <c r="Y899">
        <f>Cancer_doubles_final2[[#This Row],[mlp_test_acc]]</f>
        <v>0.92890442890442892</v>
      </c>
      <c r="Z899">
        <f>Cancer_doubles_final2[[#This Row],[mlp_test_acc2]]</f>
        <v>0.92861305361305368</v>
      </c>
    </row>
    <row r="900" spans="1:26" hidden="1" x14ac:dyDescent="0.25">
      <c r="A900" t="s">
        <v>19</v>
      </c>
      <c r="B900">
        <v>5</v>
      </c>
      <c r="C900">
        <v>2</v>
      </c>
      <c r="D900">
        <v>0</v>
      </c>
      <c r="E900" t="s">
        <v>439</v>
      </c>
      <c r="F900">
        <v>28364</v>
      </c>
      <c r="G900">
        <v>34700762.208333336</v>
      </c>
      <c r="H900">
        <v>0.96182982623577118</v>
      </c>
      <c r="I900">
        <v>0.91113053613053618</v>
      </c>
      <c r="J900">
        <v>7537268.208333333</v>
      </c>
      <c r="K900">
        <v>42335</v>
      </c>
      <c r="L900">
        <v>2</v>
      </c>
      <c r="M900">
        <v>137</v>
      </c>
      <c r="N900">
        <v>0.90967365967365965</v>
      </c>
      <c r="O900">
        <v>9271617.958333334</v>
      </c>
      <c r="P900">
        <v>42920</v>
      </c>
      <c r="Q900">
        <v>2</v>
      </c>
      <c r="R900">
        <v>138</v>
      </c>
      <c r="S900" t="s">
        <v>729</v>
      </c>
      <c r="W900">
        <f>Cancer_doubles_final2[[#This Row],[mlp_params]]</f>
        <v>42335</v>
      </c>
      <c r="X900">
        <f>Cancer_doubles_final2[[#This Row],[kan_test_acc]]</f>
        <v>0.96182982623577118</v>
      </c>
      <c r="Y900">
        <f>Cancer_doubles_final2[[#This Row],[mlp_test_acc]]</f>
        <v>0.91113053613053618</v>
      </c>
      <c r="Z900">
        <f>Cancer_doubles_final2[[#This Row],[mlp_test_acc2]]</f>
        <v>0.90967365967365965</v>
      </c>
    </row>
    <row r="901" spans="1:26" hidden="1" x14ac:dyDescent="0.25">
      <c r="A901" t="s">
        <v>19</v>
      </c>
      <c r="B901">
        <v>5</v>
      </c>
      <c r="C901">
        <v>5</v>
      </c>
      <c r="D901">
        <v>0</v>
      </c>
      <c r="E901" t="s">
        <v>217</v>
      </c>
      <c r="F901">
        <v>28412</v>
      </c>
      <c r="G901">
        <v>36846373.625</v>
      </c>
      <c r="H901">
        <v>0.92686479290326429</v>
      </c>
      <c r="I901">
        <v>0.91491841491841486</v>
      </c>
      <c r="J901">
        <v>7675220.916666667</v>
      </c>
      <c r="K901">
        <v>52175</v>
      </c>
      <c r="L901">
        <v>2</v>
      </c>
      <c r="M901">
        <v>153</v>
      </c>
      <c r="N901">
        <v>0.91142191142191142</v>
      </c>
      <c r="O901">
        <v>9446152.4166666679</v>
      </c>
      <c r="P901">
        <v>52824</v>
      </c>
      <c r="Q901">
        <v>2</v>
      </c>
      <c r="R901">
        <v>154</v>
      </c>
      <c r="S901" t="s">
        <v>730</v>
      </c>
      <c r="W901">
        <f>Cancer_doubles_final2[[#This Row],[mlp_params]]</f>
        <v>52175</v>
      </c>
      <c r="X901">
        <f>Cancer_doubles_final2[[#This Row],[kan_test_acc]]</f>
        <v>0.92686479290326429</v>
      </c>
      <c r="Y901">
        <f>Cancer_doubles_final2[[#This Row],[mlp_test_acc]]</f>
        <v>0.91491841491841486</v>
      </c>
      <c r="Z901">
        <f>Cancer_doubles_final2[[#This Row],[mlp_test_acc2]]</f>
        <v>0.91142191142191142</v>
      </c>
    </row>
    <row r="902" spans="1:26" hidden="1" x14ac:dyDescent="0.25">
      <c r="A902" t="s">
        <v>19</v>
      </c>
      <c r="B902">
        <v>3</v>
      </c>
      <c r="C902">
        <v>2</v>
      </c>
      <c r="D902">
        <v>0</v>
      </c>
      <c r="E902" t="s">
        <v>731</v>
      </c>
      <c r="F902">
        <v>28420</v>
      </c>
      <c r="G902">
        <v>42490561.527777776</v>
      </c>
      <c r="H902">
        <v>0.93084692127174795</v>
      </c>
      <c r="I902">
        <v>0.94153069153069158</v>
      </c>
      <c r="J902">
        <v>8009372.138888889</v>
      </c>
      <c r="K902">
        <v>45905</v>
      </c>
      <c r="L902">
        <v>2</v>
      </c>
      <c r="M902">
        <v>143</v>
      </c>
      <c r="N902">
        <v>0.94094794094794099</v>
      </c>
      <c r="O902">
        <v>9558423.3888888881</v>
      </c>
      <c r="P902">
        <v>46514</v>
      </c>
      <c r="Q902">
        <v>2</v>
      </c>
      <c r="R902">
        <v>144</v>
      </c>
      <c r="S902" t="s">
        <v>732</v>
      </c>
      <c r="W902">
        <f>Cancer_doubles_final2[[#This Row],[mlp_params]]</f>
        <v>45905</v>
      </c>
      <c r="X902">
        <f>Cancer_doubles_final2[[#This Row],[kan_test_acc]]</f>
        <v>0.93084692127174795</v>
      </c>
      <c r="Y902">
        <f>Cancer_doubles_final2[[#This Row],[mlp_test_acc]]</f>
        <v>0.94153069153069158</v>
      </c>
      <c r="Z902">
        <f>Cancer_doubles_final2[[#This Row],[mlp_test_acc2]]</f>
        <v>0.94094794094794099</v>
      </c>
    </row>
    <row r="903" spans="1:26" hidden="1" x14ac:dyDescent="0.25">
      <c r="A903" t="s">
        <v>19</v>
      </c>
      <c r="B903">
        <v>5</v>
      </c>
      <c r="C903">
        <v>3</v>
      </c>
      <c r="D903">
        <v>0</v>
      </c>
      <c r="E903" t="s">
        <v>337</v>
      </c>
      <c r="F903">
        <v>28456</v>
      </c>
      <c r="G903">
        <v>40979786.222222224</v>
      </c>
      <c r="H903">
        <v>0.96678321229086983</v>
      </c>
      <c r="I903">
        <v>0.94832944832944832</v>
      </c>
      <c r="J903">
        <v>9072836.472222222</v>
      </c>
      <c r="K903">
        <v>46514</v>
      </c>
      <c r="L903">
        <v>2</v>
      </c>
      <c r="M903">
        <v>144</v>
      </c>
      <c r="N903">
        <v>0.94619269619269619</v>
      </c>
      <c r="O903">
        <v>9894062.944444444</v>
      </c>
      <c r="P903">
        <v>47127</v>
      </c>
      <c r="Q903">
        <v>2</v>
      </c>
      <c r="R903">
        <v>145</v>
      </c>
      <c r="S903" t="s">
        <v>733</v>
      </c>
      <c r="W903">
        <f>Cancer_doubles_final2[[#This Row],[mlp_params]]</f>
        <v>46514</v>
      </c>
      <c r="X903">
        <f>Cancer_doubles_final2[[#This Row],[kan_test_acc]]</f>
        <v>0.96678321229086983</v>
      </c>
      <c r="Y903">
        <f>Cancer_doubles_final2[[#This Row],[mlp_test_acc]]</f>
        <v>0.94832944832944832</v>
      </c>
      <c r="Z903">
        <f>Cancer_doubles_final2[[#This Row],[mlp_test_acc2]]</f>
        <v>0.94619269619269619</v>
      </c>
    </row>
    <row r="904" spans="1:26" x14ac:dyDescent="0.25">
      <c r="A904" t="s">
        <v>19</v>
      </c>
      <c r="B904">
        <v>3</v>
      </c>
      <c r="C904">
        <v>5</v>
      </c>
      <c r="D904">
        <v>0</v>
      </c>
      <c r="E904" t="s">
        <v>337</v>
      </c>
      <c r="F904">
        <v>28456</v>
      </c>
      <c r="G904">
        <v>47872984.25</v>
      </c>
      <c r="H904">
        <v>0.98106060425440478</v>
      </c>
      <c r="I904">
        <v>0.94930069930069927</v>
      </c>
      <c r="J904">
        <v>9465115.75</v>
      </c>
      <c r="K904">
        <v>56802</v>
      </c>
      <c r="L904">
        <v>2</v>
      </c>
      <c r="M904">
        <v>160</v>
      </c>
      <c r="N904">
        <v>0.94493006993007</v>
      </c>
      <c r="O904">
        <v>10677272.458333332</v>
      </c>
      <c r="P904">
        <v>57479</v>
      </c>
      <c r="Q904">
        <v>2</v>
      </c>
      <c r="R904">
        <v>161</v>
      </c>
      <c r="S904" t="s">
        <v>734</v>
      </c>
      <c r="W904">
        <f>Cancer_doubles_final2[[#This Row],[mlp_params]]</f>
        <v>56802</v>
      </c>
      <c r="X904">
        <f>Cancer_doubles_final2[[#This Row],[kan_test_acc]]</f>
        <v>0.98106060425440478</v>
      </c>
      <c r="Y904">
        <f>Cancer_doubles_final2[[#This Row],[mlp_test_acc]]</f>
        <v>0.94930069930069927</v>
      </c>
      <c r="Z904">
        <f>Cancer_doubles_final2[[#This Row],[mlp_test_acc2]]</f>
        <v>0.94493006993007</v>
      </c>
    </row>
    <row r="905" spans="1:26" hidden="1" x14ac:dyDescent="0.25">
      <c r="A905" t="s">
        <v>19</v>
      </c>
      <c r="B905">
        <v>5</v>
      </c>
      <c r="C905">
        <v>3</v>
      </c>
      <c r="D905">
        <v>0</v>
      </c>
      <c r="E905" t="s">
        <v>337</v>
      </c>
      <c r="F905">
        <v>28456</v>
      </c>
      <c r="G905">
        <v>46015721.916666664</v>
      </c>
      <c r="H905">
        <v>0.96969695637623476</v>
      </c>
      <c r="I905">
        <v>0.93851981351981351</v>
      </c>
      <c r="J905">
        <v>9073980.9166666679</v>
      </c>
      <c r="K905">
        <v>46514</v>
      </c>
      <c r="L905">
        <v>2</v>
      </c>
      <c r="M905">
        <v>144</v>
      </c>
      <c r="N905">
        <v>0.94026806526806528</v>
      </c>
      <c r="O905">
        <v>9849001.1666666679</v>
      </c>
      <c r="P905">
        <v>47127</v>
      </c>
      <c r="Q905">
        <v>2</v>
      </c>
      <c r="R905">
        <v>145</v>
      </c>
      <c r="S905" t="s">
        <v>733</v>
      </c>
      <c r="W905">
        <f>Cancer_doubles_final2[[#This Row],[mlp_params]]</f>
        <v>46514</v>
      </c>
      <c r="X905">
        <f>Cancer_doubles_final2[[#This Row],[kan_test_acc]]</f>
        <v>0.96969695637623476</v>
      </c>
      <c r="Y905">
        <f>Cancer_doubles_final2[[#This Row],[mlp_test_acc]]</f>
        <v>0.93851981351981351</v>
      </c>
      <c r="Z905">
        <f>Cancer_doubles_final2[[#This Row],[mlp_test_acc2]]</f>
        <v>0.94026806526806528</v>
      </c>
    </row>
    <row r="906" spans="1:26" x14ac:dyDescent="0.25">
      <c r="A906" t="s">
        <v>19</v>
      </c>
      <c r="B906">
        <v>3</v>
      </c>
      <c r="C906">
        <v>5</v>
      </c>
      <c r="D906">
        <v>0</v>
      </c>
      <c r="E906" t="s">
        <v>337</v>
      </c>
      <c r="F906">
        <v>28456</v>
      </c>
      <c r="G906">
        <v>45481219.416666664</v>
      </c>
      <c r="H906">
        <v>0.96095570176839828</v>
      </c>
      <c r="I906">
        <v>0.93939393939393945</v>
      </c>
      <c r="J906">
        <v>9811411.2916666679</v>
      </c>
      <c r="K906">
        <v>56802</v>
      </c>
      <c r="L906">
        <v>2</v>
      </c>
      <c r="M906">
        <v>160</v>
      </c>
      <c r="N906">
        <v>0.94259906759906764</v>
      </c>
      <c r="O906">
        <v>10163645.875</v>
      </c>
      <c r="P906">
        <v>57479</v>
      </c>
      <c r="Q906">
        <v>2</v>
      </c>
      <c r="R906">
        <v>161</v>
      </c>
      <c r="S906" t="s">
        <v>734</v>
      </c>
      <c r="W906">
        <f>Cancer_doubles_final2[[#This Row],[mlp_params]]</f>
        <v>56802</v>
      </c>
      <c r="X906">
        <f>Cancer_doubles_final2[[#This Row],[kan_test_acc]]</f>
        <v>0.96095570176839828</v>
      </c>
      <c r="Y906">
        <f>Cancer_doubles_final2[[#This Row],[mlp_test_acc]]</f>
        <v>0.93939393939393945</v>
      </c>
      <c r="Z906">
        <f>Cancer_doubles_final2[[#This Row],[mlp_test_acc2]]</f>
        <v>0.94259906759906764</v>
      </c>
    </row>
    <row r="907" spans="1:26" hidden="1" x14ac:dyDescent="0.25">
      <c r="A907" t="s">
        <v>19</v>
      </c>
      <c r="B907">
        <v>5</v>
      </c>
      <c r="C907">
        <v>3</v>
      </c>
      <c r="D907">
        <v>0</v>
      </c>
      <c r="E907" t="s">
        <v>337</v>
      </c>
      <c r="F907">
        <v>28456</v>
      </c>
      <c r="G907">
        <v>46773223.583333328</v>
      </c>
      <c r="H907">
        <v>0.95629370212554932</v>
      </c>
      <c r="I907">
        <v>0.91724941724941722</v>
      </c>
      <c r="J907">
        <v>9587102.9166666679</v>
      </c>
      <c r="K907">
        <v>46514</v>
      </c>
      <c r="L907">
        <v>2</v>
      </c>
      <c r="M907">
        <v>144</v>
      </c>
      <c r="N907">
        <v>0.91783216783216792</v>
      </c>
      <c r="O907">
        <v>9588812.458333334</v>
      </c>
      <c r="P907">
        <v>47127</v>
      </c>
      <c r="Q907">
        <v>2</v>
      </c>
      <c r="R907">
        <v>145</v>
      </c>
      <c r="S907" t="s">
        <v>733</v>
      </c>
      <c r="W907">
        <f>Cancer_doubles_final2[[#This Row],[mlp_params]]</f>
        <v>46514</v>
      </c>
      <c r="X907">
        <f>Cancer_doubles_final2[[#This Row],[kan_test_acc]]</f>
        <v>0.95629370212554932</v>
      </c>
      <c r="Y907">
        <f>Cancer_doubles_final2[[#This Row],[mlp_test_acc]]</f>
        <v>0.91724941724941722</v>
      </c>
      <c r="Z907">
        <f>Cancer_doubles_final2[[#This Row],[mlp_test_acc2]]</f>
        <v>0.91783216783216792</v>
      </c>
    </row>
    <row r="908" spans="1:26" hidden="1" x14ac:dyDescent="0.25">
      <c r="A908" t="s">
        <v>19</v>
      </c>
      <c r="B908">
        <v>5</v>
      </c>
      <c r="C908">
        <v>5</v>
      </c>
      <c r="D908">
        <v>0</v>
      </c>
      <c r="E908" t="s">
        <v>220</v>
      </c>
      <c r="F908">
        <v>28462</v>
      </c>
      <c r="G908">
        <v>41504388.416666664</v>
      </c>
      <c r="H908">
        <v>0.93939393510421121</v>
      </c>
      <c r="I908">
        <v>0.91083916083916083</v>
      </c>
      <c r="J908">
        <v>8704624.375</v>
      </c>
      <c r="K908">
        <v>52175</v>
      </c>
      <c r="L908">
        <v>2</v>
      </c>
      <c r="M908">
        <v>153</v>
      </c>
      <c r="N908">
        <v>0.91142191142191153</v>
      </c>
      <c r="O908">
        <v>8717057.291666666</v>
      </c>
      <c r="P908">
        <v>52824</v>
      </c>
      <c r="Q908">
        <v>2</v>
      </c>
      <c r="R908">
        <v>154</v>
      </c>
      <c r="S908" t="s">
        <v>735</v>
      </c>
      <c r="W908">
        <f>Cancer_doubles_final2[[#This Row],[mlp_params]]</f>
        <v>52175</v>
      </c>
      <c r="X908">
        <f>Cancer_doubles_final2[[#This Row],[kan_test_acc]]</f>
        <v>0.93939393510421121</v>
      </c>
      <c r="Y908">
        <f>Cancer_doubles_final2[[#This Row],[mlp_test_acc]]</f>
        <v>0.91083916083916083</v>
      </c>
      <c r="Z908">
        <f>Cancer_doubles_final2[[#This Row],[mlp_test_acc2]]</f>
        <v>0.91142191142191153</v>
      </c>
    </row>
    <row r="909" spans="1:26" hidden="1" x14ac:dyDescent="0.25">
      <c r="A909" t="s">
        <v>19</v>
      </c>
      <c r="B909">
        <v>5</v>
      </c>
      <c r="C909">
        <v>4</v>
      </c>
      <c r="D909">
        <v>0</v>
      </c>
      <c r="E909" t="s">
        <v>264</v>
      </c>
      <c r="F909">
        <v>28536</v>
      </c>
      <c r="G909">
        <v>39579544.611111112</v>
      </c>
      <c r="H909">
        <v>0.93512043191326988</v>
      </c>
      <c r="I909">
        <v>0.94094794094794099</v>
      </c>
      <c r="J909">
        <v>8894272.444444444</v>
      </c>
      <c r="K909">
        <v>49619</v>
      </c>
      <c r="L909">
        <v>2</v>
      </c>
      <c r="M909">
        <v>149</v>
      </c>
      <c r="N909">
        <v>0.93686868686868685</v>
      </c>
      <c r="O909">
        <v>8473094.0833333321</v>
      </c>
      <c r="P909">
        <v>50252</v>
      </c>
      <c r="Q909">
        <v>2</v>
      </c>
      <c r="R909">
        <v>150</v>
      </c>
      <c r="S909" t="s">
        <v>736</v>
      </c>
      <c r="W909">
        <f>Cancer_doubles_final2[[#This Row],[mlp_params]]</f>
        <v>49619</v>
      </c>
      <c r="X909">
        <f>Cancer_doubles_final2[[#This Row],[kan_test_acc]]</f>
        <v>0.93512043191326988</v>
      </c>
      <c r="Y909">
        <f>Cancer_doubles_final2[[#This Row],[mlp_test_acc]]</f>
        <v>0.94094794094794099</v>
      </c>
      <c r="Z909">
        <f>Cancer_doubles_final2[[#This Row],[mlp_test_acc2]]</f>
        <v>0.93686868686868685</v>
      </c>
    </row>
    <row r="910" spans="1:26" hidden="1" x14ac:dyDescent="0.25">
      <c r="A910" t="s">
        <v>19</v>
      </c>
      <c r="B910">
        <v>5</v>
      </c>
      <c r="C910">
        <v>4</v>
      </c>
      <c r="D910">
        <v>0</v>
      </c>
      <c r="E910" t="s">
        <v>266</v>
      </c>
      <c r="F910">
        <v>28542</v>
      </c>
      <c r="G910">
        <v>35247290.111111112</v>
      </c>
      <c r="H910">
        <v>0.94502719243367517</v>
      </c>
      <c r="I910">
        <v>0.94774669774669773</v>
      </c>
      <c r="J910">
        <v>9542208.583333334</v>
      </c>
      <c r="K910">
        <v>49619</v>
      </c>
      <c r="L910">
        <v>2</v>
      </c>
      <c r="M910">
        <v>149</v>
      </c>
      <c r="N910">
        <v>0.94522144522144524</v>
      </c>
      <c r="O910">
        <v>8823151.25</v>
      </c>
      <c r="P910">
        <v>50252</v>
      </c>
      <c r="Q910">
        <v>2</v>
      </c>
      <c r="R910">
        <v>150</v>
      </c>
      <c r="S910" t="s">
        <v>737</v>
      </c>
      <c r="W910">
        <f>Cancer_doubles_final2[[#This Row],[mlp_params]]</f>
        <v>49619</v>
      </c>
      <c r="X910">
        <f>Cancer_doubles_final2[[#This Row],[kan_test_acc]]</f>
        <v>0.94502719243367517</v>
      </c>
      <c r="Y910">
        <f>Cancer_doubles_final2[[#This Row],[mlp_test_acc]]</f>
        <v>0.94774669774669773</v>
      </c>
      <c r="Z910">
        <f>Cancer_doubles_final2[[#This Row],[mlp_test_acc2]]</f>
        <v>0.94522144522144524</v>
      </c>
    </row>
    <row r="911" spans="1:26" x14ac:dyDescent="0.25">
      <c r="A911" t="s">
        <v>19</v>
      </c>
      <c r="B911">
        <v>3</v>
      </c>
      <c r="C911">
        <v>5</v>
      </c>
      <c r="D911">
        <v>0</v>
      </c>
      <c r="E911" t="s">
        <v>341</v>
      </c>
      <c r="F911">
        <v>28594</v>
      </c>
      <c r="G911">
        <v>41090976.854166672</v>
      </c>
      <c r="H911">
        <v>0.94493007039030386</v>
      </c>
      <c r="I911">
        <v>0.92934149184149184</v>
      </c>
      <c r="J911">
        <v>8863901.645833334</v>
      </c>
      <c r="K911">
        <v>56802</v>
      </c>
      <c r="L911">
        <v>2</v>
      </c>
      <c r="M911">
        <v>160</v>
      </c>
      <c r="N911">
        <v>0.9306526806526807</v>
      </c>
      <c r="O911">
        <v>9342781.354166666</v>
      </c>
      <c r="P911">
        <v>57479</v>
      </c>
      <c r="Q911">
        <v>2</v>
      </c>
      <c r="R911">
        <v>161</v>
      </c>
      <c r="S911" t="s">
        <v>738</v>
      </c>
      <c r="W911">
        <f>Cancer_doubles_final2[[#This Row],[mlp_params]]</f>
        <v>56802</v>
      </c>
      <c r="X911">
        <f>Cancer_doubles_final2[[#This Row],[kan_test_acc]]</f>
        <v>0.94493007039030386</v>
      </c>
      <c r="Y911">
        <f>Cancer_doubles_final2[[#This Row],[mlp_test_acc]]</f>
        <v>0.92934149184149184</v>
      </c>
      <c r="Z911">
        <f>Cancer_doubles_final2[[#This Row],[mlp_test_acc2]]</f>
        <v>0.9306526806526807</v>
      </c>
    </row>
    <row r="912" spans="1:26" hidden="1" x14ac:dyDescent="0.25">
      <c r="A912" t="s">
        <v>19</v>
      </c>
      <c r="B912">
        <v>5</v>
      </c>
      <c r="C912">
        <v>3</v>
      </c>
      <c r="D912">
        <v>0</v>
      </c>
      <c r="E912" t="s">
        <v>341</v>
      </c>
      <c r="F912">
        <v>28594</v>
      </c>
      <c r="G912">
        <v>43369448</v>
      </c>
      <c r="H912">
        <v>0.96824008474747336</v>
      </c>
      <c r="I912">
        <v>0.93793706293706292</v>
      </c>
      <c r="J912">
        <v>8457221.375</v>
      </c>
      <c r="K912">
        <v>46514</v>
      </c>
      <c r="L912">
        <v>2</v>
      </c>
      <c r="M912">
        <v>144</v>
      </c>
      <c r="N912">
        <v>0.94201631701631694</v>
      </c>
      <c r="O912">
        <v>9218743.0416666679</v>
      </c>
      <c r="P912">
        <v>47127</v>
      </c>
      <c r="Q912">
        <v>2</v>
      </c>
      <c r="R912">
        <v>145</v>
      </c>
      <c r="S912" t="s">
        <v>739</v>
      </c>
      <c r="W912">
        <f>Cancer_doubles_final2[[#This Row],[mlp_params]]</f>
        <v>46514</v>
      </c>
      <c r="X912">
        <f>Cancer_doubles_final2[[#This Row],[kan_test_acc]]</f>
        <v>0.96824008474747336</v>
      </c>
      <c r="Y912">
        <f>Cancer_doubles_final2[[#This Row],[mlp_test_acc]]</f>
        <v>0.93793706293706292</v>
      </c>
      <c r="Z912">
        <f>Cancer_doubles_final2[[#This Row],[mlp_test_acc2]]</f>
        <v>0.94201631701631694</v>
      </c>
    </row>
    <row r="913" spans="1:26" x14ac:dyDescent="0.25">
      <c r="A913" t="s">
        <v>19</v>
      </c>
      <c r="B913">
        <v>3</v>
      </c>
      <c r="C913">
        <v>5</v>
      </c>
      <c r="D913">
        <v>0</v>
      </c>
      <c r="E913" t="s">
        <v>341</v>
      </c>
      <c r="F913">
        <v>28594</v>
      </c>
      <c r="G913">
        <v>47651032</v>
      </c>
      <c r="H913">
        <v>0.95600232233603799</v>
      </c>
      <c r="I913">
        <v>0.93997668997668993</v>
      </c>
      <c r="J913">
        <v>8983611.9166666679</v>
      </c>
      <c r="K913">
        <v>56802</v>
      </c>
      <c r="L913">
        <v>2</v>
      </c>
      <c r="M913">
        <v>160</v>
      </c>
      <c r="N913">
        <v>0.94318181818181812</v>
      </c>
      <c r="O913">
        <v>9164547.5</v>
      </c>
      <c r="P913">
        <v>57479</v>
      </c>
      <c r="Q913">
        <v>2</v>
      </c>
      <c r="R913">
        <v>161</v>
      </c>
      <c r="S913" t="s">
        <v>738</v>
      </c>
      <c r="W913">
        <f>Cancer_doubles_final2[[#This Row],[mlp_params]]</f>
        <v>56802</v>
      </c>
      <c r="X913">
        <f>Cancer_doubles_final2[[#This Row],[kan_test_acc]]</f>
        <v>0.95600232233603799</v>
      </c>
      <c r="Y913">
        <f>Cancer_doubles_final2[[#This Row],[mlp_test_acc]]</f>
        <v>0.93997668997668993</v>
      </c>
      <c r="Z913">
        <f>Cancer_doubles_final2[[#This Row],[mlp_test_acc2]]</f>
        <v>0.94318181818181812</v>
      </c>
    </row>
    <row r="914" spans="1:26" hidden="1" x14ac:dyDescent="0.25">
      <c r="A914" t="s">
        <v>19</v>
      </c>
      <c r="B914">
        <v>5</v>
      </c>
      <c r="C914">
        <v>3</v>
      </c>
      <c r="D914">
        <v>0</v>
      </c>
      <c r="E914" t="s">
        <v>341</v>
      </c>
      <c r="F914">
        <v>28594</v>
      </c>
      <c r="G914">
        <v>46445482.75</v>
      </c>
      <c r="H914">
        <v>0.94318181276321411</v>
      </c>
      <c r="I914">
        <v>0.92307692307692313</v>
      </c>
      <c r="J914">
        <v>8754138.791666666</v>
      </c>
      <c r="K914">
        <v>46514</v>
      </c>
      <c r="L914">
        <v>2</v>
      </c>
      <c r="M914">
        <v>144</v>
      </c>
      <c r="N914">
        <v>0.921037296037296</v>
      </c>
      <c r="O914">
        <v>9764052.333333334</v>
      </c>
      <c r="P914">
        <v>47127</v>
      </c>
      <c r="Q914">
        <v>2</v>
      </c>
      <c r="R914">
        <v>145</v>
      </c>
      <c r="S914" t="s">
        <v>739</v>
      </c>
      <c r="W914">
        <f>Cancer_doubles_final2[[#This Row],[mlp_params]]</f>
        <v>46514</v>
      </c>
      <c r="X914">
        <f>Cancer_doubles_final2[[#This Row],[kan_test_acc]]</f>
        <v>0.94318181276321411</v>
      </c>
      <c r="Y914">
        <f>Cancer_doubles_final2[[#This Row],[mlp_test_acc]]</f>
        <v>0.92307692307692313</v>
      </c>
      <c r="Z914">
        <f>Cancer_doubles_final2[[#This Row],[mlp_test_acc2]]</f>
        <v>0.921037296037296</v>
      </c>
    </row>
    <row r="915" spans="1:26" x14ac:dyDescent="0.25">
      <c r="A915" t="s">
        <v>19</v>
      </c>
      <c r="B915">
        <v>3</v>
      </c>
      <c r="C915">
        <v>5</v>
      </c>
      <c r="D915">
        <v>0</v>
      </c>
      <c r="E915" t="s">
        <v>345</v>
      </c>
      <c r="F915">
        <v>28678</v>
      </c>
      <c r="G915">
        <v>42573753.291666672</v>
      </c>
      <c r="H915">
        <v>0.95017481843630469</v>
      </c>
      <c r="I915">
        <v>0.91987179487179493</v>
      </c>
      <c r="J915">
        <v>8730950.3333333321</v>
      </c>
      <c r="K915">
        <v>56802</v>
      </c>
      <c r="L915">
        <v>2</v>
      </c>
      <c r="M915">
        <v>160</v>
      </c>
      <c r="N915">
        <v>0.91899766899766899</v>
      </c>
      <c r="O915">
        <v>9155352.458333334</v>
      </c>
      <c r="P915">
        <v>57479</v>
      </c>
      <c r="Q915">
        <v>2</v>
      </c>
      <c r="R915">
        <v>161</v>
      </c>
      <c r="S915" t="s">
        <v>740</v>
      </c>
      <c r="W915">
        <f>Cancer_doubles_final2[[#This Row],[mlp_params]]</f>
        <v>56802</v>
      </c>
      <c r="X915">
        <f>Cancer_doubles_final2[[#This Row],[kan_test_acc]]</f>
        <v>0.95017481843630469</v>
      </c>
      <c r="Y915">
        <f>Cancer_doubles_final2[[#This Row],[mlp_test_acc]]</f>
        <v>0.91987179487179493</v>
      </c>
      <c r="Z915">
        <f>Cancer_doubles_final2[[#This Row],[mlp_test_acc2]]</f>
        <v>0.91899766899766899</v>
      </c>
    </row>
    <row r="916" spans="1:26" hidden="1" x14ac:dyDescent="0.25">
      <c r="A916" t="s">
        <v>19</v>
      </c>
      <c r="B916">
        <v>5</v>
      </c>
      <c r="C916">
        <v>3</v>
      </c>
      <c r="D916">
        <v>0</v>
      </c>
      <c r="E916" t="s">
        <v>345</v>
      </c>
      <c r="F916">
        <v>28678</v>
      </c>
      <c r="G916">
        <v>42621638.083333328</v>
      </c>
      <c r="H916">
        <v>0.96416082978248596</v>
      </c>
      <c r="I916">
        <v>0.93881118881118875</v>
      </c>
      <c r="J916">
        <v>8874290.083333334</v>
      </c>
      <c r="K916">
        <v>46514</v>
      </c>
      <c r="L916">
        <v>2</v>
      </c>
      <c r="M916">
        <v>144</v>
      </c>
      <c r="N916">
        <v>0.9391025641025641</v>
      </c>
      <c r="O916">
        <v>9085746.208333334</v>
      </c>
      <c r="P916">
        <v>47127</v>
      </c>
      <c r="Q916">
        <v>2</v>
      </c>
      <c r="R916">
        <v>145</v>
      </c>
      <c r="S916" t="s">
        <v>741</v>
      </c>
      <c r="W916">
        <f>Cancer_doubles_final2[[#This Row],[mlp_params]]</f>
        <v>46514</v>
      </c>
      <c r="X916">
        <f>Cancer_doubles_final2[[#This Row],[kan_test_acc]]</f>
        <v>0.96416082978248596</v>
      </c>
      <c r="Y916">
        <f>Cancer_doubles_final2[[#This Row],[mlp_test_acc]]</f>
        <v>0.93881118881118875</v>
      </c>
      <c r="Z916">
        <f>Cancer_doubles_final2[[#This Row],[mlp_test_acc2]]</f>
        <v>0.9391025641025641</v>
      </c>
    </row>
    <row r="917" spans="1:26" x14ac:dyDescent="0.25">
      <c r="A917" t="s">
        <v>19</v>
      </c>
      <c r="B917">
        <v>3</v>
      </c>
      <c r="C917">
        <v>5</v>
      </c>
      <c r="D917">
        <v>0</v>
      </c>
      <c r="E917" t="s">
        <v>345</v>
      </c>
      <c r="F917">
        <v>28678</v>
      </c>
      <c r="G917">
        <v>43288373.375</v>
      </c>
      <c r="H917">
        <v>0.96416082978248596</v>
      </c>
      <c r="I917">
        <v>0.94201631701631705</v>
      </c>
      <c r="J917">
        <v>9230104.125</v>
      </c>
      <c r="K917">
        <v>56802</v>
      </c>
      <c r="L917">
        <v>2</v>
      </c>
      <c r="M917">
        <v>160</v>
      </c>
      <c r="N917">
        <v>0.94055944055944063</v>
      </c>
      <c r="O917">
        <v>9679129.666666666</v>
      </c>
      <c r="P917">
        <v>57479</v>
      </c>
      <c r="Q917">
        <v>2</v>
      </c>
      <c r="R917">
        <v>161</v>
      </c>
      <c r="S917" t="s">
        <v>740</v>
      </c>
      <c r="W917">
        <f>Cancer_doubles_final2[[#This Row],[mlp_params]]</f>
        <v>56802</v>
      </c>
      <c r="X917">
        <f>Cancer_doubles_final2[[#This Row],[kan_test_acc]]</f>
        <v>0.96416082978248596</v>
      </c>
      <c r="Y917">
        <f>Cancer_doubles_final2[[#This Row],[mlp_test_acc]]</f>
        <v>0.94201631701631705</v>
      </c>
      <c r="Z917">
        <f>Cancer_doubles_final2[[#This Row],[mlp_test_acc2]]</f>
        <v>0.94055944055944063</v>
      </c>
    </row>
    <row r="918" spans="1:26" hidden="1" x14ac:dyDescent="0.25">
      <c r="A918" t="s">
        <v>19</v>
      </c>
      <c r="B918">
        <v>5</v>
      </c>
      <c r="C918">
        <v>3</v>
      </c>
      <c r="D918">
        <v>0</v>
      </c>
      <c r="E918" t="s">
        <v>345</v>
      </c>
      <c r="F918">
        <v>28678</v>
      </c>
      <c r="G918">
        <v>44162960.625</v>
      </c>
      <c r="H918">
        <v>0.95687644928693771</v>
      </c>
      <c r="I918">
        <v>0.9216200466200466</v>
      </c>
      <c r="J918">
        <v>9937424.291666666</v>
      </c>
      <c r="K918">
        <v>46514</v>
      </c>
      <c r="L918">
        <v>2</v>
      </c>
      <c r="M918">
        <v>144</v>
      </c>
      <c r="N918">
        <v>0.91870629370629375</v>
      </c>
      <c r="O918">
        <v>9368658.916666666</v>
      </c>
      <c r="P918">
        <v>47127</v>
      </c>
      <c r="Q918">
        <v>2</v>
      </c>
      <c r="R918">
        <v>145</v>
      </c>
      <c r="S918" t="s">
        <v>741</v>
      </c>
      <c r="W918">
        <f>Cancer_doubles_final2[[#This Row],[mlp_params]]</f>
        <v>46514</v>
      </c>
      <c r="X918">
        <f>Cancer_doubles_final2[[#This Row],[kan_test_acc]]</f>
        <v>0.95687644928693771</v>
      </c>
      <c r="Y918">
        <f>Cancer_doubles_final2[[#This Row],[mlp_test_acc]]</f>
        <v>0.9216200466200466</v>
      </c>
      <c r="Z918">
        <f>Cancer_doubles_final2[[#This Row],[mlp_test_acc2]]</f>
        <v>0.91870629370629375</v>
      </c>
    </row>
    <row r="919" spans="1:26" hidden="1" x14ac:dyDescent="0.25">
      <c r="A919" t="s">
        <v>19</v>
      </c>
      <c r="B919">
        <v>3</v>
      </c>
      <c r="C919">
        <v>3</v>
      </c>
      <c r="D919">
        <v>0</v>
      </c>
      <c r="E919" t="s">
        <v>582</v>
      </c>
      <c r="F919">
        <v>28716</v>
      </c>
      <c r="G919">
        <v>44613686.208333328</v>
      </c>
      <c r="H919">
        <v>0.96590908616781235</v>
      </c>
      <c r="I919">
        <v>0.92540792540792538</v>
      </c>
      <c r="J919">
        <v>9902360.958333334</v>
      </c>
      <c r="K919">
        <v>50889</v>
      </c>
      <c r="L919">
        <v>2</v>
      </c>
      <c r="M919">
        <v>151</v>
      </c>
      <c r="N919">
        <v>0.92074592074592077</v>
      </c>
      <c r="O919">
        <v>8920481.0833333321</v>
      </c>
      <c r="P919">
        <v>51530</v>
      </c>
      <c r="Q919">
        <v>2</v>
      </c>
      <c r="R919">
        <v>152</v>
      </c>
      <c r="S919" t="s">
        <v>742</v>
      </c>
      <c r="W919">
        <f>Cancer_doubles_final2[[#This Row],[mlp_params]]</f>
        <v>50889</v>
      </c>
      <c r="X919">
        <f>Cancer_doubles_final2[[#This Row],[kan_test_acc]]</f>
        <v>0.96590908616781235</v>
      </c>
      <c r="Y919">
        <f>Cancer_doubles_final2[[#This Row],[mlp_test_acc]]</f>
        <v>0.92540792540792538</v>
      </c>
      <c r="Z919">
        <f>Cancer_doubles_final2[[#This Row],[mlp_test_acc2]]</f>
        <v>0.92074592074592077</v>
      </c>
    </row>
    <row r="920" spans="1:26" x14ac:dyDescent="0.25">
      <c r="A920" t="s">
        <v>19</v>
      </c>
      <c r="B920">
        <v>3</v>
      </c>
      <c r="C920">
        <v>5</v>
      </c>
      <c r="D920">
        <v>0</v>
      </c>
      <c r="E920" t="s">
        <v>347</v>
      </c>
      <c r="F920">
        <v>28724</v>
      </c>
      <c r="G920">
        <v>49127465.027777776</v>
      </c>
      <c r="H920">
        <v>0.96425795720683205</v>
      </c>
      <c r="I920">
        <v>0.94094794094794099</v>
      </c>
      <c r="J920">
        <v>9174807.083333334</v>
      </c>
      <c r="K920">
        <v>56802</v>
      </c>
      <c r="L920">
        <v>2</v>
      </c>
      <c r="M920">
        <v>160</v>
      </c>
      <c r="N920">
        <v>0.94211344211344217</v>
      </c>
      <c r="O920">
        <v>9264127.694444444</v>
      </c>
      <c r="P920">
        <v>57479</v>
      </c>
      <c r="Q920">
        <v>2</v>
      </c>
      <c r="R920">
        <v>161</v>
      </c>
      <c r="S920" t="s">
        <v>743</v>
      </c>
      <c r="W920">
        <f>Cancer_doubles_final2[[#This Row],[mlp_params]]</f>
        <v>56802</v>
      </c>
      <c r="X920">
        <f>Cancer_doubles_final2[[#This Row],[kan_test_acc]]</f>
        <v>0.96425795720683205</v>
      </c>
      <c r="Y920">
        <f>Cancer_doubles_final2[[#This Row],[mlp_test_acc]]</f>
        <v>0.94094794094794099</v>
      </c>
      <c r="Z920">
        <f>Cancer_doubles_final2[[#This Row],[mlp_test_acc2]]</f>
        <v>0.94211344211344217</v>
      </c>
    </row>
    <row r="921" spans="1:26" hidden="1" x14ac:dyDescent="0.25">
      <c r="A921" t="s">
        <v>19</v>
      </c>
      <c r="B921">
        <v>5</v>
      </c>
      <c r="C921">
        <v>3</v>
      </c>
      <c r="D921">
        <v>0</v>
      </c>
      <c r="E921" t="s">
        <v>347</v>
      </c>
      <c r="F921">
        <v>28724</v>
      </c>
      <c r="G921">
        <v>44024516.416666664</v>
      </c>
      <c r="H921">
        <v>0.97057108829418814</v>
      </c>
      <c r="I921">
        <v>0.93648018648018649</v>
      </c>
      <c r="J921">
        <v>9634065.4166666679</v>
      </c>
      <c r="K921">
        <v>46514</v>
      </c>
      <c r="L921">
        <v>2</v>
      </c>
      <c r="M921">
        <v>144</v>
      </c>
      <c r="N921">
        <v>0.9396853146853148</v>
      </c>
      <c r="O921">
        <v>9073317.583333334</v>
      </c>
      <c r="P921">
        <v>47127</v>
      </c>
      <c r="Q921">
        <v>2</v>
      </c>
      <c r="R921">
        <v>145</v>
      </c>
      <c r="S921" t="s">
        <v>744</v>
      </c>
      <c r="W921">
        <f>Cancer_doubles_final2[[#This Row],[mlp_params]]</f>
        <v>46514</v>
      </c>
      <c r="X921">
        <f>Cancer_doubles_final2[[#This Row],[kan_test_acc]]</f>
        <v>0.97057108829418814</v>
      </c>
      <c r="Y921">
        <f>Cancer_doubles_final2[[#This Row],[mlp_test_acc]]</f>
        <v>0.93648018648018649</v>
      </c>
      <c r="Z921">
        <f>Cancer_doubles_final2[[#This Row],[mlp_test_acc2]]</f>
        <v>0.9396853146853148</v>
      </c>
    </row>
    <row r="922" spans="1:26" x14ac:dyDescent="0.25">
      <c r="A922" t="s">
        <v>19</v>
      </c>
      <c r="B922">
        <v>3</v>
      </c>
      <c r="C922">
        <v>5</v>
      </c>
      <c r="D922">
        <v>0</v>
      </c>
      <c r="E922" t="s">
        <v>347</v>
      </c>
      <c r="F922">
        <v>28724</v>
      </c>
      <c r="G922">
        <v>44731754.25</v>
      </c>
      <c r="H922">
        <v>0.96503496170043945</v>
      </c>
      <c r="I922">
        <v>0.93997668997668993</v>
      </c>
      <c r="J922">
        <v>9828233.708333334</v>
      </c>
      <c r="K922">
        <v>56802</v>
      </c>
      <c r="L922">
        <v>2</v>
      </c>
      <c r="M922">
        <v>160</v>
      </c>
      <c r="N922">
        <v>0.94055944055944063</v>
      </c>
      <c r="O922">
        <v>9383284.2916666679</v>
      </c>
      <c r="P922">
        <v>57479</v>
      </c>
      <c r="Q922">
        <v>2</v>
      </c>
      <c r="R922">
        <v>161</v>
      </c>
      <c r="S922" t="s">
        <v>743</v>
      </c>
      <c r="W922">
        <f>Cancer_doubles_final2[[#This Row],[mlp_params]]</f>
        <v>56802</v>
      </c>
      <c r="X922">
        <f>Cancer_doubles_final2[[#This Row],[kan_test_acc]]</f>
        <v>0.96503496170043945</v>
      </c>
      <c r="Y922">
        <f>Cancer_doubles_final2[[#This Row],[mlp_test_acc]]</f>
        <v>0.93997668997668993</v>
      </c>
      <c r="Z922">
        <f>Cancer_doubles_final2[[#This Row],[mlp_test_acc2]]</f>
        <v>0.94055944055944063</v>
      </c>
    </row>
    <row r="923" spans="1:26" hidden="1" x14ac:dyDescent="0.25">
      <c r="A923" t="s">
        <v>19</v>
      </c>
      <c r="B923">
        <v>5</v>
      </c>
      <c r="C923">
        <v>3</v>
      </c>
      <c r="D923">
        <v>0</v>
      </c>
      <c r="E923" t="s">
        <v>347</v>
      </c>
      <c r="F923">
        <v>28724</v>
      </c>
      <c r="G923">
        <v>42568997.375</v>
      </c>
      <c r="H923">
        <v>0.95104895035425829</v>
      </c>
      <c r="I923">
        <v>0.92074592074592077</v>
      </c>
      <c r="J923">
        <v>9391708.041666666</v>
      </c>
      <c r="K923">
        <v>46514</v>
      </c>
      <c r="L923">
        <v>2</v>
      </c>
      <c r="M923">
        <v>144</v>
      </c>
      <c r="N923">
        <v>0.92016317016317017</v>
      </c>
      <c r="O923">
        <v>9919763.7916666679</v>
      </c>
      <c r="P923">
        <v>47127</v>
      </c>
      <c r="Q923">
        <v>2</v>
      </c>
      <c r="R923">
        <v>145</v>
      </c>
      <c r="S923" t="s">
        <v>744</v>
      </c>
      <c r="W923">
        <f>Cancer_doubles_final2[[#This Row],[mlp_params]]</f>
        <v>46514</v>
      </c>
      <c r="X923">
        <f>Cancer_doubles_final2[[#This Row],[kan_test_acc]]</f>
        <v>0.95104895035425829</v>
      </c>
      <c r="Y923">
        <f>Cancer_doubles_final2[[#This Row],[mlp_test_acc]]</f>
        <v>0.92074592074592077</v>
      </c>
      <c r="Z923">
        <f>Cancer_doubles_final2[[#This Row],[mlp_test_acc2]]</f>
        <v>0.92016317016317017</v>
      </c>
    </row>
    <row r="924" spans="1:26" hidden="1" x14ac:dyDescent="0.25">
      <c r="A924" t="s">
        <v>19</v>
      </c>
      <c r="B924">
        <v>5</v>
      </c>
      <c r="C924">
        <v>4</v>
      </c>
      <c r="D924">
        <v>0</v>
      </c>
      <c r="E924" t="s">
        <v>272</v>
      </c>
      <c r="F924">
        <v>28730</v>
      </c>
      <c r="G924">
        <v>40069113.833333328</v>
      </c>
      <c r="H924">
        <v>0.94930069645245874</v>
      </c>
      <c r="I924">
        <v>0.92773892773892763</v>
      </c>
      <c r="J924">
        <v>9386578.666666666</v>
      </c>
      <c r="K924">
        <v>49619</v>
      </c>
      <c r="L924">
        <v>2</v>
      </c>
      <c r="M924">
        <v>149</v>
      </c>
      <c r="N924">
        <v>0.92686480186480191</v>
      </c>
      <c r="O924">
        <v>10434825.708333334</v>
      </c>
      <c r="P924">
        <v>50252</v>
      </c>
      <c r="Q924">
        <v>2</v>
      </c>
      <c r="R924">
        <v>150</v>
      </c>
      <c r="S924" t="s">
        <v>745</v>
      </c>
      <c r="W924">
        <f>Cancer_doubles_final2[[#This Row],[mlp_params]]</f>
        <v>49619</v>
      </c>
      <c r="X924">
        <f>Cancer_doubles_final2[[#This Row],[kan_test_acc]]</f>
        <v>0.94930069645245874</v>
      </c>
      <c r="Y924">
        <f>Cancer_doubles_final2[[#This Row],[mlp_test_acc]]</f>
        <v>0.92773892773892763</v>
      </c>
      <c r="Z924">
        <f>Cancer_doubles_final2[[#This Row],[mlp_test_acc2]]</f>
        <v>0.92686480186480191</v>
      </c>
    </row>
    <row r="925" spans="1:26" hidden="1" x14ac:dyDescent="0.25">
      <c r="A925" t="s">
        <v>19</v>
      </c>
      <c r="B925">
        <v>3</v>
      </c>
      <c r="C925">
        <v>4</v>
      </c>
      <c r="D925">
        <v>0</v>
      </c>
      <c r="E925" t="s">
        <v>445</v>
      </c>
      <c r="F925">
        <v>28730</v>
      </c>
      <c r="G925">
        <v>43284686.75</v>
      </c>
      <c r="H925">
        <v>0.96998834113279986</v>
      </c>
      <c r="I925">
        <v>0.95046620046620045</v>
      </c>
      <c r="J925">
        <v>8711775.0416666679</v>
      </c>
      <c r="K925">
        <v>54134</v>
      </c>
      <c r="L925">
        <v>2</v>
      </c>
      <c r="M925">
        <v>156</v>
      </c>
      <c r="N925">
        <v>0.9565850815850816</v>
      </c>
      <c r="O925">
        <v>9950743.2083333321</v>
      </c>
      <c r="P925">
        <v>54795</v>
      </c>
      <c r="Q925">
        <v>2</v>
      </c>
      <c r="R925">
        <v>157</v>
      </c>
      <c r="S925" t="s">
        <v>746</v>
      </c>
      <c r="W925">
        <f>Cancer_doubles_final2[[#This Row],[mlp_params]]</f>
        <v>54134</v>
      </c>
      <c r="X925">
        <f>Cancer_doubles_final2[[#This Row],[kan_test_acc]]</f>
        <v>0.96998834113279986</v>
      </c>
      <c r="Y925">
        <f>Cancer_doubles_final2[[#This Row],[mlp_test_acc]]</f>
        <v>0.95046620046620045</v>
      </c>
      <c r="Z925">
        <f>Cancer_doubles_final2[[#This Row],[mlp_test_acc2]]</f>
        <v>0.9565850815850816</v>
      </c>
    </row>
    <row r="926" spans="1:26" hidden="1" x14ac:dyDescent="0.25">
      <c r="A926" t="s">
        <v>19</v>
      </c>
      <c r="B926">
        <v>5</v>
      </c>
      <c r="C926">
        <v>2</v>
      </c>
      <c r="D926">
        <v>0</v>
      </c>
      <c r="E926" t="s">
        <v>445</v>
      </c>
      <c r="F926">
        <v>28730</v>
      </c>
      <c r="G926">
        <v>41223633.875</v>
      </c>
      <c r="H926">
        <v>0.97465034822622942</v>
      </c>
      <c r="I926">
        <v>0.94230769230769229</v>
      </c>
      <c r="J926">
        <v>8494584.375</v>
      </c>
      <c r="K926">
        <v>42920</v>
      </c>
      <c r="L926">
        <v>2</v>
      </c>
      <c r="M926">
        <v>138</v>
      </c>
      <c r="N926">
        <v>0.94609557109557108</v>
      </c>
      <c r="O926">
        <v>8232160.25</v>
      </c>
      <c r="P926">
        <v>43509</v>
      </c>
      <c r="Q926">
        <v>2</v>
      </c>
      <c r="R926">
        <v>139</v>
      </c>
      <c r="S926" t="s">
        <v>747</v>
      </c>
      <c r="W926">
        <f>Cancer_doubles_final2[[#This Row],[mlp_params]]</f>
        <v>42920</v>
      </c>
      <c r="X926">
        <f>Cancer_doubles_final2[[#This Row],[kan_test_acc]]</f>
        <v>0.97465034822622942</v>
      </c>
      <c r="Y926">
        <f>Cancer_doubles_final2[[#This Row],[mlp_test_acc]]</f>
        <v>0.94230769230769229</v>
      </c>
      <c r="Z926">
        <f>Cancer_doubles_final2[[#This Row],[mlp_test_acc2]]</f>
        <v>0.94609557109557108</v>
      </c>
    </row>
    <row r="927" spans="1:26" hidden="1" x14ac:dyDescent="0.25">
      <c r="A927" t="s">
        <v>19</v>
      </c>
      <c r="B927">
        <v>5</v>
      </c>
      <c r="C927">
        <v>4</v>
      </c>
      <c r="D927">
        <v>0</v>
      </c>
      <c r="E927" t="s">
        <v>272</v>
      </c>
      <c r="F927">
        <v>28730</v>
      </c>
      <c r="G927">
        <v>40535556</v>
      </c>
      <c r="H927">
        <v>0.95862471063931787</v>
      </c>
      <c r="I927">
        <v>0.93502331002331007</v>
      </c>
      <c r="J927">
        <v>8853712.4583333321</v>
      </c>
      <c r="K927">
        <v>49619</v>
      </c>
      <c r="L927">
        <v>2</v>
      </c>
      <c r="M927">
        <v>149</v>
      </c>
      <c r="N927">
        <v>0.93356643356643354</v>
      </c>
      <c r="O927">
        <v>8271872.666666667</v>
      </c>
      <c r="P927">
        <v>50252</v>
      </c>
      <c r="Q927">
        <v>2</v>
      </c>
      <c r="R927">
        <v>150</v>
      </c>
      <c r="S927" t="s">
        <v>745</v>
      </c>
      <c r="W927">
        <f>Cancer_doubles_final2[[#This Row],[mlp_params]]</f>
        <v>49619</v>
      </c>
      <c r="X927">
        <f>Cancer_doubles_final2[[#This Row],[kan_test_acc]]</f>
        <v>0.95862471063931787</v>
      </c>
      <c r="Y927">
        <f>Cancer_doubles_final2[[#This Row],[mlp_test_acc]]</f>
        <v>0.93502331002331007</v>
      </c>
      <c r="Z927">
        <f>Cancer_doubles_final2[[#This Row],[mlp_test_acc2]]</f>
        <v>0.93356643356643354</v>
      </c>
    </row>
    <row r="928" spans="1:26" hidden="1" x14ac:dyDescent="0.25">
      <c r="A928" t="s">
        <v>19</v>
      </c>
      <c r="B928">
        <v>9</v>
      </c>
      <c r="C928">
        <v>4</v>
      </c>
      <c r="D928">
        <v>0</v>
      </c>
      <c r="E928" t="s">
        <v>143</v>
      </c>
      <c r="F928">
        <v>28730</v>
      </c>
      <c r="G928">
        <v>33278137.791666668</v>
      </c>
      <c r="H928">
        <v>0.95571095248063409</v>
      </c>
      <c r="I928">
        <v>0.94871794871794868</v>
      </c>
      <c r="J928">
        <v>8344202.458333333</v>
      </c>
      <c r="K928">
        <v>44699</v>
      </c>
      <c r="L928">
        <v>2</v>
      </c>
      <c r="M928">
        <v>141</v>
      </c>
      <c r="N928">
        <v>0.94813519813519809</v>
      </c>
      <c r="O928">
        <v>8771048.291666666</v>
      </c>
      <c r="P928">
        <v>45300</v>
      </c>
      <c r="Q928">
        <v>2</v>
      </c>
      <c r="R928">
        <v>142</v>
      </c>
      <c r="S928" t="s">
        <v>748</v>
      </c>
      <c r="W928">
        <f>Cancer_doubles_final2[[#This Row],[mlp_params]]</f>
        <v>44699</v>
      </c>
      <c r="X928">
        <f>Cancer_doubles_final2[[#This Row],[kan_test_acc]]</f>
        <v>0.95571095248063409</v>
      </c>
      <c r="Y928">
        <f>Cancer_doubles_final2[[#This Row],[mlp_test_acc]]</f>
        <v>0.94871794871794868</v>
      </c>
      <c r="Z928">
        <f>Cancer_doubles_final2[[#This Row],[mlp_test_acc2]]</f>
        <v>0.94813519813519809</v>
      </c>
    </row>
    <row r="929" spans="1:26" hidden="1" x14ac:dyDescent="0.25">
      <c r="A929" t="s">
        <v>19</v>
      </c>
      <c r="B929">
        <v>3</v>
      </c>
      <c r="C929">
        <v>4</v>
      </c>
      <c r="D929">
        <v>0</v>
      </c>
      <c r="E929" t="s">
        <v>445</v>
      </c>
      <c r="F929">
        <v>28730</v>
      </c>
      <c r="G929">
        <v>33999270.458333328</v>
      </c>
      <c r="H929">
        <v>0.96707458049058914</v>
      </c>
      <c r="I929">
        <v>0.94493006993007</v>
      </c>
      <c r="J929">
        <v>8335633.791666667</v>
      </c>
      <c r="K929">
        <v>54134</v>
      </c>
      <c r="L929">
        <v>2</v>
      </c>
      <c r="M929">
        <v>156</v>
      </c>
      <c r="N929">
        <v>0.94376456876456882</v>
      </c>
      <c r="O929">
        <v>8938188.666666666</v>
      </c>
      <c r="P929">
        <v>54795</v>
      </c>
      <c r="Q929">
        <v>2</v>
      </c>
      <c r="R929">
        <v>157</v>
      </c>
      <c r="S929" t="s">
        <v>746</v>
      </c>
      <c r="W929">
        <f>Cancer_doubles_final2[[#This Row],[mlp_params]]</f>
        <v>54134</v>
      </c>
      <c r="X929">
        <f>Cancer_doubles_final2[[#This Row],[kan_test_acc]]</f>
        <v>0.96707458049058914</v>
      </c>
      <c r="Y929">
        <f>Cancer_doubles_final2[[#This Row],[mlp_test_acc]]</f>
        <v>0.94493006993007</v>
      </c>
      <c r="Z929">
        <f>Cancer_doubles_final2[[#This Row],[mlp_test_acc2]]</f>
        <v>0.94376456876456882</v>
      </c>
    </row>
    <row r="930" spans="1:26" hidden="1" x14ac:dyDescent="0.25">
      <c r="A930" t="s">
        <v>19</v>
      </c>
      <c r="B930">
        <v>5</v>
      </c>
      <c r="C930">
        <v>2</v>
      </c>
      <c r="D930">
        <v>0</v>
      </c>
      <c r="E930" t="s">
        <v>445</v>
      </c>
      <c r="F930">
        <v>28730</v>
      </c>
      <c r="G930">
        <v>37057976.083333336</v>
      </c>
      <c r="H930">
        <v>0.96940558403730392</v>
      </c>
      <c r="I930">
        <v>0.93298368298368306</v>
      </c>
      <c r="J930">
        <v>8709131.5416666679</v>
      </c>
      <c r="K930">
        <v>42920</v>
      </c>
      <c r="L930">
        <v>2</v>
      </c>
      <c r="M930">
        <v>138</v>
      </c>
      <c r="N930">
        <v>0.93240093240093236</v>
      </c>
      <c r="O930">
        <v>9772395.875</v>
      </c>
      <c r="P930">
        <v>43509</v>
      </c>
      <c r="Q930">
        <v>2</v>
      </c>
      <c r="R930">
        <v>139</v>
      </c>
      <c r="S930" t="s">
        <v>747</v>
      </c>
      <c r="W930">
        <f>Cancer_doubles_final2[[#This Row],[mlp_params]]</f>
        <v>42920</v>
      </c>
      <c r="X930">
        <f>Cancer_doubles_final2[[#This Row],[kan_test_acc]]</f>
        <v>0.96940558403730392</v>
      </c>
      <c r="Y930">
        <f>Cancer_doubles_final2[[#This Row],[mlp_test_acc]]</f>
        <v>0.93298368298368306</v>
      </c>
      <c r="Z930">
        <f>Cancer_doubles_final2[[#This Row],[mlp_test_acc2]]</f>
        <v>0.93240093240093236</v>
      </c>
    </row>
    <row r="931" spans="1:26" hidden="1" x14ac:dyDescent="0.25">
      <c r="A931" t="s">
        <v>19</v>
      </c>
      <c r="B931">
        <v>5</v>
      </c>
      <c r="C931">
        <v>4</v>
      </c>
      <c r="D931">
        <v>0</v>
      </c>
      <c r="E931" t="s">
        <v>272</v>
      </c>
      <c r="F931">
        <v>28730</v>
      </c>
      <c r="G931">
        <v>35896708.375</v>
      </c>
      <c r="H931">
        <v>0.95571094999710726</v>
      </c>
      <c r="I931">
        <v>0.94493006993007</v>
      </c>
      <c r="J931">
        <v>9029583.375</v>
      </c>
      <c r="K931">
        <v>49619</v>
      </c>
      <c r="L931">
        <v>2</v>
      </c>
      <c r="M931">
        <v>149</v>
      </c>
      <c r="N931">
        <v>0.94551282051282048</v>
      </c>
      <c r="O931">
        <v>10439979.708333334</v>
      </c>
      <c r="P931">
        <v>50252</v>
      </c>
      <c r="Q931">
        <v>2</v>
      </c>
      <c r="R931">
        <v>150</v>
      </c>
      <c r="S931" t="s">
        <v>745</v>
      </c>
      <c r="W931">
        <f>Cancer_doubles_final2[[#This Row],[mlp_params]]</f>
        <v>49619</v>
      </c>
      <c r="X931">
        <f>Cancer_doubles_final2[[#This Row],[kan_test_acc]]</f>
        <v>0.95571094999710726</v>
      </c>
      <c r="Y931">
        <f>Cancer_doubles_final2[[#This Row],[mlp_test_acc]]</f>
        <v>0.94493006993007</v>
      </c>
      <c r="Z931">
        <f>Cancer_doubles_final2[[#This Row],[mlp_test_acc2]]</f>
        <v>0.94551282051282048</v>
      </c>
    </row>
    <row r="932" spans="1:26" hidden="1" x14ac:dyDescent="0.25">
      <c r="A932" t="s">
        <v>19</v>
      </c>
      <c r="B932">
        <v>5</v>
      </c>
      <c r="C932">
        <v>4</v>
      </c>
      <c r="D932">
        <v>0</v>
      </c>
      <c r="E932" t="s">
        <v>274</v>
      </c>
      <c r="F932">
        <v>28732</v>
      </c>
      <c r="G932">
        <v>38558649.75</v>
      </c>
      <c r="H932">
        <v>0.95483682801326109</v>
      </c>
      <c r="I932">
        <v>0.94871794871794868</v>
      </c>
      <c r="J932">
        <v>9649154</v>
      </c>
      <c r="K932">
        <v>49619</v>
      </c>
      <c r="L932">
        <v>2</v>
      </c>
      <c r="M932">
        <v>149</v>
      </c>
      <c r="N932">
        <v>0.95017482517482521</v>
      </c>
      <c r="O932">
        <v>10419840.125</v>
      </c>
      <c r="P932">
        <v>50252</v>
      </c>
      <c r="Q932">
        <v>2</v>
      </c>
      <c r="R932">
        <v>150</v>
      </c>
      <c r="S932" t="s">
        <v>749</v>
      </c>
      <c r="W932">
        <f>Cancer_doubles_final2[[#This Row],[mlp_params]]</f>
        <v>49619</v>
      </c>
      <c r="X932">
        <f>Cancer_doubles_final2[[#This Row],[kan_test_acc]]</f>
        <v>0.95483682801326109</v>
      </c>
      <c r="Y932">
        <f>Cancer_doubles_final2[[#This Row],[mlp_test_acc]]</f>
        <v>0.94871794871794868</v>
      </c>
      <c r="Z932">
        <f>Cancer_doubles_final2[[#This Row],[mlp_test_acc2]]</f>
        <v>0.95017482517482521</v>
      </c>
    </row>
    <row r="933" spans="1:26" hidden="1" x14ac:dyDescent="0.25">
      <c r="A933" t="s">
        <v>19</v>
      </c>
      <c r="B933">
        <v>9</v>
      </c>
      <c r="C933">
        <v>2</v>
      </c>
      <c r="D933">
        <v>0</v>
      </c>
      <c r="E933" t="s">
        <v>189</v>
      </c>
      <c r="F933">
        <v>28738</v>
      </c>
      <c r="G933">
        <v>32118674.416666664</v>
      </c>
      <c r="H933">
        <v>0.9514860101044178</v>
      </c>
      <c r="I933">
        <v>0.93706293706293708</v>
      </c>
      <c r="J933">
        <v>9552408.8541666679</v>
      </c>
      <c r="K933">
        <v>38909</v>
      </c>
      <c r="L933">
        <v>2</v>
      </c>
      <c r="M933">
        <v>131</v>
      </c>
      <c r="N933">
        <v>0.93691724941724941</v>
      </c>
      <c r="O933">
        <v>9403813.2708333321</v>
      </c>
      <c r="P933">
        <v>39470</v>
      </c>
      <c r="Q933">
        <v>2</v>
      </c>
      <c r="R933">
        <v>132</v>
      </c>
      <c r="S933" t="s">
        <v>750</v>
      </c>
      <c r="W933">
        <f>Cancer_doubles_final2[[#This Row],[mlp_params]]</f>
        <v>38909</v>
      </c>
      <c r="X933">
        <f>Cancer_doubles_final2[[#This Row],[kan_test_acc]]</f>
        <v>0.9514860101044178</v>
      </c>
      <c r="Y933">
        <f>Cancer_doubles_final2[[#This Row],[mlp_test_acc]]</f>
        <v>0.93706293706293708</v>
      </c>
      <c r="Z933">
        <f>Cancer_doubles_final2[[#This Row],[mlp_test_acc2]]</f>
        <v>0.93691724941724941</v>
      </c>
    </row>
    <row r="934" spans="1:26" hidden="1" x14ac:dyDescent="0.25">
      <c r="A934" t="s">
        <v>19</v>
      </c>
      <c r="B934">
        <v>9</v>
      </c>
      <c r="C934">
        <v>2</v>
      </c>
      <c r="D934">
        <v>0</v>
      </c>
      <c r="E934" t="s">
        <v>191</v>
      </c>
      <c r="F934">
        <v>28796</v>
      </c>
      <c r="G934">
        <v>25301351.666666664</v>
      </c>
      <c r="H934">
        <v>0.92696192529466415</v>
      </c>
      <c r="I934">
        <v>0.91491841491841486</v>
      </c>
      <c r="J934">
        <v>9192298.777777778</v>
      </c>
      <c r="K934">
        <v>38909</v>
      </c>
      <c r="L934">
        <v>2</v>
      </c>
      <c r="M934">
        <v>131</v>
      </c>
      <c r="N934">
        <v>0.91297591297591296</v>
      </c>
      <c r="O934">
        <v>9178420</v>
      </c>
      <c r="P934">
        <v>39470</v>
      </c>
      <c r="Q934">
        <v>2</v>
      </c>
      <c r="R934">
        <v>132</v>
      </c>
      <c r="S934" t="s">
        <v>751</v>
      </c>
      <c r="W934">
        <f>Cancer_doubles_final2[[#This Row],[mlp_params]]</f>
        <v>38909</v>
      </c>
      <c r="X934">
        <f>Cancer_doubles_final2[[#This Row],[kan_test_acc]]</f>
        <v>0.92696192529466415</v>
      </c>
      <c r="Y934">
        <f>Cancer_doubles_final2[[#This Row],[mlp_test_acc]]</f>
        <v>0.91491841491841486</v>
      </c>
      <c r="Z934">
        <f>Cancer_doubles_final2[[#This Row],[mlp_test_acc2]]</f>
        <v>0.91297591297591296</v>
      </c>
    </row>
    <row r="935" spans="1:26" hidden="1" x14ac:dyDescent="0.25">
      <c r="A935" t="s">
        <v>19</v>
      </c>
      <c r="B935">
        <v>9</v>
      </c>
      <c r="C935">
        <v>3</v>
      </c>
      <c r="D935">
        <v>0</v>
      </c>
      <c r="E935" t="s">
        <v>165</v>
      </c>
      <c r="F935">
        <v>28862</v>
      </c>
      <c r="G935">
        <v>25551039.861111112</v>
      </c>
      <c r="H935">
        <v>0.91996891962157357</v>
      </c>
      <c r="I935">
        <v>0.91258741258741261</v>
      </c>
      <c r="J935">
        <v>9409759.722222222</v>
      </c>
      <c r="K935">
        <v>41754</v>
      </c>
      <c r="L935">
        <v>2</v>
      </c>
      <c r="M935">
        <v>136</v>
      </c>
      <c r="N935">
        <v>0.9106449106449106</v>
      </c>
      <c r="O935">
        <v>8134089.277777778</v>
      </c>
      <c r="P935">
        <v>42335</v>
      </c>
      <c r="Q935">
        <v>2</v>
      </c>
      <c r="R935">
        <v>137</v>
      </c>
      <c r="S935" t="s">
        <v>752</v>
      </c>
      <c r="W935">
        <f>Cancer_doubles_final2[[#This Row],[mlp_params]]</f>
        <v>41754</v>
      </c>
      <c r="X935">
        <f>Cancer_doubles_final2[[#This Row],[kan_test_acc]]</f>
        <v>0.91996891962157357</v>
      </c>
      <c r="Y935">
        <f>Cancer_doubles_final2[[#This Row],[mlp_test_acc]]</f>
        <v>0.91258741258741261</v>
      </c>
      <c r="Z935">
        <f>Cancer_doubles_final2[[#This Row],[mlp_test_acc2]]</f>
        <v>0.9106449106449106</v>
      </c>
    </row>
    <row r="936" spans="1:26" hidden="1" x14ac:dyDescent="0.25">
      <c r="A936" t="s">
        <v>19</v>
      </c>
      <c r="B936">
        <v>9</v>
      </c>
      <c r="C936">
        <v>3</v>
      </c>
      <c r="D936">
        <v>0</v>
      </c>
      <c r="E936" t="s">
        <v>167</v>
      </c>
      <c r="F936">
        <v>28924</v>
      </c>
      <c r="G936">
        <v>30585040.166666664</v>
      </c>
      <c r="H936">
        <v>0.92657342056433356</v>
      </c>
      <c r="I936">
        <v>0.91103341103341107</v>
      </c>
      <c r="J936">
        <v>9669740.916666666</v>
      </c>
      <c r="K936">
        <v>42335</v>
      </c>
      <c r="L936">
        <v>2</v>
      </c>
      <c r="M936">
        <v>137</v>
      </c>
      <c r="N936">
        <v>0.91219891219891214</v>
      </c>
      <c r="O936">
        <v>9427783.805555556</v>
      </c>
      <c r="P936">
        <v>42920</v>
      </c>
      <c r="Q936">
        <v>2</v>
      </c>
      <c r="R936">
        <v>138</v>
      </c>
      <c r="S936" t="s">
        <v>753</v>
      </c>
      <c r="W936">
        <f>Cancer_doubles_final2[[#This Row],[mlp_params]]</f>
        <v>42335</v>
      </c>
      <c r="X936">
        <f>Cancer_doubles_final2[[#This Row],[kan_test_acc]]</f>
        <v>0.92657342056433356</v>
      </c>
      <c r="Y936">
        <f>Cancer_doubles_final2[[#This Row],[mlp_test_acc]]</f>
        <v>0.91103341103341107</v>
      </c>
      <c r="Z936">
        <f>Cancer_doubles_final2[[#This Row],[mlp_test_acc2]]</f>
        <v>0.91219891219891214</v>
      </c>
    </row>
    <row r="937" spans="1:26" hidden="1" x14ac:dyDescent="0.25">
      <c r="A937" t="s">
        <v>19</v>
      </c>
      <c r="B937">
        <v>5</v>
      </c>
      <c r="C937">
        <v>5</v>
      </c>
      <c r="D937">
        <v>0</v>
      </c>
      <c r="E937" t="s">
        <v>225</v>
      </c>
      <c r="F937">
        <v>28928</v>
      </c>
      <c r="G937">
        <v>42921622.555555552</v>
      </c>
      <c r="H937">
        <v>0.91278165909979081</v>
      </c>
      <c r="I937">
        <v>0.91161616161616155</v>
      </c>
      <c r="J937">
        <v>9339827.277777778</v>
      </c>
      <c r="K937">
        <v>52824</v>
      </c>
      <c r="L937">
        <v>2</v>
      </c>
      <c r="M937">
        <v>154</v>
      </c>
      <c r="N937">
        <v>0.91530691530691533</v>
      </c>
      <c r="O937">
        <v>10408529.666666666</v>
      </c>
      <c r="P937">
        <v>53477</v>
      </c>
      <c r="Q937">
        <v>2</v>
      </c>
      <c r="R937">
        <v>155</v>
      </c>
      <c r="S937" t="s">
        <v>754</v>
      </c>
      <c r="W937">
        <f>Cancer_doubles_final2[[#This Row],[mlp_params]]</f>
        <v>52824</v>
      </c>
      <c r="X937">
        <f>Cancer_doubles_final2[[#This Row],[kan_test_acc]]</f>
        <v>0.91278165909979081</v>
      </c>
      <c r="Y937">
        <f>Cancer_doubles_final2[[#This Row],[mlp_test_acc]]</f>
        <v>0.91161616161616155</v>
      </c>
      <c r="Z937">
        <f>Cancer_doubles_final2[[#This Row],[mlp_test_acc2]]</f>
        <v>0.91530691530691533</v>
      </c>
    </row>
    <row r="938" spans="1:26" hidden="1" x14ac:dyDescent="0.25">
      <c r="A938" t="s">
        <v>19</v>
      </c>
      <c r="B938">
        <v>3</v>
      </c>
      <c r="C938">
        <v>3</v>
      </c>
      <c r="D938">
        <v>0</v>
      </c>
      <c r="E938" t="s">
        <v>592</v>
      </c>
      <c r="F938">
        <v>28966</v>
      </c>
      <c r="G938">
        <v>53064985</v>
      </c>
      <c r="H938">
        <v>0.91899767021338141</v>
      </c>
      <c r="I938">
        <v>0.9397824397824398</v>
      </c>
      <c r="J938">
        <v>9235432.75</v>
      </c>
      <c r="K938">
        <v>50889</v>
      </c>
      <c r="L938">
        <v>2</v>
      </c>
      <c r="M938">
        <v>151</v>
      </c>
      <c r="N938">
        <v>0.94153069153069158</v>
      </c>
      <c r="O938">
        <v>9810431.25</v>
      </c>
      <c r="P938">
        <v>51530</v>
      </c>
      <c r="Q938">
        <v>2</v>
      </c>
      <c r="R938">
        <v>152</v>
      </c>
      <c r="S938" t="s">
        <v>755</v>
      </c>
      <c r="W938">
        <f>Cancer_doubles_final2[[#This Row],[mlp_params]]</f>
        <v>50889</v>
      </c>
      <c r="X938">
        <f>Cancer_doubles_final2[[#This Row],[kan_test_acc]]</f>
        <v>0.91899767021338141</v>
      </c>
      <c r="Y938">
        <f>Cancer_doubles_final2[[#This Row],[mlp_test_acc]]</f>
        <v>0.9397824397824398</v>
      </c>
      <c r="Z938">
        <f>Cancer_doubles_final2[[#This Row],[mlp_test_acc2]]</f>
        <v>0.94153069153069158</v>
      </c>
    </row>
    <row r="939" spans="1:26" x14ac:dyDescent="0.25">
      <c r="A939" t="s">
        <v>19</v>
      </c>
      <c r="B939">
        <v>3</v>
      </c>
      <c r="C939">
        <v>5</v>
      </c>
      <c r="D939">
        <v>0</v>
      </c>
      <c r="E939" t="s">
        <v>353</v>
      </c>
      <c r="F939">
        <v>28994</v>
      </c>
      <c r="G939">
        <v>48730891.916666664</v>
      </c>
      <c r="H939">
        <v>0.97533022363980615</v>
      </c>
      <c r="I939">
        <v>0.9378399378399378</v>
      </c>
      <c r="J939">
        <v>8654396.25</v>
      </c>
      <c r="K939">
        <v>57479</v>
      </c>
      <c r="L939">
        <v>2</v>
      </c>
      <c r="M939">
        <v>161</v>
      </c>
      <c r="N939">
        <v>0.93667443667443673</v>
      </c>
      <c r="O939">
        <v>8771680.555555556</v>
      </c>
      <c r="P939">
        <v>58160</v>
      </c>
      <c r="Q939">
        <v>2</v>
      </c>
      <c r="R939">
        <v>162</v>
      </c>
      <c r="S939" t="s">
        <v>756</v>
      </c>
      <c r="W939">
        <f>Cancer_doubles_final2[[#This Row],[mlp_params]]</f>
        <v>57479</v>
      </c>
      <c r="X939">
        <f>Cancer_doubles_final2[[#This Row],[kan_test_acc]]</f>
        <v>0.97533022363980615</v>
      </c>
      <c r="Y939">
        <f>Cancer_doubles_final2[[#This Row],[mlp_test_acc]]</f>
        <v>0.9378399378399378</v>
      </c>
      <c r="Z939">
        <f>Cancer_doubles_final2[[#This Row],[mlp_test_acc2]]</f>
        <v>0.93667443667443673</v>
      </c>
    </row>
    <row r="940" spans="1:26" hidden="1" x14ac:dyDescent="0.25">
      <c r="A940" t="s">
        <v>19</v>
      </c>
      <c r="B940">
        <v>5</v>
      </c>
      <c r="C940">
        <v>3</v>
      </c>
      <c r="D940">
        <v>0</v>
      </c>
      <c r="E940" t="s">
        <v>353</v>
      </c>
      <c r="F940">
        <v>28994</v>
      </c>
      <c r="G940">
        <v>48851915.375</v>
      </c>
      <c r="H940">
        <v>0.97173659006754565</v>
      </c>
      <c r="I940">
        <v>0.93793706293706292</v>
      </c>
      <c r="J940">
        <v>8153333.833333333</v>
      </c>
      <c r="K940">
        <v>47127</v>
      </c>
      <c r="L940">
        <v>2</v>
      </c>
      <c r="M940">
        <v>145</v>
      </c>
      <c r="N940">
        <v>0.93793706293706292</v>
      </c>
      <c r="O940">
        <v>10003547.666666668</v>
      </c>
      <c r="P940">
        <v>47744</v>
      </c>
      <c r="Q940">
        <v>2</v>
      </c>
      <c r="R940">
        <v>146</v>
      </c>
      <c r="S940" t="s">
        <v>757</v>
      </c>
      <c r="W940">
        <f>Cancer_doubles_final2[[#This Row],[mlp_params]]</f>
        <v>47127</v>
      </c>
      <c r="X940">
        <f>Cancer_doubles_final2[[#This Row],[kan_test_acc]]</f>
        <v>0.97173659006754565</v>
      </c>
      <c r="Y940">
        <f>Cancer_doubles_final2[[#This Row],[mlp_test_acc]]</f>
        <v>0.93793706293706292</v>
      </c>
      <c r="Z940">
        <f>Cancer_doubles_final2[[#This Row],[mlp_test_acc2]]</f>
        <v>0.93793706293706292</v>
      </c>
    </row>
    <row r="941" spans="1:26" x14ac:dyDescent="0.25">
      <c r="A941" t="s">
        <v>19</v>
      </c>
      <c r="B941">
        <v>3</v>
      </c>
      <c r="C941">
        <v>5</v>
      </c>
      <c r="D941">
        <v>0</v>
      </c>
      <c r="E941" t="s">
        <v>353</v>
      </c>
      <c r="F941">
        <v>28994</v>
      </c>
      <c r="G941">
        <v>47111613</v>
      </c>
      <c r="H941">
        <v>0.958916075527668</v>
      </c>
      <c r="I941">
        <v>0.93764568764568768</v>
      </c>
      <c r="J941">
        <v>9676839.4583333321</v>
      </c>
      <c r="K941">
        <v>57479</v>
      </c>
      <c r="L941">
        <v>2</v>
      </c>
      <c r="M941">
        <v>161</v>
      </c>
      <c r="N941">
        <v>0.94114219114219111</v>
      </c>
      <c r="O941">
        <v>9383926.458333334</v>
      </c>
      <c r="P941">
        <v>58160</v>
      </c>
      <c r="Q941">
        <v>2</v>
      </c>
      <c r="R941">
        <v>162</v>
      </c>
      <c r="S941" t="s">
        <v>756</v>
      </c>
      <c r="W941">
        <f>Cancer_doubles_final2[[#This Row],[mlp_params]]</f>
        <v>57479</v>
      </c>
      <c r="X941">
        <f>Cancer_doubles_final2[[#This Row],[kan_test_acc]]</f>
        <v>0.958916075527668</v>
      </c>
      <c r="Y941">
        <f>Cancer_doubles_final2[[#This Row],[mlp_test_acc]]</f>
        <v>0.93764568764568768</v>
      </c>
      <c r="Z941">
        <f>Cancer_doubles_final2[[#This Row],[mlp_test_acc2]]</f>
        <v>0.94114219114219111</v>
      </c>
    </row>
    <row r="942" spans="1:26" hidden="1" x14ac:dyDescent="0.25">
      <c r="A942" t="s">
        <v>19</v>
      </c>
      <c r="B942">
        <v>5</v>
      </c>
      <c r="C942">
        <v>3</v>
      </c>
      <c r="D942">
        <v>0</v>
      </c>
      <c r="E942" t="s">
        <v>353</v>
      </c>
      <c r="F942">
        <v>28994</v>
      </c>
      <c r="G942">
        <v>45751681.041666672</v>
      </c>
      <c r="H942">
        <v>0.95017482340335846</v>
      </c>
      <c r="I942">
        <v>0.91637529137529139</v>
      </c>
      <c r="J942">
        <v>9112342.875</v>
      </c>
      <c r="K942">
        <v>47127</v>
      </c>
      <c r="L942">
        <v>2</v>
      </c>
      <c r="M942">
        <v>145</v>
      </c>
      <c r="N942">
        <v>0.9184149184149184</v>
      </c>
      <c r="O942">
        <v>8794573.791666666</v>
      </c>
      <c r="P942">
        <v>47744</v>
      </c>
      <c r="Q942">
        <v>2</v>
      </c>
      <c r="R942">
        <v>146</v>
      </c>
      <c r="S942" t="s">
        <v>757</v>
      </c>
      <c r="W942">
        <f>Cancer_doubles_final2[[#This Row],[mlp_params]]</f>
        <v>47127</v>
      </c>
      <c r="X942">
        <f>Cancer_doubles_final2[[#This Row],[kan_test_acc]]</f>
        <v>0.95017482340335846</v>
      </c>
      <c r="Y942">
        <f>Cancer_doubles_final2[[#This Row],[mlp_test_acc]]</f>
        <v>0.91637529137529139</v>
      </c>
      <c r="Z942">
        <f>Cancer_doubles_final2[[#This Row],[mlp_test_acc2]]</f>
        <v>0.9184149184149184</v>
      </c>
    </row>
    <row r="943" spans="1:26" hidden="1" x14ac:dyDescent="0.25">
      <c r="A943" t="s">
        <v>19</v>
      </c>
      <c r="B943">
        <v>3</v>
      </c>
      <c r="C943">
        <v>4</v>
      </c>
      <c r="D943">
        <v>0</v>
      </c>
      <c r="E943" t="s">
        <v>457</v>
      </c>
      <c r="F943">
        <v>29008</v>
      </c>
      <c r="G943">
        <v>42573906.541666672</v>
      </c>
      <c r="H943">
        <v>0.9662004684408505</v>
      </c>
      <c r="I943">
        <v>0.92365967365967361</v>
      </c>
      <c r="J943">
        <v>8222000.208333334</v>
      </c>
      <c r="K943">
        <v>54795</v>
      </c>
      <c r="L943">
        <v>2</v>
      </c>
      <c r="M943">
        <v>157</v>
      </c>
      <c r="N943">
        <v>0.921037296037296</v>
      </c>
      <c r="O943">
        <v>9170303.791666666</v>
      </c>
      <c r="P943">
        <v>55460</v>
      </c>
      <c r="Q943">
        <v>2</v>
      </c>
      <c r="R943">
        <v>158</v>
      </c>
      <c r="S943" t="s">
        <v>758</v>
      </c>
      <c r="W943">
        <f>Cancer_doubles_final2[[#This Row],[mlp_params]]</f>
        <v>54795</v>
      </c>
      <c r="X943">
        <f>Cancer_doubles_final2[[#This Row],[kan_test_acc]]</f>
        <v>0.9662004684408505</v>
      </c>
      <c r="Y943">
        <f>Cancer_doubles_final2[[#This Row],[mlp_test_acc]]</f>
        <v>0.92365967365967361</v>
      </c>
      <c r="Z943">
        <f>Cancer_doubles_final2[[#This Row],[mlp_test_acc2]]</f>
        <v>0.921037296037296</v>
      </c>
    </row>
    <row r="944" spans="1:26" hidden="1" x14ac:dyDescent="0.25">
      <c r="A944" t="s">
        <v>19</v>
      </c>
      <c r="B944">
        <v>5</v>
      </c>
      <c r="C944">
        <v>2</v>
      </c>
      <c r="D944">
        <v>0</v>
      </c>
      <c r="E944" t="s">
        <v>457</v>
      </c>
      <c r="F944">
        <v>29008</v>
      </c>
      <c r="G944">
        <v>41417166.708333336</v>
      </c>
      <c r="H944">
        <v>0.97814685851335526</v>
      </c>
      <c r="I944">
        <v>0.94522144522144513</v>
      </c>
      <c r="J944">
        <v>8128905.291666667</v>
      </c>
      <c r="K944">
        <v>42920</v>
      </c>
      <c r="L944">
        <v>2</v>
      </c>
      <c r="M944">
        <v>138</v>
      </c>
      <c r="N944">
        <v>0.94055944055944052</v>
      </c>
      <c r="O944">
        <v>9128122.916666666</v>
      </c>
      <c r="P944">
        <v>43509</v>
      </c>
      <c r="Q944">
        <v>2</v>
      </c>
      <c r="R944">
        <v>139</v>
      </c>
      <c r="S944" t="s">
        <v>759</v>
      </c>
      <c r="W944">
        <f>Cancer_doubles_final2[[#This Row],[mlp_params]]</f>
        <v>42920</v>
      </c>
      <c r="X944">
        <f>Cancer_doubles_final2[[#This Row],[kan_test_acc]]</f>
        <v>0.97814685851335526</v>
      </c>
      <c r="Y944">
        <f>Cancer_doubles_final2[[#This Row],[mlp_test_acc]]</f>
        <v>0.94522144522144513</v>
      </c>
      <c r="Z944">
        <f>Cancer_doubles_final2[[#This Row],[mlp_test_acc2]]</f>
        <v>0.94055944055944052</v>
      </c>
    </row>
    <row r="945" spans="1:26" hidden="1" x14ac:dyDescent="0.25">
      <c r="A945" t="s">
        <v>19</v>
      </c>
      <c r="B945">
        <v>3</v>
      </c>
      <c r="C945">
        <v>4</v>
      </c>
      <c r="D945">
        <v>0</v>
      </c>
      <c r="E945" t="s">
        <v>457</v>
      </c>
      <c r="F945">
        <v>29008</v>
      </c>
      <c r="G945">
        <v>37379446.666666664</v>
      </c>
      <c r="H945">
        <v>0.97435896843671799</v>
      </c>
      <c r="I945">
        <v>0.92890442890442881</v>
      </c>
      <c r="J945">
        <v>7674132.375</v>
      </c>
      <c r="K945">
        <v>54795</v>
      </c>
      <c r="L945">
        <v>2</v>
      </c>
      <c r="M945">
        <v>157</v>
      </c>
      <c r="N945">
        <v>0.92890442890442892</v>
      </c>
      <c r="O945">
        <v>8473010.458333334</v>
      </c>
      <c r="P945">
        <v>55460</v>
      </c>
      <c r="Q945">
        <v>2</v>
      </c>
      <c r="R945">
        <v>158</v>
      </c>
      <c r="S945" t="s">
        <v>758</v>
      </c>
      <c r="W945">
        <f>Cancer_doubles_final2[[#This Row],[mlp_params]]</f>
        <v>54795</v>
      </c>
      <c r="X945">
        <f>Cancer_doubles_final2[[#This Row],[kan_test_acc]]</f>
        <v>0.97435896843671799</v>
      </c>
      <c r="Y945">
        <f>Cancer_doubles_final2[[#This Row],[mlp_test_acc]]</f>
        <v>0.92890442890442881</v>
      </c>
      <c r="Z945">
        <f>Cancer_doubles_final2[[#This Row],[mlp_test_acc2]]</f>
        <v>0.92890442890442892</v>
      </c>
    </row>
    <row r="946" spans="1:26" hidden="1" x14ac:dyDescent="0.25">
      <c r="A946" t="s">
        <v>19</v>
      </c>
      <c r="B946">
        <v>5</v>
      </c>
      <c r="C946">
        <v>2</v>
      </c>
      <c r="D946">
        <v>0</v>
      </c>
      <c r="E946" t="s">
        <v>457</v>
      </c>
      <c r="F946">
        <v>29008</v>
      </c>
      <c r="G946">
        <v>32187256.874999996</v>
      </c>
      <c r="H946">
        <v>0.95541957269112276</v>
      </c>
      <c r="I946">
        <v>0.90821678321678312</v>
      </c>
      <c r="J946">
        <v>8427245.708333334</v>
      </c>
      <c r="K946">
        <v>42920</v>
      </c>
      <c r="L946">
        <v>2</v>
      </c>
      <c r="M946">
        <v>138</v>
      </c>
      <c r="N946">
        <v>0.90413752913752909</v>
      </c>
      <c r="O946">
        <v>8483520.875</v>
      </c>
      <c r="P946">
        <v>43509</v>
      </c>
      <c r="Q946">
        <v>2</v>
      </c>
      <c r="R946">
        <v>139</v>
      </c>
      <c r="S946" t="s">
        <v>759</v>
      </c>
      <c r="W946">
        <f>Cancer_doubles_final2[[#This Row],[mlp_params]]</f>
        <v>42920</v>
      </c>
      <c r="X946">
        <f>Cancer_doubles_final2[[#This Row],[kan_test_acc]]</f>
        <v>0.95541957269112276</v>
      </c>
      <c r="Y946">
        <f>Cancer_doubles_final2[[#This Row],[mlp_test_acc]]</f>
        <v>0.90821678321678312</v>
      </c>
      <c r="Z946">
        <f>Cancer_doubles_final2[[#This Row],[mlp_test_acc2]]</f>
        <v>0.90413752913752909</v>
      </c>
    </row>
    <row r="947" spans="1:26" hidden="1" x14ac:dyDescent="0.25">
      <c r="A947" t="s">
        <v>19</v>
      </c>
      <c r="B947">
        <v>3</v>
      </c>
      <c r="C947">
        <v>3</v>
      </c>
      <c r="D947">
        <v>0</v>
      </c>
      <c r="E947" t="s">
        <v>597</v>
      </c>
      <c r="F947">
        <v>29072</v>
      </c>
      <c r="G947">
        <v>36079831.333333328</v>
      </c>
      <c r="H947">
        <v>0.96212121844291687</v>
      </c>
      <c r="I947">
        <v>0.92569930069930062</v>
      </c>
      <c r="J947">
        <v>8908211.083333334</v>
      </c>
      <c r="K947">
        <v>51530</v>
      </c>
      <c r="L947">
        <v>2</v>
      </c>
      <c r="M947">
        <v>152</v>
      </c>
      <c r="N947">
        <v>0.91550116550116556</v>
      </c>
      <c r="O947">
        <v>8416938.3333333321</v>
      </c>
      <c r="P947">
        <v>52175</v>
      </c>
      <c r="Q947">
        <v>2</v>
      </c>
      <c r="R947">
        <v>153</v>
      </c>
      <c r="S947" t="s">
        <v>760</v>
      </c>
      <c r="W947">
        <f>Cancer_doubles_final2[[#This Row],[mlp_params]]</f>
        <v>51530</v>
      </c>
      <c r="X947">
        <f>Cancer_doubles_final2[[#This Row],[kan_test_acc]]</f>
        <v>0.96212121844291687</v>
      </c>
      <c r="Y947">
        <f>Cancer_doubles_final2[[#This Row],[mlp_test_acc]]</f>
        <v>0.92569930069930062</v>
      </c>
      <c r="Z947">
        <f>Cancer_doubles_final2[[#This Row],[mlp_test_acc2]]</f>
        <v>0.91550116550116556</v>
      </c>
    </row>
    <row r="948" spans="1:26" hidden="1" x14ac:dyDescent="0.25">
      <c r="A948" t="s">
        <v>19</v>
      </c>
      <c r="B948">
        <v>3</v>
      </c>
      <c r="C948">
        <v>4</v>
      </c>
      <c r="D948">
        <v>0</v>
      </c>
      <c r="E948" t="s">
        <v>463</v>
      </c>
      <c r="F948">
        <v>29084</v>
      </c>
      <c r="G948">
        <v>46461249.722222224</v>
      </c>
      <c r="H948">
        <v>0.97766122884220552</v>
      </c>
      <c r="I948">
        <v>0.94230769230769229</v>
      </c>
      <c r="J948">
        <v>8515054.972222222</v>
      </c>
      <c r="K948">
        <v>54795</v>
      </c>
      <c r="L948">
        <v>2</v>
      </c>
      <c r="M948">
        <v>157</v>
      </c>
      <c r="N948">
        <v>0.94094794094794099</v>
      </c>
      <c r="O948">
        <v>9140553.777777778</v>
      </c>
      <c r="P948">
        <v>55460</v>
      </c>
      <c r="Q948">
        <v>2</v>
      </c>
      <c r="R948">
        <v>158</v>
      </c>
      <c r="S948" t="s">
        <v>761</v>
      </c>
      <c r="W948">
        <f>Cancer_doubles_final2[[#This Row],[mlp_params]]</f>
        <v>54795</v>
      </c>
      <c r="X948">
        <f>Cancer_doubles_final2[[#This Row],[kan_test_acc]]</f>
        <v>0.97766122884220552</v>
      </c>
      <c r="Y948">
        <f>Cancer_doubles_final2[[#This Row],[mlp_test_acc]]</f>
        <v>0.94230769230769229</v>
      </c>
      <c r="Z948">
        <f>Cancer_doubles_final2[[#This Row],[mlp_test_acc2]]</f>
        <v>0.94094794094794099</v>
      </c>
    </row>
    <row r="949" spans="1:26" hidden="1" x14ac:dyDescent="0.25">
      <c r="A949" t="s">
        <v>19</v>
      </c>
      <c r="B949">
        <v>5</v>
      </c>
      <c r="C949">
        <v>2</v>
      </c>
      <c r="D949">
        <v>0</v>
      </c>
      <c r="E949" t="s">
        <v>463</v>
      </c>
      <c r="F949">
        <v>29084</v>
      </c>
      <c r="G949">
        <v>36868067.583333336</v>
      </c>
      <c r="H949">
        <v>0.96911421914895379</v>
      </c>
      <c r="I949">
        <v>0.94405594405594406</v>
      </c>
      <c r="J949">
        <v>8665296.708333334</v>
      </c>
      <c r="K949">
        <v>43509</v>
      </c>
      <c r="L949">
        <v>2</v>
      </c>
      <c r="M949">
        <v>139</v>
      </c>
      <c r="N949">
        <v>0.94318181818181812</v>
      </c>
      <c r="O949">
        <v>9011547.791666666</v>
      </c>
      <c r="P949">
        <v>44102</v>
      </c>
      <c r="Q949">
        <v>2</v>
      </c>
      <c r="R949">
        <v>140</v>
      </c>
      <c r="S949" t="s">
        <v>762</v>
      </c>
      <c r="W949">
        <f>Cancer_doubles_final2[[#This Row],[mlp_params]]</f>
        <v>43509</v>
      </c>
      <c r="X949">
        <f>Cancer_doubles_final2[[#This Row],[kan_test_acc]]</f>
        <v>0.96911421914895379</v>
      </c>
      <c r="Y949">
        <f>Cancer_doubles_final2[[#This Row],[mlp_test_acc]]</f>
        <v>0.94405594405594406</v>
      </c>
      <c r="Z949">
        <f>Cancer_doubles_final2[[#This Row],[mlp_test_acc2]]</f>
        <v>0.94318181818181812</v>
      </c>
    </row>
    <row r="950" spans="1:26" hidden="1" x14ac:dyDescent="0.25">
      <c r="A950" t="s">
        <v>19</v>
      </c>
      <c r="B950">
        <v>3</v>
      </c>
      <c r="C950">
        <v>4</v>
      </c>
      <c r="D950">
        <v>0</v>
      </c>
      <c r="E950" t="s">
        <v>463</v>
      </c>
      <c r="F950">
        <v>29084</v>
      </c>
      <c r="G950">
        <v>36191970</v>
      </c>
      <c r="H950">
        <v>0.97086246063311898</v>
      </c>
      <c r="I950">
        <v>0.93210955710955723</v>
      </c>
      <c r="J950">
        <v>9256677.0416666679</v>
      </c>
      <c r="K950">
        <v>54795</v>
      </c>
      <c r="L950">
        <v>2</v>
      </c>
      <c r="M950">
        <v>157</v>
      </c>
      <c r="N950">
        <v>0.92977855477855487</v>
      </c>
      <c r="O950">
        <v>8205854.875</v>
      </c>
      <c r="P950">
        <v>55460</v>
      </c>
      <c r="Q950">
        <v>2</v>
      </c>
      <c r="R950">
        <v>158</v>
      </c>
      <c r="S950" t="s">
        <v>761</v>
      </c>
      <c r="W950">
        <f>Cancer_doubles_final2[[#This Row],[mlp_params]]</f>
        <v>54795</v>
      </c>
      <c r="X950">
        <f>Cancer_doubles_final2[[#This Row],[kan_test_acc]]</f>
        <v>0.97086246063311898</v>
      </c>
      <c r="Y950">
        <f>Cancer_doubles_final2[[#This Row],[mlp_test_acc]]</f>
        <v>0.93210955710955723</v>
      </c>
      <c r="Z950">
        <f>Cancer_doubles_final2[[#This Row],[mlp_test_acc2]]</f>
        <v>0.92977855477855487</v>
      </c>
    </row>
    <row r="951" spans="1:26" hidden="1" x14ac:dyDescent="0.25">
      <c r="A951" t="s">
        <v>19</v>
      </c>
      <c r="B951">
        <v>5</v>
      </c>
      <c r="C951">
        <v>2</v>
      </c>
      <c r="D951">
        <v>0</v>
      </c>
      <c r="E951" t="s">
        <v>463</v>
      </c>
      <c r="F951">
        <v>29084</v>
      </c>
      <c r="G951">
        <v>35774875.083333328</v>
      </c>
      <c r="H951">
        <v>0.96736596028010047</v>
      </c>
      <c r="I951">
        <v>0.909965034965035</v>
      </c>
      <c r="J951">
        <v>8511711.125</v>
      </c>
      <c r="K951">
        <v>43509</v>
      </c>
      <c r="L951">
        <v>2</v>
      </c>
      <c r="M951">
        <v>139</v>
      </c>
      <c r="N951">
        <v>0.90442890442890445</v>
      </c>
      <c r="O951">
        <v>8496762.083333334</v>
      </c>
      <c r="P951">
        <v>44102</v>
      </c>
      <c r="Q951">
        <v>2</v>
      </c>
      <c r="R951">
        <v>140</v>
      </c>
      <c r="S951" t="s">
        <v>762</v>
      </c>
      <c r="W951">
        <f>Cancer_doubles_final2[[#This Row],[mlp_params]]</f>
        <v>43509</v>
      </c>
      <c r="X951">
        <f>Cancer_doubles_final2[[#This Row],[kan_test_acc]]</f>
        <v>0.96736596028010047</v>
      </c>
      <c r="Y951">
        <f>Cancer_doubles_final2[[#This Row],[mlp_test_acc]]</f>
        <v>0.909965034965035</v>
      </c>
      <c r="Z951">
        <f>Cancer_doubles_final2[[#This Row],[mlp_test_acc2]]</f>
        <v>0.90442890442890445</v>
      </c>
    </row>
    <row r="952" spans="1:26" hidden="1" x14ac:dyDescent="0.25">
      <c r="A952" t="s">
        <v>19</v>
      </c>
      <c r="B952">
        <v>5</v>
      </c>
      <c r="C952">
        <v>4</v>
      </c>
      <c r="D952">
        <v>0</v>
      </c>
      <c r="E952" t="s">
        <v>283</v>
      </c>
      <c r="F952">
        <v>29112</v>
      </c>
      <c r="G952">
        <v>31680153.708333332</v>
      </c>
      <c r="H952">
        <v>0.95745920638243354</v>
      </c>
      <c r="I952">
        <v>0.91083916083916083</v>
      </c>
      <c r="J952">
        <v>8524765.041666666</v>
      </c>
      <c r="K952">
        <v>50889</v>
      </c>
      <c r="L952">
        <v>2</v>
      </c>
      <c r="M952">
        <v>151</v>
      </c>
      <c r="N952">
        <v>0.90472027972027969</v>
      </c>
      <c r="O952">
        <v>8956811.6666666679</v>
      </c>
      <c r="P952">
        <v>51530</v>
      </c>
      <c r="Q952">
        <v>2</v>
      </c>
      <c r="R952">
        <v>152</v>
      </c>
      <c r="S952" t="s">
        <v>763</v>
      </c>
      <c r="W952">
        <f>Cancer_doubles_final2[[#This Row],[mlp_params]]</f>
        <v>50889</v>
      </c>
      <c r="X952">
        <f>Cancer_doubles_final2[[#This Row],[kan_test_acc]]</f>
        <v>0.95745920638243354</v>
      </c>
      <c r="Y952">
        <f>Cancer_doubles_final2[[#This Row],[mlp_test_acc]]</f>
        <v>0.91083916083916083</v>
      </c>
      <c r="Z952">
        <f>Cancer_doubles_final2[[#This Row],[mlp_test_acc2]]</f>
        <v>0.90472027972027969</v>
      </c>
    </row>
    <row r="953" spans="1:26" hidden="1" x14ac:dyDescent="0.25">
      <c r="A953" t="s">
        <v>19</v>
      </c>
      <c r="B953">
        <v>3</v>
      </c>
      <c r="C953">
        <v>4</v>
      </c>
      <c r="D953">
        <v>0</v>
      </c>
      <c r="E953" t="s">
        <v>466</v>
      </c>
      <c r="F953">
        <v>29126</v>
      </c>
      <c r="G953">
        <v>37714794.583333336</v>
      </c>
      <c r="H953">
        <v>0.96620046430163919</v>
      </c>
      <c r="I953">
        <v>0.94211344211344217</v>
      </c>
      <c r="J953">
        <v>9275858.2777777761</v>
      </c>
      <c r="K953">
        <v>54795</v>
      </c>
      <c r="L953">
        <v>2</v>
      </c>
      <c r="M953">
        <v>157</v>
      </c>
      <c r="N953">
        <v>0.94153069153069147</v>
      </c>
      <c r="O953">
        <v>9169772.0000000019</v>
      </c>
      <c r="P953">
        <v>55460</v>
      </c>
      <c r="Q953">
        <v>2</v>
      </c>
      <c r="R953">
        <v>158</v>
      </c>
      <c r="S953" t="s">
        <v>764</v>
      </c>
      <c r="W953">
        <f>Cancer_doubles_final2[[#This Row],[mlp_params]]</f>
        <v>54795</v>
      </c>
      <c r="X953">
        <f>Cancer_doubles_final2[[#This Row],[kan_test_acc]]</f>
        <v>0.96620046430163919</v>
      </c>
      <c r="Y953">
        <f>Cancer_doubles_final2[[#This Row],[mlp_test_acc]]</f>
        <v>0.94211344211344217</v>
      </c>
      <c r="Z953">
        <f>Cancer_doubles_final2[[#This Row],[mlp_test_acc2]]</f>
        <v>0.94153069153069147</v>
      </c>
    </row>
    <row r="954" spans="1:26" hidden="1" x14ac:dyDescent="0.25">
      <c r="A954" t="s">
        <v>19</v>
      </c>
      <c r="B954">
        <v>5</v>
      </c>
      <c r="C954">
        <v>2</v>
      </c>
      <c r="D954">
        <v>0</v>
      </c>
      <c r="E954" t="s">
        <v>466</v>
      </c>
      <c r="F954">
        <v>29126</v>
      </c>
      <c r="G954">
        <v>33517655.208333332</v>
      </c>
      <c r="H954">
        <v>0.96678321808576584</v>
      </c>
      <c r="I954">
        <v>0.94318181818181812</v>
      </c>
      <c r="J954">
        <v>8924372.166666666</v>
      </c>
      <c r="K954">
        <v>43509</v>
      </c>
      <c r="L954">
        <v>2</v>
      </c>
      <c r="M954">
        <v>139</v>
      </c>
      <c r="N954">
        <v>0.94463869463869465</v>
      </c>
      <c r="O954">
        <v>9300667.708333334</v>
      </c>
      <c r="P954">
        <v>44102</v>
      </c>
      <c r="Q954">
        <v>2</v>
      </c>
      <c r="R954">
        <v>140</v>
      </c>
      <c r="S954" t="s">
        <v>765</v>
      </c>
      <c r="W954">
        <f>Cancer_doubles_final2[[#This Row],[mlp_params]]</f>
        <v>43509</v>
      </c>
      <c r="X954">
        <f>Cancer_doubles_final2[[#This Row],[kan_test_acc]]</f>
        <v>0.96678321808576584</v>
      </c>
      <c r="Y954">
        <f>Cancer_doubles_final2[[#This Row],[mlp_test_acc]]</f>
        <v>0.94318181818181812</v>
      </c>
      <c r="Z954">
        <f>Cancer_doubles_final2[[#This Row],[mlp_test_acc2]]</f>
        <v>0.94463869463869465</v>
      </c>
    </row>
    <row r="955" spans="1:26" hidden="1" x14ac:dyDescent="0.25">
      <c r="A955" t="s">
        <v>19</v>
      </c>
      <c r="B955">
        <v>3</v>
      </c>
      <c r="C955">
        <v>4</v>
      </c>
      <c r="D955">
        <v>0</v>
      </c>
      <c r="E955" t="s">
        <v>466</v>
      </c>
      <c r="F955">
        <v>29126</v>
      </c>
      <c r="G955">
        <v>33859508.25</v>
      </c>
      <c r="H955">
        <v>0.96736596524715424</v>
      </c>
      <c r="I955">
        <v>0.92803030303030298</v>
      </c>
      <c r="J955">
        <v>8494071.125</v>
      </c>
      <c r="K955">
        <v>54795</v>
      </c>
      <c r="L955">
        <v>2</v>
      </c>
      <c r="M955">
        <v>157</v>
      </c>
      <c r="N955">
        <v>0.93123543123543129</v>
      </c>
      <c r="O955">
        <v>8939486</v>
      </c>
      <c r="P955">
        <v>55460</v>
      </c>
      <c r="Q955">
        <v>2</v>
      </c>
      <c r="R955">
        <v>158</v>
      </c>
      <c r="S955" t="s">
        <v>764</v>
      </c>
      <c r="W955">
        <f>Cancer_doubles_final2[[#This Row],[mlp_params]]</f>
        <v>54795</v>
      </c>
      <c r="X955">
        <f>Cancer_doubles_final2[[#This Row],[kan_test_acc]]</f>
        <v>0.96736596524715424</v>
      </c>
      <c r="Y955">
        <f>Cancer_doubles_final2[[#This Row],[mlp_test_acc]]</f>
        <v>0.92803030303030298</v>
      </c>
      <c r="Z955">
        <f>Cancer_doubles_final2[[#This Row],[mlp_test_acc2]]</f>
        <v>0.93123543123543129</v>
      </c>
    </row>
    <row r="956" spans="1:26" hidden="1" x14ac:dyDescent="0.25">
      <c r="A956" t="s">
        <v>19</v>
      </c>
      <c r="B956">
        <v>5</v>
      </c>
      <c r="C956">
        <v>2</v>
      </c>
      <c r="D956">
        <v>0</v>
      </c>
      <c r="E956" t="s">
        <v>466</v>
      </c>
      <c r="F956">
        <v>29126</v>
      </c>
      <c r="G956">
        <v>31090150.791666668</v>
      </c>
      <c r="H956">
        <v>0.95600232233603799</v>
      </c>
      <c r="I956">
        <v>0.90734265734265729</v>
      </c>
      <c r="J956">
        <v>8241326.625</v>
      </c>
      <c r="K956">
        <v>43509</v>
      </c>
      <c r="L956">
        <v>2</v>
      </c>
      <c r="M956">
        <v>139</v>
      </c>
      <c r="N956">
        <v>0.90850815850815847</v>
      </c>
      <c r="O956">
        <v>8785469.208333334</v>
      </c>
      <c r="P956">
        <v>44102</v>
      </c>
      <c r="Q956">
        <v>2</v>
      </c>
      <c r="R956">
        <v>140</v>
      </c>
      <c r="S956" t="s">
        <v>765</v>
      </c>
      <c r="W956">
        <f>Cancer_doubles_final2[[#This Row],[mlp_params]]</f>
        <v>43509</v>
      </c>
      <c r="X956">
        <f>Cancer_doubles_final2[[#This Row],[kan_test_acc]]</f>
        <v>0.95600232233603799</v>
      </c>
      <c r="Y956">
        <f>Cancer_doubles_final2[[#This Row],[mlp_test_acc]]</f>
        <v>0.90734265734265729</v>
      </c>
      <c r="Z956">
        <f>Cancer_doubles_final2[[#This Row],[mlp_test_acc2]]</f>
        <v>0.90850815850815847</v>
      </c>
    </row>
    <row r="957" spans="1:26" hidden="1" x14ac:dyDescent="0.25">
      <c r="A957" t="s">
        <v>19</v>
      </c>
      <c r="B957">
        <v>5</v>
      </c>
      <c r="C957">
        <v>5</v>
      </c>
      <c r="D957">
        <v>0</v>
      </c>
      <c r="E957" t="s">
        <v>233</v>
      </c>
      <c r="F957">
        <v>29242</v>
      </c>
      <c r="G957">
        <v>33181500.041666668</v>
      </c>
      <c r="H957">
        <v>0.93210954715808236</v>
      </c>
      <c r="I957">
        <v>0.91054778554778559</v>
      </c>
      <c r="J957">
        <v>8366028.833333334</v>
      </c>
      <c r="K957">
        <v>53477</v>
      </c>
      <c r="L957">
        <v>2</v>
      </c>
      <c r="M957">
        <v>155</v>
      </c>
      <c r="N957">
        <v>0.91171328671328666</v>
      </c>
      <c r="O957">
        <v>9160483.708333334</v>
      </c>
      <c r="P957">
        <v>54134</v>
      </c>
      <c r="Q957">
        <v>2</v>
      </c>
      <c r="R957">
        <v>156</v>
      </c>
      <c r="S957" t="s">
        <v>766</v>
      </c>
      <c r="W957">
        <f>Cancer_doubles_final2[[#This Row],[mlp_params]]</f>
        <v>53477</v>
      </c>
      <c r="X957">
        <f>Cancer_doubles_final2[[#This Row],[kan_test_acc]]</f>
        <v>0.93210954715808236</v>
      </c>
      <c r="Y957">
        <f>Cancer_doubles_final2[[#This Row],[mlp_test_acc]]</f>
        <v>0.91054778554778559</v>
      </c>
      <c r="Z957">
        <f>Cancer_doubles_final2[[#This Row],[mlp_test_acc2]]</f>
        <v>0.91171328671328666</v>
      </c>
    </row>
    <row r="958" spans="1:26" hidden="1" x14ac:dyDescent="0.25">
      <c r="A958" t="s">
        <v>19</v>
      </c>
      <c r="B958">
        <v>5</v>
      </c>
      <c r="C958">
        <v>5</v>
      </c>
      <c r="D958">
        <v>0</v>
      </c>
      <c r="E958" t="s">
        <v>235</v>
      </c>
      <c r="F958">
        <v>29246</v>
      </c>
      <c r="G958">
        <v>42035187.222222224</v>
      </c>
      <c r="H958">
        <v>0.91181040141317582</v>
      </c>
      <c r="I958">
        <v>0.93648018648018649</v>
      </c>
      <c r="J958">
        <v>9029092.3611111119</v>
      </c>
      <c r="K958">
        <v>53477</v>
      </c>
      <c r="L958">
        <v>2</v>
      </c>
      <c r="M958">
        <v>155</v>
      </c>
      <c r="N958">
        <v>0.93570318570318578</v>
      </c>
      <c r="O958">
        <v>8730625.222222222</v>
      </c>
      <c r="P958">
        <v>54134</v>
      </c>
      <c r="Q958">
        <v>2</v>
      </c>
      <c r="R958">
        <v>156</v>
      </c>
      <c r="S958" t="s">
        <v>767</v>
      </c>
      <c r="W958">
        <f>Cancer_doubles_final2[[#This Row],[mlp_params]]</f>
        <v>53477</v>
      </c>
      <c r="X958">
        <f>Cancer_doubles_final2[[#This Row],[kan_test_acc]]</f>
        <v>0.91181040141317582</v>
      </c>
      <c r="Y958">
        <f>Cancer_doubles_final2[[#This Row],[mlp_test_acc]]</f>
        <v>0.93648018648018649</v>
      </c>
      <c r="Z958">
        <f>Cancer_doubles_final2[[#This Row],[mlp_test_acc2]]</f>
        <v>0.93570318570318578</v>
      </c>
    </row>
    <row r="959" spans="1:26" hidden="1" x14ac:dyDescent="0.25">
      <c r="A959" t="s">
        <v>19</v>
      </c>
      <c r="B959">
        <v>5</v>
      </c>
      <c r="C959">
        <v>4</v>
      </c>
      <c r="D959">
        <v>0</v>
      </c>
      <c r="E959" t="s">
        <v>286</v>
      </c>
      <c r="F959">
        <v>29312</v>
      </c>
      <c r="G959">
        <v>43234184.111111112</v>
      </c>
      <c r="H959">
        <v>0.91802641749382019</v>
      </c>
      <c r="I959">
        <v>0.94716394716394714</v>
      </c>
      <c r="J959">
        <v>9481072.75</v>
      </c>
      <c r="K959">
        <v>50889</v>
      </c>
      <c r="L959">
        <v>2</v>
      </c>
      <c r="M959">
        <v>151</v>
      </c>
      <c r="N959">
        <v>0.94386169386169394</v>
      </c>
      <c r="O959">
        <v>9312593.583333334</v>
      </c>
      <c r="P959">
        <v>51530</v>
      </c>
      <c r="Q959">
        <v>2</v>
      </c>
      <c r="R959">
        <v>152</v>
      </c>
      <c r="S959" t="s">
        <v>768</v>
      </c>
      <c r="W959">
        <f>Cancer_doubles_final2[[#This Row],[mlp_params]]</f>
        <v>50889</v>
      </c>
      <c r="X959">
        <f>Cancer_doubles_final2[[#This Row],[kan_test_acc]]</f>
        <v>0.91802641749382019</v>
      </c>
      <c r="Y959">
        <f>Cancer_doubles_final2[[#This Row],[mlp_test_acc]]</f>
        <v>0.94716394716394714</v>
      </c>
      <c r="Z959">
        <f>Cancer_doubles_final2[[#This Row],[mlp_test_acc2]]</f>
        <v>0.94386169386169394</v>
      </c>
    </row>
    <row r="960" spans="1:26" hidden="1" x14ac:dyDescent="0.25">
      <c r="A960" t="s">
        <v>19</v>
      </c>
      <c r="B960">
        <v>5</v>
      </c>
      <c r="C960">
        <v>3</v>
      </c>
      <c r="D960">
        <v>0</v>
      </c>
      <c r="E960" t="s">
        <v>365</v>
      </c>
      <c r="F960">
        <v>29338</v>
      </c>
      <c r="G960">
        <v>40210795.291666672</v>
      </c>
      <c r="H960">
        <v>0.95308858156204224</v>
      </c>
      <c r="I960">
        <v>0.93458624708624716</v>
      </c>
      <c r="J960">
        <v>8608882.458333334</v>
      </c>
      <c r="K960">
        <v>47744</v>
      </c>
      <c r="L960">
        <v>2</v>
      </c>
      <c r="M960">
        <v>146</v>
      </c>
      <c r="N960">
        <v>0.9332750582750583</v>
      </c>
      <c r="O960">
        <v>9878663.104166666</v>
      </c>
      <c r="P960">
        <v>48365</v>
      </c>
      <c r="Q960">
        <v>2</v>
      </c>
      <c r="R960">
        <v>147</v>
      </c>
      <c r="S960" t="s">
        <v>769</v>
      </c>
      <c r="W960">
        <f>Cancer_doubles_final2[[#This Row],[mlp_params]]</f>
        <v>47744</v>
      </c>
      <c r="X960">
        <f>Cancer_doubles_final2[[#This Row],[kan_test_acc]]</f>
        <v>0.95308858156204224</v>
      </c>
      <c r="Y960">
        <f>Cancer_doubles_final2[[#This Row],[mlp_test_acc]]</f>
        <v>0.93458624708624716</v>
      </c>
      <c r="Z960">
        <f>Cancer_doubles_final2[[#This Row],[mlp_test_acc2]]</f>
        <v>0.9332750582750583</v>
      </c>
    </row>
    <row r="961" spans="1:26" x14ac:dyDescent="0.25">
      <c r="A961" t="s">
        <v>19</v>
      </c>
      <c r="B961">
        <v>3</v>
      </c>
      <c r="C961">
        <v>5</v>
      </c>
      <c r="D961">
        <v>0</v>
      </c>
      <c r="E961" t="s">
        <v>365</v>
      </c>
      <c r="F961">
        <v>29338</v>
      </c>
      <c r="G961">
        <v>47274302.666666664</v>
      </c>
      <c r="H961">
        <v>0.97756410141785943</v>
      </c>
      <c r="I961">
        <v>0.95017482517482521</v>
      </c>
      <c r="J961">
        <v>8823855</v>
      </c>
      <c r="K961">
        <v>58160</v>
      </c>
      <c r="L961">
        <v>2</v>
      </c>
      <c r="M961">
        <v>162</v>
      </c>
      <c r="N961">
        <v>0.9443473193473193</v>
      </c>
      <c r="O961">
        <v>10524457.125</v>
      </c>
      <c r="P961">
        <v>58845</v>
      </c>
      <c r="Q961">
        <v>2</v>
      </c>
      <c r="R961">
        <v>163</v>
      </c>
      <c r="S961" t="s">
        <v>770</v>
      </c>
      <c r="W961">
        <f>Cancer_doubles_final2[[#This Row],[mlp_params]]</f>
        <v>58160</v>
      </c>
      <c r="X961">
        <f>Cancer_doubles_final2[[#This Row],[kan_test_acc]]</f>
        <v>0.97756410141785943</v>
      </c>
      <c r="Y961">
        <f>Cancer_doubles_final2[[#This Row],[mlp_test_acc]]</f>
        <v>0.95017482517482521</v>
      </c>
      <c r="Z961">
        <f>Cancer_doubles_final2[[#This Row],[mlp_test_acc2]]</f>
        <v>0.9443473193473193</v>
      </c>
    </row>
    <row r="962" spans="1:26" hidden="1" x14ac:dyDescent="0.25">
      <c r="A962" t="s">
        <v>19</v>
      </c>
      <c r="B962">
        <v>5</v>
      </c>
      <c r="C962">
        <v>3</v>
      </c>
      <c r="D962">
        <v>0</v>
      </c>
      <c r="E962" t="s">
        <v>365</v>
      </c>
      <c r="F962">
        <v>29338</v>
      </c>
      <c r="G962">
        <v>45329420</v>
      </c>
      <c r="H962">
        <v>0.9641608248154323</v>
      </c>
      <c r="I962">
        <v>0.93793706293706303</v>
      </c>
      <c r="J962">
        <v>9133401</v>
      </c>
      <c r="K962">
        <v>47744</v>
      </c>
      <c r="L962">
        <v>2</v>
      </c>
      <c r="M962">
        <v>146</v>
      </c>
      <c r="N962">
        <v>0.93997668997668993</v>
      </c>
      <c r="O962">
        <v>9502889.875</v>
      </c>
      <c r="P962">
        <v>48365</v>
      </c>
      <c r="Q962">
        <v>2</v>
      </c>
      <c r="R962">
        <v>147</v>
      </c>
      <c r="S962" t="s">
        <v>769</v>
      </c>
      <c r="W962">
        <f>Cancer_doubles_final2[[#This Row],[mlp_params]]</f>
        <v>47744</v>
      </c>
      <c r="X962">
        <f>Cancer_doubles_final2[[#This Row],[kan_test_acc]]</f>
        <v>0.9641608248154323</v>
      </c>
      <c r="Y962">
        <f>Cancer_doubles_final2[[#This Row],[mlp_test_acc]]</f>
        <v>0.93793706293706303</v>
      </c>
      <c r="Z962">
        <f>Cancer_doubles_final2[[#This Row],[mlp_test_acc2]]</f>
        <v>0.93997668997668993</v>
      </c>
    </row>
    <row r="963" spans="1:26" x14ac:dyDescent="0.25">
      <c r="A963" t="s">
        <v>19</v>
      </c>
      <c r="B963">
        <v>3</v>
      </c>
      <c r="C963">
        <v>5</v>
      </c>
      <c r="D963">
        <v>0</v>
      </c>
      <c r="E963" t="s">
        <v>365</v>
      </c>
      <c r="F963">
        <v>29338</v>
      </c>
      <c r="G963">
        <v>47633091.041666672</v>
      </c>
      <c r="H963">
        <v>0.95279719680547714</v>
      </c>
      <c r="I963">
        <v>0.9358974358974359</v>
      </c>
      <c r="J963">
        <v>10230894.875</v>
      </c>
      <c r="K963">
        <v>58160</v>
      </c>
      <c r="L963">
        <v>2</v>
      </c>
      <c r="M963">
        <v>162</v>
      </c>
      <c r="N963">
        <v>0.94376456876456882</v>
      </c>
      <c r="O963">
        <v>10361259.916666668</v>
      </c>
      <c r="P963">
        <v>58845</v>
      </c>
      <c r="Q963">
        <v>2</v>
      </c>
      <c r="R963">
        <v>163</v>
      </c>
      <c r="S963" t="s">
        <v>770</v>
      </c>
      <c r="W963">
        <f>Cancer_doubles_final2[[#This Row],[mlp_params]]</f>
        <v>58160</v>
      </c>
      <c r="X963">
        <f>Cancer_doubles_final2[[#This Row],[kan_test_acc]]</f>
        <v>0.95279719680547714</v>
      </c>
      <c r="Y963">
        <f>Cancer_doubles_final2[[#This Row],[mlp_test_acc]]</f>
        <v>0.9358974358974359</v>
      </c>
      <c r="Z963">
        <f>Cancer_doubles_final2[[#This Row],[mlp_test_acc2]]</f>
        <v>0.94376456876456882</v>
      </c>
    </row>
    <row r="964" spans="1:26" hidden="1" x14ac:dyDescent="0.25">
      <c r="A964" t="s">
        <v>19</v>
      </c>
      <c r="B964">
        <v>5</v>
      </c>
      <c r="C964">
        <v>3</v>
      </c>
      <c r="D964">
        <v>0</v>
      </c>
      <c r="E964" t="s">
        <v>365</v>
      </c>
      <c r="F964">
        <v>29338</v>
      </c>
      <c r="G964">
        <v>49312067.75</v>
      </c>
      <c r="H964">
        <v>0.94813519964615511</v>
      </c>
      <c r="I964">
        <v>0.91695804195804187</v>
      </c>
      <c r="J964">
        <v>9844418.25</v>
      </c>
      <c r="K964">
        <v>47744</v>
      </c>
      <c r="L964">
        <v>2</v>
      </c>
      <c r="M964">
        <v>146</v>
      </c>
      <c r="N964">
        <v>0.9222027972027973</v>
      </c>
      <c r="O964">
        <v>10470533.916666666</v>
      </c>
      <c r="P964">
        <v>48365</v>
      </c>
      <c r="Q964">
        <v>2</v>
      </c>
      <c r="R964">
        <v>147</v>
      </c>
      <c r="S964" t="s">
        <v>769</v>
      </c>
      <c r="W964">
        <f>Cancer_doubles_final2[[#This Row],[mlp_params]]</f>
        <v>47744</v>
      </c>
      <c r="X964">
        <f>Cancer_doubles_final2[[#This Row],[kan_test_acc]]</f>
        <v>0.94813519964615511</v>
      </c>
      <c r="Y964">
        <f>Cancer_doubles_final2[[#This Row],[mlp_test_acc]]</f>
        <v>0.91695804195804187</v>
      </c>
      <c r="Z964">
        <f>Cancer_doubles_final2[[#This Row],[mlp_test_acc2]]</f>
        <v>0.9222027972027973</v>
      </c>
    </row>
    <row r="965" spans="1:26" x14ac:dyDescent="0.25">
      <c r="A965" t="s">
        <v>19</v>
      </c>
      <c r="B965">
        <v>3</v>
      </c>
      <c r="C965">
        <v>5</v>
      </c>
      <c r="D965">
        <v>0</v>
      </c>
      <c r="E965" t="s">
        <v>367</v>
      </c>
      <c r="F965">
        <v>29344</v>
      </c>
      <c r="G965">
        <v>46121788.458333328</v>
      </c>
      <c r="H965">
        <v>0.96066433191299438</v>
      </c>
      <c r="I965">
        <v>0.91958041958041958</v>
      </c>
      <c r="J965">
        <v>9002692.9583333321</v>
      </c>
      <c r="K965">
        <v>58160</v>
      </c>
      <c r="L965">
        <v>2</v>
      </c>
      <c r="M965">
        <v>162</v>
      </c>
      <c r="N965">
        <v>0.91928904428904434</v>
      </c>
      <c r="O965">
        <v>10039486.291666666</v>
      </c>
      <c r="P965">
        <v>58845</v>
      </c>
      <c r="Q965">
        <v>2</v>
      </c>
      <c r="R965">
        <v>163</v>
      </c>
      <c r="S965" t="s">
        <v>771</v>
      </c>
      <c r="W965">
        <f>Cancer_doubles_final2[[#This Row],[mlp_params]]</f>
        <v>58160</v>
      </c>
      <c r="X965">
        <f>Cancer_doubles_final2[[#This Row],[kan_test_acc]]</f>
        <v>0.96066433191299438</v>
      </c>
      <c r="Y965">
        <f>Cancer_doubles_final2[[#This Row],[mlp_test_acc]]</f>
        <v>0.91958041958041958</v>
      </c>
      <c r="Z965">
        <f>Cancer_doubles_final2[[#This Row],[mlp_test_acc2]]</f>
        <v>0.91928904428904434</v>
      </c>
    </row>
    <row r="966" spans="1:26" hidden="1" x14ac:dyDescent="0.25">
      <c r="A966" t="s">
        <v>19</v>
      </c>
      <c r="B966">
        <v>5</v>
      </c>
      <c r="C966">
        <v>3</v>
      </c>
      <c r="D966">
        <v>0</v>
      </c>
      <c r="E966" t="s">
        <v>367</v>
      </c>
      <c r="F966">
        <v>29344</v>
      </c>
      <c r="G966">
        <v>45906681.25</v>
      </c>
      <c r="H966">
        <v>0.96940558652083075</v>
      </c>
      <c r="I966">
        <v>0.93997668997669004</v>
      </c>
      <c r="J966">
        <v>9185177.791666666</v>
      </c>
      <c r="K966">
        <v>47744</v>
      </c>
      <c r="L966">
        <v>2</v>
      </c>
      <c r="M966">
        <v>146</v>
      </c>
      <c r="N966">
        <v>0.93881118881118886</v>
      </c>
      <c r="O966">
        <v>10468511.166666666</v>
      </c>
      <c r="P966">
        <v>48365</v>
      </c>
      <c r="Q966">
        <v>2</v>
      </c>
      <c r="R966">
        <v>147</v>
      </c>
      <c r="S966" t="s">
        <v>772</v>
      </c>
      <c r="W966">
        <f>Cancer_doubles_final2[[#This Row],[mlp_params]]</f>
        <v>47744</v>
      </c>
      <c r="X966">
        <f>Cancer_doubles_final2[[#This Row],[kan_test_acc]]</f>
        <v>0.96940558652083075</v>
      </c>
      <c r="Y966">
        <f>Cancer_doubles_final2[[#This Row],[mlp_test_acc]]</f>
        <v>0.93997668997669004</v>
      </c>
      <c r="Z966">
        <f>Cancer_doubles_final2[[#This Row],[mlp_test_acc2]]</f>
        <v>0.93881118881118886</v>
      </c>
    </row>
    <row r="967" spans="1:26" x14ac:dyDescent="0.25">
      <c r="A967" t="s">
        <v>19</v>
      </c>
      <c r="B967">
        <v>3</v>
      </c>
      <c r="C967">
        <v>5</v>
      </c>
      <c r="D967">
        <v>0</v>
      </c>
      <c r="E967" t="s">
        <v>367</v>
      </c>
      <c r="F967">
        <v>29344</v>
      </c>
      <c r="G967">
        <v>49458217.541666672</v>
      </c>
      <c r="H967">
        <v>0.96241258084774017</v>
      </c>
      <c r="I967">
        <v>0.93997668997669004</v>
      </c>
      <c r="J967">
        <v>9733435.125</v>
      </c>
      <c r="K967">
        <v>58160</v>
      </c>
      <c r="L967">
        <v>2</v>
      </c>
      <c r="M967">
        <v>162</v>
      </c>
      <c r="N967">
        <v>0.94114219114219111</v>
      </c>
      <c r="O967">
        <v>9932789.916666666</v>
      </c>
      <c r="P967">
        <v>58845</v>
      </c>
      <c r="Q967">
        <v>2</v>
      </c>
      <c r="R967">
        <v>163</v>
      </c>
      <c r="S967" t="s">
        <v>771</v>
      </c>
      <c r="W967">
        <f>Cancer_doubles_final2[[#This Row],[mlp_params]]</f>
        <v>58160</v>
      </c>
      <c r="X967">
        <f>Cancer_doubles_final2[[#This Row],[kan_test_acc]]</f>
        <v>0.96241258084774017</v>
      </c>
      <c r="Y967">
        <f>Cancer_doubles_final2[[#This Row],[mlp_test_acc]]</f>
        <v>0.93997668997669004</v>
      </c>
      <c r="Z967">
        <f>Cancer_doubles_final2[[#This Row],[mlp_test_acc2]]</f>
        <v>0.94114219114219111</v>
      </c>
    </row>
    <row r="968" spans="1:26" hidden="1" x14ac:dyDescent="0.25">
      <c r="A968" t="s">
        <v>19</v>
      </c>
      <c r="B968">
        <v>5</v>
      </c>
      <c r="C968">
        <v>3</v>
      </c>
      <c r="D968">
        <v>0</v>
      </c>
      <c r="E968" t="s">
        <v>367</v>
      </c>
      <c r="F968">
        <v>29344</v>
      </c>
      <c r="G968">
        <v>51673554.291666672</v>
      </c>
      <c r="H968">
        <v>0.95512820035219193</v>
      </c>
      <c r="I968">
        <v>0.91812354312354316</v>
      </c>
      <c r="J968">
        <v>9099759.9583333321</v>
      </c>
      <c r="K968">
        <v>47744</v>
      </c>
      <c r="L968">
        <v>2</v>
      </c>
      <c r="M968">
        <v>146</v>
      </c>
      <c r="N968">
        <v>0.91899766899766899</v>
      </c>
      <c r="O968">
        <v>9528484.458333334</v>
      </c>
      <c r="P968">
        <v>48365</v>
      </c>
      <c r="Q968">
        <v>2</v>
      </c>
      <c r="R968">
        <v>147</v>
      </c>
      <c r="S968" t="s">
        <v>772</v>
      </c>
      <c r="W968">
        <f>Cancer_doubles_final2[[#This Row],[mlp_params]]</f>
        <v>47744</v>
      </c>
      <c r="X968">
        <f>Cancer_doubles_final2[[#This Row],[kan_test_acc]]</f>
        <v>0.95512820035219193</v>
      </c>
      <c r="Y968">
        <f>Cancer_doubles_final2[[#This Row],[mlp_test_acc]]</f>
        <v>0.91812354312354316</v>
      </c>
      <c r="Z968">
        <f>Cancer_doubles_final2[[#This Row],[mlp_test_acc2]]</f>
        <v>0.91899766899766899</v>
      </c>
    </row>
    <row r="969" spans="1:26" hidden="1" x14ac:dyDescent="0.25">
      <c r="A969" t="s">
        <v>19</v>
      </c>
      <c r="B969">
        <v>5</v>
      </c>
      <c r="C969">
        <v>5</v>
      </c>
      <c r="D969">
        <v>0</v>
      </c>
      <c r="E969" t="s">
        <v>237</v>
      </c>
      <c r="F969">
        <v>29348</v>
      </c>
      <c r="G969">
        <v>43975230.75</v>
      </c>
      <c r="H969">
        <v>0.94959206879138947</v>
      </c>
      <c r="I969">
        <v>0.91346153846153844</v>
      </c>
      <c r="J969">
        <v>8294713.041666666</v>
      </c>
      <c r="K969">
        <v>53477</v>
      </c>
      <c r="L969">
        <v>2</v>
      </c>
      <c r="M969">
        <v>155</v>
      </c>
      <c r="N969">
        <v>0.91229603729603737</v>
      </c>
      <c r="O969">
        <v>9526538.7916666679</v>
      </c>
      <c r="P969">
        <v>54134</v>
      </c>
      <c r="Q969">
        <v>2</v>
      </c>
      <c r="R969">
        <v>156</v>
      </c>
      <c r="S969" t="s">
        <v>773</v>
      </c>
      <c r="W969">
        <f>Cancer_doubles_final2[[#This Row],[mlp_params]]</f>
        <v>53477</v>
      </c>
      <c r="X969">
        <f>Cancer_doubles_final2[[#This Row],[kan_test_acc]]</f>
        <v>0.94959206879138947</v>
      </c>
      <c r="Y969">
        <f>Cancer_doubles_final2[[#This Row],[mlp_test_acc]]</f>
        <v>0.91346153846153844</v>
      </c>
      <c r="Z969">
        <f>Cancer_doubles_final2[[#This Row],[mlp_test_acc2]]</f>
        <v>0.91229603729603737</v>
      </c>
    </row>
    <row r="970" spans="1:26" hidden="1" x14ac:dyDescent="0.25">
      <c r="A970" t="s">
        <v>19</v>
      </c>
      <c r="B970">
        <v>3</v>
      </c>
      <c r="C970">
        <v>4</v>
      </c>
      <c r="D970">
        <v>0</v>
      </c>
      <c r="E970" t="s">
        <v>479</v>
      </c>
      <c r="F970">
        <v>29412</v>
      </c>
      <c r="G970">
        <v>41986988.527777776</v>
      </c>
      <c r="H970">
        <v>0.94968919787142014</v>
      </c>
      <c r="I970">
        <v>0.94289044289044288</v>
      </c>
      <c r="J970">
        <v>8256938.083333333</v>
      </c>
      <c r="K970">
        <v>55460</v>
      </c>
      <c r="L970">
        <v>2</v>
      </c>
      <c r="M970">
        <v>158</v>
      </c>
      <c r="N970">
        <v>0.94386169386169383</v>
      </c>
      <c r="O970">
        <v>9344053.8611111119</v>
      </c>
      <c r="P970">
        <v>56129</v>
      </c>
      <c r="Q970">
        <v>2</v>
      </c>
      <c r="R970">
        <v>159</v>
      </c>
      <c r="S970" t="s">
        <v>774</v>
      </c>
      <c r="W970">
        <f>Cancer_doubles_final2[[#This Row],[mlp_params]]</f>
        <v>55460</v>
      </c>
      <c r="X970">
        <f>Cancer_doubles_final2[[#This Row],[kan_test_acc]]</f>
        <v>0.94968919787142014</v>
      </c>
      <c r="Y970">
        <f>Cancer_doubles_final2[[#This Row],[mlp_test_acc]]</f>
        <v>0.94289044289044288</v>
      </c>
      <c r="Z970">
        <f>Cancer_doubles_final2[[#This Row],[mlp_test_acc2]]</f>
        <v>0.94386169386169383</v>
      </c>
    </row>
    <row r="971" spans="1:26" hidden="1" x14ac:dyDescent="0.25">
      <c r="A971" t="s">
        <v>19</v>
      </c>
      <c r="B971">
        <v>5</v>
      </c>
      <c r="C971">
        <v>2</v>
      </c>
      <c r="D971">
        <v>0</v>
      </c>
      <c r="E971" t="s">
        <v>479</v>
      </c>
      <c r="F971">
        <v>29412</v>
      </c>
      <c r="G971">
        <v>39138290.458333336</v>
      </c>
      <c r="H971">
        <v>0.97494172304868698</v>
      </c>
      <c r="I971">
        <v>0.93851981351981351</v>
      </c>
      <c r="J971">
        <v>9216925.7083333321</v>
      </c>
      <c r="K971">
        <v>43509</v>
      </c>
      <c r="L971">
        <v>2</v>
      </c>
      <c r="M971">
        <v>139</v>
      </c>
      <c r="N971">
        <v>0.94347319347319347</v>
      </c>
      <c r="O971">
        <v>9026756.875</v>
      </c>
      <c r="P971">
        <v>44102</v>
      </c>
      <c r="Q971">
        <v>2</v>
      </c>
      <c r="R971">
        <v>140</v>
      </c>
      <c r="S971" t="s">
        <v>775</v>
      </c>
      <c r="W971">
        <f>Cancer_doubles_final2[[#This Row],[mlp_params]]</f>
        <v>43509</v>
      </c>
      <c r="X971">
        <f>Cancer_doubles_final2[[#This Row],[kan_test_acc]]</f>
        <v>0.97494172304868698</v>
      </c>
      <c r="Y971">
        <f>Cancer_doubles_final2[[#This Row],[mlp_test_acc]]</f>
        <v>0.93851981351981351</v>
      </c>
      <c r="Z971">
        <f>Cancer_doubles_final2[[#This Row],[mlp_test_acc2]]</f>
        <v>0.94347319347319347</v>
      </c>
    </row>
    <row r="972" spans="1:26" hidden="1" x14ac:dyDescent="0.25">
      <c r="A972" t="s">
        <v>19</v>
      </c>
      <c r="B972">
        <v>3</v>
      </c>
      <c r="C972">
        <v>4</v>
      </c>
      <c r="D972">
        <v>0</v>
      </c>
      <c r="E972" t="s">
        <v>479</v>
      </c>
      <c r="F972">
        <v>29412</v>
      </c>
      <c r="G972">
        <v>42841618.083333328</v>
      </c>
      <c r="H972">
        <v>0.97435896595319105</v>
      </c>
      <c r="I972">
        <v>0.93123543123543129</v>
      </c>
      <c r="J972">
        <v>9282731.875</v>
      </c>
      <c r="K972">
        <v>55460</v>
      </c>
      <c r="L972">
        <v>2</v>
      </c>
      <c r="M972">
        <v>158</v>
      </c>
      <c r="N972">
        <v>0.93152680652680653</v>
      </c>
      <c r="O972">
        <v>8962843.875</v>
      </c>
      <c r="P972">
        <v>56129</v>
      </c>
      <c r="Q972">
        <v>2</v>
      </c>
      <c r="R972">
        <v>159</v>
      </c>
      <c r="S972" t="s">
        <v>774</v>
      </c>
      <c r="W972">
        <f>Cancer_doubles_final2[[#This Row],[mlp_params]]</f>
        <v>55460</v>
      </c>
      <c r="X972">
        <f>Cancer_doubles_final2[[#This Row],[kan_test_acc]]</f>
        <v>0.97435896595319105</v>
      </c>
      <c r="Y972">
        <f>Cancer_doubles_final2[[#This Row],[mlp_test_acc]]</f>
        <v>0.93123543123543129</v>
      </c>
      <c r="Z972">
        <f>Cancer_doubles_final2[[#This Row],[mlp_test_acc2]]</f>
        <v>0.93152680652680653</v>
      </c>
    </row>
    <row r="973" spans="1:26" hidden="1" x14ac:dyDescent="0.25">
      <c r="A973" t="s">
        <v>19</v>
      </c>
      <c r="B973">
        <v>5</v>
      </c>
      <c r="C973">
        <v>2</v>
      </c>
      <c r="D973">
        <v>0</v>
      </c>
      <c r="E973" t="s">
        <v>479</v>
      </c>
      <c r="F973">
        <v>29412</v>
      </c>
      <c r="G973">
        <v>37707518.208333328</v>
      </c>
      <c r="H973">
        <v>0.97173658261696505</v>
      </c>
      <c r="I973">
        <v>0.93677156177156173</v>
      </c>
      <c r="J973">
        <v>8435144.1666666679</v>
      </c>
      <c r="K973">
        <v>43509</v>
      </c>
      <c r="L973">
        <v>2</v>
      </c>
      <c r="M973">
        <v>139</v>
      </c>
      <c r="N973">
        <v>0.93356643356643354</v>
      </c>
      <c r="O973">
        <v>9483746.333333334</v>
      </c>
      <c r="P973">
        <v>44102</v>
      </c>
      <c r="Q973">
        <v>2</v>
      </c>
      <c r="R973">
        <v>140</v>
      </c>
      <c r="S973" t="s">
        <v>775</v>
      </c>
      <c r="W973">
        <f>Cancer_doubles_final2[[#This Row],[mlp_params]]</f>
        <v>43509</v>
      </c>
      <c r="X973">
        <f>Cancer_doubles_final2[[#This Row],[kan_test_acc]]</f>
        <v>0.97173658261696505</v>
      </c>
      <c r="Y973">
        <f>Cancer_doubles_final2[[#This Row],[mlp_test_acc]]</f>
        <v>0.93677156177156173</v>
      </c>
      <c r="Z973">
        <f>Cancer_doubles_final2[[#This Row],[mlp_test_acc2]]</f>
        <v>0.93356643356643354</v>
      </c>
    </row>
    <row r="974" spans="1:26" hidden="1" x14ac:dyDescent="0.25">
      <c r="A974" t="s">
        <v>19</v>
      </c>
      <c r="B974">
        <v>9</v>
      </c>
      <c r="C974">
        <v>5</v>
      </c>
      <c r="D974">
        <v>0</v>
      </c>
      <c r="E974" t="s">
        <v>133</v>
      </c>
      <c r="F974">
        <v>29432</v>
      </c>
      <c r="G974">
        <v>33215322.791666668</v>
      </c>
      <c r="H974">
        <v>0.95600231985251116</v>
      </c>
      <c r="I974">
        <v>0.95104895104895104</v>
      </c>
      <c r="J974">
        <v>9961482.625</v>
      </c>
      <c r="K974">
        <v>48365</v>
      </c>
      <c r="L974">
        <v>2</v>
      </c>
      <c r="M974">
        <v>147</v>
      </c>
      <c r="N974">
        <v>0.94726107226107226</v>
      </c>
      <c r="O974">
        <v>9741101</v>
      </c>
      <c r="P974">
        <v>48990</v>
      </c>
      <c r="Q974">
        <v>2</v>
      </c>
      <c r="R974">
        <v>148</v>
      </c>
      <c r="S974" t="s">
        <v>776</v>
      </c>
      <c r="W974">
        <f>Cancer_doubles_final2[[#This Row],[mlp_params]]</f>
        <v>48365</v>
      </c>
      <c r="X974">
        <f>Cancer_doubles_final2[[#This Row],[kan_test_acc]]</f>
        <v>0.95600231985251116</v>
      </c>
      <c r="Y974">
        <f>Cancer_doubles_final2[[#This Row],[mlp_test_acc]]</f>
        <v>0.95104895104895104</v>
      </c>
      <c r="Z974">
        <f>Cancer_doubles_final2[[#This Row],[mlp_test_acc2]]</f>
        <v>0.94726107226107226</v>
      </c>
    </row>
    <row r="975" spans="1:26" hidden="1" x14ac:dyDescent="0.25">
      <c r="A975" t="s">
        <v>19</v>
      </c>
      <c r="B975">
        <v>5</v>
      </c>
      <c r="C975">
        <v>4</v>
      </c>
      <c r="D975">
        <v>0</v>
      </c>
      <c r="E975" t="s">
        <v>290</v>
      </c>
      <c r="F975">
        <v>29450</v>
      </c>
      <c r="G975">
        <v>33197596.458333336</v>
      </c>
      <c r="H975">
        <v>0.94259906311829889</v>
      </c>
      <c r="I975">
        <v>0.94230769230769229</v>
      </c>
      <c r="J975">
        <v>10413540.125</v>
      </c>
      <c r="K975">
        <v>50889</v>
      </c>
      <c r="L975">
        <v>2</v>
      </c>
      <c r="M975">
        <v>151</v>
      </c>
      <c r="N975">
        <v>0.94055944055944063</v>
      </c>
      <c r="O975">
        <v>8270720.625</v>
      </c>
      <c r="P975">
        <v>51530</v>
      </c>
      <c r="Q975">
        <v>2</v>
      </c>
      <c r="R975">
        <v>152</v>
      </c>
      <c r="S975" t="s">
        <v>777</v>
      </c>
      <c r="W975">
        <f>Cancer_doubles_final2[[#This Row],[mlp_params]]</f>
        <v>50889</v>
      </c>
      <c r="X975">
        <f>Cancer_doubles_final2[[#This Row],[kan_test_acc]]</f>
        <v>0.94259906311829889</v>
      </c>
      <c r="Y975">
        <f>Cancer_doubles_final2[[#This Row],[mlp_test_acc]]</f>
        <v>0.94230769230769229</v>
      </c>
      <c r="Z975">
        <f>Cancer_doubles_final2[[#This Row],[mlp_test_acc2]]</f>
        <v>0.94055944055944063</v>
      </c>
    </row>
    <row r="976" spans="1:26" hidden="1" x14ac:dyDescent="0.25">
      <c r="A976" t="s">
        <v>19</v>
      </c>
      <c r="B976">
        <v>9</v>
      </c>
      <c r="C976">
        <v>2</v>
      </c>
      <c r="D976">
        <v>0</v>
      </c>
      <c r="E976" t="s">
        <v>198</v>
      </c>
      <c r="F976">
        <v>29466</v>
      </c>
      <c r="G976">
        <v>31422101.055555556</v>
      </c>
      <c r="H976">
        <v>0.93201242884000146</v>
      </c>
      <c r="I976">
        <v>0.93240093240093236</v>
      </c>
      <c r="J976">
        <v>9209754.944444444</v>
      </c>
      <c r="K976">
        <v>39470</v>
      </c>
      <c r="L976">
        <v>2</v>
      </c>
      <c r="M976">
        <v>132</v>
      </c>
      <c r="N976">
        <v>0.93240093240093236</v>
      </c>
      <c r="O976">
        <v>8982973.1388888881</v>
      </c>
      <c r="P976">
        <v>40035</v>
      </c>
      <c r="Q976">
        <v>2</v>
      </c>
      <c r="R976">
        <v>133</v>
      </c>
      <c r="S976" t="s">
        <v>778</v>
      </c>
      <c r="W976">
        <f>Cancer_doubles_final2[[#This Row],[mlp_params]]</f>
        <v>39470</v>
      </c>
      <c r="X976">
        <f>Cancer_doubles_final2[[#This Row],[kan_test_acc]]</f>
        <v>0.93201242884000146</v>
      </c>
      <c r="Y976">
        <f>Cancer_doubles_final2[[#This Row],[mlp_test_acc]]</f>
        <v>0.93240093240093236</v>
      </c>
      <c r="Z976">
        <f>Cancer_doubles_final2[[#This Row],[mlp_test_acc2]]</f>
        <v>0.93240093240093236</v>
      </c>
    </row>
    <row r="977" spans="1:26" x14ac:dyDescent="0.25">
      <c r="A977" t="s">
        <v>19</v>
      </c>
      <c r="B977">
        <v>3</v>
      </c>
      <c r="C977">
        <v>5</v>
      </c>
      <c r="D977">
        <v>0</v>
      </c>
      <c r="E977" t="s">
        <v>371</v>
      </c>
      <c r="F977">
        <v>29516</v>
      </c>
      <c r="G977">
        <v>36895420.611111112</v>
      </c>
      <c r="H977">
        <v>0.93492618037594688</v>
      </c>
      <c r="I977">
        <v>0.92074592074592065</v>
      </c>
      <c r="J977">
        <v>8530166.944444444</v>
      </c>
      <c r="K977">
        <v>58845</v>
      </c>
      <c r="L977">
        <v>2</v>
      </c>
      <c r="M977">
        <v>163</v>
      </c>
      <c r="N977">
        <v>0.9184149184149184</v>
      </c>
      <c r="O977">
        <v>10054979.055555556</v>
      </c>
      <c r="P977">
        <v>59534</v>
      </c>
      <c r="Q977">
        <v>2</v>
      </c>
      <c r="R977">
        <v>164</v>
      </c>
      <c r="S977" t="s">
        <v>779</v>
      </c>
      <c r="W977">
        <f>Cancer_doubles_final2[[#This Row],[mlp_params]]</f>
        <v>58845</v>
      </c>
      <c r="X977">
        <f>Cancer_doubles_final2[[#This Row],[kan_test_acc]]</f>
        <v>0.93492618037594688</v>
      </c>
      <c r="Y977">
        <f>Cancer_doubles_final2[[#This Row],[mlp_test_acc]]</f>
        <v>0.92074592074592065</v>
      </c>
      <c r="Z977">
        <f>Cancer_doubles_final2[[#This Row],[mlp_test_acc2]]</f>
        <v>0.9184149184149184</v>
      </c>
    </row>
    <row r="978" spans="1:26" hidden="1" x14ac:dyDescent="0.25">
      <c r="A978" t="s">
        <v>19</v>
      </c>
      <c r="B978">
        <v>5</v>
      </c>
      <c r="C978">
        <v>3</v>
      </c>
      <c r="D978">
        <v>0</v>
      </c>
      <c r="E978" t="s">
        <v>371</v>
      </c>
      <c r="F978">
        <v>29516</v>
      </c>
      <c r="G978">
        <v>43344184.916666672</v>
      </c>
      <c r="H978">
        <v>0.96445220957199729</v>
      </c>
      <c r="I978">
        <v>0.9391025641025641</v>
      </c>
      <c r="J978">
        <v>9192263.5</v>
      </c>
      <c r="K978">
        <v>47744</v>
      </c>
      <c r="L978">
        <v>2</v>
      </c>
      <c r="M978">
        <v>146</v>
      </c>
      <c r="N978">
        <v>0.93939393939393945</v>
      </c>
      <c r="O978">
        <v>9846893.333333334</v>
      </c>
      <c r="P978">
        <v>48365</v>
      </c>
      <c r="Q978">
        <v>2</v>
      </c>
      <c r="R978">
        <v>147</v>
      </c>
      <c r="S978" t="s">
        <v>780</v>
      </c>
      <c r="W978">
        <f>Cancer_doubles_final2[[#This Row],[mlp_params]]</f>
        <v>47744</v>
      </c>
      <c r="X978">
        <f>Cancer_doubles_final2[[#This Row],[kan_test_acc]]</f>
        <v>0.96445220957199729</v>
      </c>
      <c r="Y978">
        <f>Cancer_doubles_final2[[#This Row],[mlp_test_acc]]</f>
        <v>0.9391025641025641</v>
      </c>
      <c r="Z978">
        <f>Cancer_doubles_final2[[#This Row],[mlp_test_acc2]]</f>
        <v>0.93939393939393945</v>
      </c>
    </row>
    <row r="979" spans="1:26" x14ac:dyDescent="0.25">
      <c r="A979" t="s">
        <v>19</v>
      </c>
      <c r="B979">
        <v>3</v>
      </c>
      <c r="C979">
        <v>5</v>
      </c>
      <c r="D979">
        <v>0</v>
      </c>
      <c r="E979" t="s">
        <v>371</v>
      </c>
      <c r="F979">
        <v>29516</v>
      </c>
      <c r="G979">
        <v>42300471.75</v>
      </c>
      <c r="H979">
        <v>0.96241258084774017</v>
      </c>
      <c r="I979">
        <v>0.93939393939393945</v>
      </c>
      <c r="J979">
        <v>9454294.375</v>
      </c>
      <c r="K979">
        <v>58845</v>
      </c>
      <c r="L979">
        <v>2</v>
      </c>
      <c r="M979">
        <v>163</v>
      </c>
      <c r="N979">
        <v>0.94259906759906764</v>
      </c>
      <c r="O979">
        <v>10009260.083333332</v>
      </c>
      <c r="P979">
        <v>59534</v>
      </c>
      <c r="Q979">
        <v>2</v>
      </c>
      <c r="R979">
        <v>164</v>
      </c>
      <c r="S979" t="s">
        <v>779</v>
      </c>
      <c r="W979">
        <f>Cancer_doubles_final2[[#This Row],[mlp_params]]</f>
        <v>58845</v>
      </c>
      <c r="X979">
        <f>Cancer_doubles_final2[[#This Row],[kan_test_acc]]</f>
        <v>0.96241258084774017</v>
      </c>
      <c r="Y979">
        <f>Cancer_doubles_final2[[#This Row],[mlp_test_acc]]</f>
        <v>0.93939393939393945</v>
      </c>
      <c r="Z979">
        <f>Cancer_doubles_final2[[#This Row],[mlp_test_acc2]]</f>
        <v>0.94259906759906764</v>
      </c>
    </row>
    <row r="980" spans="1:26" hidden="1" x14ac:dyDescent="0.25">
      <c r="A980" t="s">
        <v>19</v>
      </c>
      <c r="B980">
        <v>5</v>
      </c>
      <c r="C980">
        <v>3</v>
      </c>
      <c r="D980">
        <v>0</v>
      </c>
      <c r="E980" t="s">
        <v>371</v>
      </c>
      <c r="F980">
        <v>29516</v>
      </c>
      <c r="G980">
        <v>43551140.416666664</v>
      </c>
      <c r="H980">
        <v>0.95454545319080353</v>
      </c>
      <c r="I980">
        <v>0.9184149184149184</v>
      </c>
      <c r="J980">
        <v>9590324.625</v>
      </c>
      <c r="K980">
        <v>47744</v>
      </c>
      <c r="L980">
        <v>2</v>
      </c>
      <c r="M980">
        <v>146</v>
      </c>
      <c r="N980">
        <v>0.92074592074592077</v>
      </c>
      <c r="O980">
        <v>9406021.625</v>
      </c>
      <c r="P980">
        <v>48365</v>
      </c>
      <c r="Q980">
        <v>2</v>
      </c>
      <c r="R980">
        <v>147</v>
      </c>
      <c r="S980" t="s">
        <v>780</v>
      </c>
      <c r="W980">
        <f>Cancer_doubles_final2[[#This Row],[mlp_params]]</f>
        <v>47744</v>
      </c>
      <c r="X980">
        <f>Cancer_doubles_final2[[#This Row],[kan_test_acc]]</f>
        <v>0.95454545319080353</v>
      </c>
      <c r="Y980">
        <f>Cancer_doubles_final2[[#This Row],[mlp_test_acc]]</f>
        <v>0.9184149184149184</v>
      </c>
      <c r="Z980">
        <f>Cancer_doubles_final2[[#This Row],[mlp_test_acc2]]</f>
        <v>0.92074592074592077</v>
      </c>
    </row>
    <row r="981" spans="1:26" x14ac:dyDescent="0.25">
      <c r="A981" t="s">
        <v>19</v>
      </c>
      <c r="B981">
        <v>3</v>
      </c>
      <c r="C981">
        <v>5</v>
      </c>
      <c r="D981">
        <v>0</v>
      </c>
      <c r="E981" t="s">
        <v>373</v>
      </c>
      <c r="F981">
        <v>29518</v>
      </c>
      <c r="G981">
        <v>42064707.083333328</v>
      </c>
      <c r="H981">
        <v>0.96620046595732367</v>
      </c>
      <c r="I981">
        <v>0.9184149184149184</v>
      </c>
      <c r="J981">
        <v>9235561.9583333321</v>
      </c>
      <c r="K981">
        <v>58845</v>
      </c>
      <c r="L981">
        <v>2</v>
      </c>
      <c r="M981">
        <v>163</v>
      </c>
      <c r="N981">
        <v>0.91783216783216792</v>
      </c>
      <c r="O981">
        <v>8893383.0833333321</v>
      </c>
      <c r="P981">
        <v>59534</v>
      </c>
      <c r="Q981">
        <v>2</v>
      </c>
      <c r="R981">
        <v>164</v>
      </c>
      <c r="S981" t="s">
        <v>781</v>
      </c>
      <c r="W981">
        <f>Cancer_doubles_final2[[#This Row],[mlp_params]]</f>
        <v>58845</v>
      </c>
      <c r="X981">
        <f>Cancer_doubles_final2[[#This Row],[kan_test_acc]]</f>
        <v>0.96620046595732367</v>
      </c>
      <c r="Y981">
        <f>Cancer_doubles_final2[[#This Row],[mlp_test_acc]]</f>
        <v>0.9184149184149184</v>
      </c>
      <c r="Z981">
        <f>Cancer_doubles_final2[[#This Row],[mlp_test_acc2]]</f>
        <v>0.91783216783216792</v>
      </c>
    </row>
    <row r="982" spans="1:26" hidden="1" x14ac:dyDescent="0.25">
      <c r="A982" t="s">
        <v>19</v>
      </c>
      <c r="B982">
        <v>5</v>
      </c>
      <c r="C982">
        <v>3</v>
      </c>
      <c r="D982">
        <v>0</v>
      </c>
      <c r="E982" t="s">
        <v>373</v>
      </c>
      <c r="F982">
        <v>29518</v>
      </c>
      <c r="G982">
        <v>43982376.833333328</v>
      </c>
      <c r="H982">
        <v>0.96998833864927292</v>
      </c>
      <c r="I982">
        <v>0.93822843822843827</v>
      </c>
      <c r="J982">
        <v>8851109.875</v>
      </c>
      <c r="K982">
        <v>47744</v>
      </c>
      <c r="L982">
        <v>2</v>
      </c>
      <c r="M982">
        <v>146</v>
      </c>
      <c r="N982">
        <v>0.9396853146853148</v>
      </c>
      <c r="O982">
        <v>8959280.291666666</v>
      </c>
      <c r="P982">
        <v>48365</v>
      </c>
      <c r="Q982">
        <v>2</v>
      </c>
      <c r="R982">
        <v>147</v>
      </c>
      <c r="S982" t="s">
        <v>782</v>
      </c>
      <c r="W982">
        <f>Cancer_doubles_final2[[#This Row],[mlp_params]]</f>
        <v>47744</v>
      </c>
      <c r="X982">
        <f>Cancer_doubles_final2[[#This Row],[kan_test_acc]]</f>
        <v>0.96998833864927292</v>
      </c>
      <c r="Y982">
        <f>Cancer_doubles_final2[[#This Row],[mlp_test_acc]]</f>
        <v>0.93822843822843827</v>
      </c>
      <c r="Z982">
        <f>Cancer_doubles_final2[[#This Row],[mlp_test_acc2]]</f>
        <v>0.9396853146853148</v>
      </c>
    </row>
    <row r="983" spans="1:26" x14ac:dyDescent="0.25">
      <c r="A983" t="s">
        <v>19</v>
      </c>
      <c r="B983">
        <v>3</v>
      </c>
      <c r="C983">
        <v>5</v>
      </c>
      <c r="D983">
        <v>0</v>
      </c>
      <c r="E983" t="s">
        <v>373</v>
      </c>
      <c r="F983">
        <v>29518</v>
      </c>
      <c r="G983">
        <v>48079511.333333336</v>
      </c>
      <c r="H983">
        <v>0.96095570673545194</v>
      </c>
      <c r="I983">
        <v>0.93822843822843827</v>
      </c>
      <c r="J983">
        <v>9835176.375</v>
      </c>
      <c r="K983">
        <v>58845</v>
      </c>
      <c r="L983">
        <v>2</v>
      </c>
      <c r="M983">
        <v>163</v>
      </c>
      <c r="N983">
        <v>0.94172494172494181</v>
      </c>
      <c r="O983">
        <v>9459749.916666666</v>
      </c>
      <c r="P983">
        <v>59534</v>
      </c>
      <c r="Q983">
        <v>2</v>
      </c>
      <c r="R983">
        <v>164</v>
      </c>
      <c r="S983" t="s">
        <v>781</v>
      </c>
      <c r="W983">
        <f>Cancer_doubles_final2[[#This Row],[mlp_params]]</f>
        <v>58845</v>
      </c>
      <c r="X983">
        <f>Cancer_doubles_final2[[#This Row],[kan_test_acc]]</f>
        <v>0.96095570673545194</v>
      </c>
      <c r="Y983">
        <f>Cancer_doubles_final2[[#This Row],[mlp_test_acc]]</f>
        <v>0.93822843822843827</v>
      </c>
      <c r="Z983">
        <f>Cancer_doubles_final2[[#This Row],[mlp_test_acc2]]</f>
        <v>0.94172494172494181</v>
      </c>
    </row>
    <row r="984" spans="1:26" hidden="1" x14ac:dyDescent="0.25">
      <c r="A984" t="s">
        <v>19</v>
      </c>
      <c r="B984">
        <v>5</v>
      </c>
      <c r="C984">
        <v>3</v>
      </c>
      <c r="D984">
        <v>0</v>
      </c>
      <c r="E984" t="s">
        <v>373</v>
      </c>
      <c r="F984">
        <v>29518</v>
      </c>
      <c r="G984">
        <v>46491813.208333336</v>
      </c>
      <c r="H984">
        <v>0.95454545319080353</v>
      </c>
      <c r="I984">
        <v>0.9157925407925408</v>
      </c>
      <c r="J984">
        <v>9364557.708333334</v>
      </c>
      <c r="K984">
        <v>47744</v>
      </c>
      <c r="L984">
        <v>2</v>
      </c>
      <c r="M984">
        <v>146</v>
      </c>
      <c r="N984">
        <v>0.92132867132867124</v>
      </c>
      <c r="O984">
        <v>10365333.25</v>
      </c>
      <c r="P984">
        <v>48365</v>
      </c>
      <c r="Q984">
        <v>2</v>
      </c>
      <c r="R984">
        <v>147</v>
      </c>
      <c r="S984" t="s">
        <v>782</v>
      </c>
      <c r="W984">
        <f>Cancer_doubles_final2[[#This Row],[mlp_params]]</f>
        <v>47744</v>
      </c>
      <c r="X984">
        <f>Cancer_doubles_final2[[#This Row],[kan_test_acc]]</f>
        <v>0.95454545319080353</v>
      </c>
      <c r="Y984">
        <f>Cancer_doubles_final2[[#This Row],[mlp_test_acc]]</f>
        <v>0.9157925407925408</v>
      </c>
      <c r="Z984">
        <f>Cancer_doubles_final2[[#This Row],[mlp_test_acc2]]</f>
        <v>0.92132867132867124</v>
      </c>
    </row>
    <row r="985" spans="1:26" hidden="1" x14ac:dyDescent="0.25">
      <c r="A985" t="s">
        <v>19</v>
      </c>
      <c r="B985">
        <v>5</v>
      </c>
      <c r="C985">
        <v>4</v>
      </c>
      <c r="D985">
        <v>0</v>
      </c>
      <c r="E985" t="s">
        <v>293</v>
      </c>
      <c r="F985">
        <v>29550</v>
      </c>
      <c r="G985">
        <v>39966478.791666672</v>
      </c>
      <c r="H985">
        <v>0.95833333084980654</v>
      </c>
      <c r="I985">
        <v>0.92220279720279719</v>
      </c>
      <c r="J985">
        <v>9198716.875</v>
      </c>
      <c r="K985">
        <v>51530</v>
      </c>
      <c r="L985">
        <v>2</v>
      </c>
      <c r="M985">
        <v>152</v>
      </c>
      <c r="N985">
        <v>0.92599067599067597</v>
      </c>
      <c r="O985">
        <v>10173688.083333334</v>
      </c>
      <c r="P985">
        <v>52175</v>
      </c>
      <c r="Q985">
        <v>2</v>
      </c>
      <c r="R985">
        <v>153</v>
      </c>
      <c r="S985" t="s">
        <v>783</v>
      </c>
      <c r="W985">
        <f>Cancer_doubles_final2[[#This Row],[mlp_params]]</f>
        <v>51530</v>
      </c>
      <c r="X985">
        <f>Cancer_doubles_final2[[#This Row],[kan_test_acc]]</f>
        <v>0.95833333084980654</v>
      </c>
      <c r="Y985">
        <f>Cancer_doubles_final2[[#This Row],[mlp_test_acc]]</f>
        <v>0.92220279720279719</v>
      </c>
      <c r="Z985">
        <f>Cancer_doubles_final2[[#This Row],[mlp_test_acc2]]</f>
        <v>0.92599067599067597</v>
      </c>
    </row>
    <row r="986" spans="1:26" hidden="1" x14ac:dyDescent="0.25">
      <c r="A986" t="s">
        <v>19</v>
      </c>
      <c r="B986">
        <v>5</v>
      </c>
      <c r="C986">
        <v>4</v>
      </c>
      <c r="D986">
        <v>0</v>
      </c>
      <c r="E986" t="s">
        <v>296</v>
      </c>
      <c r="F986">
        <v>29596</v>
      </c>
      <c r="G986">
        <v>39344764.5625</v>
      </c>
      <c r="H986">
        <v>0.95818764840563131</v>
      </c>
      <c r="I986">
        <v>0.94565850815850816</v>
      </c>
      <c r="J986">
        <v>9561568.0208333321</v>
      </c>
      <c r="K986">
        <v>51530</v>
      </c>
      <c r="L986">
        <v>2</v>
      </c>
      <c r="M986">
        <v>152</v>
      </c>
      <c r="N986">
        <v>0.94420163170163174</v>
      </c>
      <c r="O986">
        <v>9663360.0625</v>
      </c>
      <c r="P986">
        <v>52175</v>
      </c>
      <c r="Q986">
        <v>2</v>
      </c>
      <c r="R986">
        <v>153</v>
      </c>
      <c r="S986" t="s">
        <v>784</v>
      </c>
      <c r="W986">
        <f>Cancer_doubles_final2[[#This Row],[mlp_params]]</f>
        <v>51530</v>
      </c>
      <c r="X986">
        <f>Cancer_doubles_final2[[#This Row],[kan_test_acc]]</f>
        <v>0.95818764840563131</v>
      </c>
      <c r="Y986">
        <f>Cancer_doubles_final2[[#This Row],[mlp_test_acc]]</f>
        <v>0.94565850815850816</v>
      </c>
      <c r="Z986">
        <f>Cancer_doubles_final2[[#This Row],[mlp_test_acc2]]</f>
        <v>0.94420163170163174</v>
      </c>
    </row>
    <row r="987" spans="1:26" hidden="1" x14ac:dyDescent="0.25">
      <c r="A987" t="s">
        <v>19</v>
      </c>
      <c r="B987">
        <v>3</v>
      </c>
      <c r="C987">
        <v>3</v>
      </c>
      <c r="D987">
        <v>0</v>
      </c>
      <c r="E987" t="s">
        <v>630</v>
      </c>
      <c r="F987">
        <v>29652</v>
      </c>
      <c r="G987">
        <v>42625412.020833328</v>
      </c>
      <c r="H987">
        <v>0.96270396187901497</v>
      </c>
      <c r="I987">
        <v>0.94536713286713292</v>
      </c>
      <c r="J987">
        <v>9233334.645833334</v>
      </c>
      <c r="K987">
        <v>52175</v>
      </c>
      <c r="L987">
        <v>2</v>
      </c>
      <c r="M987">
        <v>153</v>
      </c>
      <c r="N987">
        <v>0.94420163170163174</v>
      </c>
      <c r="O987">
        <v>9494061.458333334</v>
      </c>
      <c r="P987">
        <v>52824</v>
      </c>
      <c r="Q987">
        <v>2</v>
      </c>
      <c r="R987">
        <v>154</v>
      </c>
      <c r="S987" t="s">
        <v>785</v>
      </c>
      <c r="W987">
        <f>Cancer_doubles_final2[[#This Row],[mlp_params]]</f>
        <v>52175</v>
      </c>
      <c r="X987">
        <f>Cancer_doubles_final2[[#This Row],[kan_test_acc]]</f>
        <v>0.96270396187901497</v>
      </c>
      <c r="Y987">
        <f>Cancer_doubles_final2[[#This Row],[mlp_test_acc]]</f>
        <v>0.94536713286713292</v>
      </c>
      <c r="Z987">
        <f>Cancer_doubles_final2[[#This Row],[mlp_test_acc2]]</f>
        <v>0.94420163170163174</v>
      </c>
    </row>
    <row r="988" spans="1:26" hidden="1" x14ac:dyDescent="0.25">
      <c r="A988" t="s">
        <v>19</v>
      </c>
      <c r="B988">
        <v>9</v>
      </c>
      <c r="C988">
        <v>2</v>
      </c>
      <c r="D988">
        <v>0</v>
      </c>
      <c r="E988" t="s">
        <v>203</v>
      </c>
      <c r="F988">
        <v>29692</v>
      </c>
      <c r="G988">
        <v>41479954.277777776</v>
      </c>
      <c r="H988">
        <v>0.9625097016493479</v>
      </c>
      <c r="I988">
        <v>0.93220668220668224</v>
      </c>
      <c r="J988">
        <v>8356035</v>
      </c>
      <c r="K988">
        <v>40035</v>
      </c>
      <c r="L988">
        <v>2</v>
      </c>
      <c r="M988">
        <v>133</v>
      </c>
      <c r="N988">
        <v>0.92987567987567987</v>
      </c>
      <c r="O988">
        <v>9342255.722222222</v>
      </c>
      <c r="P988">
        <v>40604</v>
      </c>
      <c r="Q988">
        <v>2</v>
      </c>
      <c r="R988">
        <v>134</v>
      </c>
      <c r="S988" t="s">
        <v>786</v>
      </c>
      <c r="W988">
        <f>Cancer_doubles_final2[[#This Row],[mlp_params]]</f>
        <v>40035</v>
      </c>
      <c r="X988">
        <f>Cancer_doubles_final2[[#This Row],[kan_test_acc]]</f>
        <v>0.9625097016493479</v>
      </c>
      <c r="Y988">
        <f>Cancer_doubles_final2[[#This Row],[mlp_test_acc]]</f>
        <v>0.93220668220668224</v>
      </c>
      <c r="Z988">
        <f>Cancer_doubles_final2[[#This Row],[mlp_test_acc2]]</f>
        <v>0.92987567987567987</v>
      </c>
    </row>
    <row r="989" spans="1:26" hidden="1" x14ac:dyDescent="0.25">
      <c r="A989" t="s">
        <v>19</v>
      </c>
      <c r="B989">
        <v>9</v>
      </c>
      <c r="C989">
        <v>2</v>
      </c>
      <c r="D989">
        <v>0</v>
      </c>
      <c r="E989" t="s">
        <v>205</v>
      </c>
      <c r="F989">
        <v>29694</v>
      </c>
      <c r="G989">
        <v>23754403.97222222</v>
      </c>
      <c r="H989">
        <v>0.9228826695018344</v>
      </c>
      <c r="I989">
        <v>0.91355866355866355</v>
      </c>
      <c r="J989">
        <v>8565763.75</v>
      </c>
      <c r="K989">
        <v>40035</v>
      </c>
      <c r="L989">
        <v>2</v>
      </c>
      <c r="M989">
        <v>133</v>
      </c>
      <c r="N989">
        <v>0.91394716394716391</v>
      </c>
      <c r="O989">
        <v>9041462.1111111119</v>
      </c>
      <c r="P989">
        <v>40604</v>
      </c>
      <c r="Q989">
        <v>2</v>
      </c>
      <c r="R989">
        <v>134</v>
      </c>
      <c r="S989" t="s">
        <v>787</v>
      </c>
      <c r="W989">
        <f>Cancer_doubles_final2[[#This Row],[mlp_params]]</f>
        <v>40035</v>
      </c>
      <c r="X989">
        <f>Cancer_doubles_final2[[#This Row],[kan_test_acc]]</f>
        <v>0.9228826695018344</v>
      </c>
      <c r="Y989">
        <f>Cancer_doubles_final2[[#This Row],[mlp_test_acc]]</f>
        <v>0.91355866355866355</v>
      </c>
      <c r="Z989">
        <f>Cancer_doubles_final2[[#This Row],[mlp_test_acc2]]</f>
        <v>0.91394716394716391</v>
      </c>
    </row>
    <row r="990" spans="1:26" x14ac:dyDescent="0.25">
      <c r="A990" t="s">
        <v>19</v>
      </c>
      <c r="B990">
        <v>3</v>
      </c>
      <c r="C990">
        <v>5</v>
      </c>
      <c r="D990">
        <v>0</v>
      </c>
      <c r="E990" t="s">
        <v>380</v>
      </c>
      <c r="F990">
        <v>29700</v>
      </c>
      <c r="G990">
        <v>31896664.611111112</v>
      </c>
      <c r="H990">
        <v>0.93628593782583869</v>
      </c>
      <c r="I990">
        <v>0.92016317016317017</v>
      </c>
      <c r="J990">
        <v>8623218</v>
      </c>
      <c r="K990">
        <v>58845</v>
      </c>
      <c r="L990">
        <v>2</v>
      </c>
      <c r="M990">
        <v>163</v>
      </c>
      <c r="N990">
        <v>0.92074592074592077</v>
      </c>
      <c r="O990">
        <v>8879229.75</v>
      </c>
      <c r="P990">
        <v>59534</v>
      </c>
      <c r="Q990">
        <v>2</v>
      </c>
      <c r="R990">
        <v>164</v>
      </c>
      <c r="S990" t="s">
        <v>788</v>
      </c>
      <c r="W990">
        <f>Cancer_doubles_final2[[#This Row],[mlp_params]]</f>
        <v>58845</v>
      </c>
      <c r="X990">
        <f>Cancer_doubles_final2[[#This Row],[kan_test_acc]]</f>
        <v>0.93628593782583869</v>
      </c>
      <c r="Y990">
        <f>Cancer_doubles_final2[[#This Row],[mlp_test_acc]]</f>
        <v>0.92016317016317017</v>
      </c>
      <c r="Z990">
        <f>Cancer_doubles_final2[[#This Row],[mlp_test_acc2]]</f>
        <v>0.92074592074592077</v>
      </c>
    </row>
    <row r="991" spans="1:26" hidden="1" x14ac:dyDescent="0.25">
      <c r="A991" t="s">
        <v>19</v>
      </c>
      <c r="B991">
        <v>5</v>
      </c>
      <c r="C991">
        <v>3</v>
      </c>
      <c r="D991">
        <v>0</v>
      </c>
      <c r="E991" t="s">
        <v>380</v>
      </c>
      <c r="F991">
        <v>29700</v>
      </c>
      <c r="G991">
        <v>47190459.125</v>
      </c>
      <c r="H991">
        <v>0.97173658758401871</v>
      </c>
      <c r="I991">
        <v>0.93618881118881125</v>
      </c>
      <c r="J991">
        <v>7888591.916666667</v>
      </c>
      <c r="K991">
        <v>48365</v>
      </c>
      <c r="L991">
        <v>2</v>
      </c>
      <c r="M991">
        <v>147</v>
      </c>
      <c r="N991">
        <v>0.93851981351981362</v>
      </c>
      <c r="O991">
        <v>9729081.625</v>
      </c>
      <c r="P991">
        <v>48990</v>
      </c>
      <c r="Q991">
        <v>2</v>
      </c>
      <c r="R991">
        <v>148</v>
      </c>
      <c r="S991" t="s">
        <v>789</v>
      </c>
      <c r="W991">
        <f>Cancer_doubles_final2[[#This Row],[mlp_params]]</f>
        <v>48365</v>
      </c>
      <c r="X991">
        <f>Cancer_doubles_final2[[#This Row],[kan_test_acc]]</f>
        <v>0.97173658758401871</v>
      </c>
      <c r="Y991">
        <f>Cancer_doubles_final2[[#This Row],[mlp_test_acc]]</f>
        <v>0.93618881118881125</v>
      </c>
      <c r="Z991">
        <f>Cancer_doubles_final2[[#This Row],[mlp_test_acc2]]</f>
        <v>0.93851981351981362</v>
      </c>
    </row>
    <row r="992" spans="1:26" x14ac:dyDescent="0.25">
      <c r="A992" t="s">
        <v>19</v>
      </c>
      <c r="B992">
        <v>3</v>
      </c>
      <c r="C992">
        <v>5</v>
      </c>
      <c r="D992">
        <v>0</v>
      </c>
      <c r="E992" t="s">
        <v>380</v>
      </c>
      <c r="F992">
        <v>29700</v>
      </c>
      <c r="G992">
        <v>53264250</v>
      </c>
      <c r="H992">
        <v>0.95571094503005349</v>
      </c>
      <c r="I992">
        <v>0.93968531468531469</v>
      </c>
      <c r="J992">
        <v>8565685.25</v>
      </c>
      <c r="K992">
        <v>58845</v>
      </c>
      <c r="L992">
        <v>2</v>
      </c>
      <c r="M992">
        <v>163</v>
      </c>
      <c r="N992">
        <v>0.94230769230769229</v>
      </c>
      <c r="O992">
        <v>9706265.375</v>
      </c>
      <c r="P992">
        <v>59534</v>
      </c>
      <c r="Q992">
        <v>2</v>
      </c>
      <c r="R992">
        <v>164</v>
      </c>
      <c r="S992" t="s">
        <v>788</v>
      </c>
      <c r="W992">
        <f>Cancer_doubles_final2[[#This Row],[mlp_params]]</f>
        <v>58845</v>
      </c>
      <c r="X992">
        <f>Cancer_doubles_final2[[#This Row],[kan_test_acc]]</f>
        <v>0.95571094503005349</v>
      </c>
      <c r="Y992">
        <f>Cancer_doubles_final2[[#This Row],[mlp_test_acc]]</f>
        <v>0.93968531468531469</v>
      </c>
      <c r="Z992">
        <f>Cancer_doubles_final2[[#This Row],[mlp_test_acc2]]</f>
        <v>0.94230769230769229</v>
      </c>
    </row>
    <row r="993" spans="1:26" hidden="1" x14ac:dyDescent="0.25">
      <c r="A993" t="s">
        <v>19</v>
      </c>
      <c r="B993">
        <v>5</v>
      </c>
      <c r="C993">
        <v>3</v>
      </c>
      <c r="D993">
        <v>0</v>
      </c>
      <c r="E993" t="s">
        <v>380</v>
      </c>
      <c r="F993">
        <v>29700</v>
      </c>
      <c r="G993">
        <v>50269541.958333336</v>
      </c>
      <c r="H993">
        <v>0.93706293155749643</v>
      </c>
      <c r="I993">
        <v>0.92132867132867136</v>
      </c>
      <c r="J993">
        <v>9033611.791666666</v>
      </c>
      <c r="K993">
        <v>48365</v>
      </c>
      <c r="L993">
        <v>2</v>
      </c>
      <c r="M993">
        <v>147</v>
      </c>
      <c r="N993">
        <v>0.91550116550116556</v>
      </c>
      <c r="O993">
        <v>8406969.458333334</v>
      </c>
      <c r="P993">
        <v>48990</v>
      </c>
      <c r="Q993">
        <v>2</v>
      </c>
      <c r="R993">
        <v>148</v>
      </c>
      <c r="S993" t="s">
        <v>789</v>
      </c>
      <c r="W993">
        <f>Cancer_doubles_final2[[#This Row],[mlp_params]]</f>
        <v>48365</v>
      </c>
      <c r="X993">
        <f>Cancer_doubles_final2[[#This Row],[kan_test_acc]]</f>
        <v>0.93706293155749643</v>
      </c>
      <c r="Y993">
        <f>Cancer_doubles_final2[[#This Row],[mlp_test_acc]]</f>
        <v>0.92132867132867136</v>
      </c>
      <c r="Z993">
        <f>Cancer_doubles_final2[[#This Row],[mlp_test_acc2]]</f>
        <v>0.91550116550116556</v>
      </c>
    </row>
    <row r="994" spans="1:26" hidden="1" x14ac:dyDescent="0.25">
      <c r="A994" t="s">
        <v>19</v>
      </c>
      <c r="B994">
        <v>3</v>
      </c>
      <c r="C994">
        <v>4</v>
      </c>
      <c r="D994">
        <v>0</v>
      </c>
      <c r="E994" t="s">
        <v>487</v>
      </c>
      <c r="F994">
        <v>29730</v>
      </c>
      <c r="G994">
        <v>40670057.833333336</v>
      </c>
      <c r="H994">
        <v>0.95716783155997598</v>
      </c>
      <c r="I994">
        <v>0.92540792540792538</v>
      </c>
      <c r="J994">
        <v>8440648.958333334</v>
      </c>
      <c r="K994">
        <v>56129</v>
      </c>
      <c r="L994">
        <v>2</v>
      </c>
      <c r="M994">
        <v>159</v>
      </c>
      <c r="N994">
        <v>0.91724941724941722</v>
      </c>
      <c r="O994">
        <v>8250683.166666667</v>
      </c>
      <c r="P994">
        <v>56802</v>
      </c>
      <c r="Q994">
        <v>2</v>
      </c>
      <c r="R994">
        <v>160</v>
      </c>
      <c r="S994" t="s">
        <v>790</v>
      </c>
      <c r="W994">
        <f>Cancer_doubles_final2[[#This Row],[mlp_params]]</f>
        <v>56129</v>
      </c>
      <c r="X994">
        <f>Cancer_doubles_final2[[#This Row],[kan_test_acc]]</f>
        <v>0.95716783155997598</v>
      </c>
      <c r="Y994">
        <f>Cancer_doubles_final2[[#This Row],[mlp_test_acc]]</f>
        <v>0.92540792540792538</v>
      </c>
      <c r="Z994">
        <f>Cancer_doubles_final2[[#This Row],[mlp_test_acc2]]</f>
        <v>0.91724941724941722</v>
      </c>
    </row>
    <row r="995" spans="1:26" hidden="1" x14ac:dyDescent="0.25">
      <c r="A995" t="s">
        <v>19</v>
      </c>
      <c r="B995">
        <v>5</v>
      </c>
      <c r="C995">
        <v>2</v>
      </c>
      <c r="D995">
        <v>0</v>
      </c>
      <c r="E995" t="s">
        <v>487</v>
      </c>
      <c r="F995">
        <v>29730</v>
      </c>
      <c r="G995">
        <v>42968642.916666672</v>
      </c>
      <c r="H995">
        <v>0.97348485141992569</v>
      </c>
      <c r="I995">
        <v>0.94551282051282048</v>
      </c>
      <c r="J995">
        <v>8721796.8333333321</v>
      </c>
      <c r="K995">
        <v>44102</v>
      </c>
      <c r="L995">
        <v>2</v>
      </c>
      <c r="M995">
        <v>140</v>
      </c>
      <c r="N995">
        <v>0.94026806526806528</v>
      </c>
      <c r="O995">
        <v>9306918.041666666</v>
      </c>
      <c r="P995">
        <v>44699</v>
      </c>
      <c r="Q995">
        <v>2</v>
      </c>
      <c r="R995">
        <v>141</v>
      </c>
      <c r="S995" t="s">
        <v>791</v>
      </c>
      <c r="W995">
        <f>Cancer_doubles_final2[[#This Row],[mlp_params]]</f>
        <v>44102</v>
      </c>
      <c r="X995">
        <f>Cancer_doubles_final2[[#This Row],[kan_test_acc]]</f>
        <v>0.97348485141992569</v>
      </c>
      <c r="Y995">
        <f>Cancer_doubles_final2[[#This Row],[mlp_test_acc]]</f>
        <v>0.94551282051282048</v>
      </c>
      <c r="Z995">
        <f>Cancer_doubles_final2[[#This Row],[mlp_test_acc2]]</f>
        <v>0.94026806526806528</v>
      </c>
    </row>
    <row r="996" spans="1:26" hidden="1" x14ac:dyDescent="0.25">
      <c r="A996" t="s">
        <v>19</v>
      </c>
      <c r="B996">
        <v>3</v>
      </c>
      <c r="C996">
        <v>4</v>
      </c>
      <c r="D996">
        <v>0</v>
      </c>
      <c r="E996" t="s">
        <v>487</v>
      </c>
      <c r="F996">
        <v>29730</v>
      </c>
      <c r="G996">
        <v>41557128.416666664</v>
      </c>
      <c r="H996">
        <v>0.96882283687591553</v>
      </c>
      <c r="I996">
        <v>0.93181818181818188</v>
      </c>
      <c r="J996">
        <v>9019333.291666666</v>
      </c>
      <c r="K996">
        <v>56129</v>
      </c>
      <c r="L996">
        <v>2</v>
      </c>
      <c r="M996">
        <v>159</v>
      </c>
      <c r="N996">
        <v>0.92832167832167833</v>
      </c>
      <c r="O996">
        <v>8976819.791666666</v>
      </c>
      <c r="P996">
        <v>56802</v>
      </c>
      <c r="Q996">
        <v>2</v>
      </c>
      <c r="R996">
        <v>160</v>
      </c>
      <c r="S996" t="s">
        <v>790</v>
      </c>
      <c r="W996">
        <f>Cancer_doubles_final2[[#This Row],[mlp_params]]</f>
        <v>56129</v>
      </c>
      <c r="X996">
        <f>Cancer_doubles_final2[[#This Row],[kan_test_acc]]</f>
        <v>0.96882283687591553</v>
      </c>
      <c r="Y996">
        <f>Cancer_doubles_final2[[#This Row],[mlp_test_acc]]</f>
        <v>0.93181818181818188</v>
      </c>
      <c r="Z996">
        <f>Cancer_doubles_final2[[#This Row],[mlp_test_acc2]]</f>
        <v>0.92832167832167833</v>
      </c>
    </row>
    <row r="997" spans="1:26" hidden="1" x14ac:dyDescent="0.25">
      <c r="A997" t="s">
        <v>19</v>
      </c>
      <c r="B997">
        <v>5</v>
      </c>
      <c r="C997">
        <v>2</v>
      </c>
      <c r="D997">
        <v>0</v>
      </c>
      <c r="E997" t="s">
        <v>487</v>
      </c>
      <c r="F997">
        <v>29730</v>
      </c>
      <c r="G997">
        <v>37214530.5</v>
      </c>
      <c r="H997">
        <v>0.94813519219557452</v>
      </c>
      <c r="I997">
        <v>0.91142191142191142</v>
      </c>
      <c r="J997">
        <v>9106403.375</v>
      </c>
      <c r="K997">
        <v>44102</v>
      </c>
      <c r="L997">
        <v>2</v>
      </c>
      <c r="M997">
        <v>140</v>
      </c>
      <c r="N997">
        <v>0.90501165501165504</v>
      </c>
      <c r="O997">
        <v>8950312.7083333321</v>
      </c>
      <c r="P997">
        <v>44699</v>
      </c>
      <c r="Q997">
        <v>2</v>
      </c>
      <c r="R997">
        <v>141</v>
      </c>
      <c r="S997" t="s">
        <v>791</v>
      </c>
      <c r="W997">
        <f>Cancer_doubles_final2[[#This Row],[mlp_params]]</f>
        <v>44102</v>
      </c>
      <c r="X997">
        <f>Cancer_doubles_final2[[#This Row],[kan_test_acc]]</f>
        <v>0.94813519219557452</v>
      </c>
      <c r="Y997">
        <f>Cancer_doubles_final2[[#This Row],[mlp_test_acc]]</f>
        <v>0.91142191142191142</v>
      </c>
      <c r="Z997">
        <f>Cancer_doubles_final2[[#This Row],[mlp_test_acc2]]</f>
        <v>0.90501165501165504</v>
      </c>
    </row>
    <row r="998" spans="1:26" hidden="1" x14ac:dyDescent="0.25">
      <c r="A998" t="s">
        <v>19</v>
      </c>
      <c r="B998">
        <v>9</v>
      </c>
      <c r="C998">
        <v>4</v>
      </c>
      <c r="D998">
        <v>0</v>
      </c>
      <c r="E998" t="s">
        <v>152</v>
      </c>
      <c r="F998">
        <v>29756</v>
      </c>
      <c r="G998">
        <v>32208107.249999996</v>
      </c>
      <c r="H998">
        <v>0.94201631595691049</v>
      </c>
      <c r="I998">
        <v>0.93327505827505819</v>
      </c>
      <c r="J998">
        <v>8514860.4166666679</v>
      </c>
      <c r="K998">
        <v>45905</v>
      </c>
      <c r="L998">
        <v>2</v>
      </c>
      <c r="M998">
        <v>143</v>
      </c>
      <c r="N998">
        <v>0.9268648018648018</v>
      </c>
      <c r="O998">
        <v>9487847.5</v>
      </c>
      <c r="P998">
        <v>46514</v>
      </c>
      <c r="Q998">
        <v>2</v>
      </c>
      <c r="R998">
        <v>144</v>
      </c>
      <c r="S998" t="s">
        <v>792</v>
      </c>
      <c r="W998">
        <f>Cancer_doubles_final2[[#This Row],[mlp_params]]</f>
        <v>45905</v>
      </c>
      <c r="X998">
        <f>Cancer_doubles_final2[[#This Row],[kan_test_acc]]</f>
        <v>0.94201631595691049</v>
      </c>
      <c r="Y998">
        <f>Cancer_doubles_final2[[#This Row],[mlp_test_acc]]</f>
        <v>0.93327505827505819</v>
      </c>
      <c r="Z998">
        <f>Cancer_doubles_final2[[#This Row],[mlp_test_acc2]]</f>
        <v>0.9268648018648018</v>
      </c>
    </row>
    <row r="999" spans="1:26" hidden="1" x14ac:dyDescent="0.25">
      <c r="A999" t="s">
        <v>19</v>
      </c>
      <c r="B999">
        <v>9</v>
      </c>
      <c r="C999">
        <v>3</v>
      </c>
      <c r="D999">
        <v>0</v>
      </c>
      <c r="E999" t="s">
        <v>173</v>
      </c>
      <c r="F999">
        <v>29764</v>
      </c>
      <c r="G999">
        <v>35719223.291666672</v>
      </c>
      <c r="H999">
        <v>0.95425407340129209</v>
      </c>
      <c r="I999">
        <v>0.97057109557109555</v>
      </c>
      <c r="J999">
        <v>9158020.458333334</v>
      </c>
      <c r="K999">
        <v>43509</v>
      </c>
      <c r="L999">
        <v>2</v>
      </c>
      <c r="M999">
        <v>139</v>
      </c>
      <c r="N999">
        <v>0.96445221445221441</v>
      </c>
      <c r="O999">
        <v>9872953.75</v>
      </c>
      <c r="P999">
        <v>44102</v>
      </c>
      <c r="Q999">
        <v>2</v>
      </c>
      <c r="R999">
        <v>140</v>
      </c>
      <c r="S999" t="s">
        <v>793</v>
      </c>
      <c r="W999">
        <f>Cancer_doubles_final2[[#This Row],[mlp_params]]</f>
        <v>43509</v>
      </c>
      <c r="X999">
        <f>Cancer_doubles_final2[[#This Row],[kan_test_acc]]</f>
        <v>0.95425407340129209</v>
      </c>
      <c r="Y999">
        <f>Cancer_doubles_final2[[#This Row],[mlp_test_acc]]</f>
        <v>0.97057109557109555</v>
      </c>
      <c r="Z999">
        <f>Cancer_doubles_final2[[#This Row],[mlp_test_acc2]]</f>
        <v>0.96445221445221441</v>
      </c>
    </row>
    <row r="1000" spans="1:26" hidden="1" x14ac:dyDescent="0.25">
      <c r="A1000" t="s">
        <v>19</v>
      </c>
      <c r="B1000">
        <v>3</v>
      </c>
      <c r="C1000">
        <v>3</v>
      </c>
      <c r="D1000">
        <v>0</v>
      </c>
      <c r="E1000" t="s">
        <v>633</v>
      </c>
      <c r="F1000">
        <v>29794</v>
      </c>
      <c r="G1000">
        <v>42757733.666666672</v>
      </c>
      <c r="H1000">
        <v>0.96561770886182785</v>
      </c>
      <c r="I1000">
        <v>0.96270396270396275</v>
      </c>
      <c r="J1000">
        <v>9418811.2916666679</v>
      </c>
      <c r="K1000">
        <v>52824</v>
      </c>
      <c r="L1000">
        <v>2</v>
      </c>
      <c r="M1000">
        <v>154</v>
      </c>
      <c r="N1000">
        <v>0.95163170163170163</v>
      </c>
      <c r="O1000">
        <v>9522495.166666666</v>
      </c>
      <c r="P1000">
        <v>53477</v>
      </c>
      <c r="Q1000">
        <v>2</v>
      </c>
      <c r="R1000">
        <v>155</v>
      </c>
      <c r="S1000" t="s">
        <v>794</v>
      </c>
      <c r="W1000">
        <f>Cancer_doubles_final2[[#This Row],[mlp_params]]</f>
        <v>52824</v>
      </c>
      <c r="X1000">
        <f>Cancer_doubles_final2[[#This Row],[kan_test_acc]]</f>
        <v>0.96561770886182785</v>
      </c>
      <c r="Y1000">
        <f>Cancer_doubles_final2[[#This Row],[mlp_test_acc]]</f>
        <v>0.96270396270396275</v>
      </c>
      <c r="Z1000">
        <f>Cancer_doubles_final2[[#This Row],[mlp_test_acc2]]</f>
        <v>0.95163170163170163</v>
      </c>
    </row>
    <row r="1001" spans="1:26" hidden="1" x14ac:dyDescent="0.25">
      <c r="A1001" t="s">
        <v>19</v>
      </c>
      <c r="B1001">
        <v>9</v>
      </c>
      <c r="C1001">
        <v>4</v>
      </c>
      <c r="D1001">
        <v>0</v>
      </c>
      <c r="E1001" t="s">
        <v>154</v>
      </c>
      <c r="F1001">
        <v>29822</v>
      </c>
      <c r="G1001">
        <v>42754642.055555552</v>
      </c>
      <c r="H1001">
        <v>0.96794870826933121</v>
      </c>
      <c r="I1001">
        <v>0.94794094794094796</v>
      </c>
      <c r="J1001">
        <v>8919110.305555556</v>
      </c>
      <c r="K1001">
        <v>46514</v>
      </c>
      <c r="L1001">
        <v>2</v>
      </c>
      <c r="M1001">
        <v>144</v>
      </c>
      <c r="N1001">
        <v>0.94327894327894335</v>
      </c>
      <c r="O1001">
        <v>9605394.5277777761</v>
      </c>
      <c r="P1001">
        <v>47127</v>
      </c>
      <c r="Q1001">
        <v>2</v>
      </c>
      <c r="R1001">
        <v>145</v>
      </c>
      <c r="S1001" t="s">
        <v>795</v>
      </c>
      <c r="W1001">
        <f>Cancer_doubles_final2[[#This Row],[mlp_params]]</f>
        <v>46514</v>
      </c>
      <c r="X1001">
        <f>Cancer_doubles_final2[[#This Row],[kan_test_acc]]</f>
        <v>0.96794870826933121</v>
      </c>
      <c r="Y1001">
        <f>Cancer_doubles_final2[[#This Row],[mlp_test_acc]]</f>
        <v>0.94794094794094796</v>
      </c>
      <c r="Z1001">
        <f>Cancer_doubles_final2[[#This Row],[mlp_test_acc2]]</f>
        <v>0.94327894327894335</v>
      </c>
    </row>
    <row r="1002" spans="1:26" hidden="1" x14ac:dyDescent="0.25">
      <c r="A1002" t="s">
        <v>19</v>
      </c>
      <c r="B1002">
        <v>9</v>
      </c>
      <c r="C1002">
        <v>3</v>
      </c>
      <c r="D1002">
        <v>0</v>
      </c>
      <c r="E1002" t="s">
        <v>175</v>
      </c>
      <c r="F1002">
        <v>29824</v>
      </c>
      <c r="G1002">
        <v>30798006.583333332</v>
      </c>
      <c r="H1002">
        <v>0.94055942942698789</v>
      </c>
      <c r="I1002">
        <v>0.94609557109557108</v>
      </c>
      <c r="J1002">
        <v>9366177.75</v>
      </c>
      <c r="K1002">
        <v>43509</v>
      </c>
      <c r="L1002">
        <v>2</v>
      </c>
      <c r="M1002">
        <v>139</v>
      </c>
      <c r="N1002">
        <v>0.9391025641025641</v>
      </c>
      <c r="O1002">
        <v>9487189.625</v>
      </c>
      <c r="P1002">
        <v>44102</v>
      </c>
      <c r="Q1002">
        <v>2</v>
      </c>
      <c r="R1002">
        <v>140</v>
      </c>
      <c r="S1002" t="s">
        <v>796</v>
      </c>
      <c r="W1002">
        <f>Cancer_doubles_final2[[#This Row],[mlp_params]]</f>
        <v>43509</v>
      </c>
      <c r="X1002">
        <f>Cancer_doubles_final2[[#This Row],[kan_test_acc]]</f>
        <v>0.94055942942698789</v>
      </c>
      <c r="Y1002">
        <f>Cancer_doubles_final2[[#This Row],[mlp_test_acc]]</f>
        <v>0.94609557109557108</v>
      </c>
      <c r="Z1002">
        <f>Cancer_doubles_final2[[#This Row],[mlp_test_acc2]]</f>
        <v>0.9391025641025641</v>
      </c>
    </row>
    <row r="1003" spans="1:26" hidden="1" x14ac:dyDescent="0.25">
      <c r="A1003" t="s">
        <v>19</v>
      </c>
      <c r="B1003">
        <v>3</v>
      </c>
      <c r="C1003">
        <v>4</v>
      </c>
      <c r="D1003">
        <v>0</v>
      </c>
      <c r="E1003" t="s">
        <v>492</v>
      </c>
      <c r="F1003">
        <v>29886</v>
      </c>
      <c r="G1003">
        <v>34506387.888888888</v>
      </c>
      <c r="H1003">
        <v>0.94289043545722961</v>
      </c>
      <c r="I1003">
        <v>0.92540792540792538</v>
      </c>
      <c r="J1003">
        <v>9640470.166666666</v>
      </c>
      <c r="K1003">
        <v>56129</v>
      </c>
      <c r="L1003">
        <v>2</v>
      </c>
      <c r="M1003">
        <v>159</v>
      </c>
      <c r="N1003">
        <v>0.92696192696192692</v>
      </c>
      <c r="O1003">
        <v>8917470.1388888881</v>
      </c>
      <c r="P1003">
        <v>56802</v>
      </c>
      <c r="Q1003">
        <v>2</v>
      </c>
      <c r="R1003">
        <v>160</v>
      </c>
      <c r="S1003" t="s">
        <v>797</v>
      </c>
      <c r="W1003">
        <f>Cancer_doubles_final2[[#This Row],[mlp_params]]</f>
        <v>56129</v>
      </c>
      <c r="X1003">
        <f>Cancer_doubles_final2[[#This Row],[kan_test_acc]]</f>
        <v>0.94289043545722961</v>
      </c>
      <c r="Y1003">
        <f>Cancer_doubles_final2[[#This Row],[mlp_test_acc]]</f>
        <v>0.92540792540792538</v>
      </c>
      <c r="Z1003">
        <f>Cancer_doubles_final2[[#This Row],[mlp_test_acc2]]</f>
        <v>0.92696192696192692</v>
      </c>
    </row>
    <row r="1004" spans="1:26" hidden="1" x14ac:dyDescent="0.25">
      <c r="A1004" t="s">
        <v>19</v>
      </c>
      <c r="B1004">
        <v>5</v>
      </c>
      <c r="C1004">
        <v>2</v>
      </c>
      <c r="D1004">
        <v>0</v>
      </c>
      <c r="E1004" t="s">
        <v>492</v>
      </c>
      <c r="F1004">
        <v>29886</v>
      </c>
      <c r="G1004">
        <v>38953602</v>
      </c>
      <c r="H1004">
        <v>0.9641608397165935</v>
      </c>
      <c r="I1004">
        <v>0.94463869463869465</v>
      </c>
      <c r="J1004">
        <v>9223777.833333334</v>
      </c>
      <c r="K1004">
        <v>44699</v>
      </c>
      <c r="L1004">
        <v>2</v>
      </c>
      <c r="M1004">
        <v>141</v>
      </c>
      <c r="N1004">
        <v>0.94522144522144513</v>
      </c>
      <c r="O1004">
        <v>8782730.791666666</v>
      </c>
      <c r="P1004">
        <v>45300</v>
      </c>
      <c r="Q1004">
        <v>2</v>
      </c>
      <c r="R1004">
        <v>142</v>
      </c>
      <c r="S1004" t="s">
        <v>798</v>
      </c>
      <c r="W1004">
        <f>Cancer_doubles_final2[[#This Row],[mlp_params]]</f>
        <v>44699</v>
      </c>
      <c r="X1004">
        <f>Cancer_doubles_final2[[#This Row],[kan_test_acc]]</f>
        <v>0.9641608397165935</v>
      </c>
      <c r="Y1004">
        <f>Cancer_doubles_final2[[#This Row],[mlp_test_acc]]</f>
        <v>0.94463869463869465</v>
      </c>
      <c r="Z1004">
        <f>Cancer_doubles_final2[[#This Row],[mlp_test_acc2]]</f>
        <v>0.94522144522144513</v>
      </c>
    </row>
    <row r="1005" spans="1:26" hidden="1" x14ac:dyDescent="0.25">
      <c r="A1005" t="s">
        <v>19</v>
      </c>
      <c r="B1005">
        <v>9</v>
      </c>
      <c r="C1005">
        <v>3</v>
      </c>
      <c r="D1005">
        <v>0</v>
      </c>
      <c r="E1005" t="s">
        <v>177</v>
      </c>
      <c r="F1005">
        <v>29886</v>
      </c>
      <c r="G1005">
        <v>32382606.791666668</v>
      </c>
      <c r="H1005">
        <v>0.94289044042428338</v>
      </c>
      <c r="I1005">
        <v>0.92686480186480191</v>
      </c>
      <c r="J1005">
        <v>9430425.125</v>
      </c>
      <c r="K1005">
        <v>43509</v>
      </c>
      <c r="L1005">
        <v>2</v>
      </c>
      <c r="M1005">
        <v>139</v>
      </c>
      <c r="N1005">
        <v>0.92803030303030298</v>
      </c>
      <c r="O1005">
        <v>9361529.291666666</v>
      </c>
      <c r="P1005">
        <v>44102</v>
      </c>
      <c r="Q1005">
        <v>2</v>
      </c>
      <c r="R1005">
        <v>140</v>
      </c>
      <c r="S1005" t="s">
        <v>799</v>
      </c>
      <c r="W1005">
        <f>Cancer_doubles_final2[[#This Row],[mlp_params]]</f>
        <v>43509</v>
      </c>
      <c r="X1005">
        <f>Cancer_doubles_final2[[#This Row],[kan_test_acc]]</f>
        <v>0.94289044042428338</v>
      </c>
      <c r="Y1005">
        <f>Cancer_doubles_final2[[#This Row],[mlp_test_acc]]</f>
        <v>0.92686480186480191</v>
      </c>
      <c r="Z1005">
        <f>Cancer_doubles_final2[[#This Row],[mlp_test_acc2]]</f>
        <v>0.92803030303030298</v>
      </c>
    </row>
    <row r="1006" spans="1:26" hidden="1" x14ac:dyDescent="0.25">
      <c r="A1006" t="s">
        <v>19</v>
      </c>
      <c r="B1006">
        <v>3</v>
      </c>
      <c r="C1006">
        <v>4</v>
      </c>
      <c r="D1006">
        <v>0</v>
      </c>
      <c r="E1006" t="s">
        <v>492</v>
      </c>
      <c r="F1006">
        <v>29886</v>
      </c>
      <c r="G1006">
        <v>37875903</v>
      </c>
      <c r="H1006">
        <v>0.94463868935902917</v>
      </c>
      <c r="I1006">
        <v>0.9189976689976691</v>
      </c>
      <c r="J1006">
        <v>9551524.7916666679</v>
      </c>
      <c r="K1006">
        <v>56129</v>
      </c>
      <c r="L1006">
        <v>2</v>
      </c>
      <c r="M1006">
        <v>159</v>
      </c>
      <c r="N1006">
        <v>0.92132867132867136</v>
      </c>
      <c r="O1006">
        <v>8863139.875</v>
      </c>
      <c r="P1006">
        <v>56802</v>
      </c>
      <c r="Q1006">
        <v>2</v>
      </c>
      <c r="R1006">
        <v>160</v>
      </c>
      <c r="S1006" t="s">
        <v>797</v>
      </c>
      <c r="W1006">
        <f>Cancer_doubles_final2[[#This Row],[mlp_params]]</f>
        <v>56129</v>
      </c>
      <c r="X1006">
        <f>Cancer_doubles_final2[[#This Row],[kan_test_acc]]</f>
        <v>0.94463868935902917</v>
      </c>
      <c r="Y1006">
        <f>Cancer_doubles_final2[[#This Row],[mlp_test_acc]]</f>
        <v>0.9189976689976691</v>
      </c>
      <c r="Z1006">
        <f>Cancer_doubles_final2[[#This Row],[mlp_test_acc2]]</f>
        <v>0.92132867132867136</v>
      </c>
    </row>
    <row r="1007" spans="1:26" hidden="1" x14ac:dyDescent="0.25">
      <c r="A1007" t="s">
        <v>19</v>
      </c>
      <c r="B1007">
        <v>5</v>
      </c>
      <c r="C1007">
        <v>2</v>
      </c>
      <c r="D1007">
        <v>0</v>
      </c>
      <c r="E1007" t="s">
        <v>492</v>
      </c>
      <c r="F1007">
        <v>29886</v>
      </c>
      <c r="G1007">
        <v>38697477.041666672</v>
      </c>
      <c r="H1007">
        <v>0.96561771134535468</v>
      </c>
      <c r="I1007">
        <v>0.90238927738927743</v>
      </c>
      <c r="J1007">
        <v>8406813.958333334</v>
      </c>
      <c r="K1007">
        <v>44699</v>
      </c>
      <c r="L1007">
        <v>2</v>
      </c>
      <c r="M1007">
        <v>141</v>
      </c>
      <c r="N1007">
        <v>0.90442890442890445</v>
      </c>
      <c r="O1007">
        <v>8320832.458333334</v>
      </c>
      <c r="P1007">
        <v>45300</v>
      </c>
      <c r="Q1007">
        <v>2</v>
      </c>
      <c r="R1007">
        <v>142</v>
      </c>
      <c r="S1007" t="s">
        <v>798</v>
      </c>
      <c r="W1007">
        <f>Cancer_doubles_final2[[#This Row],[mlp_params]]</f>
        <v>44699</v>
      </c>
      <c r="X1007">
        <f>Cancer_doubles_final2[[#This Row],[kan_test_acc]]</f>
        <v>0.96561771134535468</v>
      </c>
      <c r="Y1007">
        <f>Cancer_doubles_final2[[#This Row],[mlp_test_acc]]</f>
        <v>0.90238927738927743</v>
      </c>
      <c r="Z1007">
        <f>Cancer_doubles_final2[[#This Row],[mlp_test_acc2]]</f>
        <v>0.90442890442890445</v>
      </c>
    </row>
    <row r="1008" spans="1:26" hidden="1" x14ac:dyDescent="0.25">
      <c r="A1008" t="s">
        <v>19</v>
      </c>
      <c r="B1008">
        <v>9</v>
      </c>
      <c r="C1008">
        <v>3</v>
      </c>
      <c r="D1008">
        <v>0</v>
      </c>
      <c r="E1008" t="s">
        <v>177</v>
      </c>
      <c r="F1008">
        <v>29886</v>
      </c>
      <c r="G1008">
        <v>38394590.416666672</v>
      </c>
      <c r="H1008">
        <v>0.93735431134700775</v>
      </c>
      <c r="I1008">
        <v>0.89277389277389274</v>
      </c>
      <c r="J1008">
        <v>7714416.458333334</v>
      </c>
      <c r="K1008">
        <v>43509</v>
      </c>
      <c r="L1008">
        <v>2</v>
      </c>
      <c r="M1008">
        <v>139</v>
      </c>
      <c r="N1008">
        <v>0.8951048951048951</v>
      </c>
      <c r="O1008">
        <v>9363139.5</v>
      </c>
      <c r="P1008">
        <v>44102</v>
      </c>
      <c r="Q1008">
        <v>2</v>
      </c>
      <c r="R1008">
        <v>140</v>
      </c>
      <c r="S1008" t="s">
        <v>799</v>
      </c>
      <c r="W1008">
        <f>Cancer_doubles_final2[[#This Row],[mlp_params]]</f>
        <v>43509</v>
      </c>
      <c r="X1008">
        <f>Cancer_doubles_final2[[#This Row],[kan_test_acc]]</f>
        <v>0.93735431134700775</v>
      </c>
      <c r="Y1008">
        <f>Cancer_doubles_final2[[#This Row],[mlp_test_acc]]</f>
        <v>0.89277389277389274</v>
      </c>
      <c r="Z1008">
        <f>Cancer_doubles_final2[[#This Row],[mlp_test_acc2]]</f>
        <v>0.8951048951048951</v>
      </c>
    </row>
    <row r="1009" spans="1:26" hidden="1" x14ac:dyDescent="0.25">
      <c r="A1009" t="s">
        <v>19</v>
      </c>
      <c r="B1009">
        <v>3</v>
      </c>
      <c r="C1009">
        <v>4</v>
      </c>
      <c r="D1009">
        <v>0</v>
      </c>
      <c r="E1009" t="s">
        <v>494</v>
      </c>
      <c r="F1009">
        <v>29888</v>
      </c>
      <c r="G1009">
        <v>40589175.958333336</v>
      </c>
      <c r="H1009">
        <v>0.94580419858296716</v>
      </c>
      <c r="I1009">
        <v>0.92803030303030298</v>
      </c>
      <c r="J1009">
        <v>8640956.5416666679</v>
      </c>
      <c r="K1009">
        <v>56129</v>
      </c>
      <c r="L1009">
        <v>2</v>
      </c>
      <c r="M1009">
        <v>159</v>
      </c>
      <c r="N1009">
        <v>0.92773892773892774</v>
      </c>
      <c r="O1009">
        <v>9842992.875</v>
      </c>
      <c r="P1009">
        <v>56802</v>
      </c>
      <c r="Q1009">
        <v>2</v>
      </c>
      <c r="R1009">
        <v>160</v>
      </c>
      <c r="S1009" t="s">
        <v>800</v>
      </c>
      <c r="W1009">
        <f>Cancer_doubles_final2[[#This Row],[mlp_params]]</f>
        <v>56129</v>
      </c>
      <c r="X1009">
        <f>Cancer_doubles_final2[[#This Row],[kan_test_acc]]</f>
        <v>0.94580419858296716</v>
      </c>
      <c r="Y1009">
        <f>Cancer_doubles_final2[[#This Row],[mlp_test_acc]]</f>
        <v>0.92803030303030298</v>
      </c>
      <c r="Z1009">
        <f>Cancer_doubles_final2[[#This Row],[mlp_test_acc2]]</f>
        <v>0.92773892773892774</v>
      </c>
    </row>
    <row r="1010" spans="1:26" hidden="1" x14ac:dyDescent="0.25">
      <c r="A1010" t="s">
        <v>19</v>
      </c>
      <c r="B1010">
        <v>5</v>
      </c>
      <c r="C1010">
        <v>2</v>
      </c>
      <c r="D1010">
        <v>0</v>
      </c>
      <c r="E1010" t="s">
        <v>494</v>
      </c>
      <c r="F1010">
        <v>29888</v>
      </c>
      <c r="G1010">
        <v>33937311.708333328</v>
      </c>
      <c r="H1010">
        <v>0.96969697624444962</v>
      </c>
      <c r="I1010">
        <v>0.94638694638694632</v>
      </c>
      <c r="J1010">
        <v>8591574.125</v>
      </c>
      <c r="K1010">
        <v>44699</v>
      </c>
      <c r="L1010">
        <v>2</v>
      </c>
      <c r="M1010">
        <v>141</v>
      </c>
      <c r="N1010">
        <v>0.94784382284382285</v>
      </c>
      <c r="O1010">
        <v>9351971.5833333321</v>
      </c>
      <c r="P1010">
        <v>45300</v>
      </c>
      <c r="Q1010">
        <v>2</v>
      </c>
      <c r="R1010">
        <v>142</v>
      </c>
      <c r="S1010" t="s">
        <v>801</v>
      </c>
      <c r="W1010">
        <f>Cancer_doubles_final2[[#This Row],[mlp_params]]</f>
        <v>44699</v>
      </c>
      <c r="X1010">
        <f>Cancer_doubles_final2[[#This Row],[kan_test_acc]]</f>
        <v>0.96969697624444962</v>
      </c>
      <c r="Y1010">
        <f>Cancer_doubles_final2[[#This Row],[mlp_test_acc]]</f>
        <v>0.94638694638694632</v>
      </c>
      <c r="Z1010">
        <f>Cancer_doubles_final2[[#This Row],[mlp_test_acc2]]</f>
        <v>0.94784382284382285</v>
      </c>
    </row>
    <row r="1011" spans="1:26" hidden="1" x14ac:dyDescent="0.25">
      <c r="A1011" t="s">
        <v>19</v>
      </c>
      <c r="B1011">
        <v>3</v>
      </c>
      <c r="C1011">
        <v>4</v>
      </c>
      <c r="D1011">
        <v>0</v>
      </c>
      <c r="E1011" t="s">
        <v>494</v>
      </c>
      <c r="F1011">
        <v>29888</v>
      </c>
      <c r="G1011">
        <v>35536615.5</v>
      </c>
      <c r="H1011">
        <v>0.96911421666542696</v>
      </c>
      <c r="I1011">
        <v>0.9306526806526807</v>
      </c>
      <c r="J1011">
        <v>8665140.125</v>
      </c>
      <c r="K1011">
        <v>56129</v>
      </c>
      <c r="L1011">
        <v>2</v>
      </c>
      <c r="M1011">
        <v>159</v>
      </c>
      <c r="N1011">
        <v>0.93473193473193472</v>
      </c>
      <c r="O1011">
        <v>8743444.3333333321</v>
      </c>
      <c r="P1011">
        <v>56802</v>
      </c>
      <c r="Q1011">
        <v>2</v>
      </c>
      <c r="R1011">
        <v>160</v>
      </c>
      <c r="S1011" t="s">
        <v>800</v>
      </c>
      <c r="W1011">
        <f>Cancer_doubles_final2[[#This Row],[mlp_params]]</f>
        <v>56129</v>
      </c>
      <c r="X1011">
        <f>Cancer_doubles_final2[[#This Row],[kan_test_acc]]</f>
        <v>0.96911421666542696</v>
      </c>
      <c r="Y1011">
        <f>Cancer_doubles_final2[[#This Row],[mlp_test_acc]]</f>
        <v>0.9306526806526807</v>
      </c>
      <c r="Z1011">
        <f>Cancer_doubles_final2[[#This Row],[mlp_test_acc2]]</f>
        <v>0.93473193473193472</v>
      </c>
    </row>
    <row r="1012" spans="1:26" hidden="1" x14ac:dyDescent="0.25">
      <c r="A1012" t="s">
        <v>19</v>
      </c>
      <c r="B1012">
        <v>5</v>
      </c>
      <c r="C1012">
        <v>2</v>
      </c>
      <c r="D1012">
        <v>0</v>
      </c>
      <c r="E1012" t="s">
        <v>494</v>
      </c>
      <c r="F1012">
        <v>29888</v>
      </c>
      <c r="G1012">
        <v>34909944.583333336</v>
      </c>
      <c r="H1012">
        <v>0.9548368205626806</v>
      </c>
      <c r="I1012">
        <v>0.90355477855477861</v>
      </c>
      <c r="J1012">
        <v>8267668.8749999991</v>
      </c>
      <c r="K1012">
        <v>44699</v>
      </c>
      <c r="L1012">
        <v>2</v>
      </c>
      <c r="M1012">
        <v>141</v>
      </c>
      <c r="N1012">
        <v>0.90617715617715622</v>
      </c>
      <c r="O1012">
        <v>8169929.125</v>
      </c>
      <c r="P1012">
        <v>45300</v>
      </c>
      <c r="Q1012">
        <v>2</v>
      </c>
      <c r="R1012">
        <v>142</v>
      </c>
      <c r="S1012" t="s">
        <v>801</v>
      </c>
      <c r="W1012">
        <f>Cancer_doubles_final2[[#This Row],[mlp_params]]</f>
        <v>44699</v>
      </c>
      <c r="X1012">
        <f>Cancer_doubles_final2[[#This Row],[kan_test_acc]]</f>
        <v>0.9548368205626806</v>
      </c>
      <c r="Y1012">
        <f>Cancer_doubles_final2[[#This Row],[mlp_test_acc]]</f>
        <v>0.90355477855477861</v>
      </c>
      <c r="Z1012">
        <f>Cancer_doubles_final2[[#This Row],[mlp_test_acc2]]</f>
        <v>0.90617715617715622</v>
      </c>
    </row>
    <row r="1013" spans="1:26" hidden="1" x14ac:dyDescent="0.25">
      <c r="A1013" t="s">
        <v>19</v>
      </c>
      <c r="B1013">
        <v>5</v>
      </c>
      <c r="C1013">
        <v>5</v>
      </c>
      <c r="D1013">
        <v>0</v>
      </c>
      <c r="E1013" t="s">
        <v>243</v>
      </c>
      <c r="F1013">
        <v>29918</v>
      </c>
      <c r="G1013">
        <v>40545390.708333328</v>
      </c>
      <c r="H1013">
        <v>0.92657342056433367</v>
      </c>
      <c r="I1013">
        <v>0.90151515151515149</v>
      </c>
      <c r="J1013">
        <v>8497158.5416666679</v>
      </c>
      <c r="K1013">
        <v>54795</v>
      </c>
      <c r="L1013">
        <v>2</v>
      </c>
      <c r="M1013">
        <v>157</v>
      </c>
      <c r="N1013">
        <v>0.90355477855477861</v>
      </c>
      <c r="O1013">
        <v>9195699.7916666679</v>
      </c>
      <c r="P1013">
        <v>55460</v>
      </c>
      <c r="Q1013">
        <v>2</v>
      </c>
      <c r="R1013">
        <v>158</v>
      </c>
      <c r="S1013" t="s">
        <v>802</v>
      </c>
      <c r="W1013">
        <f>Cancer_doubles_final2[[#This Row],[mlp_params]]</f>
        <v>54795</v>
      </c>
      <c r="X1013">
        <f>Cancer_doubles_final2[[#This Row],[kan_test_acc]]</f>
        <v>0.92657342056433367</v>
      </c>
      <c r="Y1013">
        <f>Cancer_doubles_final2[[#This Row],[mlp_test_acc]]</f>
        <v>0.90151515151515149</v>
      </c>
      <c r="Z1013">
        <f>Cancer_doubles_final2[[#This Row],[mlp_test_acc2]]</f>
        <v>0.90355477855477861</v>
      </c>
    </row>
    <row r="1014" spans="1:26" hidden="1" x14ac:dyDescent="0.25">
      <c r="A1014" t="s">
        <v>19</v>
      </c>
      <c r="B1014">
        <v>5</v>
      </c>
      <c r="C1014">
        <v>4</v>
      </c>
      <c r="D1014">
        <v>0</v>
      </c>
      <c r="E1014" t="s">
        <v>310</v>
      </c>
      <c r="F1014">
        <v>30074</v>
      </c>
      <c r="G1014">
        <v>42129466.611111104</v>
      </c>
      <c r="H1014">
        <v>0.9279331747028563</v>
      </c>
      <c r="I1014">
        <v>0.932012432012432</v>
      </c>
      <c r="J1014">
        <v>9451071</v>
      </c>
      <c r="K1014">
        <v>52175</v>
      </c>
      <c r="L1014">
        <v>2</v>
      </c>
      <c r="M1014">
        <v>153</v>
      </c>
      <c r="N1014">
        <v>0.93220668220668224</v>
      </c>
      <c r="O1014">
        <v>9815282.277777778</v>
      </c>
      <c r="P1014">
        <v>52824</v>
      </c>
      <c r="Q1014">
        <v>2</v>
      </c>
      <c r="R1014">
        <v>154</v>
      </c>
      <c r="S1014" t="s">
        <v>803</v>
      </c>
      <c r="W1014">
        <f>Cancer_doubles_final2[[#This Row],[mlp_params]]</f>
        <v>52175</v>
      </c>
      <c r="X1014">
        <f>Cancer_doubles_final2[[#This Row],[kan_test_acc]]</f>
        <v>0.9279331747028563</v>
      </c>
      <c r="Y1014">
        <f>Cancer_doubles_final2[[#This Row],[mlp_test_acc]]</f>
        <v>0.932012432012432</v>
      </c>
      <c r="Z1014">
        <f>Cancer_doubles_final2[[#This Row],[mlp_test_acc2]]</f>
        <v>0.93220668220668224</v>
      </c>
    </row>
    <row r="1015" spans="1:26" hidden="1" x14ac:dyDescent="0.25">
      <c r="A1015" t="s">
        <v>19</v>
      </c>
      <c r="B1015">
        <v>5</v>
      </c>
      <c r="C1015">
        <v>5</v>
      </c>
      <c r="D1015">
        <v>0</v>
      </c>
      <c r="E1015" t="s">
        <v>250</v>
      </c>
      <c r="F1015">
        <v>30080</v>
      </c>
      <c r="G1015">
        <v>36958782.611111112</v>
      </c>
      <c r="H1015">
        <v>0.94250194066100657</v>
      </c>
      <c r="I1015">
        <v>0.93609168609168614</v>
      </c>
      <c r="J1015">
        <v>9305729.8888888881</v>
      </c>
      <c r="K1015">
        <v>55460</v>
      </c>
      <c r="L1015">
        <v>2</v>
      </c>
      <c r="M1015">
        <v>158</v>
      </c>
      <c r="N1015">
        <v>0.93337218337218342</v>
      </c>
      <c r="O1015">
        <v>9020678.8333333321</v>
      </c>
      <c r="P1015">
        <v>56129</v>
      </c>
      <c r="Q1015">
        <v>2</v>
      </c>
      <c r="R1015">
        <v>159</v>
      </c>
      <c r="S1015" t="s">
        <v>804</v>
      </c>
      <c r="W1015">
        <f>Cancer_doubles_final2[[#This Row],[mlp_params]]</f>
        <v>55460</v>
      </c>
      <c r="X1015">
        <f>Cancer_doubles_final2[[#This Row],[kan_test_acc]]</f>
        <v>0.94250194066100657</v>
      </c>
      <c r="Y1015">
        <f>Cancer_doubles_final2[[#This Row],[mlp_test_acc]]</f>
        <v>0.93609168609168614</v>
      </c>
      <c r="Z1015">
        <f>Cancer_doubles_final2[[#This Row],[mlp_test_acc2]]</f>
        <v>0.93337218337218342</v>
      </c>
    </row>
    <row r="1016" spans="1:26" hidden="1" x14ac:dyDescent="0.25">
      <c r="A1016" t="s">
        <v>19</v>
      </c>
      <c r="B1016">
        <v>5</v>
      </c>
      <c r="C1016">
        <v>4</v>
      </c>
      <c r="D1016">
        <v>0</v>
      </c>
      <c r="E1016" t="s">
        <v>312</v>
      </c>
      <c r="F1016">
        <v>30082</v>
      </c>
      <c r="G1016">
        <v>42423965.888888888</v>
      </c>
      <c r="H1016">
        <v>0.91977466808425057</v>
      </c>
      <c r="I1016">
        <v>0.94716394716394714</v>
      </c>
      <c r="J1016">
        <v>9813215.972222222</v>
      </c>
      <c r="K1016">
        <v>52175</v>
      </c>
      <c r="L1016">
        <v>2</v>
      </c>
      <c r="M1016">
        <v>153</v>
      </c>
      <c r="N1016">
        <v>0.94638694638694643</v>
      </c>
      <c r="O1016">
        <v>9207906.5833333321</v>
      </c>
      <c r="P1016">
        <v>52824</v>
      </c>
      <c r="Q1016">
        <v>2</v>
      </c>
      <c r="R1016">
        <v>154</v>
      </c>
      <c r="S1016" t="s">
        <v>805</v>
      </c>
      <c r="W1016">
        <f>Cancer_doubles_final2[[#This Row],[mlp_params]]</f>
        <v>52175</v>
      </c>
      <c r="X1016">
        <f>Cancer_doubles_final2[[#This Row],[kan_test_acc]]</f>
        <v>0.91977466808425057</v>
      </c>
      <c r="Y1016">
        <f>Cancer_doubles_final2[[#This Row],[mlp_test_acc]]</f>
        <v>0.94716394716394714</v>
      </c>
      <c r="Z1016">
        <f>Cancer_doubles_final2[[#This Row],[mlp_test_acc2]]</f>
        <v>0.94638694638694643</v>
      </c>
    </row>
    <row r="1017" spans="1:26" hidden="1" x14ac:dyDescent="0.25">
      <c r="A1017" t="s">
        <v>19</v>
      </c>
      <c r="B1017">
        <v>3</v>
      </c>
      <c r="C1017">
        <v>4</v>
      </c>
      <c r="D1017">
        <v>0</v>
      </c>
      <c r="E1017" t="s">
        <v>508</v>
      </c>
      <c r="F1017">
        <v>30094</v>
      </c>
      <c r="G1017">
        <v>40122048.854166672</v>
      </c>
      <c r="H1017">
        <v>0.94653263191382098</v>
      </c>
      <c r="I1017">
        <v>0.93138111888111896</v>
      </c>
      <c r="J1017">
        <v>8661179.25</v>
      </c>
      <c r="K1017">
        <v>56802</v>
      </c>
      <c r="L1017">
        <v>2</v>
      </c>
      <c r="M1017">
        <v>160</v>
      </c>
      <c r="N1017">
        <v>0.93210955710955712</v>
      </c>
      <c r="O1017">
        <v>9529889</v>
      </c>
      <c r="P1017">
        <v>57479</v>
      </c>
      <c r="Q1017">
        <v>2</v>
      </c>
      <c r="R1017">
        <v>161</v>
      </c>
      <c r="S1017" t="s">
        <v>806</v>
      </c>
      <c r="W1017">
        <f>Cancer_doubles_final2[[#This Row],[mlp_params]]</f>
        <v>56802</v>
      </c>
      <c r="X1017">
        <f>Cancer_doubles_final2[[#This Row],[kan_test_acc]]</f>
        <v>0.94653263191382098</v>
      </c>
      <c r="Y1017">
        <f>Cancer_doubles_final2[[#This Row],[mlp_test_acc]]</f>
        <v>0.93138111888111896</v>
      </c>
      <c r="Z1017">
        <f>Cancer_doubles_final2[[#This Row],[mlp_test_acc2]]</f>
        <v>0.93210955710955712</v>
      </c>
    </row>
    <row r="1018" spans="1:26" x14ac:dyDescent="0.25">
      <c r="A1018" t="s">
        <v>19</v>
      </c>
      <c r="B1018">
        <v>3</v>
      </c>
      <c r="C1018">
        <v>5</v>
      </c>
      <c r="D1018">
        <v>0</v>
      </c>
      <c r="E1018" t="s">
        <v>393</v>
      </c>
      <c r="F1018">
        <v>30094</v>
      </c>
      <c r="G1018">
        <v>44307430</v>
      </c>
      <c r="H1018">
        <v>0.96678321311871218</v>
      </c>
      <c r="I1018">
        <v>0.94318181818181812</v>
      </c>
      <c r="J1018">
        <v>9173828.25</v>
      </c>
      <c r="K1018">
        <v>59534</v>
      </c>
      <c r="L1018">
        <v>2</v>
      </c>
      <c r="M1018">
        <v>164</v>
      </c>
      <c r="N1018">
        <v>0.94055944055944063</v>
      </c>
      <c r="O1018">
        <v>9759084.9583333321</v>
      </c>
      <c r="P1018">
        <v>60227</v>
      </c>
      <c r="Q1018">
        <v>2</v>
      </c>
      <c r="R1018">
        <v>165</v>
      </c>
      <c r="S1018" t="s">
        <v>807</v>
      </c>
      <c r="W1018">
        <f>Cancer_doubles_final2[[#This Row],[mlp_params]]</f>
        <v>59534</v>
      </c>
      <c r="X1018">
        <f>Cancer_doubles_final2[[#This Row],[kan_test_acc]]</f>
        <v>0.96678321311871218</v>
      </c>
      <c r="Y1018">
        <f>Cancer_doubles_final2[[#This Row],[mlp_test_acc]]</f>
        <v>0.94318181818181812</v>
      </c>
      <c r="Z1018">
        <f>Cancer_doubles_final2[[#This Row],[mlp_test_acc2]]</f>
        <v>0.94055944055944063</v>
      </c>
    </row>
    <row r="1019" spans="1:26" hidden="1" x14ac:dyDescent="0.25">
      <c r="A1019" t="s">
        <v>19</v>
      </c>
      <c r="B1019">
        <v>5</v>
      </c>
      <c r="C1019">
        <v>2</v>
      </c>
      <c r="D1019">
        <v>0</v>
      </c>
      <c r="E1019" t="s">
        <v>508</v>
      </c>
      <c r="F1019">
        <v>30094</v>
      </c>
      <c r="G1019">
        <v>44850658.416666664</v>
      </c>
      <c r="H1019">
        <v>0.96736595779657364</v>
      </c>
      <c r="I1019">
        <v>0.94055944055944063</v>
      </c>
      <c r="J1019">
        <v>9677913</v>
      </c>
      <c r="K1019">
        <v>44699</v>
      </c>
      <c r="L1019">
        <v>2</v>
      </c>
      <c r="M1019">
        <v>141</v>
      </c>
      <c r="N1019">
        <v>0.9417249417249417</v>
      </c>
      <c r="O1019">
        <v>9819375.7916666679</v>
      </c>
      <c r="P1019">
        <v>45300</v>
      </c>
      <c r="Q1019">
        <v>2</v>
      </c>
      <c r="R1019">
        <v>142</v>
      </c>
      <c r="S1019" t="s">
        <v>808</v>
      </c>
      <c r="W1019">
        <f>Cancer_doubles_final2[[#This Row],[mlp_params]]</f>
        <v>44699</v>
      </c>
      <c r="X1019">
        <f>Cancer_doubles_final2[[#This Row],[kan_test_acc]]</f>
        <v>0.96736595779657364</v>
      </c>
      <c r="Y1019">
        <f>Cancer_doubles_final2[[#This Row],[mlp_test_acc]]</f>
        <v>0.94055944055944063</v>
      </c>
      <c r="Z1019">
        <f>Cancer_doubles_final2[[#This Row],[mlp_test_acc2]]</f>
        <v>0.9417249417249417</v>
      </c>
    </row>
    <row r="1020" spans="1:26" hidden="1" x14ac:dyDescent="0.25">
      <c r="A1020" t="s">
        <v>19</v>
      </c>
      <c r="B1020">
        <v>5</v>
      </c>
      <c r="C1020">
        <v>3</v>
      </c>
      <c r="D1020">
        <v>0</v>
      </c>
      <c r="E1020" t="s">
        <v>393</v>
      </c>
      <c r="F1020">
        <v>30094</v>
      </c>
      <c r="G1020">
        <v>41415616.916666672</v>
      </c>
      <c r="H1020">
        <v>0.97027971595525742</v>
      </c>
      <c r="I1020">
        <v>0.93764568764568768</v>
      </c>
      <c r="J1020">
        <v>9996614.5833333321</v>
      </c>
      <c r="K1020">
        <v>48990</v>
      </c>
      <c r="L1020">
        <v>2</v>
      </c>
      <c r="M1020">
        <v>148</v>
      </c>
      <c r="N1020">
        <v>0.9391025641025641</v>
      </c>
      <c r="O1020">
        <v>9893836.4583333321</v>
      </c>
      <c r="P1020">
        <v>49619</v>
      </c>
      <c r="Q1020">
        <v>2</v>
      </c>
      <c r="R1020">
        <v>149</v>
      </c>
      <c r="S1020" t="s">
        <v>809</v>
      </c>
      <c r="W1020">
        <f>Cancer_doubles_final2[[#This Row],[mlp_params]]</f>
        <v>48990</v>
      </c>
      <c r="X1020">
        <f>Cancer_doubles_final2[[#This Row],[kan_test_acc]]</f>
        <v>0.97027971595525742</v>
      </c>
      <c r="Y1020">
        <f>Cancer_doubles_final2[[#This Row],[mlp_test_acc]]</f>
        <v>0.93764568764568768</v>
      </c>
      <c r="Z1020">
        <f>Cancer_doubles_final2[[#This Row],[mlp_test_acc2]]</f>
        <v>0.9391025641025641</v>
      </c>
    </row>
    <row r="1021" spans="1:26" hidden="1" x14ac:dyDescent="0.25">
      <c r="A1021" t="s">
        <v>19</v>
      </c>
      <c r="B1021">
        <v>3</v>
      </c>
      <c r="C1021">
        <v>4</v>
      </c>
      <c r="D1021">
        <v>0</v>
      </c>
      <c r="E1021" t="s">
        <v>508</v>
      </c>
      <c r="F1021">
        <v>30094</v>
      </c>
      <c r="G1021">
        <v>43853985.375</v>
      </c>
      <c r="H1021">
        <v>0.97086246311664581</v>
      </c>
      <c r="I1021">
        <v>0.93181818181818188</v>
      </c>
      <c r="J1021">
        <v>9641481.8333333321</v>
      </c>
      <c r="K1021">
        <v>56802</v>
      </c>
      <c r="L1021">
        <v>2</v>
      </c>
      <c r="M1021">
        <v>160</v>
      </c>
      <c r="N1021">
        <v>0.93181818181818188</v>
      </c>
      <c r="O1021">
        <v>9162549.9583333321</v>
      </c>
      <c r="P1021">
        <v>57479</v>
      </c>
      <c r="Q1021">
        <v>2</v>
      </c>
      <c r="R1021">
        <v>161</v>
      </c>
      <c r="S1021" t="s">
        <v>806</v>
      </c>
      <c r="W1021">
        <f>Cancer_doubles_final2[[#This Row],[mlp_params]]</f>
        <v>56802</v>
      </c>
      <c r="X1021">
        <f>Cancer_doubles_final2[[#This Row],[kan_test_acc]]</f>
        <v>0.97086246311664581</v>
      </c>
      <c r="Y1021">
        <f>Cancer_doubles_final2[[#This Row],[mlp_test_acc]]</f>
        <v>0.93181818181818188</v>
      </c>
      <c r="Z1021">
        <f>Cancer_doubles_final2[[#This Row],[mlp_test_acc2]]</f>
        <v>0.93181818181818188</v>
      </c>
    </row>
    <row r="1022" spans="1:26" x14ac:dyDescent="0.25">
      <c r="A1022" t="s">
        <v>19</v>
      </c>
      <c r="B1022">
        <v>3</v>
      </c>
      <c r="C1022">
        <v>5</v>
      </c>
      <c r="D1022">
        <v>0</v>
      </c>
      <c r="E1022" t="s">
        <v>393</v>
      </c>
      <c r="F1022">
        <v>30094</v>
      </c>
      <c r="G1022">
        <v>51895032.625</v>
      </c>
      <c r="H1022">
        <v>0.96416082729895902</v>
      </c>
      <c r="I1022">
        <v>0.9332750582750583</v>
      </c>
      <c r="J1022">
        <v>9742576.4166666679</v>
      </c>
      <c r="K1022">
        <v>59534</v>
      </c>
      <c r="L1022">
        <v>2</v>
      </c>
      <c r="M1022">
        <v>164</v>
      </c>
      <c r="N1022">
        <v>0.93356643356643365</v>
      </c>
      <c r="O1022">
        <v>8583444.291666666</v>
      </c>
      <c r="P1022">
        <v>60227</v>
      </c>
      <c r="Q1022">
        <v>2</v>
      </c>
      <c r="R1022">
        <v>165</v>
      </c>
      <c r="S1022" t="s">
        <v>807</v>
      </c>
      <c r="W1022">
        <f>Cancer_doubles_final2[[#This Row],[mlp_params]]</f>
        <v>59534</v>
      </c>
      <c r="X1022">
        <f>Cancer_doubles_final2[[#This Row],[kan_test_acc]]</f>
        <v>0.96416082729895902</v>
      </c>
      <c r="Y1022">
        <f>Cancer_doubles_final2[[#This Row],[mlp_test_acc]]</f>
        <v>0.9332750582750583</v>
      </c>
      <c r="Z1022">
        <f>Cancer_doubles_final2[[#This Row],[mlp_test_acc2]]</f>
        <v>0.93356643356643365</v>
      </c>
    </row>
    <row r="1023" spans="1:26" hidden="1" x14ac:dyDescent="0.25">
      <c r="A1023" t="s">
        <v>19</v>
      </c>
      <c r="B1023">
        <v>5</v>
      </c>
      <c r="C1023">
        <v>2</v>
      </c>
      <c r="D1023">
        <v>0</v>
      </c>
      <c r="E1023" t="s">
        <v>508</v>
      </c>
      <c r="F1023">
        <v>30094</v>
      </c>
      <c r="G1023">
        <v>45222485.875</v>
      </c>
      <c r="H1023">
        <v>0.96765733013550437</v>
      </c>
      <c r="I1023">
        <v>0.94230769230769229</v>
      </c>
      <c r="J1023">
        <v>9730113.2916666679</v>
      </c>
      <c r="K1023">
        <v>44699</v>
      </c>
      <c r="L1023">
        <v>2</v>
      </c>
      <c r="M1023">
        <v>141</v>
      </c>
      <c r="N1023">
        <v>0.93881118881118886</v>
      </c>
      <c r="O1023">
        <v>9651249.375</v>
      </c>
      <c r="P1023">
        <v>45300</v>
      </c>
      <c r="Q1023">
        <v>2</v>
      </c>
      <c r="R1023">
        <v>142</v>
      </c>
      <c r="S1023" t="s">
        <v>808</v>
      </c>
      <c r="W1023">
        <f>Cancer_doubles_final2[[#This Row],[mlp_params]]</f>
        <v>44699</v>
      </c>
      <c r="X1023">
        <f>Cancer_doubles_final2[[#This Row],[kan_test_acc]]</f>
        <v>0.96765733013550437</v>
      </c>
      <c r="Y1023">
        <f>Cancer_doubles_final2[[#This Row],[mlp_test_acc]]</f>
        <v>0.94230769230769229</v>
      </c>
      <c r="Z1023">
        <f>Cancer_doubles_final2[[#This Row],[mlp_test_acc2]]</f>
        <v>0.93881118881118886</v>
      </c>
    </row>
    <row r="1024" spans="1:26" hidden="1" x14ac:dyDescent="0.25">
      <c r="A1024" t="s">
        <v>19</v>
      </c>
      <c r="B1024">
        <v>5</v>
      </c>
      <c r="C1024">
        <v>3</v>
      </c>
      <c r="D1024">
        <v>0</v>
      </c>
      <c r="E1024" t="s">
        <v>393</v>
      </c>
      <c r="F1024">
        <v>30094</v>
      </c>
      <c r="G1024">
        <v>39463246.791666664</v>
      </c>
      <c r="H1024">
        <v>0.97086246311664581</v>
      </c>
      <c r="I1024">
        <v>0.91812354312354305</v>
      </c>
      <c r="J1024">
        <v>8729803.7916666679</v>
      </c>
      <c r="K1024">
        <v>48990</v>
      </c>
      <c r="L1024">
        <v>2</v>
      </c>
      <c r="M1024">
        <v>148</v>
      </c>
      <c r="N1024">
        <v>0.91171328671328666</v>
      </c>
      <c r="O1024">
        <v>8978572.833333334</v>
      </c>
      <c r="P1024">
        <v>49619</v>
      </c>
      <c r="Q1024">
        <v>2</v>
      </c>
      <c r="R1024">
        <v>149</v>
      </c>
      <c r="S1024" t="s">
        <v>809</v>
      </c>
      <c r="W1024">
        <f>Cancer_doubles_final2[[#This Row],[mlp_params]]</f>
        <v>48990</v>
      </c>
      <c r="X1024">
        <f>Cancer_doubles_final2[[#This Row],[kan_test_acc]]</f>
        <v>0.97086246311664581</v>
      </c>
      <c r="Y1024">
        <f>Cancer_doubles_final2[[#This Row],[mlp_test_acc]]</f>
        <v>0.91812354312354305</v>
      </c>
      <c r="Z1024">
        <f>Cancer_doubles_final2[[#This Row],[mlp_test_acc2]]</f>
        <v>0.91171328671328666</v>
      </c>
    </row>
    <row r="1025" spans="1:26" hidden="1" x14ac:dyDescent="0.25">
      <c r="A1025" t="s">
        <v>19</v>
      </c>
      <c r="B1025">
        <v>5</v>
      </c>
      <c r="C1025">
        <v>5</v>
      </c>
      <c r="D1025">
        <v>0</v>
      </c>
      <c r="E1025" t="s">
        <v>252</v>
      </c>
      <c r="F1025">
        <v>30180</v>
      </c>
      <c r="G1025">
        <v>47987340.791666672</v>
      </c>
      <c r="H1025">
        <v>0.92803029964367556</v>
      </c>
      <c r="I1025">
        <v>0.91142191142191142</v>
      </c>
      <c r="J1025">
        <v>8627692.625</v>
      </c>
      <c r="K1025">
        <v>55460</v>
      </c>
      <c r="L1025">
        <v>2</v>
      </c>
      <c r="M1025">
        <v>158</v>
      </c>
      <c r="N1025">
        <v>0.90705128205128205</v>
      </c>
      <c r="O1025">
        <v>8592012.625</v>
      </c>
      <c r="P1025">
        <v>56129</v>
      </c>
      <c r="Q1025">
        <v>2</v>
      </c>
      <c r="R1025">
        <v>159</v>
      </c>
      <c r="S1025" t="s">
        <v>810</v>
      </c>
      <c r="W1025">
        <f>Cancer_doubles_final2[[#This Row],[mlp_params]]</f>
        <v>55460</v>
      </c>
      <c r="X1025">
        <f>Cancer_doubles_final2[[#This Row],[kan_test_acc]]</f>
        <v>0.92803029964367556</v>
      </c>
      <c r="Y1025">
        <f>Cancer_doubles_final2[[#This Row],[mlp_test_acc]]</f>
        <v>0.91142191142191142</v>
      </c>
      <c r="Z1025">
        <f>Cancer_doubles_final2[[#This Row],[mlp_test_acc2]]</f>
        <v>0.90705128205128205</v>
      </c>
    </row>
    <row r="1026" spans="1:26" hidden="1" x14ac:dyDescent="0.25">
      <c r="A1026" t="s">
        <v>19</v>
      </c>
      <c r="B1026">
        <v>5</v>
      </c>
      <c r="C1026">
        <v>3</v>
      </c>
      <c r="D1026">
        <v>0</v>
      </c>
      <c r="E1026" t="s">
        <v>399</v>
      </c>
      <c r="F1026">
        <v>30220</v>
      </c>
      <c r="G1026">
        <v>42822240.444444448</v>
      </c>
      <c r="H1026">
        <v>0.92327117257648039</v>
      </c>
      <c r="I1026">
        <v>0.9456099456099456</v>
      </c>
      <c r="J1026">
        <v>9444995.222222222</v>
      </c>
      <c r="K1026">
        <v>48990</v>
      </c>
      <c r="L1026">
        <v>2</v>
      </c>
      <c r="M1026">
        <v>148</v>
      </c>
      <c r="N1026">
        <v>0.94386169386169383</v>
      </c>
      <c r="O1026">
        <v>9898699.222222222</v>
      </c>
      <c r="P1026">
        <v>49619</v>
      </c>
      <c r="Q1026">
        <v>2</v>
      </c>
      <c r="R1026">
        <v>149</v>
      </c>
      <c r="S1026" t="s">
        <v>811</v>
      </c>
      <c r="W1026">
        <f>Cancer_doubles_final2[[#This Row],[mlp_params]]</f>
        <v>48990</v>
      </c>
      <c r="X1026">
        <f>Cancer_doubles_final2[[#This Row],[kan_test_acc]]</f>
        <v>0.92327117257648039</v>
      </c>
      <c r="Y1026">
        <f>Cancer_doubles_final2[[#This Row],[mlp_test_acc]]</f>
        <v>0.9456099456099456</v>
      </c>
      <c r="Z1026">
        <f>Cancer_doubles_final2[[#This Row],[mlp_test_acc2]]</f>
        <v>0.94386169386169383</v>
      </c>
    </row>
    <row r="1027" spans="1:26" x14ac:dyDescent="0.25">
      <c r="A1027" t="s">
        <v>19</v>
      </c>
      <c r="B1027">
        <v>3</v>
      </c>
      <c r="C1027">
        <v>5</v>
      </c>
      <c r="D1027">
        <v>0</v>
      </c>
      <c r="E1027" t="s">
        <v>399</v>
      </c>
      <c r="F1027">
        <v>30220</v>
      </c>
      <c r="G1027">
        <v>45367938.375</v>
      </c>
      <c r="H1027">
        <v>0.97785548120737076</v>
      </c>
      <c r="I1027">
        <v>0.94900932400932403</v>
      </c>
      <c r="J1027">
        <v>9633901.208333334</v>
      </c>
      <c r="K1027">
        <v>60227</v>
      </c>
      <c r="L1027">
        <v>2</v>
      </c>
      <c r="M1027">
        <v>165</v>
      </c>
      <c r="N1027">
        <v>0.94405594405594417</v>
      </c>
      <c r="O1027">
        <v>9803713.708333334</v>
      </c>
      <c r="P1027">
        <v>60924</v>
      </c>
      <c r="Q1027">
        <v>2</v>
      </c>
      <c r="R1027">
        <v>166</v>
      </c>
      <c r="S1027" t="s">
        <v>812</v>
      </c>
      <c r="W1027">
        <f>Cancer_doubles_final2[[#This Row],[mlp_params]]</f>
        <v>60227</v>
      </c>
      <c r="X1027">
        <f>Cancer_doubles_final2[[#This Row],[kan_test_acc]]</f>
        <v>0.97785548120737076</v>
      </c>
      <c r="Y1027">
        <f>Cancer_doubles_final2[[#This Row],[mlp_test_acc]]</f>
        <v>0.94900932400932403</v>
      </c>
      <c r="Z1027">
        <f>Cancer_doubles_final2[[#This Row],[mlp_test_acc2]]</f>
        <v>0.94405594405594417</v>
      </c>
    </row>
    <row r="1028" spans="1:26" hidden="1" x14ac:dyDescent="0.25">
      <c r="A1028" t="s">
        <v>19</v>
      </c>
      <c r="B1028">
        <v>5</v>
      </c>
      <c r="C1028">
        <v>3</v>
      </c>
      <c r="D1028">
        <v>0</v>
      </c>
      <c r="E1028" t="s">
        <v>399</v>
      </c>
      <c r="F1028">
        <v>30220</v>
      </c>
      <c r="G1028">
        <v>46161732.541666672</v>
      </c>
      <c r="H1028">
        <v>0.9641608322660129</v>
      </c>
      <c r="I1028">
        <v>0.93851981351981351</v>
      </c>
      <c r="J1028">
        <v>9653939.9166666679</v>
      </c>
      <c r="K1028">
        <v>48990</v>
      </c>
      <c r="L1028">
        <v>2</v>
      </c>
      <c r="M1028">
        <v>148</v>
      </c>
      <c r="N1028">
        <v>0.93677156177156184</v>
      </c>
      <c r="O1028">
        <v>9208174.958333334</v>
      </c>
      <c r="P1028">
        <v>49619</v>
      </c>
      <c r="Q1028">
        <v>2</v>
      </c>
      <c r="R1028">
        <v>149</v>
      </c>
      <c r="S1028" t="s">
        <v>811</v>
      </c>
      <c r="W1028">
        <f>Cancer_doubles_final2[[#This Row],[mlp_params]]</f>
        <v>48990</v>
      </c>
      <c r="X1028">
        <f>Cancer_doubles_final2[[#This Row],[kan_test_acc]]</f>
        <v>0.9641608322660129</v>
      </c>
      <c r="Y1028">
        <f>Cancer_doubles_final2[[#This Row],[mlp_test_acc]]</f>
        <v>0.93851981351981351</v>
      </c>
      <c r="Z1028">
        <f>Cancer_doubles_final2[[#This Row],[mlp_test_acc2]]</f>
        <v>0.93677156177156184</v>
      </c>
    </row>
    <row r="1029" spans="1:26" x14ac:dyDescent="0.25">
      <c r="A1029" t="s">
        <v>19</v>
      </c>
      <c r="B1029">
        <v>3</v>
      </c>
      <c r="C1029">
        <v>5</v>
      </c>
      <c r="D1029">
        <v>0</v>
      </c>
      <c r="E1029" t="s">
        <v>399</v>
      </c>
      <c r="F1029">
        <v>30220</v>
      </c>
      <c r="G1029">
        <v>48663195.625</v>
      </c>
      <c r="H1029">
        <v>0.93735430637995409</v>
      </c>
      <c r="I1029">
        <v>0.93822843822843827</v>
      </c>
      <c r="J1029">
        <v>10465463.041666666</v>
      </c>
      <c r="K1029">
        <v>60227</v>
      </c>
      <c r="L1029">
        <v>2</v>
      </c>
      <c r="M1029">
        <v>165</v>
      </c>
      <c r="N1029">
        <v>0.94114219114219122</v>
      </c>
      <c r="O1029">
        <v>10265772.875</v>
      </c>
      <c r="P1029">
        <v>60924</v>
      </c>
      <c r="Q1029">
        <v>2</v>
      </c>
      <c r="R1029">
        <v>166</v>
      </c>
      <c r="S1029" t="s">
        <v>812</v>
      </c>
      <c r="W1029">
        <f>Cancer_doubles_final2[[#This Row],[mlp_params]]</f>
        <v>60227</v>
      </c>
      <c r="X1029">
        <f>Cancer_doubles_final2[[#This Row],[kan_test_acc]]</f>
        <v>0.93735430637995409</v>
      </c>
      <c r="Y1029">
        <f>Cancer_doubles_final2[[#This Row],[mlp_test_acc]]</f>
        <v>0.93822843822843827</v>
      </c>
      <c r="Z1029">
        <f>Cancer_doubles_final2[[#This Row],[mlp_test_acc2]]</f>
        <v>0.94114219114219122</v>
      </c>
    </row>
    <row r="1030" spans="1:26" hidden="1" x14ac:dyDescent="0.25">
      <c r="A1030" t="s">
        <v>19</v>
      </c>
      <c r="B1030">
        <v>5</v>
      </c>
      <c r="C1030">
        <v>3</v>
      </c>
      <c r="D1030">
        <v>0</v>
      </c>
      <c r="E1030" t="s">
        <v>399</v>
      </c>
      <c r="F1030">
        <v>30220</v>
      </c>
      <c r="G1030">
        <v>47571288.625</v>
      </c>
      <c r="H1030">
        <v>0.92977855354547501</v>
      </c>
      <c r="I1030">
        <v>0.91637529137529139</v>
      </c>
      <c r="J1030">
        <v>9496506.125</v>
      </c>
      <c r="K1030">
        <v>48990</v>
      </c>
      <c r="L1030">
        <v>2</v>
      </c>
      <c r="M1030">
        <v>148</v>
      </c>
      <c r="N1030">
        <v>0.91928904428904434</v>
      </c>
      <c r="O1030">
        <v>10232427</v>
      </c>
      <c r="P1030">
        <v>49619</v>
      </c>
      <c r="Q1030">
        <v>2</v>
      </c>
      <c r="R1030">
        <v>149</v>
      </c>
      <c r="S1030" t="s">
        <v>811</v>
      </c>
      <c r="W1030">
        <f>Cancer_doubles_final2[[#This Row],[mlp_params]]</f>
        <v>48990</v>
      </c>
      <c r="X1030">
        <f>Cancer_doubles_final2[[#This Row],[kan_test_acc]]</f>
        <v>0.92977855354547501</v>
      </c>
      <c r="Y1030">
        <f>Cancer_doubles_final2[[#This Row],[mlp_test_acc]]</f>
        <v>0.91637529137529139</v>
      </c>
      <c r="Z1030">
        <f>Cancer_doubles_final2[[#This Row],[mlp_test_acc2]]</f>
        <v>0.91928904428904434</v>
      </c>
    </row>
    <row r="1031" spans="1:26" hidden="1" x14ac:dyDescent="0.25">
      <c r="A1031" t="s">
        <v>19</v>
      </c>
      <c r="B1031">
        <v>5</v>
      </c>
      <c r="C1031">
        <v>5</v>
      </c>
      <c r="D1031">
        <v>0</v>
      </c>
      <c r="E1031" t="s">
        <v>256</v>
      </c>
      <c r="F1031">
        <v>30234</v>
      </c>
      <c r="G1031">
        <v>40402197.791666672</v>
      </c>
      <c r="H1031">
        <v>0.93997668723265337</v>
      </c>
      <c r="I1031">
        <v>0.91404428904428903</v>
      </c>
      <c r="J1031">
        <v>8393395.541666666</v>
      </c>
      <c r="K1031">
        <v>55460</v>
      </c>
      <c r="L1031">
        <v>2</v>
      </c>
      <c r="M1031">
        <v>158</v>
      </c>
      <c r="N1031">
        <v>0.9131701631701632</v>
      </c>
      <c r="O1031">
        <v>9848468.125</v>
      </c>
      <c r="P1031">
        <v>56129</v>
      </c>
      <c r="Q1031">
        <v>2</v>
      </c>
      <c r="R1031">
        <v>159</v>
      </c>
      <c r="S1031" t="s">
        <v>813</v>
      </c>
      <c r="W1031">
        <f>Cancer_doubles_final2[[#This Row],[mlp_params]]</f>
        <v>55460</v>
      </c>
      <c r="X1031">
        <f>Cancer_doubles_final2[[#This Row],[kan_test_acc]]</f>
        <v>0.93997668723265337</v>
      </c>
      <c r="Y1031">
        <f>Cancer_doubles_final2[[#This Row],[mlp_test_acc]]</f>
        <v>0.91404428904428903</v>
      </c>
      <c r="Z1031">
        <f>Cancer_doubles_final2[[#This Row],[mlp_test_acc2]]</f>
        <v>0.9131701631701632</v>
      </c>
    </row>
    <row r="1032" spans="1:26" x14ac:dyDescent="0.25">
      <c r="A1032" t="s">
        <v>19</v>
      </c>
      <c r="B1032">
        <v>3</v>
      </c>
      <c r="C1032">
        <v>5</v>
      </c>
      <c r="D1032">
        <v>0</v>
      </c>
      <c r="E1032" t="s">
        <v>402</v>
      </c>
      <c r="F1032">
        <v>30312</v>
      </c>
      <c r="G1032">
        <v>45758463.5</v>
      </c>
      <c r="H1032">
        <v>0.93803419007195377</v>
      </c>
      <c r="I1032">
        <v>0.94405594405594406</v>
      </c>
      <c r="J1032">
        <v>9058122.6388888881</v>
      </c>
      <c r="K1032">
        <v>60227</v>
      </c>
      <c r="L1032">
        <v>2</v>
      </c>
      <c r="M1032">
        <v>165</v>
      </c>
      <c r="N1032">
        <v>0.94114219114219111</v>
      </c>
      <c r="O1032">
        <v>9574640.027777778</v>
      </c>
      <c r="P1032">
        <v>60924</v>
      </c>
      <c r="Q1032">
        <v>2</v>
      </c>
      <c r="R1032">
        <v>166</v>
      </c>
      <c r="S1032" t="s">
        <v>814</v>
      </c>
      <c r="W1032">
        <f>Cancer_doubles_final2[[#This Row],[mlp_params]]</f>
        <v>60227</v>
      </c>
      <c r="X1032">
        <f>Cancer_doubles_final2[[#This Row],[kan_test_acc]]</f>
        <v>0.93803419007195377</v>
      </c>
      <c r="Y1032">
        <f>Cancer_doubles_final2[[#This Row],[mlp_test_acc]]</f>
        <v>0.94405594405594406</v>
      </c>
      <c r="Z1032">
        <f>Cancer_doubles_final2[[#This Row],[mlp_test_acc2]]</f>
        <v>0.94114219114219111</v>
      </c>
    </row>
    <row r="1033" spans="1:26" hidden="1" x14ac:dyDescent="0.25">
      <c r="A1033" t="s">
        <v>19</v>
      </c>
      <c r="B1033">
        <v>5</v>
      </c>
      <c r="C1033">
        <v>3</v>
      </c>
      <c r="D1033">
        <v>0</v>
      </c>
      <c r="E1033" t="s">
        <v>402</v>
      </c>
      <c r="F1033">
        <v>30312</v>
      </c>
      <c r="G1033">
        <v>50135745.333333336</v>
      </c>
      <c r="H1033">
        <v>0.96066433439652132</v>
      </c>
      <c r="I1033">
        <v>0.9391025641025641</v>
      </c>
      <c r="J1033">
        <v>8800548.375</v>
      </c>
      <c r="K1033">
        <v>48990</v>
      </c>
      <c r="L1033">
        <v>2</v>
      </c>
      <c r="M1033">
        <v>148</v>
      </c>
      <c r="N1033">
        <v>0.94026806526806528</v>
      </c>
      <c r="O1033">
        <v>9160271.375</v>
      </c>
      <c r="P1033">
        <v>49619</v>
      </c>
      <c r="Q1033">
        <v>2</v>
      </c>
      <c r="R1033">
        <v>149</v>
      </c>
      <c r="S1033" t="s">
        <v>815</v>
      </c>
      <c r="W1033">
        <f>Cancer_doubles_final2[[#This Row],[mlp_params]]</f>
        <v>48990</v>
      </c>
      <c r="X1033">
        <f>Cancer_doubles_final2[[#This Row],[kan_test_acc]]</f>
        <v>0.96066433439652132</v>
      </c>
      <c r="Y1033">
        <f>Cancer_doubles_final2[[#This Row],[mlp_test_acc]]</f>
        <v>0.9391025641025641</v>
      </c>
      <c r="Z1033">
        <f>Cancer_doubles_final2[[#This Row],[mlp_test_acc2]]</f>
        <v>0.94026806526806528</v>
      </c>
    </row>
    <row r="1034" spans="1:26" x14ac:dyDescent="0.25">
      <c r="A1034" t="s">
        <v>19</v>
      </c>
      <c r="B1034">
        <v>3</v>
      </c>
      <c r="C1034">
        <v>5</v>
      </c>
      <c r="D1034">
        <v>0</v>
      </c>
      <c r="E1034" t="s">
        <v>402</v>
      </c>
      <c r="F1034">
        <v>30312</v>
      </c>
      <c r="G1034">
        <v>50434434.25</v>
      </c>
      <c r="H1034">
        <v>0.95775057375431061</v>
      </c>
      <c r="I1034">
        <v>0.93822843822843827</v>
      </c>
      <c r="J1034">
        <v>9461816.0416666679</v>
      </c>
      <c r="K1034">
        <v>60227</v>
      </c>
      <c r="L1034">
        <v>2</v>
      </c>
      <c r="M1034">
        <v>165</v>
      </c>
      <c r="N1034">
        <v>0.94055944055944063</v>
      </c>
      <c r="O1034">
        <v>10021200.583333334</v>
      </c>
      <c r="P1034">
        <v>60924</v>
      </c>
      <c r="Q1034">
        <v>2</v>
      </c>
      <c r="R1034">
        <v>166</v>
      </c>
      <c r="S1034" t="s">
        <v>814</v>
      </c>
      <c r="W1034">
        <f>Cancer_doubles_final2[[#This Row],[mlp_params]]</f>
        <v>60227</v>
      </c>
      <c r="X1034">
        <f>Cancer_doubles_final2[[#This Row],[kan_test_acc]]</f>
        <v>0.95775057375431061</v>
      </c>
      <c r="Y1034">
        <f>Cancer_doubles_final2[[#This Row],[mlp_test_acc]]</f>
        <v>0.93822843822843827</v>
      </c>
      <c r="Z1034">
        <f>Cancer_doubles_final2[[#This Row],[mlp_test_acc2]]</f>
        <v>0.94055944055944063</v>
      </c>
    </row>
    <row r="1035" spans="1:26" hidden="1" x14ac:dyDescent="0.25">
      <c r="A1035" t="s">
        <v>19</v>
      </c>
      <c r="B1035">
        <v>5</v>
      </c>
      <c r="C1035">
        <v>3</v>
      </c>
      <c r="D1035">
        <v>0</v>
      </c>
      <c r="E1035" t="s">
        <v>402</v>
      </c>
      <c r="F1035">
        <v>30312</v>
      </c>
      <c r="G1035">
        <v>49653665.166666664</v>
      </c>
      <c r="H1035">
        <v>0.95163169503211975</v>
      </c>
      <c r="I1035">
        <v>0.91287878787878785</v>
      </c>
      <c r="J1035">
        <v>8924733.333333334</v>
      </c>
      <c r="K1035">
        <v>48990</v>
      </c>
      <c r="L1035">
        <v>2</v>
      </c>
      <c r="M1035">
        <v>148</v>
      </c>
      <c r="N1035">
        <v>0.921037296037296</v>
      </c>
      <c r="O1035">
        <v>10461721.208333334</v>
      </c>
      <c r="P1035">
        <v>49619</v>
      </c>
      <c r="Q1035">
        <v>2</v>
      </c>
      <c r="R1035">
        <v>149</v>
      </c>
      <c r="S1035" t="s">
        <v>815</v>
      </c>
      <c r="W1035">
        <f>Cancer_doubles_final2[[#This Row],[mlp_params]]</f>
        <v>48990</v>
      </c>
      <c r="X1035">
        <f>Cancer_doubles_final2[[#This Row],[kan_test_acc]]</f>
        <v>0.95163169503211975</v>
      </c>
      <c r="Y1035">
        <f>Cancer_doubles_final2[[#This Row],[mlp_test_acc]]</f>
        <v>0.91287878787878785</v>
      </c>
      <c r="Z1035">
        <f>Cancer_doubles_final2[[#This Row],[mlp_test_acc2]]</f>
        <v>0.921037296037296</v>
      </c>
    </row>
    <row r="1036" spans="1:26" hidden="1" x14ac:dyDescent="0.25">
      <c r="A1036" t="s">
        <v>19</v>
      </c>
      <c r="B1036">
        <v>3</v>
      </c>
      <c r="C1036">
        <v>3</v>
      </c>
      <c r="D1036">
        <v>0</v>
      </c>
      <c r="E1036" t="s">
        <v>656</v>
      </c>
      <c r="F1036">
        <v>30338</v>
      </c>
      <c r="G1036">
        <v>45768270.666666664</v>
      </c>
      <c r="H1036">
        <v>0.96182982623577118</v>
      </c>
      <c r="I1036">
        <v>0.91899766899766888</v>
      </c>
      <c r="J1036">
        <v>8352908.375</v>
      </c>
      <c r="K1036">
        <v>53477</v>
      </c>
      <c r="L1036">
        <v>2</v>
      </c>
      <c r="M1036">
        <v>155</v>
      </c>
      <c r="N1036">
        <v>0.92569930069930062</v>
      </c>
      <c r="O1036">
        <v>9402031.291666666</v>
      </c>
      <c r="P1036">
        <v>54134</v>
      </c>
      <c r="Q1036">
        <v>2</v>
      </c>
      <c r="R1036">
        <v>156</v>
      </c>
      <c r="S1036" t="s">
        <v>816</v>
      </c>
      <c r="W1036">
        <f>Cancer_doubles_final2[[#This Row],[mlp_params]]</f>
        <v>53477</v>
      </c>
      <c r="X1036">
        <f>Cancer_doubles_final2[[#This Row],[kan_test_acc]]</f>
        <v>0.96182982623577118</v>
      </c>
      <c r="Y1036">
        <f>Cancer_doubles_final2[[#This Row],[mlp_test_acc]]</f>
        <v>0.91899766899766888</v>
      </c>
      <c r="Z1036">
        <f>Cancer_doubles_final2[[#This Row],[mlp_test_acc2]]</f>
        <v>0.92569930069930062</v>
      </c>
    </row>
    <row r="1037" spans="1:26" x14ac:dyDescent="0.25">
      <c r="A1037" t="s">
        <v>19</v>
      </c>
      <c r="B1037">
        <v>3</v>
      </c>
      <c r="C1037">
        <v>5</v>
      </c>
      <c r="D1037">
        <v>0</v>
      </c>
      <c r="E1037" t="s">
        <v>404</v>
      </c>
      <c r="F1037">
        <v>30354</v>
      </c>
      <c r="G1037">
        <v>53514269.19444444</v>
      </c>
      <c r="H1037">
        <v>0.97202795909510709</v>
      </c>
      <c r="I1037">
        <v>0.93842268842268839</v>
      </c>
      <c r="J1037">
        <v>8837773.5</v>
      </c>
      <c r="K1037">
        <v>60227</v>
      </c>
      <c r="L1037">
        <v>2</v>
      </c>
      <c r="M1037">
        <v>165</v>
      </c>
      <c r="N1037">
        <v>0.93745143745143744</v>
      </c>
      <c r="O1037">
        <v>9649312.6111111101</v>
      </c>
      <c r="P1037">
        <v>60924</v>
      </c>
      <c r="Q1037">
        <v>2</v>
      </c>
      <c r="R1037">
        <v>166</v>
      </c>
      <c r="S1037" t="s">
        <v>817</v>
      </c>
      <c r="W1037">
        <f>Cancer_doubles_final2[[#This Row],[mlp_params]]</f>
        <v>60227</v>
      </c>
      <c r="X1037">
        <f>Cancer_doubles_final2[[#This Row],[kan_test_acc]]</f>
        <v>0.97202795909510709</v>
      </c>
      <c r="Y1037">
        <f>Cancer_doubles_final2[[#This Row],[mlp_test_acc]]</f>
        <v>0.93842268842268839</v>
      </c>
      <c r="Z1037">
        <f>Cancer_doubles_final2[[#This Row],[mlp_test_acc2]]</f>
        <v>0.93745143745143744</v>
      </c>
    </row>
    <row r="1038" spans="1:26" hidden="1" x14ac:dyDescent="0.25">
      <c r="A1038" t="s">
        <v>19</v>
      </c>
      <c r="B1038">
        <v>5</v>
      </c>
      <c r="C1038">
        <v>3</v>
      </c>
      <c r="D1038">
        <v>0</v>
      </c>
      <c r="E1038" t="s">
        <v>404</v>
      </c>
      <c r="F1038">
        <v>30354</v>
      </c>
      <c r="G1038">
        <v>47049913.208333328</v>
      </c>
      <c r="H1038">
        <v>0.96590908616781235</v>
      </c>
      <c r="I1038">
        <v>0.93822843822843827</v>
      </c>
      <c r="J1038">
        <v>9256939.5</v>
      </c>
      <c r="K1038">
        <v>48990</v>
      </c>
      <c r="L1038">
        <v>2</v>
      </c>
      <c r="M1038">
        <v>148</v>
      </c>
      <c r="N1038">
        <v>0.93677156177156184</v>
      </c>
      <c r="O1038">
        <v>9742471.5</v>
      </c>
      <c r="P1038">
        <v>49619</v>
      </c>
      <c r="Q1038">
        <v>2</v>
      </c>
      <c r="R1038">
        <v>149</v>
      </c>
      <c r="S1038" t="s">
        <v>818</v>
      </c>
      <c r="W1038">
        <f>Cancer_doubles_final2[[#This Row],[mlp_params]]</f>
        <v>48990</v>
      </c>
      <c r="X1038">
        <f>Cancer_doubles_final2[[#This Row],[kan_test_acc]]</f>
        <v>0.96590908616781235</v>
      </c>
      <c r="Y1038">
        <f>Cancer_doubles_final2[[#This Row],[mlp_test_acc]]</f>
        <v>0.93822843822843827</v>
      </c>
      <c r="Z1038">
        <f>Cancer_doubles_final2[[#This Row],[mlp_test_acc2]]</f>
        <v>0.93677156177156184</v>
      </c>
    </row>
    <row r="1039" spans="1:26" x14ac:dyDescent="0.25">
      <c r="A1039" t="s">
        <v>19</v>
      </c>
      <c r="B1039">
        <v>3</v>
      </c>
      <c r="C1039">
        <v>5</v>
      </c>
      <c r="D1039">
        <v>0</v>
      </c>
      <c r="E1039" t="s">
        <v>404</v>
      </c>
      <c r="F1039">
        <v>30354</v>
      </c>
      <c r="G1039">
        <v>44510290.708333328</v>
      </c>
      <c r="H1039">
        <v>0.96270396063725161</v>
      </c>
      <c r="I1039">
        <v>0.93793706293706292</v>
      </c>
      <c r="J1039">
        <v>10205309.125</v>
      </c>
      <c r="K1039">
        <v>60227</v>
      </c>
      <c r="L1039">
        <v>2</v>
      </c>
      <c r="M1039">
        <v>165</v>
      </c>
      <c r="N1039">
        <v>0.93910256410256421</v>
      </c>
      <c r="O1039">
        <v>9832369.5833333321</v>
      </c>
      <c r="P1039">
        <v>60924</v>
      </c>
      <c r="Q1039">
        <v>2</v>
      </c>
      <c r="R1039">
        <v>166</v>
      </c>
      <c r="S1039" t="s">
        <v>817</v>
      </c>
      <c r="W1039">
        <f>Cancer_doubles_final2[[#This Row],[mlp_params]]</f>
        <v>60227</v>
      </c>
      <c r="X1039">
        <f>Cancer_doubles_final2[[#This Row],[kan_test_acc]]</f>
        <v>0.96270396063725161</v>
      </c>
      <c r="Y1039">
        <f>Cancer_doubles_final2[[#This Row],[mlp_test_acc]]</f>
        <v>0.93793706293706292</v>
      </c>
      <c r="Z1039">
        <f>Cancer_doubles_final2[[#This Row],[mlp_test_acc2]]</f>
        <v>0.93910256410256421</v>
      </c>
    </row>
    <row r="1040" spans="1:26" hidden="1" x14ac:dyDescent="0.25">
      <c r="A1040" t="s">
        <v>19</v>
      </c>
      <c r="B1040">
        <v>5</v>
      </c>
      <c r="C1040">
        <v>3</v>
      </c>
      <c r="D1040">
        <v>0</v>
      </c>
      <c r="E1040" t="s">
        <v>404</v>
      </c>
      <c r="F1040">
        <v>30354</v>
      </c>
      <c r="G1040">
        <v>45653457.875</v>
      </c>
      <c r="H1040">
        <v>0.95250582695007324</v>
      </c>
      <c r="I1040">
        <v>0.91550116550116556</v>
      </c>
      <c r="J1040">
        <v>9616537.5</v>
      </c>
      <c r="K1040">
        <v>48990</v>
      </c>
      <c r="L1040">
        <v>2</v>
      </c>
      <c r="M1040">
        <v>148</v>
      </c>
      <c r="N1040">
        <v>0.91637529137529139</v>
      </c>
      <c r="O1040">
        <v>9273983.25</v>
      </c>
      <c r="P1040">
        <v>49619</v>
      </c>
      <c r="Q1040">
        <v>2</v>
      </c>
      <c r="R1040">
        <v>149</v>
      </c>
      <c r="S1040" t="s">
        <v>818</v>
      </c>
      <c r="W1040">
        <f>Cancer_doubles_final2[[#This Row],[mlp_params]]</f>
        <v>48990</v>
      </c>
      <c r="X1040">
        <f>Cancer_doubles_final2[[#This Row],[kan_test_acc]]</f>
        <v>0.95250582695007324</v>
      </c>
      <c r="Y1040">
        <f>Cancer_doubles_final2[[#This Row],[mlp_test_acc]]</f>
        <v>0.91550116550116556</v>
      </c>
      <c r="Z1040">
        <f>Cancer_doubles_final2[[#This Row],[mlp_test_acc2]]</f>
        <v>0.91637529137529139</v>
      </c>
    </row>
    <row r="1041" spans="1:26" hidden="1" x14ac:dyDescent="0.25">
      <c r="A1041" t="s">
        <v>19</v>
      </c>
      <c r="B1041">
        <v>5</v>
      </c>
      <c r="C1041">
        <v>4</v>
      </c>
      <c r="D1041">
        <v>0</v>
      </c>
      <c r="E1041" t="s">
        <v>316</v>
      </c>
      <c r="F1041">
        <v>30364</v>
      </c>
      <c r="G1041">
        <v>36191999.208333328</v>
      </c>
      <c r="H1041">
        <v>0.94405594219764066</v>
      </c>
      <c r="I1041">
        <v>0.90879953379953382</v>
      </c>
      <c r="J1041">
        <v>9281222.75</v>
      </c>
      <c r="K1041">
        <v>52824</v>
      </c>
      <c r="L1041">
        <v>2</v>
      </c>
      <c r="M1041">
        <v>154</v>
      </c>
      <c r="N1041">
        <v>0.9093822843822843</v>
      </c>
      <c r="O1041">
        <v>8135956</v>
      </c>
      <c r="P1041">
        <v>53477</v>
      </c>
      <c r="Q1041">
        <v>2</v>
      </c>
      <c r="R1041">
        <v>155</v>
      </c>
      <c r="S1041" t="s">
        <v>819</v>
      </c>
      <c r="W1041">
        <f>Cancer_doubles_final2[[#This Row],[mlp_params]]</f>
        <v>52824</v>
      </c>
      <c r="X1041">
        <f>Cancer_doubles_final2[[#This Row],[kan_test_acc]]</f>
        <v>0.94405594219764066</v>
      </c>
      <c r="Y1041">
        <f>Cancer_doubles_final2[[#This Row],[mlp_test_acc]]</f>
        <v>0.90879953379953382</v>
      </c>
      <c r="Z1041">
        <f>Cancer_doubles_final2[[#This Row],[mlp_test_acc2]]</f>
        <v>0.9093822843822843</v>
      </c>
    </row>
    <row r="1042" spans="1:26" hidden="1" x14ac:dyDescent="0.25">
      <c r="A1042" t="s">
        <v>19</v>
      </c>
      <c r="B1042">
        <v>5</v>
      </c>
      <c r="C1042">
        <v>4</v>
      </c>
      <c r="D1042">
        <v>0</v>
      </c>
      <c r="E1042" t="s">
        <v>319</v>
      </c>
      <c r="F1042">
        <v>30368</v>
      </c>
      <c r="G1042">
        <v>38054074.694444448</v>
      </c>
      <c r="H1042">
        <v>0.94560994704564416</v>
      </c>
      <c r="I1042">
        <v>0.94269619269619265</v>
      </c>
      <c r="J1042">
        <v>9465855.222222222</v>
      </c>
      <c r="K1042">
        <v>52824</v>
      </c>
      <c r="L1042">
        <v>2</v>
      </c>
      <c r="M1042">
        <v>154</v>
      </c>
      <c r="N1042">
        <v>0.94386169386169383</v>
      </c>
      <c r="O1042">
        <v>9550488.1111111101</v>
      </c>
      <c r="P1042">
        <v>53477</v>
      </c>
      <c r="Q1042">
        <v>2</v>
      </c>
      <c r="R1042">
        <v>155</v>
      </c>
      <c r="S1042" t="s">
        <v>820</v>
      </c>
      <c r="W1042">
        <f>Cancer_doubles_final2[[#This Row],[mlp_params]]</f>
        <v>52824</v>
      </c>
      <c r="X1042">
        <f>Cancer_doubles_final2[[#This Row],[kan_test_acc]]</f>
        <v>0.94560994704564416</v>
      </c>
      <c r="Y1042">
        <f>Cancer_doubles_final2[[#This Row],[mlp_test_acc]]</f>
        <v>0.94269619269619265</v>
      </c>
      <c r="Z1042">
        <f>Cancer_doubles_final2[[#This Row],[mlp_test_acc2]]</f>
        <v>0.94386169386169383</v>
      </c>
    </row>
    <row r="1043" spans="1:26" x14ac:dyDescent="0.25">
      <c r="A1043" t="s">
        <v>19</v>
      </c>
      <c r="B1043">
        <v>3</v>
      </c>
      <c r="C1043">
        <v>5</v>
      </c>
      <c r="D1043">
        <v>0</v>
      </c>
      <c r="E1043" t="s">
        <v>408</v>
      </c>
      <c r="F1043">
        <v>30406</v>
      </c>
      <c r="G1043">
        <v>41016435.1875</v>
      </c>
      <c r="H1043">
        <v>0.95687645673751831</v>
      </c>
      <c r="I1043">
        <v>0.94201631701631705</v>
      </c>
      <c r="J1043">
        <v>9857822.145833334</v>
      </c>
      <c r="K1043">
        <v>60227</v>
      </c>
      <c r="L1043">
        <v>2</v>
      </c>
      <c r="M1043">
        <v>165</v>
      </c>
      <c r="N1043">
        <v>0.93997668997669004</v>
      </c>
      <c r="O1043">
        <v>9873649.895833334</v>
      </c>
      <c r="P1043">
        <v>60924</v>
      </c>
      <c r="Q1043">
        <v>2</v>
      </c>
      <c r="R1043">
        <v>166</v>
      </c>
      <c r="S1043" t="s">
        <v>821</v>
      </c>
      <c r="W1043">
        <f>Cancer_doubles_final2[[#This Row],[mlp_params]]</f>
        <v>60227</v>
      </c>
      <c r="X1043">
        <f>Cancer_doubles_final2[[#This Row],[kan_test_acc]]</f>
        <v>0.95687645673751831</v>
      </c>
      <c r="Y1043">
        <f>Cancer_doubles_final2[[#This Row],[mlp_test_acc]]</f>
        <v>0.94201631701631705</v>
      </c>
      <c r="Z1043">
        <f>Cancer_doubles_final2[[#This Row],[mlp_test_acc2]]</f>
        <v>0.93997668997669004</v>
      </c>
    </row>
    <row r="1044" spans="1:26" hidden="1" x14ac:dyDescent="0.25">
      <c r="A1044" t="s">
        <v>19</v>
      </c>
      <c r="B1044">
        <v>5</v>
      </c>
      <c r="C1044">
        <v>3</v>
      </c>
      <c r="D1044">
        <v>0</v>
      </c>
      <c r="E1044" t="s">
        <v>408</v>
      </c>
      <c r="F1044">
        <v>30406</v>
      </c>
      <c r="G1044">
        <v>44800012.583333328</v>
      </c>
      <c r="H1044">
        <v>0.97465034077564872</v>
      </c>
      <c r="I1044">
        <v>0.93764568764568768</v>
      </c>
      <c r="J1044">
        <v>8616748.0416666679</v>
      </c>
      <c r="K1044">
        <v>49619</v>
      </c>
      <c r="L1044">
        <v>2</v>
      </c>
      <c r="M1044">
        <v>149</v>
      </c>
      <c r="N1044">
        <v>0.93735431235431244</v>
      </c>
      <c r="O1044">
        <v>9680339.0416666679</v>
      </c>
      <c r="P1044">
        <v>50252</v>
      </c>
      <c r="Q1044">
        <v>2</v>
      </c>
      <c r="R1044">
        <v>150</v>
      </c>
      <c r="S1044" t="s">
        <v>822</v>
      </c>
      <c r="W1044">
        <f>Cancer_doubles_final2[[#This Row],[mlp_params]]</f>
        <v>49619</v>
      </c>
      <c r="X1044">
        <f>Cancer_doubles_final2[[#This Row],[kan_test_acc]]</f>
        <v>0.97465034077564872</v>
      </c>
      <c r="Y1044">
        <f>Cancer_doubles_final2[[#This Row],[mlp_test_acc]]</f>
        <v>0.93764568764568768</v>
      </c>
      <c r="Z1044">
        <f>Cancer_doubles_final2[[#This Row],[mlp_test_acc2]]</f>
        <v>0.93735431235431244</v>
      </c>
    </row>
    <row r="1045" spans="1:26" x14ac:dyDescent="0.25">
      <c r="A1045" t="s">
        <v>19</v>
      </c>
      <c r="B1045">
        <v>3</v>
      </c>
      <c r="C1045">
        <v>5</v>
      </c>
      <c r="D1045">
        <v>0</v>
      </c>
      <c r="E1045" t="s">
        <v>408</v>
      </c>
      <c r="F1045">
        <v>30406</v>
      </c>
      <c r="G1045">
        <v>50202508.958333328</v>
      </c>
      <c r="H1045">
        <v>0.96124707659085595</v>
      </c>
      <c r="I1045">
        <v>0.93851981351981362</v>
      </c>
      <c r="J1045">
        <v>8534726.958333334</v>
      </c>
      <c r="K1045">
        <v>60227</v>
      </c>
      <c r="L1045">
        <v>2</v>
      </c>
      <c r="M1045">
        <v>165</v>
      </c>
      <c r="N1045">
        <v>0.93881118881118875</v>
      </c>
      <c r="O1045">
        <v>9942297.875</v>
      </c>
      <c r="P1045">
        <v>60924</v>
      </c>
      <c r="Q1045">
        <v>2</v>
      </c>
      <c r="R1045">
        <v>166</v>
      </c>
      <c r="S1045" t="s">
        <v>821</v>
      </c>
      <c r="W1045">
        <f>Cancer_doubles_final2[[#This Row],[mlp_params]]</f>
        <v>60227</v>
      </c>
      <c r="X1045">
        <f>Cancer_doubles_final2[[#This Row],[kan_test_acc]]</f>
        <v>0.96124707659085595</v>
      </c>
      <c r="Y1045">
        <f>Cancer_doubles_final2[[#This Row],[mlp_test_acc]]</f>
        <v>0.93851981351981362</v>
      </c>
      <c r="Z1045">
        <f>Cancer_doubles_final2[[#This Row],[mlp_test_acc2]]</f>
        <v>0.93881118881118875</v>
      </c>
    </row>
    <row r="1046" spans="1:26" hidden="1" x14ac:dyDescent="0.25">
      <c r="A1046" t="s">
        <v>19</v>
      </c>
      <c r="B1046">
        <v>5</v>
      </c>
      <c r="C1046">
        <v>3</v>
      </c>
      <c r="D1046">
        <v>0</v>
      </c>
      <c r="E1046" t="s">
        <v>408</v>
      </c>
      <c r="F1046">
        <v>30406</v>
      </c>
      <c r="G1046">
        <v>47233859.791666672</v>
      </c>
      <c r="H1046">
        <v>0.93968531241019571</v>
      </c>
      <c r="I1046">
        <v>0.91987179487179493</v>
      </c>
      <c r="J1046">
        <v>8743360.9166666679</v>
      </c>
      <c r="K1046">
        <v>49619</v>
      </c>
      <c r="L1046">
        <v>2</v>
      </c>
      <c r="M1046">
        <v>149</v>
      </c>
      <c r="N1046">
        <v>0.91520979020979021</v>
      </c>
      <c r="O1046">
        <v>9167017.4166666679</v>
      </c>
      <c r="P1046">
        <v>50252</v>
      </c>
      <c r="Q1046">
        <v>2</v>
      </c>
      <c r="R1046">
        <v>150</v>
      </c>
      <c r="S1046" t="s">
        <v>822</v>
      </c>
      <c r="W1046">
        <f>Cancer_doubles_final2[[#This Row],[mlp_params]]</f>
        <v>49619</v>
      </c>
      <c r="X1046">
        <f>Cancer_doubles_final2[[#This Row],[kan_test_acc]]</f>
        <v>0.93968531241019571</v>
      </c>
      <c r="Y1046">
        <f>Cancer_doubles_final2[[#This Row],[mlp_test_acc]]</f>
        <v>0.91987179487179493</v>
      </c>
      <c r="Z1046">
        <f>Cancer_doubles_final2[[#This Row],[mlp_test_acc2]]</f>
        <v>0.91520979020979021</v>
      </c>
    </row>
    <row r="1047" spans="1:26" hidden="1" x14ac:dyDescent="0.25">
      <c r="A1047" t="s">
        <v>19</v>
      </c>
      <c r="B1047">
        <v>3</v>
      </c>
      <c r="C1047">
        <v>4</v>
      </c>
      <c r="D1047">
        <v>0</v>
      </c>
      <c r="E1047" t="s">
        <v>520</v>
      </c>
      <c r="F1047">
        <v>30452</v>
      </c>
      <c r="G1047">
        <v>38166203.958333336</v>
      </c>
      <c r="H1047">
        <v>0.9539627035458883</v>
      </c>
      <c r="I1047">
        <v>0.92628205128205132</v>
      </c>
      <c r="J1047">
        <v>8539276.625</v>
      </c>
      <c r="K1047">
        <v>57479</v>
      </c>
      <c r="L1047">
        <v>2</v>
      </c>
      <c r="M1047">
        <v>161</v>
      </c>
      <c r="N1047">
        <v>0.91870629370629375</v>
      </c>
      <c r="O1047">
        <v>8587544.2916666679</v>
      </c>
      <c r="P1047">
        <v>58160</v>
      </c>
      <c r="Q1047">
        <v>2</v>
      </c>
      <c r="R1047">
        <v>162</v>
      </c>
      <c r="S1047" t="s">
        <v>823</v>
      </c>
      <c r="W1047">
        <f>Cancer_doubles_final2[[#This Row],[mlp_params]]</f>
        <v>57479</v>
      </c>
      <c r="X1047">
        <f>Cancer_doubles_final2[[#This Row],[kan_test_acc]]</f>
        <v>0.9539627035458883</v>
      </c>
      <c r="Y1047">
        <f>Cancer_doubles_final2[[#This Row],[mlp_test_acc]]</f>
        <v>0.92628205128205132</v>
      </c>
      <c r="Z1047">
        <f>Cancer_doubles_final2[[#This Row],[mlp_test_acc2]]</f>
        <v>0.91870629370629375</v>
      </c>
    </row>
    <row r="1048" spans="1:26" hidden="1" x14ac:dyDescent="0.25">
      <c r="A1048" t="s">
        <v>19</v>
      </c>
      <c r="B1048">
        <v>5</v>
      </c>
      <c r="C1048">
        <v>2</v>
      </c>
      <c r="D1048">
        <v>0</v>
      </c>
      <c r="E1048" t="s">
        <v>520</v>
      </c>
      <c r="F1048">
        <v>30452</v>
      </c>
      <c r="G1048">
        <v>41018496.291666672</v>
      </c>
      <c r="H1048">
        <v>0.97348484645287203</v>
      </c>
      <c r="I1048">
        <v>0.94696969696969702</v>
      </c>
      <c r="J1048">
        <v>9181973.041666666</v>
      </c>
      <c r="K1048">
        <v>45300</v>
      </c>
      <c r="L1048">
        <v>2</v>
      </c>
      <c r="M1048">
        <v>142</v>
      </c>
      <c r="N1048">
        <v>0.94085081585081587</v>
      </c>
      <c r="O1048">
        <v>8922093.7916666679</v>
      </c>
      <c r="P1048">
        <v>45905</v>
      </c>
      <c r="Q1048">
        <v>2</v>
      </c>
      <c r="R1048">
        <v>143</v>
      </c>
      <c r="S1048" t="s">
        <v>824</v>
      </c>
      <c r="W1048">
        <f>Cancer_doubles_final2[[#This Row],[mlp_params]]</f>
        <v>45300</v>
      </c>
      <c r="X1048">
        <f>Cancer_doubles_final2[[#This Row],[kan_test_acc]]</f>
        <v>0.97348484645287203</v>
      </c>
      <c r="Y1048">
        <f>Cancer_doubles_final2[[#This Row],[mlp_test_acc]]</f>
        <v>0.94696969696969702</v>
      </c>
      <c r="Z1048">
        <f>Cancer_doubles_final2[[#This Row],[mlp_test_acc2]]</f>
        <v>0.94085081585081587</v>
      </c>
    </row>
    <row r="1049" spans="1:26" hidden="1" x14ac:dyDescent="0.25">
      <c r="A1049" t="s">
        <v>19</v>
      </c>
      <c r="B1049">
        <v>3</v>
      </c>
      <c r="C1049">
        <v>4</v>
      </c>
      <c r="D1049">
        <v>0</v>
      </c>
      <c r="E1049" t="s">
        <v>520</v>
      </c>
      <c r="F1049">
        <v>30452</v>
      </c>
      <c r="G1049">
        <v>41901247.25</v>
      </c>
      <c r="H1049">
        <v>0.96911421169837308</v>
      </c>
      <c r="I1049">
        <v>0.93181818181818188</v>
      </c>
      <c r="J1049">
        <v>9256700.125</v>
      </c>
      <c r="K1049">
        <v>57479</v>
      </c>
      <c r="L1049">
        <v>2</v>
      </c>
      <c r="M1049">
        <v>161</v>
      </c>
      <c r="N1049">
        <v>0.92861305361305368</v>
      </c>
      <c r="O1049">
        <v>9014178.8333333321</v>
      </c>
      <c r="P1049">
        <v>58160</v>
      </c>
      <c r="Q1049">
        <v>2</v>
      </c>
      <c r="R1049">
        <v>162</v>
      </c>
      <c r="S1049" t="s">
        <v>823</v>
      </c>
      <c r="W1049">
        <f>Cancer_doubles_final2[[#This Row],[mlp_params]]</f>
        <v>57479</v>
      </c>
      <c r="X1049">
        <f>Cancer_doubles_final2[[#This Row],[kan_test_acc]]</f>
        <v>0.96911421169837308</v>
      </c>
      <c r="Y1049">
        <f>Cancer_doubles_final2[[#This Row],[mlp_test_acc]]</f>
        <v>0.93181818181818188</v>
      </c>
      <c r="Z1049">
        <f>Cancer_doubles_final2[[#This Row],[mlp_test_acc2]]</f>
        <v>0.92861305361305368</v>
      </c>
    </row>
    <row r="1050" spans="1:26" hidden="1" x14ac:dyDescent="0.25">
      <c r="A1050" t="s">
        <v>19</v>
      </c>
      <c r="B1050">
        <v>5</v>
      </c>
      <c r="C1050">
        <v>2</v>
      </c>
      <c r="D1050">
        <v>0</v>
      </c>
      <c r="E1050" t="s">
        <v>520</v>
      </c>
      <c r="F1050">
        <v>30452</v>
      </c>
      <c r="G1050">
        <v>38036213.458333328</v>
      </c>
      <c r="H1050">
        <v>0.94871794184048974</v>
      </c>
      <c r="I1050">
        <v>0.91375291375291379</v>
      </c>
      <c r="J1050">
        <v>9240734.5</v>
      </c>
      <c r="K1050">
        <v>45300</v>
      </c>
      <c r="L1050">
        <v>2</v>
      </c>
      <c r="M1050">
        <v>142</v>
      </c>
      <c r="N1050">
        <v>0.90792540792540799</v>
      </c>
      <c r="O1050">
        <v>9360236.125</v>
      </c>
      <c r="P1050">
        <v>45905</v>
      </c>
      <c r="Q1050">
        <v>2</v>
      </c>
      <c r="R1050">
        <v>143</v>
      </c>
      <c r="S1050" t="s">
        <v>824</v>
      </c>
      <c r="W1050">
        <f>Cancer_doubles_final2[[#This Row],[mlp_params]]</f>
        <v>45300</v>
      </c>
      <c r="X1050">
        <f>Cancer_doubles_final2[[#This Row],[kan_test_acc]]</f>
        <v>0.94871794184048974</v>
      </c>
      <c r="Y1050">
        <f>Cancer_doubles_final2[[#This Row],[mlp_test_acc]]</f>
        <v>0.91375291375291379</v>
      </c>
      <c r="Z1050">
        <f>Cancer_doubles_final2[[#This Row],[mlp_test_acc2]]</f>
        <v>0.90792540792540799</v>
      </c>
    </row>
    <row r="1051" spans="1:26" hidden="1" x14ac:dyDescent="0.25">
      <c r="A1051" t="s">
        <v>19</v>
      </c>
      <c r="B1051">
        <v>5</v>
      </c>
      <c r="C1051">
        <v>4</v>
      </c>
      <c r="D1051">
        <v>0</v>
      </c>
      <c r="E1051" t="s">
        <v>321</v>
      </c>
      <c r="F1051">
        <v>30462</v>
      </c>
      <c r="G1051">
        <v>37858931.041666664</v>
      </c>
      <c r="H1051">
        <v>0.95046620567639672</v>
      </c>
      <c r="I1051">
        <v>0.9306526806526807</v>
      </c>
      <c r="J1051">
        <v>9657230.7083333321</v>
      </c>
      <c r="K1051">
        <v>52824</v>
      </c>
      <c r="L1051">
        <v>2</v>
      </c>
      <c r="M1051">
        <v>154</v>
      </c>
      <c r="N1051">
        <v>0.9184149184149184</v>
      </c>
      <c r="O1051">
        <v>10265155.541666666</v>
      </c>
      <c r="P1051">
        <v>53477</v>
      </c>
      <c r="Q1051">
        <v>2</v>
      </c>
      <c r="R1051">
        <v>155</v>
      </c>
      <c r="S1051" t="s">
        <v>825</v>
      </c>
      <c r="W1051">
        <f>Cancer_doubles_final2[[#This Row],[mlp_params]]</f>
        <v>52824</v>
      </c>
      <c r="X1051">
        <f>Cancer_doubles_final2[[#This Row],[kan_test_acc]]</f>
        <v>0.95046620567639672</v>
      </c>
      <c r="Y1051">
        <f>Cancer_doubles_final2[[#This Row],[mlp_test_acc]]</f>
        <v>0.9306526806526807</v>
      </c>
      <c r="Z1051">
        <f>Cancer_doubles_final2[[#This Row],[mlp_test_acc2]]</f>
        <v>0.9184149184149184</v>
      </c>
    </row>
    <row r="1052" spans="1:26" hidden="1" x14ac:dyDescent="0.25">
      <c r="A1052" t="s">
        <v>19</v>
      </c>
      <c r="B1052">
        <v>9</v>
      </c>
      <c r="C1052">
        <v>2</v>
      </c>
      <c r="D1052">
        <v>0</v>
      </c>
      <c r="E1052" t="s">
        <v>214</v>
      </c>
      <c r="F1052">
        <v>30476</v>
      </c>
      <c r="G1052">
        <v>34399481.541666664</v>
      </c>
      <c r="H1052">
        <v>0.94682401046156883</v>
      </c>
      <c r="I1052">
        <v>0.93691724941724941</v>
      </c>
      <c r="J1052">
        <v>9584915.229166666</v>
      </c>
      <c r="K1052">
        <v>41177</v>
      </c>
      <c r="L1052">
        <v>2</v>
      </c>
      <c r="M1052">
        <v>135</v>
      </c>
      <c r="N1052">
        <v>0.9348776223776224</v>
      </c>
      <c r="O1052">
        <v>9605496.6666666679</v>
      </c>
      <c r="P1052">
        <v>41754</v>
      </c>
      <c r="Q1052">
        <v>2</v>
      </c>
      <c r="R1052">
        <v>136</v>
      </c>
      <c r="S1052" t="s">
        <v>826</v>
      </c>
      <c r="W1052">
        <f>Cancer_doubles_final2[[#This Row],[mlp_params]]</f>
        <v>41177</v>
      </c>
      <c r="X1052">
        <f>Cancer_doubles_final2[[#This Row],[kan_test_acc]]</f>
        <v>0.94682401046156883</v>
      </c>
      <c r="Y1052">
        <f>Cancer_doubles_final2[[#This Row],[mlp_test_acc]]</f>
        <v>0.93691724941724941</v>
      </c>
      <c r="Z1052">
        <f>Cancer_doubles_final2[[#This Row],[mlp_test_acc2]]</f>
        <v>0.9348776223776224</v>
      </c>
    </row>
    <row r="1053" spans="1:26" hidden="1" x14ac:dyDescent="0.25">
      <c r="A1053" t="s">
        <v>19</v>
      </c>
      <c r="B1053">
        <v>5</v>
      </c>
      <c r="C1053">
        <v>5</v>
      </c>
      <c r="D1053">
        <v>0</v>
      </c>
      <c r="E1053" t="s">
        <v>260</v>
      </c>
      <c r="F1053">
        <v>30490</v>
      </c>
      <c r="G1053">
        <v>39964068.805555552</v>
      </c>
      <c r="H1053">
        <v>0.9180264158381356</v>
      </c>
      <c r="I1053">
        <v>0.9145299145299145</v>
      </c>
      <c r="J1053">
        <v>9959557.805555556</v>
      </c>
      <c r="K1053">
        <v>56129</v>
      </c>
      <c r="L1053">
        <v>2</v>
      </c>
      <c r="M1053">
        <v>159</v>
      </c>
      <c r="N1053">
        <v>0.91258741258741249</v>
      </c>
      <c r="O1053">
        <v>10354253.305555556</v>
      </c>
      <c r="P1053">
        <v>56802</v>
      </c>
      <c r="Q1053">
        <v>2</v>
      </c>
      <c r="R1053">
        <v>160</v>
      </c>
      <c r="S1053" t="s">
        <v>827</v>
      </c>
      <c r="W1053">
        <f>Cancer_doubles_final2[[#This Row],[mlp_params]]</f>
        <v>56129</v>
      </c>
      <c r="X1053">
        <f>Cancer_doubles_final2[[#This Row],[kan_test_acc]]</f>
        <v>0.9180264158381356</v>
      </c>
      <c r="Y1053">
        <f>Cancer_doubles_final2[[#This Row],[mlp_test_acc]]</f>
        <v>0.9145299145299145</v>
      </c>
      <c r="Z1053">
        <f>Cancer_doubles_final2[[#This Row],[mlp_test_acc2]]</f>
        <v>0.91258741258741249</v>
      </c>
    </row>
    <row r="1054" spans="1:26" hidden="1" x14ac:dyDescent="0.25">
      <c r="A1054" t="s">
        <v>19</v>
      </c>
      <c r="B1054">
        <v>3</v>
      </c>
      <c r="C1054">
        <v>3</v>
      </c>
      <c r="D1054">
        <v>0</v>
      </c>
      <c r="E1054" t="s">
        <v>669</v>
      </c>
      <c r="F1054">
        <v>30516</v>
      </c>
      <c r="G1054">
        <v>55430212.416666664</v>
      </c>
      <c r="H1054">
        <v>0.93162393238809371</v>
      </c>
      <c r="I1054">
        <v>0.92385392385392384</v>
      </c>
      <c r="J1054">
        <v>11237692.277777778</v>
      </c>
      <c r="K1054">
        <v>54134</v>
      </c>
      <c r="L1054">
        <v>2</v>
      </c>
      <c r="M1054">
        <v>156</v>
      </c>
      <c r="N1054">
        <v>0.92249417249417243</v>
      </c>
      <c r="O1054">
        <v>11591632.444444444</v>
      </c>
      <c r="P1054">
        <v>54795</v>
      </c>
      <c r="Q1054">
        <v>2</v>
      </c>
      <c r="R1054">
        <v>157</v>
      </c>
      <c r="S1054" t="s">
        <v>828</v>
      </c>
      <c r="W1054">
        <f>Cancer_doubles_final2[[#This Row],[mlp_params]]</f>
        <v>54134</v>
      </c>
      <c r="X1054">
        <f>Cancer_doubles_final2[[#This Row],[kan_test_acc]]</f>
        <v>0.93162393238809371</v>
      </c>
      <c r="Y1054">
        <f>Cancer_doubles_final2[[#This Row],[mlp_test_acc]]</f>
        <v>0.92385392385392384</v>
      </c>
      <c r="Z1054">
        <f>Cancer_doubles_final2[[#This Row],[mlp_test_acc2]]</f>
        <v>0.92249417249417243</v>
      </c>
    </row>
    <row r="1055" spans="1:26" hidden="1" x14ac:dyDescent="0.25">
      <c r="A1055" t="s">
        <v>19</v>
      </c>
      <c r="B1055">
        <v>9</v>
      </c>
      <c r="C1055">
        <v>5</v>
      </c>
      <c r="D1055">
        <v>0</v>
      </c>
      <c r="E1055" t="s">
        <v>143</v>
      </c>
      <c r="F1055">
        <v>30522</v>
      </c>
      <c r="G1055">
        <v>42611353</v>
      </c>
      <c r="H1055">
        <v>0.96620045933458532</v>
      </c>
      <c r="I1055">
        <v>0.94017094017094016</v>
      </c>
      <c r="J1055">
        <v>9693508.083333334</v>
      </c>
      <c r="K1055">
        <v>49619</v>
      </c>
      <c r="L1055">
        <v>2</v>
      </c>
      <c r="M1055">
        <v>149</v>
      </c>
      <c r="N1055">
        <v>0.93822843822843827</v>
      </c>
      <c r="O1055">
        <v>9308985.083333334</v>
      </c>
      <c r="P1055">
        <v>50252</v>
      </c>
      <c r="Q1055">
        <v>2</v>
      </c>
      <c r="R1055">
        <v>150</v>
      </c>
      <c r="S1055" t="s">
        <v>829</v>
      </c>
      <c r="W1055">
        <f>Cancer_doubles_final2[[#This Row],[mlp_params]]</f>
        <v>49619</v>
      </c>
      <c r="X1055">
        <f>Cancer_doubles_final2[[#This Row],[kan_test_acc]]</f>
        <v>0.96620045933458532</v>
      </c>
      <c r="Y1055">
        <f>Cancer_doubles_final2[[#This Row],[mlp_test_acc]]</f>
        <v>0.94017094017094016</v>
      </c>
      <c r="Z1055">
        <f>Cancer_doubles_final2[[#This Row],[mlp_test_acc2]]</f>
        <v>0.93822843822843827</v>
      </c>
    </row>
    <row r="1056" spans="1:26" hidden="1" x14ac:dyDescent="0.25">
      <c r="A1056" t="s">
        <v>19</v>
      </c>
      <c r="B1056">
        <v>9</v>
      </c>
      <c r="C1056">
        <v>2</v>
      </c>
      <c r="D1056">
        <v>0</v>
      </c>
      <c r="E1056" t="s">
        <v>217</v>
      </c>
      <c r="F1056">
        <v>30592</v>
      </c>
      <c r="G1056">
        <v>29626088.375</v>
      </c>
      <c r="H1056">
        <v>0.93677155673503876</v>
      </c>
      <c r="I1056">
        <v>0.93502331002331007</v>
      </c>
      <c r="J1056">
        <v>9827705.2916666679</v>
      </c>
      <c r="K1056">
        <v>41177</v>
      </c>
      <c r="L1056">
        <v>2</v>
      </c>
      <c r="M1056">
        <v>135</v>
      </c>
      <c r="N1056">
        <v>0.93298368298368295</v>
      </c>
      <c r="O1056">
        <v>9323434</v>
      </c>
      <c r="P1056">
        <v>41754</v>
      </c>
      <c r="Q1056">
        <v>2</v>
      </c>
      <c r="R1056">
        <v>136</v>
      </c>
      <c r="S1056" t="s">
        <v>830</v>
      </c>
      <c r="W1056">
        <f>Cancer_doubles_final2[[#This Row],[mlp_params]]</f>
        <v>41177</v>
      </c>
      <c r="X1056">
        <f>Cancer_doubles_final2[[#This Row],[kan_test_acc]]</f>
        <v>0.93677155673503876</v>
      </c>
      <c r="Y1056">
        <f>Cancer_doubles_final2[[#This Row],[mlp_test_acc]]</f>
        <v>0.93502331002331007</v>
      </c>
      <c r="Z1056">
        <f>Cancer_doubles_final2[[#This Row],[mlp_test_acc2]]</f>
        <v>0.93298368298368295</v>
      </c>
    </row>
    <row r="1057" spans="1:26" hidden="1" x14ac:dyDescent="0.25">
      <c r="A1057" t="s">
        <v>19</v>
      </c>
      <c r="B1057">
        <v>9</v>
      </c>
      <c r="C1057">
        <v>2</v>
      </c>
      <c r="D1057">
        <v>0</v>
      </c>
      <c r="E1057" t="s">
        <v>220</v>
      </c>
      <c r="F1057">
        <v>30646</v>
      </c>
      <c r="G1057">
        <v>23796163.666666668</v>
      </c>
      <c r="H1057">
        <v>0.92229992316828835</v>
      </c>
      <c r="I1057">
        <v>0.91491841491841497</v>
      </c>
      <c r="J1057">
        <v>8444027.944444444</v>
      </c>
      <c r="K1057">
        <v>41177</v>
      </c>
      <c r="L1057">
        <v>2</v>
      </c>
      <c r="M1057">
        <v>135</v>
      </c>
      <c r="N1057">
        <v>0.9145299145299145</v>
      </c>
      <c r="O1057">
        <v>9018010.055555556</v>
      </c>
      <c r="P1057">
        <v>41754</v>
      </c>
      <c r="Q1057">
        <v>2</v>
      </c>
      <c r="R1057">
        <v>136</v>
      </c>
      <c r="S1057" t="s">
        <v>831</v>
      </c>
      <c r="W1057">
        <f>Cancer_doubles_final2[[#This Row],[mlp_params]]</f>
        <v>41177</v>
      </c>
      <c r="X1057">
        <f>Cancer_doubles_final2[[#This Row],[kan_test_acc]]</f>
        <v>0.92229992316828835</v>
      </c>
      <c r="Y1057">
        <f>Cancer_doubles_final2[[#This Row],[mlp_test_acc]]</f>
        <v>0.91491841491841497</v>
      </c>
      <c r="Z1057">
        <f>Cancer_doubles_final2[[#This Row],[mlp_test_acc2]]</f>
        <v>0.9145299145299145</v>
      </c>
    </row>
    <row r="1058" spans="1:26" hidden="1" x14ac:dyDescent="0.25">
      <c r="A1058" t="s">
        <v>19</v>
      </c>
      <c r="B1058">
        <v>3</v>
      </c>
      <c r="C1058">
        <v>4</v>
      </c>
      <c r="D1058">
        <v>0</v>
      </c>
      <c r="E1058" t="s">
        <v>526</v>
      </c>
      <c r="F1058">
        <v>30650</v>
      </c>
      <c r="G1058">
        <v>30378263.722222224</v>
      </c>
      <c r="H1058">
        <v>0.94036519527435303</v>
      </c>
      <c r="I1058">
        <v>0.92560217560217561</v>
      </c>
      <c r="J1058">
        <v>8561159.6111111119</v>
      </c>
      <c r="K1058">
        <v>57479</v>
      </c>
      <c r="L1058">
        <v>2</v>
      </c>
      <c r="M1058">
        <v>161</v>
      </c>
      <c r="N1058">
        <v>0.92637917637917633</v>
      </c>
      <c r="O1058">
        <v>9569373.527777778</v>
      </c>
      <c r="P1058">
        <v>58160</v>
      </c>
      <c r="Q1058">
        <v>2</v>
      </c>
      <c r="R1058">
        <v>162</v>
      </c>
      <c r="S1058" t="s">
        <v>832</v>
      </c>
      <c r="W1058">
        <f>Cancer_doubles_final2[[#This Row],[mlp_params]]</f>
        <v>57479</v>
      </c>
      <c r="X1058">
        <f>Cancer_doubles_final2[[#This Row],[kan_test_acc]]</f>
        <v>0.94036519527435303</v>
      </c>
      <c r="Y1058">
        <f>Cancer_doubles_final2[[#This Row],[mlp_test_acc]]</f>
        <v>0.92560217560217561</v>
      </c>
      <c r="Z1058">
        <f>Cancer_doubles_final2[[#This Row],[mlp_test_acc2]]</f>
        <v>0.92637917637917633</v>
      </c>
    </row>
    <row r="1059" spans="1:26" hidden="1" x14ac:dyDescent="0.25">
      <c r="A1059" t="s">
        <v>19</v>
      </c>
      <c r="B1059">
        <v>5</v>
      </c>
      <c r="C1059">
        <v>2</v>
      </c>
      <c r="D1059">
        <v>0</v>
      </c>
      <c r="E1059" t="s">
        <v>526</v>
      </c>
      <c r="F1059">
        <v>30650</v>
      </c>
      <c r="G1059">
        <v>35285314.75</v>
      </c>
      <c r="H1059">
        <v>0.97902098546425509</v>
      </c>
      <c r="I1059">
        <v>0.9481351981351982</v>
      </c>
      <c r="J1059">
        <v>8552970.5</v>
      </c>
      <c r="K1059">
        <v>45905</v>
      </c>
      <c r="L1059">
        <v>2</v>
      </c>
      <c r="M1059">
        <v>143</v>
      </c>
      <c r="N1059">
        <v>0.94959207459207462</v>
      </c>
      <c r="O1059">
        <v>10277025.166666668</v>
      </c>
      <c r="P1059">
        <v>46514</v>
      </c>
      <c r="Q1059">
        <v>2</v>
      </c>
      <c r="R1059">
        <v>144</v>
      </c>
      <c r="S1059" t="s">
        <v>833</v>
      </c>
      <c r="W1059">
        <f>Cancer_doubles_final2[[#This Row],[mlp_params]]</f>
        <v>45905</v>
      </c>
      <c r="X1059">
        <f>Cancer_doubles_final2[[#This Row],[kan_test_acc]]</f>
        <v>0.97902098546425509</v>
      </c>
      <c r="Y1059">
        <f>Cancer_doubles_final2[[#This Row],[mlp_test_acc]]</f>
        <v>0.9481351981351982</v>
      </c>
      <c r="Z1059">
        <f>Cancer_doubles_final2[[#This Row],[mlp_test_acc2]]</f>
        <v>0.94959207459207462</v>
      </c>
    </row>
    <row r="1060" spans="1:26" hidden="1" x14ac:dyDescent="0.25">
      <c r="A1060" t="s">
        <v>19</v>
      </c>
      <c r="B1060">
        <v>3</v>
      </c>
      <c r="C1060">
        <v>4</v>
      </c>
      <c r="D1060">
        <v>0</v>
      </c>
      <c r="E1060" t="s">
        <v>526</v>
      </c>
      <c r="F1060">
        <v>30650</v>
      </c>
      <c r="G1060">
        <v>34840055.75</v>
      </c>
      <c r="H1060">
        <v>0.97494172056516015</v>
      </c>
      <c r="I1060">
        <v>0.93356643356643365</v>
      </c>
      <c r="J1060">
        <v>8589587.6666666679</v>
      </c>
      <c r="K1060">
        <v>57479</v>
      </c>
      <c r="L1060">
        <v>2</v>
      </c>
      <c r="M1060">
        <v>161</v>
      </c>
      <c r="N1060">
        <v>0.93444055944055948</v>
      </c>
      <c r="O1060">
        <v>9548966.958333334</v>
      </c>
      <c r="P1060">
        <v>58160</v>
      </c>
      <c r="Q1060">
        <v>2</v>
      </c>
      <c r="R1060">
        <v>162</v>
      </c>
      <c r="S1060" t="s">
        <v>832</v>
      </c>
      <c r="W1060">
        <f>Cancer_doubles_final2[[#This Row],[mlp_params]]</f>
        <v>57479</v>
      </c>
      <c r="X1060">
        <f>Cancer_doubles_final2[[#This Row],[kan_test_acc]]</f>
        <v>0.97494172056516015</v>
      </c>
      <c r="Y1060">
        <f>Cancer_doubles_final2[[#This Row],[mlp_test_acc]]</f>
        <v>0.93356643356643365</v>
      </c>
      <c r="Z1060">
        <f>Cancer_doubles_final2[[#This Row],[mlp_test_acc2]]</f>
        <v>0.93444055944055948</v>
      </c>
    </row>
    <row r="1061" spans="1:26" hidden="1" x14ac:dyDescent="0.25">
      <c r="A1061" t="s">
        <v>19</v>
      </c>
      <c r="B1061">
        <v>5</v>
      </c>
      <c r="C1061">
        <v>2</v>
      </c>
      <c r="D1061">
        <v>0</v>
      </c>
      <c r="E1061" t="s">
        <v>526</v>
      </c>
      <c r="F1061">
        <v>30650</v>
      </c>
      <c r="G1061">
        <v>34400177.666666672</v>
      </c>
      <c r="H1061">
        <v>0.9542540734012922</v>
      </c>
      <c r="I1061">
        <v>0.90675990675990681</v>
      </c>
      <c r="J1061">
        <v>8590801.375</v>
      </c>
      <c r="K1061">
        <v>45905</v>
      </c>
      <c r="L1061">
        <v>2</v>
      </c>
      <c r="M1061">
        <v>143</v>
      </c>
      <c r="N1061">
        <v>0.90734265734265729</v>
      </c>
      <c r="O1061">
        <v>8629083.625</v>
      </c>
      <c r="P1061">
        <v>46514</v>
      </c>
      <c r="Q1061">
        <v>2</v>
      </c>
      <c r="R1061">
        <v>144</v>
      </c>
      <c r="S1061" t="s">
        <v>833</v>
      </c>
      <c r="W1061">
        <f>Cancer_doubles_final2[[#This Row],[mlp_params]]</f>
        <v>45905</v>
      </c>
      <c r="X1061">
        <f>Cancer_doubles_final2[[#This Row],[kan_test_acc]]</f>
        <v>0.9542540734012922</v>
      </c>
      <c r="Y1061">
        <f>Cancer_doubles_final2[[#This Row],[mlp_test_acc]]</f>
        <v>0.90675990675990681</v>
      </c>
      <c r="Z1061">
        <f>Cancer_doubles_final2[[#This Row],[mlp_test_acc2]]</f>
        <v>0.90734265734265729</v>
      </c>
    </row>
    <row r="1062" spans="1:26" hidden="1" x14ac:dyDescent="0.25">
      <c r="A1062" t="s">
        <v>19</v>
      </c>
      <c r="B1062">
        <v>3</v>
      </c>
      <c r="C1062">
        <v>4</v>
      </c>
      <c r="D1062">
        <v>0</v>
      </c>
      <c r="E1062" t="s">
        <v>530</v>
      </c>
      <c r="F1062">
        <v>30688</v>
      </c>
      <c r="G1062">
        <v>35488188.083333336</v>
      </c>
      <c r="H1062">
        <v>0.94784382234017062</v>
      </c>
      <c r="I1062">
        <v>0.92365967365967361</v>
      </c>
      <c r="J1062">
        <v>8998819.25</v>
      </c>
      <c r="K1062">
        <v>58160</v>
      </c>
      <c r="L1062">
        <v>2</v>
      </c>
      <c r="M1062">
        <v>162</v>
      </c>
      <c r="N1062">
        <v>0.92220279720279719</v>
      </c>
      <c r="O1062">
        <v>8044021.041666667</v>
      </c>
      <c r="P1062">
        <v>58845</v>
      </c>
      <c r="Q1062">
        <v>2</v>
      </c>
      <c r="R1062">
        <v>163</v>
      </c>
      <c r="S1062" t="s">
        <v>834</v>
      </c>
      <c r="W1062">
        <f>Cancer_doubles_final2[[#This Row],[mlp_params]]</f>
        <v>58160</v>
      </c>
      <c r="X1062">
        <f>Cancer_doubles_final2[[#This Row],[kan_test_acc]]</f>
        <v>0.94784382234017062</v>
      </c>
      <c r="Y1062">
        <f>Cancer_doubles_final2[[#This Row],[mlp_test_acc]]</f>
        <v>0.92365967365967361</v>
      </c>
      <c r="Z1062">
        <f>Cancer_doubles_final2[[#This Row],[mlp_test_acc2]]</f>
        <v>0.92220279720279719</v>
      </c>
    </row>
    <row r="1063" spans="1:26" hidden="1" x14ac:dyDescent="0.25">
      <c r="A1063" t="s">
        <v>19</v>
      </c>
      <c r="B1063">
        <v>5</v>
      </c>
      <c r="C1063">
        <v>2</v>
      </c>
      <c r="D1063">
        <v>0</v>
      </c>
      <c r="E1063" t="s">
        <v>530</v>
      </c>
      <c r="F1063">
        <v>30688</v>
      </c>
      <c r="G1063">
        <v>39764635.041666664</v>
      </c>
      <c r="H1063">
        <v>0.96124708652496338</v>
      </c>
      <c r="I1063">
        <v>0.94667832167832167</v>
      </c>
      <c r="J1063">
        <v>9273356.125</v>
      </c>
      <c r="K1063">
        <v>45905</v>
      </c>
      <c r="L1063">
        <v>2</v>
      </c>
      <c r="M1063">
        <v>143</v>
      </c>
      <c r="N1063">
        <v>0.94726107226107226</v>
      </c>
      <c r="O1063">
        <v>8975584.25</v>
      </c>
      <c r="P1063">
        <v>46514</v>
      </c>
      <c r="Q1063">
        <v>2</v>
      </c>
      <c r="R1063">
        <v>144</v>
      </c>
      <c r="S1063" t="s">
        <v>835</v>
      </c>
      <c r="W1063">
        <f>Cancer_doubles_final2[[#This Row],[mlp_params]]</f>
        <v>45905</v>
      </c>
      <c r="X1063">
        <f>Cancer_doubles_final2[[#This Row],[kan_test_acc]]</f>
        <v>0.96124708652496338</v>
      </c>
      <c r="Y1063">
        <f>Cancer_doubles_final2[[#This Row],[mlp_test_acc]]</f>
        <v>0.94667832167832167</v>
      </c>
      <c r="Z1063">
        <f>Cancer_doubles_final2[[#This Row],[mlp_test_acc2]]</f>
        <v>0.94726107226107226</v>
      </c>
    </row>
    <row r="1064" spans="1:26" hidden="1" x14ac:dyDescent="0.25">
      <c r="A1064" t="s">
        <v>19</v>
      </c>
      <c r="B1064">
        <v>3</v>
      </c>
      <c r="C1064">
        <v>4</v>
      </c>
      <c r="D1064">
        <v>0</v>
      </c>
      <c r="E1064" t="s">
        <v>530</v>
      </c>
      <c r="F1064">
        <v>30688</v>
      </c>
      <c r="G1064">
        <v>38931108.375</v>
      </c>
      <c r="H1064">
        <v>0.96649184077978134</v>
      </c>
      <c r="I1064">
        <v>0.92919580419580416</v>
      </c>
      <c r="J1064">
        <v>9189507.8333333321</v>
      </c>
      <c r="K1064">
        <v>58160</v>
      </c>
      <c r="L1064">
        <v>2</v>
      </c>
      <c r="M1064">
        <v>162</v>
      </c>
      <c r="N1064">
        <v>0.93210955710955712</v>
      </c>
      <c r="O1064">
        <v>8973566.708333334</v>
      </c>
      <c r="P1064">
        <v>58845</v>
      </c>
      <c r="Q1064">
        <v>2</v>
      </c>
      <c r="R1064">
        <v>163</v>
      </c>
      <c r="S1064" t="s">
        <v>834</v>
      </c>
      <c r="W1064">
        <f>Cancer_doubles_final2[[#This Row],[mlp_params]]</f>
        <v>58160</v>
      </c>
      <c r="X1064">
        <f>Cancer_doubles_final2[[#This Row],[kan_test_acc]]</f>
        <v>0.96649184077978134</v>
      </c>
      <c r="Y1064">
        <f>Cancer_doubles_final2[[#This Row],[mlp_test_acc]]</f>
        <v>0.92919580419580416</v>
      </c>
      <c r="Z1064">
        <f>Cancer_doubles_final2[[#This Row],[mlp_test_acc2]]</f>
        <v>0.93210955710955712</v>
      </c>
    </row>
    <row r="1065" spans="1:26" hidden="1" x14ac:dyDescent="0.25">
      <c r="A1065" t="s">
        <v>19</v>
      </c>
      <c r="B1065">
        <v>5</v>
      </c>
      <c r="C1065">
        <v>2</v>
      </c>
      <c r="D1065">
        <v>0</v>
      </c>
      <c r="E1065" t="s">
        <v>530</v>
      </c>
      <c r="F1065">
        <v>30688</v>
      </c>
      <c r="G1065">
        <v>35985284</v>
      </c>
      <c r="H1065">
        <v>0.96008157978455233</v>
      </c>
      <c r="I1065">
        <v>0.90297202797202802</v>
      </c>
      <c r="J1065">
        <v>9151268.2916666679</v>
      </c>
      <c r="K1065">
        <v>45905</v>
      </c>
      <c r="L1065">
        <v>2</v>
      </c>
      <c r="M1065">
        <v>143</v>
      </c>
      <c r="N1065">
        <v>0.90705128205128205</v>
      </c>
      <c r="O1065">
        <v>8163111.958333334</v>
      </c>
      <c r="P1065">
        <v>46514</v>
      </c>
      <c r="Q1065">
        <v>2</v>
      </c>
      <c r="R1065">
        <v>144</v>
      </c>
      <c r="S1065" t="s">
        <v>835</v>
      </c>
      <c r="W1065">
        <f>Cancer_doubles_final2[[#This Row],[mlp_params]]</f>
        <v>45905</v>
      </c>
      <c r="X1065">
        <f>Cancer_doubles_final2[[#This Row],[kan_test_acc]]</f>
        <v>0.96008157978455233</v>
      </c>
      <c r="Y1065">
        <f>Cancer_doubles_final2[[#This Row],[mlp_test_acc]]</f>
        <v>0.90297202797202802</v>
      </c>
      <c r="Z1065">
        <f>Cancer_doubles_final2[[#This Row],[mlp_test_acc2]]</f>
        <v>0.90705128205128205</v>
      </c>
    </row>
    <row r="1066" spans="1:26" hidden="1" x14ac:dyDescent="0.25">
      <c r="A1066" t="s">
        <v>19</v>
      </c>
      <c r="B1066">
        <v>9</v>
      </c>
      <c r="C1066">
        <v>4</v>
      </c>
      <c r="D1066">
        <v>0</v>
      </c>
      <c r="E1066" t="s">
        <v>165</v>
      </c>
      <c r="F1066">
        <v>30782</v>
      </c>
      <c r="G1066">
        <v>33236604.666666668</v>
      </c>
      <c r="H1066">
        <v>0.95308857411146164</v>
      </c>
      <c r="I1066">
        <v>0.92657342657342656</v>
      </c>
      <c r="J1066">
        <v>8594826.5416666679</v>
      </c>
      <c r="K1066">
        <v>47744</v>
      </c>
      <c r="L1066">
        <v>2</v>
      </c>
      <c r="M1066">
        <v>146</v>
      </c>
      <c r="N1066">
        <v>0.93036130536130535</v>
      </c>
      <c r="O1066">
        <v>8930154.625</v>
      </c>
      <c r="P1066">
        <v>48365</v>
      </c>
      <c r="Q1066">
        <v>2</v>
      </c>
      <c r="R1066">
        <v>147</v>
      </c>
      <c r="S1066" t="s">
        <v>836</v>
      </c>
      <c r="W1066">
        <f>Cancer_doubles_final2[[#This Row],[mlp_params]]</f>
        <v>47744</v>
      </c>
      <c r="X1066">
        <f>Cancer_doubles_final2[[#This Row],[kan_test_acc]]</f>
        <v>0.95308857411146164</v>
      </c>
      <c r="Y1066">
        <f>Cancer_doubles_final2[[#This Row],[mlp_test_acc]]</f>
        <v>0.92657342657342656</v>
      </c>
      <c r="Z1066">
        <f>Cancer_doubles_final2[[#This Row],[mlp_test_acc2]]</f>
        <v>0.93036130536130535</v>
      </c>
    </row>
    <row r="1067" spans="1:26" hidden="1" x14ac:dyDescent="0.25">
      <c r="A1067" t="s">
        <v>19</v>
      </c>
      <c r="B1067">
        <v>9</v>
      </c>
      <c r="C1067">
        <v>3</v>
      </c>
      <c r="D1067">
        <v>0</v>
      </c>
      <c r="E1067" t="s">
        <v>189</v>
      </c>
      <c r="F1067">
        <v>30786</v>
      </c>
      <c r="G1067">
        <v>35609543</v>
      </c>
      <c r="H1067">
        <v>0.94696969290574384</v>
      </c>
      <c r="I1067">
        <v>0.96940559440559437</v>
      </c>
      <c r="J1067">
        <v>8956181.833333334</v>
      </c>
      <c r="K1067">
        <v>44699</v>
      </c>
      <c r="L1067">
        <v>2</v>
      </c>
      <c r="M1067">
        <v>141</v>
      </c>
      <c r="N1067">
        <v>0.965034965034965</v>
      </c>
      <c r="O1067">
        <v>9272902.166666666</v>
      </c>
      <c r="P1067">
        <v>45300</v>
      </c>
      <c r="Q1067">
        <v>2</v>
      </c>
      <c r="R1067">
        <v>142</v>
      </c>
      <c r="S1067" t="s">
        <v>837</v>
      </c>
      <c r="W1067">
        <f>Cancer_doubles_final2[[#This Row],[mlp_params]]</f>
        <v>44699</v>
      </c>
      <c r="X1067">
        <f>Cancer_doubles_final2[[#This Row],[kan_test_acc]]</f>
        <v>0.94696969290574384</v>
      </c>
      <c r="Y1067">
        <f>Cancer_doubles_final2[[#This Row],[mlp_test_acc]]</f>
        <v>0.96940559440559437</v>
      </c>
      <c r="Z1067">
        <f>Cancer_doubles_final2[[#This Row],[mlp_test_acc2]]</f>
        <v>0.965034965034965</v>
      </c>
    </row>
    <row r="1068" spans="1:26" x14ac:dyDescent="0.25">
      <c r="A1068" t="s">
        <v>19</v>
      </c>
      <c r="B1068">
        <v>3</v>
      </c>
      <c r="C1068">
        <v>5</v>
      </c>
      <c r="D1068">
        <v>0</v>
      </c>
      <c r="E1068" t="s">
        <v>417</v>
      </c>
      <c r="F1068">
        <v>30844</v>
      </c>
      <c r="G1068">
        <v>43095244.708333336</v>
      </c>
      <c r="H1068">
        <v>0.94842656701803207</v>
      </c>
      <c r="I1068">
        <v>0.95454545454545459</v>
      </c>
      <c r="J1068">
        <v>9721242</v>
      </c>
      <c r="K1068">
        <v>60924</v>
      </c>
      <c r="L1068">
        <v>2</v>
      </c>
      <c r="M1068">
        <v>166</v>
      </c>
      <c r="N1068">
        <v>0.95192307692307698</v>
      </c>
      <c r="O1068">
        <v>9978299.791666666</v>
      </c>
      <c r="P1068">
        <v>61625</v>
      </c>
      <c r="Q1068">
        <v>2</v>
      </c>
      <c r="R1068">
        <v>167</v>
      </c>
      <c r="S1068" t="s">
        <v>838</v>
      </c>
      <c r="W1068">
        <f>Cancer_doubles_final2[[#This Row],[mlp_params]]</f>
        <v>60924</v>
      </c>
      <c r="X1068">
        <f>Cancer_doubles_final2[[#This Row],[kan_test_acc]]</f>
        <v>0.94842656701803207</v>
      </c>
      <c r="Y1068">
        <f>Cancer_doubles_final2[[#This Row],[mlp_test_acc]]</f>
        <v>0.95454545454545459</v>
      </c>
      <c r="Z1068">
        <f>Cancer_doubles_final2[[#This Row],[mlp_test_acc2]]</f>
        <v>0.95192307692307698</v>
      </c>
    </row>
    <row r="1069" spans="1:26" hidden="1" x14ac:dyDescent="0.25">
      <c r="A1069" t="s">
        <v>19</v>
      </c>
      <c r="B1069">
        <v>5</v>
      </c>
      <c r="C1069">
        <v>3</v>
      </c>
      <c r="D1069">
        <v>0</v>
      </c>
      <c r="E1069" t="s">
        <v>417</v>
      </c>
      <c r="F1069">
        <v>30844</v>
      </c>
      <c r="G1069">
        <v>46657702.041666672</v>
      </c>
      <c r="H1069">
        <v>0.96270396063725161</v>
      </c>
      <c r="I1069">
        <v>0.9396853146853148</v>
      </c>
      <c r="J1069">
        <v>9915366</v>
      </c>
      <c r="K1069">
        <v>50252</v>
      </c>
      <c r="L1069">
        <v>2</v>
      </c>
      <c r="M1069">
        <v>150</v>
      </c>
      <c r="N1069">
        <v>0.93764568764568768</v>
      </c>
      <c r="O1069">
        <v>10725201.125</v>
      </c>
      <c r="P1069">
        <v>50889</v>
      </c>
      <c r="Q1069">
        <v>2</v>
      </c>
      <c r="R1069">
        <v>151</v>
      </c>
      <c r="S1069" t="s">
        <v>839</v>
      </c>
      <c r="W1069">
        <f>Cancer_doubles_final2[[#This Row],[mlp_params]]</f>
        <v>50252</v>
      </c>
      <c r="X1069">
        <f>Cancer_doubles_final2[[#This Row],[kan_test_acc]]</f>
        <v>0.96270396063725161</v>
      </c>
      <c r="Y1069">
        <f>Cancer_doubles_final2[[#This Row],[mlp_test_acc]]</f>
        <v>0.9396853146853148</v>
      </c>
      <c r="Z1069">
        <f>Cancer_doubles_final2[[#This Row],[mlp_test_acc2]]</f>
        <v>0.93764568764568768</v>
      </c>
    </row>
    <row r="1070" spans="1:26" x14ac:dyDescent="0.25">
      <c r="A1070" t="s">
        <v>19</v>
      </c>
      <c r="B1070">
        <v>3</v>
      </c>
      <c r="C1070">
        <v>5</v>
      </c>
      <c r="D1070">
        <v>0</v>
      </c>
      <c r="E1070" t="s">
        <v>417</v>
      </c>
      <c r="F1070">
        <v>30844</v>
      </c>
      <c r="G1070">
        <v>51442216.916666672</v>
      </c>
      <c r="H1070">
        <v>0.95367132375637698</v>
      </c>
      <c r="I1070">
        <v>0.94085081585081587</v>
      </c>
      <c r="J1070">
        <v>9825283.375</v>
      </c>
      <c r="K1070">
        <v>60924</v>
      </c>
      <c r="L1070">
        <v>2</v>
      </c>
      <c r="M1070">
        <v>166</v>
      </c>
      <c r="N1070">
        <v>0.93618881118881125</v>
      </c>
      <c r="O1070">
        <v>10307315.541666666</v>
      </c>
      <c r="P1070">
        <v>61625</v>
      </c>
      <c r="Q1070">
        <v>2</v>
      </c>
      <c r="R1070">
        <v>167</v>
      </c>
      <c r="S1070" t="s">
        <v>838</v>
      </c>
      <c r="W1070">
        <f>Cancer_doubles_final2[[#This Row],[mlp_params]]</f>
        <v>60924</v>
      </c>
      <c r="X1070">
        <f>Cancer_doubles_final2[[#This Row],[kan_test_acc]]</f>
        <v>0.95367132375637698</v>
      </c>
      <c r="Y1070">
        <f>Cancer_doubles_final2[[#This Row],[mlp_test_acc]]</f>
        <v>0.94085081585081587</v>
      </c>
      <c r="Z1070">
        <f>Cancer_doubles_final2[[#This Row],[mlp_test_acc2]]</f>
        <v>0.93618881118881125</v>
      </c>
    </row>
    <row r="1071" spans="1:26" hidden="1" x14ac:dyDescent="0.25">
      <c r="A1071" t="s">
        <v>19</v>
      </c>
      <c r="B1071">
        <v>5</v>
      </c>
      <c r="C1071">
        <v>3</v>
      </c>
      <c r="D1071">
        <v>0</v>
      </c>
      <c r="E1071" t="s">
        <v>417</v>
      </c>
      <c r="F1071">
        <v>30844</v>
      </c>
      <c r="G1071">
        <v>51914882.625</v>
      </c>
      <c r="H1071">
        <v>0.94551281630992889</v>
      </c>
      <c r="I1071">
        <v>0.91550116550116556</v>
      </c>
      <c r="J1071">
        <v>9023138.375</v>
      </c>
      <c r="K1071">
        <v>50252</v>
      </c>
      <c r="L1071">
        <v>2</v>
      </c>
      <c r="M1071">
        <v>150</v>
      </c>
      <c r="N1071">
        <v>0.90909090909090917</v>
      </c>
      <c r="O1071">
        <v>8475002.5833333321</v>
      </c>
      <c r="P1071">
        <v>50889</v>
      </c>
      <c r="Q1071">
        <v>2</v>
      </c>
      <c r="R1071">
        <v>151</v>
      </c>
      <c r="S1071" t="s">
        <v>839</v>
      </c>
      <c r="W1071">
        <f>Cancer_doubles_final2[[#This Row],[mlp_params]]</f>
        <v>50252</v>
      </c>
      <c r="X1071">
        <f>Cancer_doubles_final2[[#This Row],[kan_test_acc]]</f>
        <v>0.94551281630992889</v>
      </c>
      <c r="Y1071">
        <f>Cancer_doubles_final2[[#This Row],[mlp_test_acc]]</f>
        <v>0.91550116550116556</v>
      </c>
      <c r="Z1071">
        <f>Cancer_doubles_final2[[#This Row],[mlp_test_acc2]]</f>
        <v>0.90909090909090917</v>
      </c>
    </row>
    <row r="1072" spans="1:26" hidden="1" x14ac:dyDescent="0.25">
      <c r="A1072" t="s">
        <v>19</v>
      </c>
      <c r="B1072">
        <v>9</v>
      </c>
      <c r="C1072">
        <v>3</v>
      </c>
      <c r="D1072">
        <v>0</v>
      </c>
      <c r="E1072" t="s">
        <v>191</v>
      </c>
      <c r="F1072">
        <v>30848</v>
      </c>
      <c r="G1072">
        <v>37715574.125</v>
      </c>
      <c r="H1072">
        <v>0.93473193546136213</v>
      </c>
      <c r="I1072">
        <v>0.90413752913752909</v>
      </c>
      <c r="J1072">
        <v>8711864.208333334</v>
      </c>
      <c r="K1072">
        <v>44699</v>
      </c>
      <c r="L1072">
        <v>2</v>
      </c>
      <c r="M1072">
        <v>141</v>
      </c>
      <c r="N1072">
        <v>0.89743589743589736</v>
      </c>
      <c r="O1072">
        <v>8293936.875</v>
      </c>
      <c r="P1072">
        <v>45300</v>
      </c>
      <c r="Q1072">
        <v>2</v>
      </c>
      <c r="R1072">
        <v>142</v>
      </c>
      <c r="S1072" t="s">
        <v>840</v>
      </c>
      <c r="W1072">
        <f>Cancer_doubles_final2[[#This Row],[mlp_params]]</f>
        <v>44699</v>
      </c>
      <c r="X1072">
        <f>Cancer_doubles_final2[[#This Row],[kan_test_acc]]</f>
        <v>0.93473193546136213</v>
      </c>
      <c r="Y1072">
        <f>Cancer_doubles_final2[[#This Row],[mlp_test_acc]]</f>
        <v>0.90413752913752909</v>
      </c>
      <c r="Z1072">
        <f>Cancer_doubles_final2[[#This Row],[mlp_test_acc2]]</f>
        <v>0.89743589743589736</v>
      </c>
    </row>
    <row r="1073" spans="1:26" hidden="1" x14ac:dyDescent="0.25">
      <c r="A1073" t="s">
        <v>19</v>
      </c>
      <c r="B1073">
        <v>9</v>
      </c>
      <c r="C1073">
        <v>4</v>
      </c>
      <c r="D1073">
        <v>0</v>
      </c>
      <c r="E1073" t="s">
        <v>167</v>
      </c>
      <c r="F1073">
        <v>30848</v>
      </c>
      <c r="G1073">
        <v>35249400.666666672</v>
      </c>
      <c r="H1073">
        <v>0.92715617765982938</v>
      </c>
      <c r="I1073">
        <v>0.94405594405594406</v>
      </c>
      <c r="J1073">
        <v>9198103.7916666679</v>
      </c>
      <c r="K1073">
        <v>47744</v>
      </c>
      <c r="L1073">
        <v>2</v>
      </c>
      <c r="M1073">
        <v>146</v>
      </c>
      <c r="N1073">
        <v>0.94230769230769229</v>
      </c>
      <c r="O1073">
        <v>9586037.5833333321</v>
      </c>
      <c r="P1073">
        <v>48365</v>
      </c>
      <c r="Q1073">
        <v>2</v>
      </c>
      <c r="R1073">
        <v>147</v>
      </c>
      <c r="S1073" t="s">
        <v>841</v>
      </c>
      <c r="W1073">
        <f>Cancer_doubles_final2[[#This Row],[mlp_params]]</f>
        <v>47744</v>
      </c>
      <c r="X1073">
        <f>Cancer_doubles_final2[[#This Row],[kan_test_acc]]</f>
        <v>0.92715617765982938</v>
      </c>
      <c r="Y1073">
        <f>Cancer_doubles_final2[[#This Row],[mlp_test_acc]]</f>
        <v>0.94405594405594406</v>
      </c>
      <c r="Z1073">
        <f>Cancer_doubles_final2[[#This Row],[mlp_test_acc2]]</f>
        <v>0.94230769230769229</v>
      </c>
    </row>
    <row r="1074" spans="1:26" hidden="1" x14ac:dyDescent="0.25">
      <c r="A1074" t="s">
        <v>19</v>
      </c>
      <c r="B1074">
        <v>9</v>
      </c>
      <c r="C1074">
        <v>3</v>
      </c>
      <c r="D1074">
        <v>0</v>
      </c>
      <c r="E1074" t="s">
        <v>191</v>
      </c>
      <c r="F1074">
        <v>30848</v>
      </c>
      <c r="G1074">
        <v>34873052.25</v>
      </c>
      <c r="H1074">
        <v>0.9222027982274692</v>
      </c>
      <c r="I1074">
        <v>0.93560606060606055</v>
      </c>
      <c r="J1074">
        <v>9246894.4583333321</v>
      </c>
      <c r="K1074">
        <v>44699</v>
      </c>
      <c r="L1074">
        <v>2</v>
      </c>
      <c r="M1074">
        <v>141</v>
      </c>
      <c r="N1074">
        <v>0.93560606060606055</v>
      </c>
      <c r="O1074">
        <v>9048877.5416666679</v>
      </c>
      <c r="P1074">
        <v>45300</v>
      </c>
      <c r="Q1074">
        <v>2</v>
      </c>
      <c r="R1074">
        <v>142</v>
      </c>
      <c r="S1074" t="s">
        <v>840</v>
      </c>
      <c r="W1074">
        <f>Cancer_doubles_final2[[#This Row],[mlp_params]]</f>
        <v>44699</v>
      </c>
      <c r="X1074">
        <f>Cancer_doubles_final2[[#This Row],[kan_test_acc]]</f>
        <v>0.9222027982274692</v>
      </c>
      <c r="Y1074">
        <f>Cancer_doubles_final2[[#This Row],[mlp_test_acc]]</f>
        <v>0.93560606060606055</v>
      </c>
      <c r="Z1074">
        <f>Cancer_doubles_final2[[#This Row],[mlp_test_acc2]]</f>
        <v>0.93560606060606055</v>
      </c>
    </row>
    <row r="1075" spans="1:26" hidden="1" x14ac:dyDescent="0.25">
      <c r="A1075" t="s">
        <v>19</v>
      </c>
      <c r="B1075">
        <v>5</v>
      </c>
      <c r="C1075">
        <v>4</v>
      </c>
      <c r="D1075">
        <v>0</v>
      </c>
      <c r="E1075" t="s">
        <v>333</v>
      </c>
      <c r="F1075">
        <v>30852</v>
      </c>
      <c r="G1075">
        <v>39581739.083333328</v>
      </c>
      <c r="H1075">
        <v>0.93997668474912643</v>
      </c>
      <c r="I1075">
        <v>0.9274475524475525</v>
      </c>
      <c r="J1075">
        <v>10426138.333333332</v>
      </c>
      <c r="K1075">
        <v>53477</v>
      </c>
      <c r="L1075">
        <v>2</v>
      </c>
      <c r="M1075">
        <v>155</v>
      </c>
      <c r="N1075">
        <v>0.93006993006993</v>
      </c>
      <c r="O1075">
        <v>9374844.0833333321</v>
      </c>
      <c r="P1075">
        <v>54134</v>
      </c>
      <c r="Q1075">
        <v>2</v>
      </c>
      <c r="R1075">
        <v>156</v>
      </c>
      <c r="S1075" t="s">
        <v>842</v>
      </c>
      <c r="W1075">
        <f>Cancer_doubles_final2[[#This Row],[mlp_params]]</f>
        <v>53477</v>
      </c>
      <c r="X1075">
        <f>Cancer_doubles_final2[[#This Row],[kan_test_acc]]</f>
        <v>0.93997668474912643</v>
      </c>
      <c r="Y1075">
        <f>Cancer_doubles_final2[[#This Row],[mlp_test_acc]]</f>
        <v>0.9274475524475525</v>
      </c>
      <c r="Z1075">
        <f>Cancer_doubles_final2[[#This Row],[mlp_test_acc2]]</f>
        <v>0.93006993006993</v>
      </c>
    </row>
    <row r="1076" spans="1:26" hidden="1" x14ac:dyDescent="0.25">
      <c r="A1076" t="s">
        <v>19</v>
      </c>
      <c r="B1076">
        <v>5</v>
      </c>
      <c r="C1076">
        <v>5</v>
      </c>
      <c r="D1076">
        <v>0</v>
      </c>
      <c r="E1076" t="s">
        <v>264</v>
      </c>
      <c r="F1076">
        <v>30908</v>
      </c>
      <c r="G1076">
        <v>42272074.041666664</v>
      </c>
      <c r="H1076">
        <v>0.93648018439610792</v>
      </c>
      <c r="I1076">
        <v>0.92861305361305357</v>
      </c>
      <c r="J1076">
        <v>9433771</v>
      </c>
      <c r="K1076">
        <v>56802</v>
      </c>
      <c r="L1076">
        <v>2</v>
      </c>
      <c r="M1076">
        <v>160</v>
      </c>
      <c r="N1076">
        <v>0.92977855477855476</v>
      </c>
      <c r="O1076">
        <v>9610418.645833334</v>
      </c>
      <c r="P1076">
        <v>57479</v>
      </c>
      <c r="Q1076">
        <v>2</v>
      </c>
      <c r="R1076">
        <v>161</v>
      </c>
      <c r="S1076" t="s">
        <v>843</v>
      </c>
      <c r="W1076">
        <f>Cancer_doubles_final2[[#This Row],[mlp_params]]</f>
        <v>56802</v>
      </c>
      <c r="X1076">
        <f>Cancer_doubles_final2[[#This Row],[kan_test_acc]]</f>
        <v>0.93648018439610792</v>
      </c>
      <c r="Y1076">
        <f>Cancer_doubles_final2[[#This Row],[mlp_test_acc]]</f>
        <v>0.92861305361305357</v>
      </c>
      <c r="Z1076">
        <f>Cancer_doubles_final2[[#This Row],[mlp_test_acc2]]</f>
        <v>0.92977855477855476</v>
      </c>
    </row>
    <row r="1077" spans="1:26" hidden="1" x14ac:dyDescent="0.25">
      <c r="A1077" t="s">
        <v>19</v>
      </c>
      <c r="B1077">
        <v>5</v>
      </c>
      <c r="C1077">
        <v>5</v>
      </c>
      <c r="D1077">
        <v>0</v>
      </c>
      <c r="E1077" t="s">
        <v>266</v>
      </c>
      <c r="F1077">
        <v>30914</v>
      </c>
      <c r="G1077">
        <v>39208539.44444444</v>
      </c>
      <c r="H1077">
        <v>0.92443667517768013</v>
      </c>
      <c r="I1077">
        <v>0.932012432012432</v>
      </c>
      <c r="J1077">
        <v>9397772.083333334</v>
      </c>
      <c r="K1077">
        <v>56802</v>
      </c>
      <c r="L1077">
        <v>2</v>
      </c>
      <c r="M1077">
        <v>160</v>
      </c>
      <c r="N1077">
        <v>0.932012432012432</v>
      </c>
      <c r="O1077">
        <v>9685258.8888888881</v>
      </c>
      <c r="P1077">
        <v>57479</v>
      </c>
      <c r="Q1077">
        <v>2</v>
      </c>
      <c r="R1077">
        <v>161</v>
      </c>
      <c r="S1077" t="s">
        <v>844</v>
      </c>
      <c r="W1077">
        <f>Cancer_doubles_final2[[#This Row],[mlp_params]]</f>
        <v>56802</v>
      </c>
      <c r="X1077">
        <f>Cancer_doubles_final2[[#This Row],[kan_test_acc]]</f>
        <v>0.92443667517768013</v>
      </c>
      <c r="Y1077">
        <f>Cancer_doubles_final2[[#This Row],[mlp_test_acc]]</f>
        <v>0.932012432012432</v>
      </c>
      <c r="Z1077">
        <f>Cancer_doubles_final2[[#This Row],[mlp_test_acc2]]</f>
        <v>0.932012432012432</v>
      </c>
    </row>
    <row r="1078" spans="1:26" hidden="1" x14ac:dyDescent="0.25">
      <c r="A1078" t="s">
        <v>19</v>
      </c>
      <c r="B1078">
        <v>5</v>
      </c>
      <c r="C1078">
        <v>4</v>
      </c>
      <c r="D1078">
        <v>0</v>
      </c>
      <c r="E1078" t="s">
        <v>337</v>
      </c>
      <c r="F1078">
        <v>31036</v>
      </c>
      <c r="G1078">
        <v>44052603.888888888</v>
      </c>
      <c r="H1078">
        <v>0.91394716335667503</v>
      </c>
      <c r="I1078">
        <v>0.93686868686868685</v>
      </c>
      <c r="J1078">
        <v>8961339.0833333321</v>
      </c>
      <c r="K1078">
        <v>54134</v>
      </c>
      <c r="L1078">
        <v>2</v>
      </c>
      <c r="M1078">
        <v>156</v>
      </c>
      <c r="N1078">
        <v>0.93453768453768449</v>
      </c>
      <c r="O1078">
        <v>9816477</v>
      </c>
      <c r="P1078">
        <v>54795</v>
      </c>
      <c r="Q1078">
        <v>2</v>
      </c>
      <c r="R1078">
        <v>157</v>
      </c>
      <c r="S1078" t="s">
        <v>845</v>
      </c>
      <c r="W1078">
        <f>Cancer_doubles_final2[[#This Row],[mlp_params]]</f>
        <v>54134</v>
      </c>
      <c r="X1078">
        <f>Cancer_doubles_final2[[#This Row],[kan_test_acc]]</f>
        <v>0.91394716335667503</v>
      </c>
      <c r="Y1078">
        <f>Cancer_doubles_final2[[#This Row],[mlp_test_acc]]</f>
        <v>0.93686868686868685</v>
      </c>
      <c r="Z1078">
        <f>Cancer_doubles_final2[[#This Row],[mlp_test_acc2]]</f>
        <v>0.93453768453768449</v>
      </c>
    </row>
    <row r="1079" spans="1:26" hidden="1" x14ac:dyDescent="0.25">
      <c r="A1079" t="s">
        <v>19</v>
      </c>
      <c r="B1079">
        <v>5</v>
      </c>
      <c r="C1079">
        <v>3</v>
      </c>
      <c r="D1079">
        <v>0</v>
      </c>
      <c r="E1079" t="s">
        <v>433</v>
      </c>
      <c r="F1079">
        <v>31102</v>
      </c>
      <c r="G1079">
        <v>37330725.027777776</v>
      </c>
      <c r="H1079">
        <v>0.95629370874828756</v>
      </c>
      <c r="I1079">
        <v>0.94405594405594406</v>
      </c>
      <c r="J1079">
        <v>9485473.5</v>
      </c>
      <c r="K1079">
        <v>50252</v>
      </c>
      <c r="L1079">
        <v>2</v>
      </c>
      <c r="M1079">
        <v>150</v>
      </c>
      <c r="N1079">
        <v>0.94347319347319347</v>
      </c>
      <c r="O1079">
        <v>9834479</v>
      </c>
      <c r="P1079">
        <v>50889</v>
      </c>
      <c r="Q1079">
        <v>2</v>
      </c>
      <c r="R1079">
        <v>151</v>
      </c>
      <c r="S1079" t="s">
        <v>846</v>
      </c>
      <c r="W1079">
        <f>Cancer_doubles_final2[[#This Row],[mlp_params]]</f>
        <v>50252</v>
      </c>
      <c r="X1079">
        <f>Cancer_doubles_final2[[#This Row],[kan_test_acc]]</f>
        <v>0.95629370874828756</v>
      </c>
      <c r="Y1079">
        <f>Cancer_doubles_final2[[#This Row],[mlp_test_acc]]</f>
        <v>0.94405594405594406</v>
      </c>
      <c r="Z1079">
        <f>Cancer_doubles_final2[[#This Row],[mlp_test_acc2]]</f>
        <v>0.94347319347319347</v>
      </c>
    </row>
    <row r="1080" spans="1:26" x14ac:dyDescent="0.25">
      <c r="A1080" t="s">
        <v>19</v>
      </c>
      <c r="B1080">
        <v>3</v>
      </c>
      <c r="C1080">
        <v>5</v>
      </c>
      <c r="D1080">
        <v>0</v>
      </c>
      <c r="E1080" t="s">
        <v>433</v>
      </c>
      <c r="F1080">
        <v>31102</v>
      </c>
      <c r="G1080">
        <v>44806114.708333336</v>
      </c>
      <c r="H1080">
        <v>0.97523310283819831</v>
      </c>
      <c r="I1080">
        <v>0.94871794871794868</v>
      </c>
      <c r="J1080">
        <v>10003555.625</v>
      </c>
      <c r="K1080">
        <v>61625</v>
      </c>
      <c r="L1080">
        <v>2</v>
      </c>
      <c r="M1080">
        <v>167</v>
      </c>
      <c r="N1080">
        <v>0.9443473193473193</v>
      </c>
      <c r="O1080">
        <v>9624825.875</v>
      </c>
      <c r="P1080">
        <v>62330</v>
      </c>
      <c r="Q1080">
        <v>2</v>
      </c>
      <c r="R1080">
        <v>168</v>
      </c>
      <c r="S1080" t="s">
        <v>847</v>
      </c>
      <c r="W1080">
        <f>Cancer_doubles_final2[[#This Row],[mlp_params]]</f>
        <v>61625</v>
      </c>
      <c r="X1080">
        <f>Cancer_doubles_final2[[#This Row],[kan_test_acc]]</f>
        <v>0.97523310283819831</v>
      </c>
      <c r="Y1080">
        <f>Cancer_doubles_final2[[#This Row],[mlp_test_acc]]</f>
        <v>0.94871794871794868</v>
      </c>
      <c r="Z1080">
        <f>Cancer_doubles_final2[[#This Row],[mlp_test_acc2]]</f>
        <v>0.9443473193473193</v>
      </c>
    </row>
    <row r="1081" spans="1:26" hidden="1" x14ac:dyDescent="0.25">
      <c r="A1081" t="s">
        <v>19</v>
      </c>
      <c r="B1081">
        <v>5</v>
      </c>
      <c r="C1081">
        <v>3</v>
      </c>
      <c r="D1081">
        <v>0</v>
      </c>
      <c r="E1081" t="s">
        <v>433</v>
      </c>
      <c r="F1081">
        <v>31102</v>
      </c>
      <c r="G1081">
        <v>47274713</v>
      </c>
      <c r="H1081">
        <v>0.96678321311871218</v>
      </c>
      <c r="I1081">
        <v>0.9417249417249417</v>
      </c>
      <c r="J1081">
        <v>9243801.208333334</v>
      </c>
      <c r="K1081">
        <v>50252</v>
      </c>
      <c r="L1081">
        <v>2</v>
      </c>
      <c r="M1081">
        <v>150</v>
      </c>
      <c r="N1081">
        <v>0.93385780885780889</v>
      </c>
      <c r="O1081">
        <v>9654665.625</v>
      </c>
      <c r="P1081">
        <v>50889</v>
      </c>
      <c r="Q1081">
        <v>2</v>
      </c>
      <c r="R1081">
        <v>151</v>
      </c>
      <c r="S1081" t="s">
        <v>846</v>
      </c>
      <c r="W1081">
        <f>Cancer_doubles_final2[[#This Row],[mlp_params]]</f>
        <v>50252</v>
      </c>
      <c r="X1081">
        <f>Cancer_doubles_final2[[#This Row],[kan_test_acc]]</f>
        <v>0.96678321311871218</v>
      </c>
      <c r="Y1081">
        <f>Cancer_doubles_final2[[#This Row],[mlp_test_acc]]</f>
        <v>0.9417249417249417</v>
      </c>
      <c r="Z1081">
        <f>Cancer_doubles_final2[[#This Row],[mlp_test_acc2]]</f>
        <v>0.93385780885780889</v>
      </c>
    </row>
    <row r="1082" spans="1:26" x14ac:dyDescent="0.25">
      <c r="A1082" t="s">
        <v>19</v>
      </c>
      <c r="B1082">
        <v>3</v>
      </c>
      <c r="C1082">
        <v>5</v>
      </c>
      <c r="D1082">
        <v>0</v>
      </c>
      <c r="E1082" t="s">
        <v>433</v>
      </c>
      <c r="F1082">
        <v>31102</v>
      </c>
      <c r="G1082">
        <v>51418640.666666664</v>
      </c>
      <c r="H1082">
        <v>0.94784381737311685</v>
      </c>
      <c r="I1082">
        <v>0.9417249417249417</v>
      </c>
      <c r="J1082">
        <v>10344319.75</v>
      </c>
      <c r="K1082">
        <v>61625</v>
      </c>
      <c r="L1082">
        <v>2</v>
      </c>
      <c r="M1082">
        <v>167</v>
      </c>
      <c r="N1082">
        <v>0.9364801864801866</v>
      </c>
      <c r="O1082">
        <v>10855165.916666666</v>
      </c>
      <c r="P1082">
        <v>62330</v>
      </c>
      <c r="Q1082">
        <v>2</v>
      </c>
      <c r="R1082">
        <v>168</v>
      </c>
      <c r="S1082" t="s">
        <v>847</v>
      </c>
      <c r="W1082">
        <f>Cancer_doubles_final2[[#This Row],[mlp_params]]</f>
        <v>61625</v>
      </c>
      <c r="X1082">
        <f>Cancer_doubles_final2[[#This Row],[kan_test_acc]]</f>
        <v>0.94784381737311685</v>
      </c>
      <c r="Y1082">
        <f>Cancer_doubles_final2[[#This Row],[mlp_test_acc]]</f>
        <v>0.9417249417249417</v>
      </c>
      <c r="Z1082">
        <f>Cancer_doubles_final2[[#This Row],[mlp_test_acc2]]</f>
        <v>0.9364801864801866</v>
      </c>
    </row>
    <row r="1083" spans="1:26" hidden="1" x14ac:dyDescent="0.25">
      <c r="A1083" t="s">
        <v>19</v>
      </c>
      <c r="B1083">
        <v>5</v>
      </c>
      <c r="C1083">
        <v>3</v>
      </c>
      <c r="D1083">
        <v>0</v>
      </c>
      <c r="E1083" t="s">
        <v>433</v>
      </c>
      <c r="F1083">
        <v>31102</v>
      </c>
      <c r="G1083">
        <v>48986259.375</v>
      </c>
      <c r="H1083">
        <v>0.93851981312036514</v>
      </c>
      <c r="I1083">
        <v>0.91783216783216781</v>
      </c>
      <c r="J1083">
        <v>10110135.5</v>
      </c>
      <c r="K1083">
        <v>50252</v>
      </c>
      <c r="L1083">
        <v>2</v>
      </c>
      <c r="M1083">
        <v>150</v>
      </c>
      <c r="N1083">
        <v>0.91520979020979021</v>
      </c>
      <c r="O1083">
        <v>10462178.041666666</v>
      </c>
      <c r="P1083">
        <v>50889</v>
      </c>
      <c r="Q1083">
        <v>2</v>
      </c>
      <c r="R1083">
        <v>151</v>
      </c>
      <c r="S1083" t="s">
        <v>846</v>
      </c>
      <c r="W1083">
        <f>Cancer_doubles_final2[[#This Row],[mlp_params]]</f>
        <v>50252</v>
      </c>
      <c r="X1083">
        <f>Cancer_doubles_final2[[#This Row],[kan_test_acc]]</f>
        <v>0.93851981312036514</v>
      </c>
      <c r="Y1083">
        <f>Cancer_doubles_final2[[#This Row],[mlp_test_acc]]</f>
        <v>0.91783216783216781</v>
      </c>
      <c r="Z1083">
        <f>Cancer_doubles_final2[[#This Row],[mlp_test_acc2]]</f>
        <v>0.91520979020979021</v>
      </c>
    </row>
    <row r="1084" spans="1:26" x14ac:dyDescent="0.25">
      <c r="A1084" t="s">
        <v>19</v>
      </c>
      <c r="B1084">
        <v>3</v>
      </c>
      <c r="C1084">
        <v>5</v>
      </c>
      <c r="D1084">
        <v>0</v>
      </c>
      <c r="E1084" t="s">
        <v>435</v>
      </c>
      <c r="F1084">
        <v>31106</v>
      </c>
      <c r="G1084">
        <v>49821783</v>
      </c>
      <c r="H1084">
        <v>0.949592078725497</v>
      </c>
      <c r="I1084">
        <v>0.91812354312354305</v>
      </c>
      <c r="J1084">
        <v>9248275.8333333321</v>
      </c>
      <c r="K1084">
        <v>61625</v>
      </c>
      <c r="L1084">
        <v>2</v>
      </c>
      <c r="M1084">
        <v>167</v>
      </c>
      <c r="N1084">
        <v>0.91491841491841497</v>
      </c>
      <c r="O1084">
        <v>8941688.5</v>
      </c>
      <c r="P1084">
        <v>62330</v>
      </c>
      <c r="Q1084">
        <v>2</v>
      </c>
      <c r="R1084">
        <v>168</v>
      </c>
      <c r="S1084" t="s">
        <v>848</v>
      </c>
      <c r="W1084">
        <f>Cancer_doubles_final2[[#This Row],[mlp_params]]</f>
        <v>61625</v>
      </c>
      <c r="X1084">
        <f>Cancer_doubles_final2[[#This Row],[kan_test_acc]]</f>
        <v>0.949592078725497</v>
      </c>
      <c r="Y1084">
        <f>Cancer_doubles_final2[[#This Row],[mlp_test_acc]]</f>
        <v>0.91812354312354305</v>
      </c>
      <c r="Z1084">
        <f>Cancer_doubles_final2[[#This Row],[mlp_test_acc2]]</f>
        <v>0.91491841491841497</v>
      </c>
    </row>
    <row r="1085" spans="1:26" hidden="1" x14ac:dyDescent="0.25">
      <c r="A1085" t="s">
        <v>19</v>
      </c>
      <c r="B1085">
        <v>5</v>
      </c>
      <c r="C1085">
        <v>3</v>
      </c>
      <c r="D1085">
        <v>0</v>
      </c>
      <c r="E1085" t="s">
        <v>435</v>
      </c>
      <c r="F1085">
        <v>31106</v>
      </c>
      <c r="G1085">
        <v>55188891.75</v>
      </c>
      <c r="H1085">
        <v>0.9583333283662796</v>
      </c>
      <c r="I1085">
        <v>0.94201631701631694</v>
      </c>
      <c r="J1085">
        <v>9474330.4166666679</v>
      </c>
      <c r="K1085">
        <v>50252</v>
      </c>
      <c r="L1085">
        <v>2</v>
      </c>
      <c r="M1085">
        <v>150</v>
      </c>
      <c r="N1085">
        <v>0.93618881118881125</v>
      </c>
      <c r="O1085">
        <v>9364185.291666666</v>
      </c>
      <c r="P1085">
        <v>50889</v>
      </c>
      <c r="Q1085">
        <v>2</v>
      </c>
      <c r="R1085">
        <v>151</v>
      </c>
      <c r="S1085" t="s">
        <v>849</v>
      </c>
      <c r="W1085">
        <f>Cancer_doubles_final2[[#This Row],[mlp_params]]</f>
        <v>50252</v>
      </c>
      <c r="X1085">
        <f>Cancer_doubles_final2[[#This Row],[kan_test_acc]]</f>
        <v>0.9583333283662796</v>
      </c>
      <c r="Y1085">
        <f>Cancer_doubles_final2[[#This Row],[mlp_test_acc]]</f>
        <v>0.94201631701631694</v>
      </c>
      <c r="Z1085">
        <f>Cancer_doubles_final2[[#This Row],[mlp_test_acc2]]</f>
        <v>0.93618881118881125</v>
      </c>
    </row>
    <row r="1086" spans="1:26" x14ac:dyDescent="0.25">
      <c r="A1086" t="s">
        <v>19</v>
      </c>
      <c r="B1086">
        <v>3</v>
      </c>
      <c r="C1086">
        <v>5</v>
      </c>
      <c r="D1086">
        <v>0</v>
      </c>
      <c r="E1086" t="s">
        <v>435</v>
      </c>
      <c r="F1086">
        <v>31106</v>
      </c>
      <c r="G1086">
        <v>54741944.375</v>
      </c>
      <c r="H1086">
        <v>0.96066432446241379</v>
      </c>
      <c r="I1086">
        <v>0.94259906759906764</v>
      </c>
      <c r="J1086">
        <v>9711658.25</v>
      </c>
      <c r="K1086">
        <v>61625</v>
      </c>
      <c r="L1086">
        <v>2</v>
      </c>
      <c r="M1086">
        <v>167</v>
      </c>
      <c r="N1086">
        <v>0.93764568764568768</v>
      </c>
      <c r="O1086">
        <v>10299891.541666666</v>
      </c>
      <c r="P1086">
        <v>62330</v>
      </c>
      <c r="Q1086">
        <v>2</v>
      </c>
      <c r="R1086">
        <v>168</v>
      </c>
      <c r="S1086" t="s">
        <v>848</v>
      </c>
      <c r="W1086">
        <f>Cancer_doubles_final2[[#This Row],[mlp_params]]</f>
        <v>61625</v>
      </c>
      <c r="X1086">
        <f>Cancer_doubles_final2[[#This Row],[kan_test_acc]]</f>
        <v>0.96066432446241379</v>
      </c>
      <c r="Y1086">
        <f>Cancer_doubles_final2[[#This Row],[mlp_test_acc]]</f>
        <v>0.94259906759906764</v>
      </c>
      <c r="Z1086">
        <f>Cancer_doubles_final2[[#This Row],[mlp_test_acc2]]</f>
        <v>0.93764568764568768</v>
      </c>
    </row>
    <row r="1087" spans="1:26" hidden="1" x14ac:dyDescent="0.25">
      <c r="A1087" t="s">
        <v>19</v>
      </c>
      <c r="B1087">
        <v>5</v>
      </c>
      <c r="C1087">
        <v>3</v>
      </c>
      <c r="D1087">
        <v>0</v>
      </c>
      <c r="E1087" t="s">
        <v>435</v>
      </c>
      <c r="F1087">
        <v>31106</v>
      </c>
      <c r="G1087">
        <v>53698389.291666664</v>
      </c>
      <c r="H1087">
        <v>0.95163169254859292</v>
      </c>
      <c r="I1087">
        <v>0.91754079254079257</v>
      </c>
      <c r="J1087">
        <v>9581716.6666666679</v>
      </c>
      <c r="K1087">
        <v>50252</v>
      </c>
      <c r="L1087">
        <v>2</v>
      </c>
      <c r="M1087">
        <v>150</v>
      </c>
      <c r="N1087">
        <v>0.91783216783216781</v>
      </c>
      <c r="O1087">
        <v>9784990.3333333321</v>
      </c>
      <c r="P1087">
        <v>50889</v>
      </c>
      <c r="Q1087">
        <v>2</v>
      </c>
      <c r="R1087">
        <v>151</v>
      </c>
      <c r="S1087" t="s">
        <v>849</v>
      </c>
      <c r="W1087">
        <f>Cancer_doubles_final2[[#This Row],[mlp_params]]</f>
        <v>50252</v>
      </c>
      <c r="X1087">
        <f>Cancer_doubles_final2[[#This Row],[kan_test_acc]]</f>
        <v>0.95163169254859292</v>
      </c>
      <c r="Y1087">
        <f>Cancer_doubles_final2[[#This Row],[mlp_test_acc]]</f>
        <v>0.91754079254079257</v>
      </c>
      <c r="Z1087">
        <f>Cancer_doubles_final2[[#This Row],[mlp_test_acc2]]</f>
        <v>0.91783216783216781</v>
      </c>
    </row>
    <row r="1088" spans="1:26" x14ac:dyDescent="0.25">
      <c r="A1088" t="s">
        <v>19</v>
      </c>
      <c r="B1088">
        <v>3</v>
      </c>
      <c r="C1088">
        <v>5</v>
      </c>
      <c r="D1088">
        <v>0</v>
      </c>
      <c r="E1088" t="s">
        <v>437</v>
      </c>
      <c r="F1088">
        <v>31112</v>
      </c>
      <c r="G1088">
        <v>46988473.291666664</v>
      </c>
      <c r="H1088">
        <v>0.96299532800912857</v>
      </c>
      <c r="I1088">
        <v>0.9157925407925408</v>
      </c>
      <c r="J1088">
        <v>9660368.25</v>
      </c>
      <c r="K1088">
        <v>61625</v>
      </c>
      <c r="L1088">
        <v>2</v>
      </c>
      <c r="M1088">
        <v>167</v>
      </c>
      <c r="N1088">
        <v>0.91550116550116556</v>
      </c>
      <c r="O1088">
        <v>8974946.75</v>
      </c>
      <c r="P1088">
        <v>62330</v>
      </c>
      <c r="Q1088">
        <v>2</v>
      </c>
      <c r="R1088">
        <v>168</v>
      </c>
      <c r="S1088" t="s">
        <v>850</v>
      </c>
      <c r="W1088">
        <f>Cancer_doubles_final2[[#This Row],[mlp_params]]</f>
        <v>61625</v>
      </c>
      <c r="X1088">
        <f>Cancer_doubles_final2[[#This Row],[kan_test_acc]]</f>
        <v>0.96299532800912857</v>
      </c>
      <c r="Y1088">
        <f>Cancer_doubles_final2[[#This Row],[mlp_test_acc]]</f>
        <v>0.9157925407925408</v>
      </c>
      <c r="Z1088">
        <f>Cancer_doubles_final2[[#This Row],[mlp_test_acc2]]</f>
        <v>0.91550116550116556</v>
      </c>
    </row>
    <row r="1089" spans="1:26" hidden="1" x14ac:dyDescent="0.25">
      <c r="A1089" t="s">
        <v>19</v>
      </c>
      <c r="B1089">
        <v>5</v>
      </c>
      <c r="C1089">
        <v>3</v>
      </c>
      <c r="D1089">
        <v>0</v>
      </c>
      <c r="E1089" t="s">
        <v>437</v>
      </c>
      <c r="F1089">
        <v>31112</v>
      </c>
      <c r="G1089">
        <v>44894981.041666664</v>
      </c>
      <c r="H1089">
        <v>0.97435896595319116</v>
      </c>
      <c r="I1089">
        <v>0.93939393939393945</v>
      </c>
      <c r="J1089">
        <v>9576606.4583333321</v>
      </c>
      <c r="K1089">
        <v>50252</v>
      </c>
      <c r="L1089">
        <v>2</v>
      </c>
      <c r="M1089">
        <v>150</v>
      </c>
      <c r="N1089">
        <v>0.93414918414918424</v>
      </c>
      <c r="O1089">
        <v>9343999.166666666</v>
      </c>
      <c r="P1089">
        <v>50889</v>
      </c>
      <c r="Q1089">
        <v>2</v>
      </c>
      <c r="R1089">
        <v>151</v>
      </c>
      <c r="S1089" t="s">
        <v>851</v>
      </c>
      <c r="W1089">
        <f>Cancer_doubles_final2[[#This Row],[mlp_params]]</f>
        <v>50252</v>
      </c>
      <c r="X1089">
        <f>Cancer_doubles_final2[[#This Row],[kan_test_acc]]</f>
        <v>0.97435896595319116</v>
      </c>
      <c r="Y1089">
        <f>Cancer_doubles_final2[[#This Row],[mlp_test_acc]]</f>
        <v>0.93939393939393945</v>
      </c>
      <c r="Z1089">
        <f>Cancer_doubles_final2[[#This Row],[mlp_test_acc2]]</f>
        <v>0.93414918414918424</v>
      </c>
    </row>
    <row r="1090" spans="1:26" x14ac:dyDescent="0.25">
      <c r="A1090" t="s">
        <v>19</v>
      </c>
      <c r="B1090">
        <v>3</v>
      </c>
      <c r="C1090">
        <v>5</v>
      </c>
      <c r="D1090">
        <v>0</v>
      </c>
      <c r="E1090" t="s">
        <v>437</v>
      </c>
      <c r="F1090">
        <v>31112</v>
      </c>
      <c r="G1090">
        <v>48133288.625</v>
      </c>
      <c r="H1090">
        <v>0.9583333283662796</v>
      </c>
      <c r="I1090">
        <v>0.93735431235431244</v>
      </c>
      <c r="J1090">
        <v>9341694.5</v>
      </c>
      <c r="K1090">
        <v>61625</v>
      </c>
      <c r="L1090">
        <v>2</v>
      </c>
      <c r="M1090">
        <v>167</v>
      </c>
      <c r="N1090">
        <v>0.93648018648018649</v>
      </c>
      <c r="O1090">
        <v>10038578.125</v>
      </c>
      <c r="P1090">
        <v>62330</v>
      </c>
      <c r="Q1090">
        <v>2</v>
      </c>
      <c r="R1090">
        <v>168</v>
      </c>
      <c r="S1090" t="s">
        <v>850</v>
      </c>
      <c r="W1090">
        <f>Cancer_doubles_final2[[#This Row],[mlp_params]]</f>
        <v>61625</v>
      </c>
      <c r="X1090">
        <f>Cancer_doubles_final2[[#This Row],[kan_test_acc]]</f>
        <v>0.9583333283662796</v>
      </c>
      <c r="Y1090">
        <f>Cancer_doubles_final2[[#This Row],[mlp_test_acc]]</f>
        <v>0.93735431235431244</v>
      </c>
      <c r="Z1090">
        <f>Cancer_doubles_final2[[#This Row],[mlp_test_acc2]]</f>
        <v>0.93648018648018649</v>
      </c>
    </row>
    <row r="1091" spans="1:26" hidden="1" x14ac:dyDescent="0.25">
      <c r="A1091" t="s">
        <v>19</v>
      </c>
      <c r="B1091">
        <v>5</v>
      </c>
      <c r="C1091">
        <v>3</v>
      </c>
      <c r="D1091">
        <v>0</v>
      </c>
      <c r="E1091" t="s">
        <v>437</v>
      </c>
      <c r="F1091">
        <v>31112</v>
      </c>
      <c r="G1091">
        <v>48884284.208333328</v>
      </c>
      <c r="H1091">
        <v>0.94318182021379471</v>
      </c>
      <c r="I1091">
        <v>0.91666666666666674</v>
      </c>
      <c r="J1091">
        <v>8411919.416666666</v>
      </c>
      <c r="K1091">
        <v>50252</v>
      </c>
      <c r="L1091">
        <v>2</v>
      </c>
      <c r="M1091">
        <v>150</v>
      </c>
      <c r="N1091">
        <v>0.91812354312354305</v>
      </c>
      <c r="O1091">
        <v>10100498.166666668</v>
      </c>
      <c r="P1091">
        <v>50889</v>
      </c>
      <c r="Q1091">
        <v>2</v>
      </c>
      <c r="R1091">
        <v>151</v>
      </c>
      <c r="S1091" t="s">
        <v>851</v>
      </c>
      <c r="W1091">
        <f>Cancer_doubles_final2[[#This Row],[mlp_params]]</f>
        <v>50252</v>
      </c>
      <c r="X1091">
        <f>Cancer_doubles_final2[[#This Row],[kan_test_acc]]</f>
        <v>0.94318182021379471</v>
      </c>
      <c r="Y1091">
        <f>Cancer_doubles_final2[[#This Row],[mlp_test_acc]]</f>
        <v>0.91666666666666674</v>
      </c>
      <c r="Z1091">
        <f>Cancer_doubles_final2[[#This Row],[mlp_test_acc2]]</f>
        <v>0.91812354312354305</v>
      </c>
    </row>
    <row r="1092" spans="1:26" hidden="1" x14ac:dyDescent="0.25">
      <c r="A1092" t="s">
        <v>19</v>
      </c>
      <c r="B1092">
        <v>5</v>
      </c>
      <c r="C1092">
        <v>5</v>
      </c>
      <c r="D1092">
        <v>0</v>
      </c>
      <c r="E1092" t="s">
        <v>272</v>
      </c>
      <c r="F1092">
        <v>31118</v>
      </c>
      <c r="G1092">
        <v>42630872.75</v>
      </c>
      <c r="H1092">
        <v>0.90996503581603361</v>
      </c>
      <c r="I1092">
        <v>0.91200466200466201</v>
      </c>
      <c r="J1092">
        <v>8131525.916666667</v>
      </c>
      <c r="K1092">
        <v>56802</v>
      </c>
      <c r="L1092">
        <v>2</v>
      </c>
      <c r="M1092">
        <v>160</v>
      </c>
      <c r="N1092">
        <v>0.91346153846153855</v>
      </c>
      <c r="O1092">
        <v>9910654.625</v>
      </c>
      <c r="P1092">
        <v>57479</v>
      </c>
      <c r="Q1092">
        <v>2</v>
      </c>
      <c r="R1092">
        <v>161</v>
      </c>
      <c r="S1092" t="s">
        <v>852</v>
      </c>
      <c r="W1092">
        <f>Cancer_doubles_final2[[#This Row],[mlp_params]]</f>
        <v>56802</v>
      </c>
      <c r="X1092">
        <f>Cancer_doubles_final2[[#This Row],[kan_test_acc]]</f>
        <v>0.90996503581603361</v>
      </c>
      <c r="Y1092">
        <f>Cancer_doubles_final2[[#This Row],[mlp_test_acc]]</f>
        <v>0.91200466200466201</v>
      </c>
      <c r="Z1092">
        <f>Cancer_doubles_final2[[#This Row],[mlp_test_acc2]]</f>
        <v>0.91346153846153855</v>
      </c>
    </row>
    <row r="1093" spans="1:26" hidden="1" x14ac:dyDescent="0.25">
      <c r="A1093" t="s">
        <v>19</v>
      </c>
      <c r="B1093">
        <v>5</v>
      </c>
      <c r="C1093">
        <v>5</v>
      </c>
      <c r="D1093">
        <v>0</v>
      </c>
      <c r="E1093" t="s">
        <v>274</v>
      </c>
      <c r="F1093">
        <v>31120</v>
      </c>
      <c r="G1093">
        <v>42609376.25</v>
      </c>
      <c r="H1093">
        <v>0.90326339999834693</v>
      </c>
      <c r="I1093">
        <v>0.93473193473193472</v>
      </c>
      <c r="J1093">
        <v>9331651.8888888899</v>
      </c>
      <c r="K1093">
        <v>56802</v>
      </c>
      <c r="L1093">
        <v>2</v>
      </c>
      <c r="M1093">
        <v>160</v>
      </c>
      <c r="N1093">
        <v>0.93706293706293708</v>
      </c>
      <c r="O1093">
        <v>10175286.916666668</v>
      </c>
      <c r="P1093">
        <v>57479</v>
      </c>
      <c r="Q1093">
        <v>2</v>
      </c>
      <c r="R1093">
        <v>161</v>
      </c>
      <c r="S1093" t="s">
        <v>853</v>
      </c>
      <c r="W1093">
        <f>Cancer_doubles_final2[[#This Row],[mlp_params]]</f>
        <v>56802</v>
      </c>
      <c r="X1093">
        <f>Cancer_doubles_final2[[#This Row],[kan_test_acc]]</f>
        <v>0.90326339999834693</v>
      </c>
      <c r="Y1093">
        <f>Cancer_doubles_final2[[#This Row],[mlp_test_acc]]</f>
        <v>0.93473193473193472</v>
      </c>
      <c r="Z1093">
        <f>Cancer_doubles_final2[[#This Row],[mlp_test_acc2]]</f>
        <v>0.93706293706293708</v>
      </c>
    </row>
    <row r="1094" spans="1:26" hidden="1" x14ac:dyDescent="0.25">
      <c r="A1094" t="s">
        <v>19</v>
      </c>
      <c r="B1094">
        <v>9</v>
      </c>
      <c r="C1094">
        <v>2</v>
      </c>
      <c r="D1094">
        <v>0</v>
      </c>
      <c r="E1094" t="s">
        <v>225</v>
      </c>
      <c r="F1094">
        <v>31148</v>
      </c>
      <c r="G1094">
        <v>39018128.472222224</v>
      </c>
      <c r="H1094">
        <v>0.92229991820123458</v>
      </c>
      <c r="I1094">
        <v>0.93142968142968141</v>
      </c>
      <c r="J1094">
        <v>9103924.444444444</v>
      </c>
      <c r="K1094">
        <v>41754</v>
      </c>
      <c r="L1094">
        <v>2</v>
      </c>
      <c r="M1094">
        <v>136</v>
      </c>
      <c r="N1094">
        <v>0.93162393162393164</v>
      </c>
      <c r="O1094">
        <v>10130539.111111112</v>
      </c>
      <c r="P1094">
        <v>42335</v>
      </c>
      <c r="Q1094">
        <v>2</v>
      </c>
      <c r="R1094">
        <v>137</v>
      </c>
      <c r="S1094" t="s">
        <v>854</v>
      </c>
      <c r="W1094">
        <f>Cancer_doubles_final2[[#This Row],[mlp_params]]</f>
        <v>41754</v>
      </c>
      <c r="X1094">
        <f>Cancer_doubles_final2[[#This Row],[kan_test_acc]]</f>
        <v>0.92229991820123458</v>
      </c>
      <c r="Y1094">
        <f>Cancer_doubles_final2[[#This Row],[mlp_test_acc]]</f>
        <v>0.93142968142968141</v>
      </c>
      <c r="Z1094">
        <f>Cancer_doubles_final2[[#This Row],[mlp_test_acc2]]</f>
        <v>0.93162393162393164</v>
      </c>
    </row>
    <row r="1095" spans="1:26" hidden="1" x14ac:dyDescent="0.25">
      <c r="A1095" t="s">
        <v>19</v>
      </c>
      <c r="B1095">
        <v>3</v>
      </c>
      <c r="C1095">
        <v>4</v>
      </c>
      <c r="D1095">
        <v>0</v>
      </c>
      <c r="E1095" t="s">
        <v>550</v>
      </c>
      <c r="F1095">
        <v>31174</v>
      </c>
      <c r="G1095">
        <v>34076870.55555556</v>
      </c>
      <c r="H1095">
        <v>0.93997669054402244</v>
      </c>
      <c r="I1095">
        <v>0.92365967365967361</v>
      </c>
      <c r="J1095">
        <v>8970922.6111111101</v>
      </c>
      <c r="K1095">
        <v>58845</v>
      </c>
      <c r="L1095">
        <v>2</v>
      </c>
      <c r="M1095">
        <v>163</v>
      </c>
      <c r="N1095">
        <v>0.92327117327117325</v>
      </c>
      <c r="O1095">
        <v>9928871.083333334</v>
      </c>
      <c r="P1095">
        <v>59534</v>
      </c>
      <c r="Q1095">
        <v>2</v>
      </c>
      <c r="R1095">
        <v>164</v>
      </c>
      <c r="S1095" t="s">
        <v>855</v>
      </c>
      <c r="W1095">
        <f>Cancer_doubles_final2[[#This Row],[mlp_params]]</f>
        <v>58845</v>
      </c>
      <c r="X1095">
        <f>Cancer_doubles_final2[[#This Row],[kan_test_acc]]</f>
        <v>0.93997669054402244</v>
      </c>
      <c r="Y1095">
        <f>Cancer_doubles_final2[[#This Row],[mlp_test_acc]]</f>
        <v>0.92365967365967361</v>
      </c>
      <c r="Z1095">
        <f>Cancer_doubles_final2[[#This Row],[mlp_test_acc2]]</f>
        <v>0.92327117327117325</v>
      </c>
    </row>
    <row r="1096" spans="1:26" hidden="1" x14ac:dyDescent="0.25">
      <c r="A1096" t="s">
        <v>19</v>
      </c>
      <c r="B1096">
        <v>5</v>
      </c>
      <c r="C1096">
        <v>2</v>
      </c>
      <c r="D1096">
        <v>0</v>
      </c>
      <c r="E1096" t="s">
        <v>550</v>
      </c>
      <c r="F1096">
        <v>31174</v>
      </c>
      <c r="G1096">
        <v>40487029.791666672</v>
      </c>
      <c r="H1096">
        <v>0.97115384290615725</v>
      </c>
      <c r="I1096">
        <v>0.9443473193473193</v>
      </c>
      <c r="J1096">
        <v>8890073.041666666</v>
      </c>
      <c r="K1096">
        <v>46514</v>
      </c>
      <c r="L1096">
        <v>2</v>
      </c>
      <c r="M1096">
        <v>144</v>
      </c>
      <c r="N1096">
        <v>0.94085081585081587</v>
      </c>
      <c r="O1096">
        <v>9280087.5</v>
      </c>
      <c r="P1096">
        <v>47127</v>
      </c>
      <c r="Q1096">
        <v>2</v>
      </c>
      <c r="R1096">
        <v>145</v>
      </c>
      <c r="S1096" t="s">
        <v>856</v>
      </c>
      <c r="W1096">
        <f>Cancer_doubles_final2[[#This Row],[mlp_params]]</f>
        <v>46514</v>
      </c>
      <c r="X1096">
        <f>Cancer_doubles_final2[[#This Row],[kan_test_acc]]</f>
        <v>0.97115384290615725</v>
      </c>
      <c r="Y1096">
        <f>Cancer_doubles_final2[[#This Row],[mlp_test_acc]]</f>
        <v>0.9443473193473193</v>
      </c>
      <c r="Z1096">
        <f>Cancer_doubles_final2[[#This Row],[mlp_test_acc2]]</f>
        <v>0.94085081585081587</v>
      </c>
    </row>
    <row r="1097" spans="1:26" hidden="1" x14ac:dyDescent="0.25">
      <c r="A1097" t="s">
        <v>19</v>
      </c>
      <c r="B1097">
        <v>3</v>
      </c>
      <c r="C1097">
        <v>4</v>
      </c>
      <c r="D1097">
        <v>0</v>
      </c>
      <c r="E1097" t="s">
        <v>550</v>
      </c>
      <c r="F1097">
        <v>31174</v>
      </c>
      <c r="G1097">
        <v>41646234.458333328</v>
      </c>
      <c r="H1097">
        <v>0.96940558403730392</v>
      </c>
      <c r="I1097">
        <v>0.9306526806526807</v>
      </c>
      <c r="J1097">
        <v>9306799.9583333321</v>
      </c>
      <c r="K1097">
        <v>58845</v>
      </c>
      <c r="L1097">
        <v>2</v>
      </c>
      <c r="M1097">
        <v>163</v>
      </c>
      <c r="N1097">
        <v>0.92803030303030309</v>
      </c>
      <c r="O1097">
        <v>9174540.5</v>
      </c>
      <c r="P1097">
        <v>59534</v>
      </c>
      <c r="Q1097">
        <v>2</v>
      </c>
      <c r="R1097">
        <v>164</v>
      </c>
      <c r="S1097" t="s">
        <v>855</v>
      </c>
      <c r="W1097">
        <f>Cancer_doubles_final2[[#This Row],[mlp_params]]</f>
        <v>58845</v>
      </c>
      <c r="X1097">
        <f>Cancer_doubles_final2[[#This Row],[kan_test_acc]]</f>
        <v>0.96940558403730392</v>
      </c>
      <c r="Y1097">
        <f>Cancer_doubles_final2[[#This Row],[mlp_test_acc]]</f>
        <v>0.9306526806526807</v>
      </c>
      <c r="Z1097">
        <f>Cancer_doubles_final2[[#This Row],[mlp_test_acc2]]</f>
        <v>0.92803030303030309</v>
      </c>
    </row>
    <row r="1098" spans="1:26" hidden="1" x14ac:dyDescent="0.25">
      <c r="A1098" t="s">
        <v>19</v>
      </c>
      <c r="B1098">
        <v>5</v>
      </c>
      <c r="C1098">
        <v>2</v>
      </c>
      <c r="D1098">
        <v>0</v>
      </c>
      <c r="E1098" t="s">
        <v>550</v>
      </c>
      <c r="F1098">
        <v>31174</v>
      </c>
      <c r="G1098">
        <v>36978260.041666664</v>
      </c>
      <c r="H1098">
        <v>0.95979020247856783</v>
      </c>
      <c r="I1098">
        <v>0.91287878787878785</v>
      </c>
      <c r="J1098">
        <v>9180864.916666666</v>
      </c>
      <c r="K1098">
        <v>46514</v>
      </c>
      <c r="L1098">
        <v>2</v>
      </c>
      <c r="M1098">
        <v>144</v>
      </c>
      <c r="N1098">
        <v>0.90705128205128216</v>
      </c>
      <c r="O1098">
        <v>9537058.0833333321</v>
      </c>
      <c r="P1098">
        <v>47127</v>
      </c>
      <c r="Q1098">
        <v>2</v>
      </c>
      <c r="R1098">
        <v>145</v>
      </c>
      <c r="S1098" t="s">
        <v>856</v>
      </c>
      <c r="W1098">
        <f>Cancer_doubles_final2[[#This Row],[mlp_params]]</f>
        <v>46514</v>
      </c>
      <c r="X1098">
        <f>Cancer_doubles_final2[[#This Row],[kan_test_acc]]</f>
        <v>0.95979020247856783</v>
      </c>
      <c r="Y1098">
        <f>Cancer_doubles_final2[[#This Row],[mlp_test_acc]]</f>
        <v>0.91287878787878785</v>
      </c>
      <c r="Z1098">
        <f>Cancer_doubles_final2[[#This Row],[mlp_test_acc2]]</f>
        <v>0.90705128205128216</v>
      </c>
    </row>
    <row r="1099" spans="1:26" hidden="1" x14ac:dyDescent="0.25">
      <c r="A1099" t="s">
        <v>19</v>
      </c>
      <c r="B1099">
        <v>5</v>
      </c>
      <c r="C1099">
        <v>4</v>
      </c>
      <c r="D1099">
        <v>0</v>
      </c>
      <c r="E1099" t="s">
        <v>341</v>
      </c>
      <c r="F1099">
        <v>31186</v>
      </c>
      <c r="G1099">
        <v>35217478.333333336</v>
      </c>
      <c r="H1099">
        <v>0.95104895532131195</v>
      </c>
      <c r="I1099">
        <v>0.92569930069930062</v>
      </c>
      <c r="J1099">
        <v>10564089.291666666</v>
      </c>
      <c r="K1099">
        <v>54134</v>
      </c>
      <c r="L1099">
        <v>2</v>
      </c>
      <c r="M1099">
        <v>156</v>
      </c>
      <c r="N1099">
        <v>0.91928904428904423</v>
      </c>
      <c r="O1099">
        <v>9822007.375</v>
      </c>
      <c r="P1099">
        <v>54795</v>
      </c>
      <c r="Q1099">
        <v>2</v>
      </c>
      <c r="R1099">
        <v>157</v>
      </c>
      <c r="S1099" t="s">
        <v>857</v>
      </c>
      <c r="W1099">
        <f>Cancer_doubles_final2[[#This Row],[mlp_params]]</f>
        <v>54134</v>
      </c>
      <c r="X1099">
        <f>Cancer_doubles_final2[[#This Row],[kan_test_acc]]</f>
        <v>0.95104895532131195</v>
      </c>
      <c r="Y1099">
        <f>Cancer_doubles_final2[[#This Row],[mlp_test_acc]]</f>
        <v>0.92569930069930062</v>
      </c>
      <c r="Z1099">
        <f>Cancer_doubles_final2[[#This Row],[mlp_test_acc2]]</f>
        <v>0.91928904428904423</v>
      </c>
    </row>
    <row r="1100" spans="1:26" x14ac:dyDescent="0.25">
      <c r="A1100" t="s">
        <v>19</v>
      </c>
      <c r="B1100">
        <v>3</v>
      </c>
      <c r="C1100">
        <v>5</v>
      </c>
      <c r="D1100">
        <v>0</v>
      </c>
      <c r="E1100" t="s">
        <v>439</v>
      </c>
      <c r="F1100">
        <v>31192</v>
      </c>
      <c r="G1100">
        <v>43024481.4375</v>
      </c>
      <c r="H1100">
        <v>0.94696969538927078</v>
      </c>
      <c r="I1100">
        <v>0.94099650349650354</v>
      </c>
      <c r="J1100">
        <v>9963646.8125</v>
      </c>
      <c r="K1100">
        <v>61625</v>
      </c>
      <c r="L1100">
        <v>2</v>
      </c>
      <c r="M1100">
        <v>167</v>
      </c>
      <c r="N1100">
        <v>0.9391025641025641</v>
      </c>
      <c r="O1100">
        <v>9792418.916666666</v>
      </c>
      <c r="P1100">
        <v>62330</v>
      </c>
      <c r="Q1100">
        <v>2</v>
      </c>
      <c r="R1100">
        <v>168</v>
      </c>
      <c r="S1100" t="s">
        <v>858</v>
      </c>
      <c r="W1100">
        <f>Cancer_doubles_final2[[#This Row],[mlp_params]]</f>
        <v>61625</v>
      </c>
      <c r="X1100">
        <f>Cancer_doubles_final2[[#This Row],[kan_test_acc]]</f>
        <v>0.94696969538927078</v>
      </c>
      <c r="Y1100">
        <f>Cancer_doubles_final2[[#This Row],[mlp_test_acc]]</f>
        <v>0.94099650349650354</v>
      </c>
      <c r="Z1100">
        <f>Cancer_doubles_final2[[#This Row],[mlp_test_acc2]]</f>
        <v>0.9391025641025641</v>
      </c>
    </row>
    <row r="1101" spans="1:26" hidden="1" x14ac:dyDescent="0.25">
      <c r="A1101" t="s">
        <v>19</v>
      </c>
      <c r="B1101">
        <v>5</v>
      </c>
      <c r="C1101">
        <v>3</v>
      </c>
      <c r="D1101">
        <v>0</v>
      </c>
      <c r="E1101" t="s">
        <v>439</v>
      </c>
      <c r="F1101">
        <v>31192</v>
      </c>
      <c r="G1101">
        <v>48295477.875</v>
      </c>
      <c r="H1101">
        <v>0.97086246311664581</v>
      </c>
      <c r="I1101">
        <v>0.93851981351981362</v>
      </c>
      <c r="J1101">
        <v>9303218.25</v>
      </c>
      <c r="K1101">
        <v>50889</v>
      </c>
      <c r="L1101">
        <v>2</v>
      </c>
      <c r="M1101">
        <v>151</v>
      </c>
      <c r="N1101">
        <v>0.93414918414918413</v>
      </c>
      <c r="O1101">
        <v>9334393.375</v>
      </c>
      <c r="P1101">
        <v>51530</v>
      </c>
      <c r="Q1101">
        <v>2</v>
      </c>
      <c r="R1101">
        <v>152</v>
      </c>
      <c r="S1101" t="s">
        <v>859</v>
      </c>
      <c r="W1101">
        <f>Cancer_doubles_final2[[#This Row],[mlp_params]]</f>
        <v>50889</v>
      </c>
      <c r="X1101">
        <f>Cancer_doubles_final2[[#This Row],[kan_test_acc]]</f>
        <v>0.97086246311664581</v>
      </c>
      <c r="Y1101">
        <f>Cancer_doubles_final2[[#This Row],[mlp_test_acc]]</f>
        <v>0.93851981351981362</v>
      </c>
      <c r="Z1101">
        <f>Cancer_doubles_final2[[#This Row],[mlp_test_acc2]]</f>
        <v>0.93414918414918413</v>
      </c>
    </row>
    <row r="1102" spans="1:26" x14ac:dyDescent="0.25">
      <c r="A1102" t="s">
        <v>19</v>
      </c>
      <c r="B1102">
        <v>3</v>
      </c>
      <c r="C1102">
        <v>5</v>
      </c>
      <c r="D1102">
        <v>0</v>
      </c>
      <c r="E1102" t="s">
        <v>439</v>
      </c>
      <c r="F1102">
        <v>31192</v>
      </c>
      <c r="G1102">
        <v>49186480.75</v>
      </c>
      <c r="H1102">
        <v>0.96095570921897888</v>
      </c>
      <c r="I1102">
        <v>0.9396853146853148</v>
      </c>
      <c r="J1102">
        <v>10385199.333333332</v>
      </c>
      <c r="K1102">
        <v>61625</v>
      </c>
      <c r="L1102">
        <v>2</v>
      </c>
      <c r="M1102">
        <v>167</v>
      </c>
      <c r="N1102">
        <v>0.93764568764568768</v>
      </c>
      <c r="O1102">
        <v>10108276</v>
      </c>
      <c r="P1102">
        <v>62330</v>
      </c>
      <c r="Q1102">
        <v>2</v>
      </c>
      <c r="R1102">
        <v>168</v>
      </c>
      <c r="S1102" t="s">
        <v>858</v>
      </c>
      <c r="W1102">
        <f>Cancer_doubles_final2[[#This Row],[mlp_params]]</f>
        <v>61625</v>
      </c>
      <c r="X1102">
        <f>Cancer_doubles_final2[[#This Row],[kan_test_acc]]</f>
        <v>0.96095570921897888</v>
      </c>
      <c r="Y1102">
        <f>Cancer_doubles_final2[[#This Row],[mlp_test_acc]]</f>
        <v>0.9396853146853148</v>
      </c>
      <c r="Z1102">
        <f>Cancer_doubles_final2[[#This Row],[mlp_test_acc2]]</f>
        <v>0.93764568764568768</v>
      </c>
    </row>
    <row r="1103" spans="1:26" hidden="1" x14ac:dyDescent="0.25">
      <c r="A1103" t="s">
        <v>19</v>
      </c>
      <c r="B1103">
        <v>5</v>
      </c>
      <c r="C1103">
        <v>3</v>
      </c>
      <c r="D1103">
        <v>0</v>
      </c>
      <c r="E1103" t="s">
        <v>439</v>
      </c>
      <c r="F1103">
        <v>31192</v>
      </c>
      <c r="G1103">
        <v>48699986.791666672</v>
      </c>
      <c r="H1103">
        <v>0.94551281879345583</v>
      </c>
      <c r="I1103">
        <v>0.91520979020979021</v>
      </c>
      <c r="J1103">
        <v>10353557.791666668</v>
      </c>
      <c r="K1103">
        <v>50889</v>
      </c>
      <c r="L1103">
        <v>2</v>
      </c>
      <c r="M1103">
        <v>151</v>
      </c>
      <c r="N1103">
        <v>0.91491841491841497</v>
      </c>
      <c r="O1103">
        <v>9554592.2916666679</v>
      </c>
      <c r="P1103">
        <v>51530</v>
      </c>
      <c r="Q1103">
        <v>2</v>
      </c>
      <c r="R1103">
        <v>152</v>
      </c>
      <c r="S1103" t="s">
        <v>859</v>
      </c>
      <c r="W1103">
        <f>Cancer_doubles_final2[[#This Row],[mlp_params]]</f>
        <v>50889</v>
      </c>
      <c r="X1103">
        <f>Cancer_doubles_final2[[#This Row],[kan_test_acc]]</f>
        <v>0.94551281879345583</v>
      </c>
      <c r="Y1103">
        <f>Cancer_doubles_final2[[#This Row],[mlp_test_acc]]</f>
        <v>0.91520979020979021</v>
      </c>
      <c r="Z1103">
        <f>Cancer_doubles_final2[[#This Row],[mlp_test_acc2]]</f>
        <v>0.91491841491841497</v>
      </c>
    </row>
    <row r="1104" spans="1:26" hidden="1" x14ac:dyDescent="0.25">
      <c r="A1104" t="s">
        <v>19</v>
      </c>
      <c r="B1104">
        <v>3</v>
      </c>
      <c r="C1104">
        <v>3</v>
      </c>
      <c r="D1104">
        <v>0</v>
      </c>
      <c r="E1104" t="s">
        <v>697</v>
      </c>
      <c r="F1104">
        <v>31238</v>
      </c>
      <c r="G1104">
        <v>43551399.291666672</v>
      </c>
      <c r="H1104">
        <v>0.96153846383094788</v>
      </c>
      <c r="I1104">
        <v>0.91987179487179493</v>
      </c>
      <c r="J1104">
        <v>9005094.458333334</v>
      </c>
      <c r="K1104">
        <v>54795</v>
      </c>
      <c r="L1104">
        <v>2</v>
      </c>
      <c r="M1104">
        <v>157</v>
      </c>
      <c r="N1104">
        <v>0.91666666666666674</v>
      </c>
      <c r="O1104">
        <v>8382219.875</v>
      </c>
      <c r="P1104">
        <v>55460</v>
      </c>
      <c r="Q1104">
        <v>2</v>
      </c>
      <c r="R1104">
        <v>158</v>
      </c>
      <c r="S1104" t="s">
        <v>860</v>
      </c>
      <c r="W1104">
        <f>Cancer_doubles_final2[[#This Row],[mlp_params]]</f>
        <v>54795</v>
      </c>
      <c r="X1104">
        <f>Cancer_doubles_final2[[#This Row],[kan_test_acc]]</f>
        <v>0.96153846383094788</v>
      </c>
      <c r="Y1104">
        <f>Cancer_doubles_final2[[#This Row],[mlp_test_acc]]</f>
        <v>0.91987179487179493</v>
      </c>
      <c r="Z1104">
        <f>Cancer_doubles_final2[[#This Row],[mlp_test_acc2]]</f>
        <v>0.91666666666666674</v>
      </c>
    </row>
    <row r="1105" spans="1:26" hidden="1" x14ac:dyDescent="0.25">
      <c r="A1105" t="s">
        <v>19</v>
      </c>
      <c r="B1105">
        <v>5</v>
      </c>
      <c r="C1105">
        <v>4</v>
      </c>
      <c r="D1105">
        <v>0</v>
      </c>
      <c r="E1105" t="s">
        <v>345</v>
      </c>
      <c r="F1105">
        <v>31278</v>
      </c>
      <c r="G1105">
        <v>43984339.5</v>
      </c>
      <c r="H1105">
        <v>0.96328670945432449</v>
      </c>
      <c r="I1105">
        <v>0.93123543123543118</v>
      </c>
      <c r="J1105">
        <v>8924715.333333334</v>
      </c>
      <c r="K1105">
        <v>54134</v>
      </c>
      <c r="L1105">
        <v>2</v>
      </c>
      <c r="M1105">
        <v>156</v>
      </c>
      <c r="N1105">
        <v>0.932012432012432</v>
      </c>
      <c r="O1105">
        <v>8835558.6388888881</v>
      </c>
      <c r="P1105">
        <v>54795</v>
      </c>
      <c r="Q1105">
        <v>2</v>
      </c>
      <c r="R1105">
        <v>157</v>
      </c>
      <c r="S1105" t="s">
        <v>861</v>
      </c>
      <c r="W1105">
        <f>Cancer_doubles_final2[[#This Row],[mlp_params]]</f>
        <v>54134</v>
      </c>
      <c r="X1105">
        <f>Cancer_doubles_final2[[#This Row],[kan_test_acc]]</f>
        <v>0.96328670945432449</v>
      </c>
      <c r="Y1105">
        <f>Cancer_doubles_final2[[#This Row],[mlp_test_acc]]</f>
        <v>0.93123543123543118</v>
      </c>
      <c r="Z1105">
        <f>Cancer_doubles_final2[[#This Row],[mlp_test_acc2]]</f>
        <v>0.932012432012432</v>
      </c>
    </row>
    <row r="1106" spans="1:26" hidden="1" x14ac:dyDescent="0.25">
      <c r="A1106" t="s">
        <v>19</v>
      </c>
      <c r="B1106">
        <v>5</v>
      </c>
      <c r="C1106">
        <v>4</v>
      </c>
      <c r="D1106">
        <v>0</v>
      </c>
      <c r="E1106" t="s">
        <v>347</v>
      </c>
      <c r="F1106">
        <v>31328</v>
      </c>
      <c r="G1106">
        <v>37774313.5</v>
      </c>
      <c r="H1106">
        <v>0.94735819432470525</v>
      </c>
      <c r="I1106">
        <v>0.94599844599844596</v>
      </c>
      <c r="J1106">
        <v>9084096.6111111119</v>
      </c>
      <c r="K1106">
        <v>54134</v>
      </c>
      <c r="L1106">
        <v>2</v>
      </c>
      <c r="M1106">
        <v>156</v>
      </c>
      <c r="N1106">
        <v>0.94327894327894335</v>
      </c>
      <c r="O1106">
        <v>9840043.3888888881</v>
      </c>
      <c r="P1106">
        <v>54795</v>
      </c>
      <c r="Q1106">
        <v>2</v>
      </c>
      <c r="R1106">
        <v>157</v>
      </c>
      <c r="S1106" t="s">
        <v>862</v>
      </c>
      <c r="W1106">
        <f>Cancer_doubles_final2[[#This Row],[mlp_params]]</f>
        <v>54134</v>
      </c>
      <c r="X1106">
        <f>Cancer_doubles_final2[[#This Row],[kan_test_acc]]</f>
        <v>0.94735819432470525</v>
      </c>
      <c r="Y1106">
        <f>Cancer_doubles_final2[[#This Row],[mlp_test_acc]]</f>
        <v>0.94599844599844596</v>
      </c>
      <c r="Z1106">
        <f>Cancer_doubles_final2[[#This Row],[mlp_test_acc2]]</f>
        <v>0.94327894327894335</v>
      </c>
    </row>
    <row r="1107" spans="1:26" hidden="1" x14ac:dyDescent="0.25">
      <c r="A1107" t="s">
        <v>19</v>
      </c>
      <c r="B1107">
        <v>3</v>
      </c>
      <c r="C1107">
        <v>4</v>
      </c>
      <c r="D1107">
        <v>0</v>
      </c>
      <c r="E1107" t="s">
        <v>561</v>
      </c>
      <c r="F1107">
        <v>31412</v>
      </c>
      <c r="G1107">
        <v>41858724.583333336</v>
      </c>
      <c r="H1107">
        <v>0.94871794556578004</v>
      </c>
      <c r="I1107">
        <v>0.94711538461538458</v>
      </c>
      <c r="J1107">
        <v>9346356.416666666</v>
      </c>
      <c r="K1107">
        <v>59534</v>
      </c>
      <c r="L1107">
        <v>2</v>
      </c>
      <c r="M1107">
        <v>164</v>
      </c>
      <c r="N1107">
        <v>0.94594988344988351</v>
      </c>
      <c r="O1107">
        <v>10251732.645833334</v>
      </c>
      <c r="P1107">
        <v>60227</v>
      </c>
      <c r="Q1107">
        <v>2</v>
      </c>
      <c r="R1107">
        <v>165</v>
      </c>
      <c r="S1107" t="s">
        <v>863</v>
      </c>
      <c r="W1107">
        <f>Cancer_doubles_final2[[#This Row],[mlp_params]]</f>
        <v>59534</v>
      </c>
      <c r="X1107">
        <f>Cancer_doubles_final2[[#This Row],[kan_test_acc]]</f>
        <v>0.94871794556578004</v>
      </c>
      <c r="Y1107">
        <f>Cancer_doubles_final2[[#This Row],[mlp_test_acc]]</f>
        <v>0.94711538461538458</v>
      </c>
      <c r="Z1107">
        <f>Cancer_doubles_final2[[#This Row],[mlp_test_acc2]]</f>
        <v>0.94594988344988351</v>
      </c>
    </row>
    <row r="1108" spans="1:26" hidden="1" x14ac:dyDescent="0.25">
      <c r="A1108" t="s">
        <v>19</v>
      </c>
      <c r="B1108">
        <v>5</v>
      </c>
      <c r="C1108">
        <v>2</v>
      </c>
      <c r="D1108">
        <v>0</v>
      </c>
      <c r="E1108" t="s">
        <v>561</v>
      </c>
      <c r="F1108">
        <v>31412</v>
      </c>
      <c r="G1108">
        <v>39383442.166666664</v>
      </c>
      <c r="H1108">
        <v>0.97756409645080566</v>
      </c>
      <c r="I1108">
        <v>0.94580419580419584</v>
      </c>
      <c r="J1108">
        <v>8743196.5833333321</v>
      </c>
      <c r="K1108">
        <v>46514</v>
      </c>
      <c r="L1108">
        <v>2</v>
      </c>
      <c r="M1108">
        <v>144</v>
      </c>
      <c r="N1108">
        <v>0.9475524475524475</v>
      </c>
      <c r="O1108">
        <v>10605532.25</v>
      </c>
      <c r="P1108">
        <v>47127</v>
      </c>
      <c r="Q1108">
        <v>2</v>
      </c>
      <c r="R1108">
        <v>145</v>
      </c>
      <c r="S1108" t="s">
        <v>864</v>
      </c>
      <c r="W1108">
        <f>Cancer_doubles_final2[[#This Row],[mlp_params]]</f>
        <v>46514</v>
      </c>
      <c r="X1108">
        <f>Cancer_doubles_final2[[#This Row],[kan_test_acc]]</f>
        <v>0.97756409645080566</v>
      </c>
      <c r="Y1108">
        <f>Cancer_doubles_final2[[#This Row],[mlp_test_acc]]</f>
        <v>0.94580419580419584</v>
      </c>
      <c r="Z1108">
        <f>Cancer_doubles_final2[[#This Row],[mlp_test_acc2]]</f>
        <v>0.9475524475524475</v>
      </c>
    </row>
    <row r="1109" spans="1:26" hidden="1" x14ac:dyDescent="0.25">
      <c r="A1109" t="s">
        <v>19</v>
      </c>
      <c r="B1109">
        <v>3</v>
      </c>
      <c r="C1109">
        <v>4</v>
      </c>
      <c r="D1109">
        <v>0</v>
      </c>
      <c r="E1109" t="s">
        <v>561</v>
      </c>
      <c r="F1109">
        <v>31412</v>
      </c>
      <c r="G1109">
        <v>35310505.333333328</v>
      </c>
      <c r="H1109">
        <v>0.97814684609572089</v>
      </c>
      <c r="I1109">
        <v>0.93210955710955723</v>
      </c>
      <c r="J1109">
        <v>9078781.375</v>
      </c>
      <c r="K1109">
        <v>59534</v>
      </c>
      <c r="L1109">
        <v>2</v>
      </c>
      <c r="M1109">
        <v>164</v>
      </c>
      <c r="N1109">
        <v>0.93385780885780889</v>
      </c>
      <c r="O1109">
        <v>9745830.583333334</v>
      </c>
      <c r="P1109">
        <v>60227</v>
      </c>
      <c r="Q1109">
        <v>2</v>
      </c>
      <c r="R1109">
        <v>165</v>
      </c>
      <c r="S1109" t="s">
        <v>863</v>
      </c>
      <c r="W1109">
        <f>Cancer_doubles_final2[[#This Row],[mlp_params]]</f>
        <v>59534</v>
      </c>
      <c r="X1109">
        <f>Cancer_doubles_final2[[#This Row],[kan_test_acc]]</f>
        <v>0.97814684609572089</v>
      </c>
      <c r="Y1109">
        <f>Cancer_doubles_final2[[#This Row],[mlp_test_acc]]</f>
        <v>0.93210955710955723</v>
      </c>
      <c r="Z1109">
        <f>Cancer_doubles_final2[[#This Row],[mlp_test_acc2]]</f>
        <v>0.93385780885780889</v>
      </c>
    </row>
    <row r="1110" spans="1:26" hidden="1" x14ac:dyDescent="0.25">
      <c r="A1110" t="s">
        <v>19</v>
      </c>
      <c r="B1110">
        <v>5</v>
      </c>
      <c r="C1110">
        <v>2</v>
      </c>
      <c r="D1110">
        <v>0</v>
      </c>
      <c r="E1110" t="s">
        <v>561</v>
      </c>
      <c r="F1110">
        <v>31412</v>
      </c>
      <c r="G1110">
        <v>33956543.541666664</v>
      </c>
      <c r="H1110">
        <v>0.96212120850880944</v>
      </c>
      <c r="I1110">
        <v>0.909965034965035</v>
      </c>
      <c r="J1110">
        <v>9443993.708333334</v>
      </c>
      <c r="K1110">
        <v>46514</v>
      </c>
      <c r="L1110">
        <v>2</v>
      </c>
      <c r="M1110">
        <v>144</v>
      </c>
      <c r="N1110">
        <v>0.90821678321678323</v>
      </c>
      <c r="O1110">
        <v>8392587.2916666679</v>
      </c>
      <c r="P1110">
        <v>47127</v>
      </c>
      <c r="Q1110">
        <v>2</v>
      </c>
      <c r="R1110">
        <v>145</v>
      </c>
      <c r="S1110" t="s">
        <v>864</v>
      </c>
      <c r="W1110">
        <f>Cancer_doubles_final2[[#This Row],[mlp_params]]</f>
        <v>46514</v>
      </c>
      <c r="X1110">
        <f>Cancer_doubles_final2[[#This Row],[kan_test_acc]]</f>
        <v>0.96212120850880944</v>
      </c>
      <c r="Y1110">
        <f>Cancer_doubles_final2[[#This Row],[mlp_test_acc]]</f>
        <v>0.909965034965035</v>
      </c>
      <c r="Z1110">
        <f>Cancer_doubles_final2[[#This Row],[mlp_test_acc2]]</f>
        <v>0.90821678321678323</v>
      </c>
    </row>
    <row r="1111" spans="1:26" hidden="1" x14ac:dyDescent="0.25">
      <c r="A1111" t="s">
        <v>19</v>
      </c>
      <c r="B1111">
        <v>9</v>
      </c>
      <c r="C1111">
        <v>2</v>
      </c>
      <c r="D1111">
        <v>0</v>
      </c>
      <c r="E1111" t="s">
        <v>233</v>
      </c>
      <c r="F1111">
        <v>31486</v>
      </c>
      <c r="G1111">
        <v>25647399.583333332</v>
      </c>
      <c r="H1111">
        <v>0.93589743971824646</v>
      </c>
      <c r="I1111">
        <v>0.90442890442890445</v>
      </c>
      <c r="J1111">
        <v>9318750.75</v>
      </c>
      <c r="K1111">
        <v>42335</v>
      </c>
      <c r="L1111">
        <v>2</v>
      </c>
      <c r="M1111">
        <v>137</v>
      </c>
      <c r="N1111">
        <v>0.90384615384615374</v>
      </c>
      <c r="O1111">
        <v>8749670.75</v>
      </c>
      <c r="P1111">
        <v>42920</v>
      </c>
      <c r="Q1111">
        <v>2</v>
      </c>
      <c r="R1111">
        <v>138</v>
      </c>
      <c r="S1111" t="s">
        <v>865</v>
      </c>
      <c r="W1111">
        <f>Cancer_doubles_final2[[#This Row],[mlp_params]]</f>
        <v>42335</v>
      </c>
      <c r="X1111">
        <f>Cancer_doubles_final2[[#This Row],[kan_test_acc]]</f>
        <v>0.93589743971824646</v>
      </c>
      <c r="Y1111">
        <f>Cancer_doubles_final2[[#This Row],[mlp_test_acc]]</f>
        <v>0.90442890442890445</v>
      </c>
      <c r="Z1111">
        <f>Cancer_doubles_final2[[#This Row],[mlp_test_acc2]]</f>
        <v>0.90384615384615374</v>
      </c>
    </row>
    <row r="1112" spans="1:26" hidden="1" x14ac:dyDescent="0.25">
      <c r="A1112" t="s">
        <v>19</v>
      </c>
      <c r="B1112">
        <v>3</v>
      </c>
      <c r="C1112">
        <v>4</v>
      </c>
      <c r="D1112">
        <v>0</v>
      </c>
      <c r="E1112" t="s">
        <v>563</v>
      </c>
      <c r="F1112">
        <v>31490</v>
      </c>
      <c r="G1112">
        <v>31608369.305555556</v>
      </c>
      <c r="H1112">
        <v>0.93919969101746881</v>
      </c>
      <c r="I1112">
        <v>0.9242424242424242</v>
      </c>
      <c r="J1112">
        <v>9435249.472222222</v>
      </c>
      <c r="K1112">
        <v>59534</v>
      </c>
      <c r="L1112">
        <v>2</v>
      </c>
      <c r="M1112">
        <v>164</v>
      </c>
      <c r="N1112">
        <v>0.9222999222999223</v>
      </c>
      <c r="O1112">
        <v>9644795</v>
      </c>
      <c r="P1112">
        <v>60227</v>
      </c>
      <c r="Q1112">
        <v>2</v>
      </c>
      <c r="R1112">
        <v>165</v>
      </c>
      <c r="S1112" t="s">
        <v>866</v>
      </c>
      <c r="W1112">
        <f>Cancer_doubles_final2[[#This Row],[mlp_params]]</f>
        <v>59534</v>
      </c>
      <c r="X1112">
        <f>Cancer_doubles_final2[[#This Row],[kan_test_acc]]</f>
        <v>0.93919969101746881</v>
      </c>
      <c r="Y1112">
        <f>Cancer_doubles_final2[[#This Row],[mlp_test_acc]]</f>
        <v>0.9242424242424242</v>
      </c>
      <c r="Z1112">
        <f>Cancer_doubles_final2[[#This Row],[mlp_test_acc2]]</f>
        <v>0.9222999222999223</v>
      </c>
    </row>
    <row r="1113" spans="1:26" hidden="1" x14ac:dyDescent="0.25">
      <c r="A1113" t="s">
        <v>19</v>
      </c>
      <c r="B1113">
        <v>5</v>
      </c>
      <c r="C1113">
        <v>2</v>
      </c>
      <c r="D1113">
        <v>0</v>
      </c>
      <c r="E1113" t="s">
        <v>563</v>
      </c>
      <c r="F1113">
        <v>31490</v>
      </c>
      <c r="G1113">
        <v>42489492.833333336</v>
      </c>
      <c r="H1113">
        <v>0.96503496666749322</v>
      </c>
      <c r="I1113">
        <v>0.94522144522144524</v>
      </c>
      <c r="J1113">
        <v>9293836.4583333321</v>
      </c>
      <c r="K1113">
        <v>47127</v>
      </c>
      <c r="L1113">
        <v>2</v>
      </c>
      <c r="M1113">
        <v>145</v>
      </c>
      <c r="N1113">
        <v>0.94201631701631705</v>
      </c>
      <c r="O1113">
        <v>9361918.7083333321</v>
      </c>
      <c r="P1113">
        <v>47744</v>
      </c>
      <c r="Q1113">
        <v>2</v>
      </c>
      <c r="R1113">
        <v>146</v>
      </c>
      <c r="S1113" t="s">
        <v>867</v>
      </c>
      <c r="W1113">
        <f>Cancer_doubles_final2[[#This Row],[mlp_params]]</f>
        <v>47127</v>
      </c>
      <c r="X1113">
        <f>Cancer_doubles_final2[[#This Row],[kan_test_acc]]</f>
        <v>0.96503496666749322</v>
      </c>
      <c r="Y1113">
        <f>Cancer_doubles_final2[[#This Row],[mlp_test_acc]]</f>
        <v>0.94522144522144524</v>
      </c>
      <c r="Z1113">
        <f>Cancer_doubles_final2[[#This Row],[mlp_test_acc2]]</f>
        <v>0.94201631701631705</v>
      </c>
    </row>
    <row r="1114" spans="1:26" hidden="1" x14ac:dyDescent="0.25">
      <c r="A1114" t="s">
        <v>19</v>
      </c>
      <c r="B1114">
        <v>9</v>
      </c>
      <c r="C1114">
        <v>2</v>
      </c>
      <c r="D1114">
        <v>0</v>
      </c>
      <c r="E1114" t="s">
        <v>235</v>
      </c>
      <c r="F1114">
        <v>31490</v>
      </c>
      <c r="G1114">
        <v>31834819.25</v>
      </c>
      <c r="H1114">
        <v>0.9449300691485405</v>
      </c>
      <c r="I1114">
        <v>0.92890442890442892</v>
      </c>
      <c r="J1114">
        <v>8933047.9583333321</v>
      </c>
      <c r="K1114">
        <v>42335</v>
      </c>
      <c r="L1114">
        <v>2</v>
      </c>
      <c r="M1114">
        <v>137</v>
      </c>
      <c r="N1114">
        <v>0.9274475524475525</v>
      </c>
      <c r="O1114">
        <v>9446940.4583333321</v>
      </c>
      <c r="P1114">
        <v>42920</v>
      </c>
      <c r="Q1114">
        <v>2</v>
      </c>
      <c r="R1114">
        <v>138</v>
      </c>
      <c r="S1114" t="s">
        <v>868</v>
      </c>
      <c r="W1114">
        <f>Cancer_doubles_final2[[#This Row],[mlp_params]]</f>
        <v>42335</v>
      </c>
      <c r="X1114">
        <f>Cancer_doubles_final2[[#This Row],[kan_test_acc]]</f>
        <v>0.9449300691485405</v>
      </c>
      <c r="Y1114">
        <f>Cancer_doubles_final2[[#This Row],[mlp_test_acc]]</f>
        <v>0.92890442890442892</v>
      </c>
      <c r="Z1114">
        <f>Cancer_doubles_final2[[#This Row],[mlp_test_acc2]]</f>
        <v>0.9274475524475525</v>
      </c>
    </row>
    <row r="1115" spans="1:26" hidden="1" x14ac:dyDescent="0.25">
      <c r="A1115" t="s">
        <v>19</v>
      </c>
      <c r="B1115">
        <v>3</v>
      </c>
      <c r="C1115">
        <v>4</v>
      </c>
      <c r="D1115">
        <v>0</v>
      </c>
      <c r="E1115" t="s">
        <v>563</v>
      </c>
      <c r="F1115">
        <v>31490</v>
      </c>
      <c r="G1115">
        <v>32544864.666666664</v>
      </c>
      <c r="H1115">
        <v>0.95454544574022293</v>
      </c>
      <c r="I1115">
        <v>0.92132867132867136</v>
      </c>
      <c r="J1115">
        <v>9327516.208333334</v>
      </c>
      <c r="K1115">
        <v>59534</v>
      </c>
      <c r="L1115">
        <v>2</v>
      </c>
      <c r="M1115">
        <v>164</v>
      </c>
      <c r="N1115">
        <v>0.91958041958041958</v>
      </c>
      <c r="O1115">
        <v>9139592.25</v>
      </c>
      <c r="P1115">
        <v>60227</v>
      </c>
      <c r="Q1115">
        <v>2</v>
      </c>
      <c r="R1115">
        <v>165</v>
      </c>
      <c r="S1115" t="s">
        <v>866</v>
      </c>
      <c r="W1115">
        <f>Cancer_doubles_final2[[#This Row],[mlp_params]]</f>
        <v>59534</v>
      </c>
      <c r="X1115">
        <f>Cancer_doubles_final2[[#This Row],[kan_test_acc]]</f>
        <v>0.95454544574022293</v>
      </c>
      <c r="Y1115">
        <f>Cancer_doubles_final2[[#This Row],[mlp_test_acc]]</f>
        <v>0.92132867132867136</v>
      </c>
      <c r="Z1115">
        <f>Cancer_doubles_final2[[#This Row],[mlp_test_acc2]]</f>
        <v>0.91958041958041958</v>
      </c>
    </row>
    <row r="1116" spans="1:26" hidden="1" x14ac:dyDescent="0.25">
      <c r="A1116" t="s">
        <v>19</v>
      </c>
      <c r="B1116">
        <v>5</v>
      </c>
      <c r="C1116">
        <v>2</v>
      </c>
      <c r="D1116">
        <v>0</v>
      </c>
      <c r="E1116" t="s">
        <v>563</v>
      </c>
      <c r="F1116">
        <v>31490</v>
      </c>
      <c r="G1116">
        <v>36445142.875</v>
      </c>
      <c r="H1116">
        <v>0.96095570921897888</v>
      </c>
      <c r="I1116">
        <v>0.90909090909090917</v>
      </c>
      <c r="J1116">
        <v>9461027.5416666679</v>
      </c>
      <c r="K1116">
        <v>47127</v>
      </c>
      <c r="L1116">
        <v>2</v>
      </c>
      <c r="M1116">
        <v>145</v>
      </c>
      <c r="N1116">
        <v>0.90967365967365965</v>
      </c>
      <c r="O1116">
        <v>8544960.541666666</v>
      </c>
      <c r="P1116">
        <v>47744</v>
      </c>
      <c r="Q1116">
        <v>2</v>
      </c>
      <c r="R1116">
        <v>146</v>
      </c>
      <c r="S1116" t="s">
        <v>867</v>
      </c>
      <c r="W1116">
        <f>Cancer_doubles_final2[[#This Row],[mlp_params]]</f>
        <v>47127</v>
      </c>
      <c r="X1116">
        <f>Cancer_doubles_final2[[#This Row],[kan_test_acc]]</f>
        <v>0.96095570921897888</v>
      </c>
      <c r="Y1116">
        <f>Cancer_doubles_final2[[#This Row],[mlp_test_acc]]</f>
        <v>0.90909090909090917</v>
      </c>
      <c r="Z1116">
        <f>Cancer_doubles_final2[[#This Row],[mlp_test_acc2]]</f>
        <v>0.90967365967365965</v>
      </c>
    </row>
    <row r="1117" spans="1:26" hidden="1" x14ac:dyDescent="0.25">
      <c r="A1117" t="s">
        <v>19</v>
      </c>
      <c r="B1117">
        <v>9</v>
      </c>
      <c r="C1117">
        <v>2</v>
      </c>
      <c r="D1117">
        <v>0</v>
      </c>
      <c r="E1117" t="s">
        <v>235</v>
      </c>
      <c r="F1117">
        <v>31490</v>
      </c>
      <c r="G1117">
        <v>29864760.625</v>
      </c>
      <c r="H1117">
        <v>0.92890443404515588</v>
      </c>
      <c r="I1117">
        <v>0.89889277389277389</v>
      </c>
      <c r="J1117">
        <v>8865874.625</v>
      </c>
      <c r="K1117">
        <v>42335</v>
      </c>
      <c r="L1117">
        <v>2</v>
      </c>
      <c r="M1117">
        <v>137</v>
      </c>
      <c r="N1117">
        <v>0.9009324009324009</v>
      </c>
      <c r="O1117">
        <v>8479283.625</v>
      </c>
      <c r="P1117">
        <v>42920</v>
      </c>
      <c r="Q1117">
        <v>2</v>
      </c>
      <c r="R1117">
        <v>138</v>
      </c>
      <c r="S1117" t="s">
        <v>868</v>
      </c>
      <c r="W1117">
        <f>Cancer_doubles_final2[[#This Row],[mlp_params]]</f>
        <v>42335</v>
      </c>
      <c r="X1117">
        <f>Cancer_doubles_final2[[#This Row],[kan_test_acc]]</f>
        <v>0.92890443404515588</v>
      </c>
      <c r="Y1117">
        <f>Cancer_doubles_final2[[#This Row],[mlp_test_acc]]</f>
        <v>0.89889277389277389</v>
      </c>
      <c r="Z1117">
        <f>Cancer_doubles_final2[[#This Row],[mlp_test_acc2]]</f>
        <v>0.9009324009324009</v>
      </c>
    </row>
    <row r="1118" spans="1:26" hidden="1" x14ac:dyDescent="0.25">
      <c r="A1118" t="s">
        <v>19</v>
      </c>
      <c r="B1118">
        <v>5</v>
      </c>
      <c r="C1118">
        <v>5</v>
      </c>
      <c r="D1118">
        <v>0</v>
      </c>
      <c r="E1118" t="s">
        <v>283</v>
      </c>
      <c r="F1118">
        <v>31532</v>
      </c>
      <c r="G1118">
        <v>41763396.25</v>
      </c>
      <c r="H1118">
        <v>0.90821678936481476</v>
      </c>
      <c r="I1118">
        <v>0.91025641025641024</v>
      </c>
      <c r="J1118">
        <v>9236241.4583333321</v>
      </c>
      <c r="K1118">
        <v>57479</v>
      </c>
      <c r="L1118">
        <v>2</v>
      </c>
      <c r="M1118">
        <v>161</v>
      </c>
      <c r="N1118">
        <v>0.91054778554778548</v>
      </c>
      <c r="O1118">
        <v>9950653.041666666</v>
      </c>
      <c r="P1118">
        <v>58160</v>
      </c>
      <c r="Q1118">
        <v>2</v>
      </c>
      <c r="R1118">
        <v>162</v>
      </c>
      <c r="S1118" t="s">
        <v>869</v>
      </c>
      <c r="W1118">
        <f>Cancer_doubles_final2[[#This Row],[mlp_params]]</f>
        <v>57479</v>
      </c>
      <c r="X1118">
        <f>Cancer_doubles_final2[[#This Row],[kan_test_acc]]</f>
        <v>0.90821678936481476</v>
      </c>
      <c r="Y1118">
        <f>Cancer_doubles_final2[[#This Row],[mlp_test_acc]]</f>
        <v>0.91025641025641024</v>
      </c>
      <c r="Z1118">
        <f>Cancer_doubles_final2[[#This Row],[mlp_test_acc2]]</f>
        <v>0.91054778554778548</v>
      </c>
    </row>
    <row r="1119" spans="1:26" hidden="1" x14ac:dyDescent="0.25">
      <c r="A1119" t="s">
        <v>19</v>
      </c>
      <c r="B1119">
        <v>9</v>
      </c>
      <c r="C1119">
        <v>3</v>
      </c>
      <c r="D1119">
        <v>0</v>
      </c>
      <c r="E1119" t="s">
        <v>198</v>
      </c>
      <c r="F1119">
        <v>31566</v>
      </c>
      <c r="G1119">
        <v>51929331.19444444</v>
      </c>
      <c r="H1119">
        <v>0.9055944052007463</v>
      </c>
      <c r="I1119">
        <v>0.93240093240093236</v>
      </c>
      <c r="J1119">
        <v>10658136.777777776</v>
      </c>
      <c r="K1119">
        <v>45905</v>
      </c>
      <c r="L1119">
        <v>2</v>
      </c>
      <c r="M1119">
        <v>143</v>
      </c>
      <c r="N1119">
        <v>0.9294871794871794</v>
      </c>
      <c r="O1119">
        <v>10767116.194444444</v>
      </c>
      <c r="P1119">
        <v>46514</v>
      </c>
      <c r="Q1119">
        <v>2</v>
      </c>
      <c r="R1119">
        <v>144</v>
      </c>
      <c r="S1119" t="s">
        <v>870</v>
      </c>
      <c r="W1119">
        <f>Cancer_doubles_final2[[#This Row],[mlp_params]]</f>
        <v>45905</v>
      </c>
      <c r="X1119">
        <f>Cancer_doubles_final2[[#This Row],[kan_test_acc]]</f>
        <v>0.9055944052007463</v>
      </c>
      <c r="Y1119">
        <f>Cancer_doubles_final2[[#This Row],[mlp_test_acc]]</f>
        <v>0.93240093240093236</v>
      </c>
      <c r="Z1119">
        <f>Cancer_doubles_final2[[#This Row],[mlp_test_acc2]]</f>
        <v>0.9294871794871794</v>
      </c>
    </row>
    <row r="1120" spans="1:26" x14ac:dyDescent="0.25">
      <c r="A1120" t="s">
        <v>19</v>
      </c>
      <c r="B1120">
        <v>3</v>
      </c>
      <c r="C1120">
        <v>5</v>
      </c>
      <c r="D1120">
        <v>0</v>
      </c>
      <c r="E1120" t="s">
        <v>445</v>
      </c>
      <c r="F1120">
        <v>31594</v>
      </c>
      <c r="G1120">
        <v>50539775.666666664</v>
      </c>
      <c r="H1120">
        <v>0.93618880709012342</v>
      </c>
      <c r="I1120">
        <v>0.95454545454545459</v>
      </c>
      <c r="J1120">
        <v>10799032.083333332</v>
      </c>
      <c r="K1120">
        <v>63039</v>
      </c>
      <c r="L1120">
        <v>2</v>
      </c>
      <c r="M1120">
        <v>169</v>
      </c>
      <c r="N1120">
        <v>0.95192307692307687</v>
      </c>
      <c r="O1120">
        <v>10694128.25</v>
      </c>
      <c r="P1120">
        <v>63752</v>
      </c>
      <c r="Q1120">
        <v>2</v>
      </c>
      <c r="R1120">
        <v>170</v>
      </c>
      <c r="S1120" t="s">
        <v>871</v>
      </c>
      <c r="W1120">
        <f>Cancer_doubles_final2[[#This Row],[mlp_params]]</f>
        <v>63039</v>
      </c>
      <c r="X1120">
        <f>Cancer_doubles_final2[[#This Row],[kan_test_acc]]</f>
        <v>0.93618880709012342</v>
      </c>
      <c r="Y1120">
        <f>Cancer_doubles_final2[[#This Row],[mlp_test_acc]]</f>
        <v>0.95454545454545459</v>
      </c>
      <c r="Z1120">
        <f>Cancer_doubles_final2[[#This Row],[mlp_test_acc2]]</f>
        <v>0.95192307692307687</v>
      </c>
    </row>
    <row r="1121" spans="1:26" hidden="1" x14ac:dyDescent="0.25">
      <c r="A1121" t="s">
        <v>19</v>
      </c>
      <c r="B1121">
        <v>5</v>
      </c>
      <c r="C1121">
        <v>3</v>
      </c>
      <c r="D1121">
        <v>0</v>
      </c>
      <c r="E1121" t="s">
        <v>445</v>
      </c>
      <c r="F1121">
        <v>31594</v>
      </c>
      <c r="G1121">
        <v>48861501.25</v>
      </c>
      <c r="H1121">
        <v>0.95308857411146164</v>
      </c>
      <c r="I1121">
        <v>0.93706293706293708</v>
      </c>
      <c r="J1121">
        <v>10090218.708333334</v>
      </c>
      <c r="K1121">
        <v>51530</v>
      </c>
      <c r="L1121">
        <v>2</v>
      </c>
      <c r="M1121">
        <v>152</v>
      </c>
      <c r="N1121">
        <v>0.93560606060606055</v>
      </c>
      <c r="O1121">
        <v>10549810.375</v>
      </c>
      <c r="P1121">
        <v>52175</v>
      </c>
      <c r="Q1121">
        <v>2</v>
      </c>
      <c r="R1121">
        <v>153</v>
      </c>
      <c r="S1121" t="s">
        <v>872</v>
      </c>
      <c r="W1121">
        <f>Cancer_doubles_final2[[#This Row],[mlp_params]]</f>
        <v>51530</v>
      </c>
      <c r="X1121">
        <f>Cancer_doubles_final2[[#This Row],[kan_test_acc]]</f>
        <v>0.95308857411146164</v>
      </c>
      <c r="Y1121">
        <f>Cancer_doubles_final2[[#This Row],[mlp_test_acc]]</f>
        <v>0.93706293706293708</v>
      </c>
      <c r="Z1121">
        <f>Cancer_doubles_final2[[#This Row],[mlp_test_acc2]]</f>
        <v>0.93560606060606055</v>
      </c>
    </row>
    <row r="1122" spans="1:26" x14ac:dyDescent="0.25">
      <c r="A1122" t="s">
        <v>19</v>
      </c>
      <c r="B1122">
        <v>3</v>
      </c>
      <c r="C1122">
        <v>5</v>
      </c>
      <c r="D1122">
        <v>0</v>
      </c>
      <c r="E1122" t="s">
        <v>445</v>
      </c>
      <c r="F1122">
        <v>31594</v>
      </c>
      <c r="G1122">
        <v>54925907.5</v>
      </c>
      <c r="H1122">
        <v>0.95541957269112265</v>
      </c>
      <c r="I1122">
        <v>0.94230769230769229</v>
      </c>
      <c r="J1122">
        <v>10013191.125</v>
      </c>
      <c r="K1122">
        <v>63039</v>
      </c>
      <c r="L1122">
        <v>2</v>
      </c>
      <c r="M1122">
        <v>169</v>
      </c>
      <c r="N1122">
        <v>0.93851981351981351</v>
      </c>
      <c r="O1122">
        <v>10101427.75</v>
      </c>
      <c r="P1122">
        <v>63752</v>
      </c>
      <c r="Q1122">
        <v>2</v>
      </c>
      <c r="R1122">
        <v>170</v>
      </c>
      <c r="S1122" t="s">
        <v>871</v>
      </c>
      <c r="W1122">
        <f>Cancer_doubles_final2[[#This Row],[mlp_params]]</f>
        <v>63039</v>
      </c>
      <c r="X1122">
        <f>Cancer_doubles_final2[[#This Row],[kan_test_acc]]</f>
        <v>0.95541957269112265</v>
      </c>
      <c r="Y1122">
        <f>Cancer_doubles_final2[[#This Row],[mlp_test_acc]]</f>
        <v>0.94230769230769229</v>
      </c>
      <c r="Z1122">
        <f>Cancer_doubles_final2[[#This Row],[mlp_test_acc2]]</f>
        <v>0.93851981351981351</v>
      </c>
    </row>
    <row r="1123" spans="1:26" hidden="1" x14ac:dyDescent="0.25">
      <c r="A1123" t="s">
        <v>19</v>
      </c>
      <c r="B1123">
        <v>5</v>
      </c>
      <c r="C1123">
        <v>3</v>
      </c>
      <c r="D1123">
        <v>0</v>
      </c>
      <c r="E1123" t="s">
        <v>445</v>
      </c>
      <c r="F1123">
        <v>31594</v>
      </c>
      <c r="G1123">
        <v>55044252.916666664</v>
      </c>
      <c r="H1123">
        <v>0.94580419113238645</v>
      </c>
      <c r="I1123">
        <v>0.92016317016317006</v>
      </c>
      <c r="J1123">
        <v>9609337.416666666</v>
      </c>
      <c r="K1123">
        <v>51530</v>
      </c>
      <c r="L1123">
        <v>2</v>
      </c>
      <c r="M1123">
        <v>152</v>
      </c>
      <c r="N1123">
        <v>0.91375291375291368</v>
      </c>
      <c r="O1123">
        <v>9043705.708333334</v>
      </c>
      <c r="P1123">
        <v>52175</v>
      </c>
      <c r="Q1123">
        <v>2</v>
      </c>
      <c r="R1123">
        <v>153</v>
      </c>
      <c r="S1123" t="s">
        <v>872</v>
      </c>
      <c r="W1123">
        <f>Cancer_doubles_final2[[#This Row],[mlp_params]]</f>
        <v>51530</v>
      </c>
      <c r="X1123">
        <f>Cancer_doubles_final2[[#This Row],[kan_test_acc]]</f>
        <v>0.94580419113238645</v>
      </c>
      <c r="Y1123">
        <f>Cancer_doubles_final2[[#This Row],[mlp_test_acc]]</f>
        <v>0.92016317016317006</v>
      </c>
      <c r="Z1123">
        <f>Cancer_doubles_final2[[#This Row],[mlp_test_acc2]]</f>
        <v>0.91375291375291368</v>
      </c>
    </row>
    <row r="1124" spans="1:26" hidden="1" x14ac:dyDescent="0.25">
      <c r="A1124" t="s">
        <v>19</v>
      </c>
      <c r="B1124">
        <v>9</v>
      </c>
      <c r="C1124">
        <v>2</v>
      </c>
      <c r="D1124">
        <v>0</v>
      </c>
      <c r="E1124" t="s">
        <v>237</v>
      </c>
      <c r="F1124">
        <v>31600</v>
      </c>
      <c r="G1124">
        <v>34764272.75</v>
      </c>
      <c r="H1124">
        <v>0.93618881205717719</v>
      </c>
      <c r="I1124">
        <v>0.90530303030303028</v>
      </c>
      <c r="J1124">
        <v>8224570.041666667</v>
      </c>
      <c r="K1124">
        <v>42335</v>
      </c>
      <c r="L1124">
        <v>2</v>
      </c>
      <c r="M1124">
        <v>137</v>
      </c>
      <c r="N1124">
        <v>0.90034965034965031</v>
      </c>
      <c r="O1124">
        <v>8334925.833333334</v>
      </c>
      <c r="P1124">
        <v>42920</v>
      </c>
      <c r="Q1124">
        <v>2</v>
      </c>
      <c r="R1124">
        <v>138</v>
      </c>
      <c r="S1124" t="s">
        <v>873</v>
      </c>
      <c r="W1124">
        <f>Cancer_doubles_final2[[#This Row],[mlp_params]]</f>
        <v>42335</v>
      </c>
      <c r="X1124">
        <f>Cancer_doubles_final2[[#This Row],[kan_test_acc]]</f>
        <v>0.93618881205717719</v>
      </c>
      <c r="Y1124">
        <f>Cancer_doubles_final2[[#This Row],[mlp_test_acc]]</f>
        <v>0.90530303030303028</v>
      </c>
      <c r="Z1124">
        <f>Cancer_doubles_final2[[#This Row],[mlp_test_acc2]]</f>
        <v>0.90034965034965031</v>
      </c>
    </row>
    <row r="1125" spans="1:26" hidden="1" x14ac:dyDescent="0.25">
      <c r="A1125" t="s">
        <v>19</v>
      </c>
      <c r="B1125">
        <v>9</v>
      </c>
      <c r="C1125">
        <v>5</v>
      </c>
      <c r="D1125">
        <v>0</v>
      </c>
      <c r="E1125" t="s">
        <v>152</v>
      </c>
      <c r="F1125">
        <v>31612</v>
      </c>
      <c r="G1125">
        <v>30677908.611111112</v>
      </c>
      <c r="H1125">
        <v>0.92501942482259536</v>
      </c>
      <c r="I1125">
        <v>0.92268842268842266</v>
      </c>
      <c r="J1125">
        <v>9217814.305555556</v>
      </c>
      <c r="K1125">
        <v>51530</v>
      </c>
      <c r="L1125">
        <v>2</v>
      </c>
      <c r="M1125">
        <v>152</v>
      </c>
      <c r="N1125">
        <v>0.92443667443667443</v>
      </c>
      <c r="O1125">
        <v>9341447.555555556</v>
      </c>
      <c r="P1125">
        <v>52175</v>
      </c>
      <c r="Q1125">
        <v>2</v>
      </c>
      <c r="R1125">
        <v>153</v>
      </c>
      <c r="S1125" t="s">
        <v>874</v>
      </c>
      <c r="W1125">
        <f>Cancer_doubles_final2[[#This Row],[mlp_params]]</f>
        <v>51530</v>
      </c>
      <c r="X1125">
        <f>Cancer_doubles_final2[[#This Row],[kan_test_acc]]</f>
        <v>0.92501942482259536</v>
      </c>
      <c r="Y1125">
        <f>Cancer_doubles_final2[[#This Row],[mlp_test_acc]]</f>
        <v>0.92268842268842266</v>
      </c>
      <c r="Z1125">
        <f>Cancer_doubles_final2[[#This Row],[mlp_test_acc2]]</f>
        <v>0.92443667443667443</v>
      </c>
    </row>
    <row r="1126" spans="1:26" hidden="1" x14ac:dyDescent="0.25">
      <c r="A1126" t="s">
        <v>19</v>
      </c>
      <c r="B1126">
        <v>5</v>
      </c>
      <c r="C1126">
        <v>4</v>
      </c>
      <c r="D1126">
        <v>0</v>
      </c>
      <c r="E1126" t="s">
        <v>353</v>
      </c>
      <c r="F1126">
        <v>31622</v>
      </c>
      <c r="G1126">
        <v>46239289.541666672</v>
      </c>
      <c r="H1126">
        <v>0.95279719680547714</v>
      </c>
      <c r="I1126">
        <v>0.95163170163170152</v>
      </c>
      <c r="J1126">
        <v>11059188.625</v>
      </c>
      <c r="K1126">
        <v>54795</v>
      </c>
      <c r="L1126">
        <v>2</v>
      </c>
      <c r="M1126">
        <v>157</v>
      </c>
      <c r="N1126">
        <v>0.94988344988344986</v>
      </c>
      <c r="O1126">
        <v>10998152.416666666</v>
      </c>
      <c r="P1126">
        <v>55460</v>
      </c>
      <c r="Q1126">
        <v>2</v>
      </c>
      <c r="R1126">
        <v>158</v>
      </c>
      <c r="S1126" t="s">
        <v>875</v>
      </c>
      <c r="W1126">
        <f>Cancer_doubles_final2[[#This Row],[mlp_params]]</f>
        <v>54795</v>
      </c>
      <c r="X1126">
        <f>Cancer_doubles_final2[[#This Row],[kan_test_acc]]</f>
        <v>0.95279719680547714</v>
      </c>
      <c r="Y1126">
        <f>Cancer_doubles_final2[[#This Row],[mlp_test_acc]]</f>
        <v>0.95163170163170152</v>
      </c>
      <c r="Z1126">
        <f>Cancer_doubles_final2[[#This Row],[mlp_test_acc2]]</f>
        <v>0.94988344988344986</v>
      </c>
    </row>
    <row r="1127" spans="1:26" hidden="1" x14ac:dyDescent="0.25">
      <c r="A1127" t="s">
        <v>19</v>
      </c>
      <c r="B1127">
        <v>9</v>
      </c>
      <c r="C1127">
        <v>5</v>
      </c>
      <c r="D1127">
        <v>0</v>
      </c>
      <c r="E1127" t="s">
        <v>154</v>
      </c>
      <c r="F1127">
        <v>31682</v>
      </c>
      <c r="G1127">
        <v>42266595.458333328</v>
      </c>
      <c r="H1127">
        <v>0.95236013705531763</v>
      </c>
      <c r="I1127">
        <v>0.94609557109557108</v>
      </c>
      <c r="J1127">
        <v>10002885.979166668</v>
      </c>
      <c r="K1127">
        <v>51530</v>
      </c>
      <c r="L1127">
        <v>2</v>
      </c>
      <c r="M1127">
        <v>152</v>
      </c>
      <c r="N1127">
        <v>0.94405594405594406</v>
      </c>
      <c r="O1127">
        <v>10293276</v>
      </c>
      <c r="P1127">
        <v>52175</v>
      </c>
      <c r="Q1127">
        <v>2</v>
      </c>
      <c r="R1127">
        <v>153</v>
      </c>
      <c r="S1127" t="s">
        <v>876</v>
      </c>
      <c r="W1127">
        <f>Cancer_doubles_final2[[#This Row],[mlp_params]]</f>
        <v>51530</v>
      </c>
      <c r="X1127">
        <f>Cancer_doubles_final2[[#This Row],[kan_test_acc]]</f>
        <v>0.95236013705531763</v>
      </c>
      <c r="Y1127">
        <f>Cancer_doubles_final2[[#This Row],[mlp_test_acc]]</f>
        <v>0.94609557109557108</v>
      </c>
      <c r="Z1127">
        <f>Cancer_doubles_final2[[#This Row],[mlp_test_acc2]]</f>
        <v>0.94405594405594406</v>
      </c>
    </row>
    <row r="1128" spans="1:26" hidden="1" x14ac:dyDescent="0.25">
      <c r="A1128" t="s">
        <v>19</v>
      </c>
      <c r="B1128">
        <v>9</v>
      </c>
      <c r="C1128">
        <v>4</v>
      </c>
      <c r="D1128">
        <v>0</v>
      </c>
      <c r="E1128" t="s">
        <v>173</v>
      </c>
      <c r="F1128">
        <v>31744</v>
      </c>
      <c r="G1128">
        <v>42201617.375</v>
      </c>
      <c r="H1128">
        <v>0.93006992340087891</v>
      </c>
      <c r="I1128">
        <v>0.95046620046620045</v>
      </c>
      <c r="J1128">
        <v>11197550.791666666</v>
      </c>
      <c r="K1128">
        <v>48990</v>
      </c>
      <c r="L1128">
        <v>2</v>
      </c>
      <c r="M1128">
        <v>148</v>
      </c>
      <c r="N1128">
        <v>0.95600233100233101</v>
      </c>
      <c r="O1128">
        <v>11847331.041666668</v>
      </c>
      <c r="P1128">
        <v>49619</v>
      </c>
      <c r="Q1128">
        <v>2</v>
      </c>
      <c r="R1128">
        <v>149</v>
      </c>
      <c r="S1128" t="s">
        <v>877</v>
      </c>
      <c r="W1128">
        <f>Cancer_doubles_final2[[#This Row],[mlp_params]]</f>
        <v>48990</v>
      </c>
      <c r="X1128">
        <f>Cancer_doubles_final2[[#This Row],[kan_test_acc]]</f>
        <v>0.93006992340087891</v>
      </c>
      <c r="Y1128">
        <f>Cancer_doubles_final2[[#This Row],[mlp_test_acc]]</f>
        <v>0.95046620046620045</v>
      </c>
      <c r="Z1128">
        <f>Cancer_doubles_final2[[#This Row],[mlp_test_acc2]]</f>
        <v>0.95600233100233101</v>
      </c>
    </row>
    <row r="1129" spans="1:26" hidden="1" x14ac:dyDescent="0.25">
      <c r="A1129" t="s">
        <v>19</v>
      </c>
      <c r="B1129">
        <v>5</v>
      </c>
      <c r="C1129">
        <v>5</v>
      </c>
      <c r="D1129">
        <v>0</v>
      </c>
      <c r="E1129" t="s">
        <v>286</v>
      </c>
      <c r="F1129">
        <v>31748</v>
      </c>
      <c r="G1129">
        <v>45518963.75</v>
      </c>
      <c r="H1129">
        <v>0.93327505886554718</v>
      </c>
      <c r="I1129">
        <v>0.93706293706293708</v>
      </c>
      <c r="J1129">
        <v>10725665.625</v>
      </c>
      <c r="K1129">
        <v>58160</v>
      </c>
      <c r="L1129">
        <v>2</v>
      </c>
      <c r="M1129">
        <v>162</v>
      </c>
      <c r="N1129">
        <v>0.9417249417249417</v>
      </c>
      <c r="O1129">
        <v>11243070.125</v>
      </c>
      <c r="P1129">
        <v>58845</v>
      </c>
      <c r="Q1129">
        <v>2</v>
      </c>
      <c r="R1129">
        <v>163</v>
      </c>
      <c r="S1129" t="s">
        <v>878</v>
      </c>
      <c r="W1129">
        <f>Cancer_doubles_final2[[#This Row],[mlp_params]]</f>
        <v>58160</v>
      </c>
      <c r="X1129">
        <f>Cancer_doubles_final2[[#This Row],[kan_test_acc]]</f>
        <v>0.93327505886554718</v>
      </c>
      <c r="Y1129">
        <f>Cancer_doubles_final2[[#This Row],[mlp_test_acc]]</f>
        <v>0.93706293706293708</v>
      </c>
      <c r="Z1129">
        <f>Cancer_doubles_final2[[#This Row],[mlp_test_acc2]]</f>
        <v>0.9417249417249417</v>
      </c>
    </row>
    <row r="1130" spans="1:26" hidden="1" x14ac:dyDescent="0.25">
      <c r="A1130" t="s">
        <v>19</v>
      </c>
      <c r="B1130">
        <v>9</v>
      </c>
      <c r="C1130">
        <v>3</v>
      </c>
      <c r="D1130">
        <v>0</v>
      </c>
      <c r="E1130" t="s">
        <v>203</v>
      </c>
      <c r="F1130">
        <v>31808</v>
      </c>
      <c r="G1130">
        <v>40650247.861111112</v>
      </c>
      <c r="H1130">
        <v>0.92016316950321209</v>
      </c>
      <c r="I1130">
        <v>0.94696969696969691</v>
      </c>
      <c r="J1130">
        <v>8851860.055555556</v>
      </c>
      <c r="K1130">
        <v>46514</v>
      </c>
      <c r="L1130">
        <v>2</v>
      </c>
      <c r="M1130">
        <v>144</v>
      </c>
      <c r="N1130">
        <v>0.9456099456099456</v>
      </c>
      <c r="O1130">
        <v>9055026.6111111101</v>
      </c>
      <c r="P1130">
        <v>47127</v>
      </c>
      <c r="Q1130">
        <v>2</v>
      </c>
      <c r="R1130">
        <v>145</v>
      </c>
      <c r="S1130" t="s">
        <v>879</v>
      </c>
      <c r="W1130">
        <f>Cancer_doubles_final2[[#This Row],[mlp_params]]</f>
        <v>46514</v>
      </c>
      <c r="X1130">
        <f>Cancer_doubles_final2[[#This Row],[kan_test_acc]]</f>
        <v>0.92016316950321209</v>
      </c>
      <c r="Y1130">
        <f>Cancer_doubles_final2[[#This Row],[mlp_test_acc]]</f>
        <v>0.94696969696969691</v>
      </c>
      <c r="Z1130">
        <f>Cancer_doubles_final2[[#This Row],[mlp_test_acc2]]</f>
        <v>0.9456099456099456</v>
      </c>
    </row>
    <row r="1131" spans="1:26" hidden="1" x14ac:dyDescent="0.25">
      <c r="A1131" t="s">
        <v>19</v>
      </c>
      <c r="B1131">
        <v>9</v>
      </c>
      <c r="C1131">
        <v>4</v>
      </c>
      <c r="D1131">
        <v>0</v>
      </c>
      <c r="E1131" t="s">
        <v>175</v>
      </c>
      <c r="F1131">
        <v>31808</v>
      </c>
      <c r="G1131">
        <v>30223955.125</v>
      </c>
      <c r="H1131">
        <v>0.93968530992666888</v>
      </c>
      <c r="I1131">
        <v>0.96882284382284378</v>
      </c>
      <c r="J1131">
        <v>8097062.75</v>
      </c>
      <c r="K1131">
        <v>49619</v>
      </c>
      <c r="L1131">
        <v>2</v>
      </c>
      <c r="M1131">
        <v>149</v>
      </c>
      <c r="N1131">
        <v>0.96445221445221452</v>
      </c>
      <c r="O1131">
        <v>9454525.166666666</v>
      </c>
      <c r="P1131">
        <v>50252</v>
      </c>
      <c r="Q1131">
        <v>2</v>
      </c>
      <c r="R1131">
        <v>150</v>
      </c>
      <c r="S1131" t="s">
        <v>880</v>
      </c>
      <c r="W1131">
        <f>Cancer_doubles_final2[[#This Row],[mlp_params]]</f>
        <v>49619</v>
      </c>
      <c r="X1131">
        <f>Cancer_doubles_final2[[#This Row],[kan_test_acc]]</f>
        <v>0.93968530992666888</v>
      </c>
      <c r="Y1131">
        <f>Cancer_doubles_final2[[#This Row],[mlp_test_acc]]</f>
        <v>0.96882284382284378</v>
      </c>
      <c r="Z1131">
        <f>Cancer_doubles_final2[[#This Row],[mlp_test_acc2]]</f>
        <v>0.96445221445221452</v>
      </c>
    </row>
    <row r="1132" spans="1:26" hidden="1" x14ac:dyDescent="0.25">
      <c r="A1132" t="s">
        <v>19</v>
      </c>
      <c r="B1132">
        <v>9</v>
      </c>
      <c r="C1132">
        <v>3</v>
      </c>
      <c r="D1132">
        <v>0</v>
      </c>
      <c r="E1132" t="s">
        <v>205</v>
      </c>
      <c r="F1132">
        <v>31810</v>
      </c>
      <c r="G1132">
        <v>30395390</v>
      </c>
      <c r="H1132">
        <v>0.93968530992666888</v>
      </c>
      <c r="I1132">
        <v>0.94493006993006989</v>
      </c>
      <c r="J1132">
        <v>8048202.166666666</v>
      </c>
      <c r="K1132">
        <v>46514</v>
      </c>
      <c r="L1132">
        <v>2</v>
      </c>
      <c r="M1132">
        <v>144</v>
      </c>
      <c r="N1132">
        <v>0.94026806526806528</v>
      </c>
      <c r="O1132">
        <v>10543786.458333332</v>
      </c>
      <c r="P1132">
        <v>47127</v>
      </c>
      <c r="Q1132">
        <v>2</v>
      </c>
      <c r="R1132">
        <v>145</v>
      </c>
      <c r="S1132" t="s">
        <v>881</v>
      </c>
      <c r="W1132">
        <f>Cancer_doubles_final2[[#This Row],[mlp_params]]</f>
        <v>46514</v>
      </c>
      <c r="X1132">
        <f>Cancer_doubles_final2[[#This Row],[kan_test_acc]]</f>
        <v>0.93968530992666888</v>
      </c>
      <c r="Y1132">
        <f>Cancer_doubles_final2[[#This Row],[mlp_test_acc]]</f>
        <v>0.94493006993006989</v>
      </c>
      <c r="Z1132">
        <f>Cancer_doubles_final2[[#This Row],[mlp_test_acc2]]</f>
        <v>0.94026806526806528</v>
      </c>
    </row>
    <row r="1133" spans="1:26" hidden="1" x14ac:dyDescent="0.25">
      <c r="A1133" t="s">
        <v>19</v>
      </c>
      <c r="B1133">
        <v>9</v>
      </c>
      <c r="C1133">
        <v>4</v>
      </c>
      <c r="D1133">
        <v>0</v>
      </c>
      <c r="E1133" t="s">
        <v>177</v>
      </c>
      <c r="F1133">
        <v>31874</v>
      </c>
      <c r="G1133">
        <v>31532533.333333336</v>
      </c>
      <c r="H1133">
        <v>0.91860917210578918</v>
      </c>
      <c r="I1133">
        <v>0.93162393162393153</v>
      </c>
      <c r="J1133">
        <v>8872289.055555556</v>
      </c>
      <c r="K1133">
        <v>49619</v>
      </c>
      <c r="L1133">
        <v>2</v>
      </c>
      <c r="M1133">
        <v>149</v>
      </c>
      <c r="N1133">
        <v>0.92871017871017869</v>
      </c>
      <c r="O1133">
        <v>9045744.277777778</v>
      </c>
      <c r="P1133">
        <v>50252</v>
      </c>
      <c r="Q1133">
        <v>2</v>
      </c>
      <c r="R1133">
        <v>150</v>
      </c>
      <c r="S1133" t="s">
        <v>882</v>
      </c>
      <c r="W1133">
        <f>Cancer_doubles_final2[[#This Row],[mlp_params]]</f>
        <v>49619</v>
      </c>
      <c r="X1133">
        <f>Cancer_doubles_final2[[#This Row],[kan_test_acc]]</f>
        <v>0.91860917210578918</v>
      </c>
      <c r="Y1133">
        <f>Cancer_doubles_final2[[#This Row],[mlp_test_acc]]</f>
        <v>0.93162393162393153</v>
      </c>
      <c r="Z1133">
        <f>Cancer_doubles_final2[[#This Row],[mlp_test_acc2]]</f>
        <v>0.92871017871017869</v>
      </c>
    </row>
    <row r="1134" spans="1:26" hidden="1" x14ac:dyDescent="0.25">
      <c r="A1134" t="s">
        <v>19</v>
      </c>
      <c r="B1134">
        <v>3</v>
      </c>
      <c r="C1134">
        <v>4</v>
      </c>
      <c r="D1134">
        <v>0</v>
      </c>
      <c r="E1134" t="s">
        <v>582</v>
      </c>
      <c r="F1134">
        <v>31896</v>
      </c>
      <c r="G1134">
        <v>37426686.041666672</v>
      </c>
      <c r="H1134">
        <v>0.94813520461320877</v>
      </c>
      <c r="I1134">
        <v>0.95804195804195802</v>
      </c>
      <c r="J1134">
        <v>8837109.9166666679</v>
      </c>
      <c r="K1134">
        <v>60227</v>
      </c>
      <c r="L1134">
        <v>2</v>
      </c>
      <c r="M1134">
        <v>165</v>
      </c>
      <c r="N1134">
        <v>0.95687645687645695</v>
      </c>
      <c r="O1134">
        <v>8677944.75</v>
      </c>
      <c r="P1134">
        <v>60924</v>
      </c>
      <c r="Q1134">
        <v>2</v>
      </c>
      <c r="R1134">
        <v>166</v>
      </c>
      <c r="S1134" t="s">
        <v>883</v>
      </c>
      <c r="W1134">
        <f>Cancer_doubles_final2[[#This Row],[mlp_params]]</f>
        <v>60227</v>
      </c>
      <c r="X1134">
        <f>Cancer_doubles_final2[[#This Row],[kan_test_acc]]</f>
        <v>0.94813520461320877</v>
      </c>
      <c r="Y1134">
        <f>Cancer_doubles_final2[[#This Row],[mlp_test_acc]]</f>
        <v>0.95804195804195802</v>
      </c>
      <c r="Z1134">
        <f>Cancer_doubles_final2[[#This Row],[mlp_test_acc2]]</f>
        <v>0.95687645687645695</v>
      </c>
    </row>
    <row r="1135" spans="1:26" hidden="1" x14ac:dyDescent="0.25">
      <c r="A1135" t="s">
        <v>19</v>
      </c>
      <c r="B1135">
        <v>5</v>
      </c>
      <c r="C1135">
        <v>2</v>
      </c>
      <c r="D1135">
        <v>0</v>
      </c>
      <c r="E1135" t="s">
        <v>582</v>
      </c>
      <c r="F1135">
        <v>31896</v>
      </c>
      <c r="G1135">
        <v>38095936.208333328</v>
      </c>
      <c r="H1135">
        <v>0.97465034325917566</v>
      </c>
      <c r="I1135">
        <v>0.94230769230769229</v>
      </c>
      <c r="J1135">
        <v>8889808</v>
      </c>
      <c r="K1135">
        <v>47744</v>
      </c>
      <c r="L1135">
        <v>2</v>
      </c>
      <c r="M1135">
        <v>146</v>
      </c>
      <c r="N1135">
        <v>0.94289044289044288</v>
      </c>
      <c r="O1135">
        <v>9523646.708333334</v>
      </c>
      <c r="P1135">
        <v>48365</v>
      </c>
      <c r="Q1135">
        <v>2</v>
      </c>
      <c r="R1135">
        <v>147</v>
      </c>
      <c r="S1135" t="s">
        <v>884</v>
      </c>
      <c r="W1135">
        <f>Cancer_doubles_final2[[#This Row],[mlp_params]]</f>
        <v>47744</v>
      </c>
      <c r="X1135">
        <f>Cancer_doubles_final2[[#This Row],[kan_test_acc]]</f>
        <v>0.97465034325917566</v>
      </c>
      <c r="Y1135">
        <f>Cancer_doubles_final2[[#This Row],[mlp_test_acc]]</f>
        <v>0.94230769230769229</v>
      </c>
      <c r="Z1135">
        <f>Cancer_doubles_final2[[#This Row],[mlp_test_acc2]]</f>
        <v>0.94289044289044288</v>
      </c>
    </row>
    <row r="1136" spans="1:26" hidden="1" x14ac:dyDescent="0.25">
      <c r="A1136" t="s">
        <v>19</v>
      </c>
      <c r="B1136">
        <v>3</v>
      </c>
      <c r="C1136">
        <v>4</v>
      </c>
      <c r="D1136">
        <v>0</v>
      </c>
      <c r="E1136" t="s">
        <v>582</v>
      </c>
      <c r="F1136">
        <v>31896</v>
      </c>
      <c r="G1136">
        <v>39381832.25</v>
      </c>
      <c r="H1136">
        <v>0.97319345921278</v>
      </c>
      <c r="I1136">
        <v>0.93444055944055948</v>
      </c>
      <c r="J1136">
        <v>8480250.125</v>
      </c>
      <c r="K1136">
        <v>60227</v>
      </c>
      <c r="L1136">
        <v>2</v>
      </c>
      <c r="M1136">
        <v>165</v>
      </c>
      <c r="N1136">
        <v>0.92977855477855476</v>
      </c>
      <c r="O1136">
        <v>8782423.041666666</v>
      </c>
      <c r="P1136">
        <v>60924</v>
      </c>
      <c r="Q1136">
        <v>2</v>
      </c>
      <c r="R1136">
        <v>166</v>
      </c>
      <c r="S1136" t="s">
        <v>883</v>
      </c>
      <c r="W1136">
        <f>Cancer_doubles_final2[[#This Row],[mlp_params]]</f>
        <v>60227</v>
      </c>
      <c r="X1136">
        <f>Cancer_doubles_final2[[#This Row],[kan_test_acc]]</f>
        <v>0.97319345921278</v>
      </c>
      <c r="Y1136">
        <f>Cancer_doubles_final2[[#This Row],[mlp_test_acc]]</f>
        <v>0.93444055944055948</v>
      </c>
      <c r="Z1136">
        <f>Cancer_doubles_final2[[#This Row],[mlp_test_acc2]]</f>
        <v>0.92977855477855476</v>
      </c>
    </row>
    <row r="1137" spans="1:26" hidden="1" x14ac:dyDescent="0.25">
      <c r="A1137" t="s">
        <v>19</v>
      </c>
      <c r="B1137">
        <v>5</v>
      </c>
      <c r="C1137">
        <v>2</v>
      </c>
      <c r="D1137">
        <v>0</v>
      </c>
      <c r="E1137" t="s">
        <v>582</v>
      </c>
      <c r="F1137">
        <v>31896</v>
      </c>
      <c r="G1137">
        <v>38783347.375</v>
      </c>
      <c r="H1137">
        <v>0.96649183581272757</v>
      </c>
      <c r="I1137">
        <v>0.91200466200466201</v>
      </c>
      <c r="J1137">
        <v>8558405.166666666</v>
      </c>
      <c r="K1137">
        <v>47744</v>
      </c>
      <c r="L1137">
        <v>2</v>
      </c>
      <c r="M1137">
        <v>146</v>
      </c>
      <c r="N1137">
        <v>0.90763403263403264</v>
      </c>
      <c r="O1137">
        <v>8923454.625</v>
      </c>
      <c r="P1137">
        <v>48365</v>
      </c>
      <c r="Q1137">
        <v>2</v>
      </c>
      <c r="R1137">
        <v>147</v>
      </c>
      <c r="S1137" t="s">
        <v>884</v>
      </c>
      <c r="W1137">
        <f>Cancer_doubles_final2[[#This Row],[mlp_params]]</f>
        <v>47744</v>
      </c>
      <c r="X1137">
        <f>Cancer_doubles_final2[[#This Row],[kan_test_acc]]</f>
        <v>0.96649183581272757</v>
      </c>
      <c r="Y1137">
        <f>Cancer_doubles_final2[[#This Row],[mlp_test_acc]]</f>
        <v>0.91200466200466201</v>
      </c>
      <c r="Z1137">
        <f>Cancer_doubles_final2[[#This Row],[mlp_test_acc2]]</f>
        <v>0.90763403263403264</v>
      </c>
    </row>
    <row r="1138" spans="1:26" hidden="1" x14ac:dyDescent="0.25">
      <c r="A1138" t="s">
        <v>19</v>
      </c>
      <c r="B1138">
        <v>5</v>
      </c>
      <c r="C1138">
        <v>5</v>
      </c>
      <c r="D1138">
        <v>0</v>
      </c>
      <c r="E1138" t="s">
        <v>290</v>
      </c>
      <c r="F1138">
        <v>31898</v>
      </c>
      <c r="G1138">
        <v>37264021.625</v>
      </c>
      <c r="H1138">
        <v>0.93910256773233414</v>
      </c>
      <c r="I1138">
        <v>0.90617715617715611</v>
      </c>
      <c r="J1138">
        <v>9107512.7916666679</v>
      </c>
      <c r="K1138">
        <v>58160</v>
      </c>
      <c r="L1138">
        <v>2</v>
      </c>
      <c r="M1138">
        <v>162</v>
      </c>
      <c r="N1138">
        <v>0.90442890442890445</v>
      </c>
      <c r="O1138">
        <v>9286498.875</v>
      </c>
      <c r="P1138">
        <v>58845</v>
      </c>
      <c r="Q1138">
        <v>2</v>
      </c>
      <c r="R1138">
        <v>163</v>
      </c>
      <c r="S1138" t="s">
        <v>885</v>
      </c>
      <c r="W1138">
        <f>Cancer_doubles_final2[[#This Row],[mlp_params]]</f>
        <v>58160</v>
      </c>
      <c r="X1138">
        <f>Cancer_doubles_final2[[#This Row],[kan_test_acc]]</f>
        <v>0.93910256773233414</v>
      </c>
      <c r="Y1138">
        <f>Cancer_doubles_final2[[#This Row],[mlp_test_acc]]</f>
        <v>0.90617715617715611</v>
      </c>
      <c r="Z1138">
        <f>Cancer_doubles_final2[[#This Row],[mlp_test_acc2]]</f>
        <v>0.90442890442890445</v>
      </c>
    </row>
    <row r="1139" spans="1:26" x14ac:dyDescent="0.25">
      <c r="A1139" t="s">
        <v>19</v>
      </c>
      <c r="B1139">
        <v>3</v>
      </c>
      <c r="C1139">
        <v>5</v>
      </c>
      <c r="D1139">
        <v>0</v>
      </c>
      <c r="E1139" t="s">
        <v>457</v>
      </c>
      <c r="F1139">
        <v>31900</v>
      </c>
      <c r="G1139">
        <v>44987616.222222224</v>
      </c>
      <c r="H1139">
        <v>0.94463869432608283</v>
      </c>
      <c r="I1139">
        <v>0.93628593628593626</v>
      </c>
      <c r="J1139">
        <v>9332631.722222222</v>
      </c>
      <c r="K1139">
        <v>63039</v>
      </c>
      <c r="L1139">
        <v>2</v>
      </c>
      <c r="M1139">
        <v>169</v>
      </c>
      <c r="N1139">
        <v>0.93220668220668224</v>
      </c>
      <c r="O1139">
        <v>9407936.75</v>
      </c>
      <c r="P1139">
        <v>63752</v>
      </c>
      <c r="Q1139">
        <v>2</v>
      </c>
      <c r="R1139">
        <v>170</v>
      </c>
      <c r="S1139" t="s">
        <v>886</v>
      </c>
      <c r="W1139">
        <f>Cancer_doubles_final2[[#This Row],[mlp_params]]</f>
        <v>63039</v>
      </c>
      <c r="X1139">
        <f>Cancer_doubles_final2[[#This Row],[kan_test_acc]]</f>
        <v>0.94463869432608283</v>
      </c>
      <c r="Y1139">
        <f>Cancer_doubles_final2[[#This Row],[mlp_test_acc]]</f>
        <v>0.93628593628593626</v>
      </c>
      <c r="Z1139">
        <f>Cancer_doubles_final2[[#This Row],[mlp_test_acc2]]</f>
        <v>0.93220668220668224</v>
      </c>
    </row>
    <row r="1140" spans="1:26" hidden="1" x14ac:dyDescent="0.25">
      <c r="A1140" t="s">
        <v>19</v>
      </c>
      <c r="B1140">
        <v>5</v>
      </c>
      <c r="C1140">
        <v>3</v>
      </c>
      <c r="D1140">
        <v>0</v>
      </c>
      <c r="E1140" t="s">
        <v>457</v>
      </c>
      <c r="F1140">
        <v>31900</v>
      </c>
      <c r="G1140">
        <v>55394500.375</v>
      </c>
      <c r="H1140">
        <v>0.96649183332920074</v>
      </c>
      <c r="I1140">
        <v>0.94114219114219122</v>
      </c>
      <c r="J1140">
        <v>9482405.375</v>
      </c>
      <c r="K1140">
        <v>51530</v>
      </c>
      <c r="L1140">
        <v>2</v>
      </c>
      <c r="M1140">
        <v>152</v>
      </c>
      <c r="N1140">
        <v>0.93414918414918413</v>
      </c>
      <c r="O1140">
        <v>9875840.375</v>
      </c>
      <c r="P1140">
        <v>52175</v>
      </c>
      <c r="Q1140">
        <v>2</v>
      </c>
      <c r="R1140">
        <v>153</v>
      </c>
      <c r="S1140" t="s">
        <v>887</v>
      </c>
      <c r="W1140">
        <f>Cancer_doubles_final2[[#This Row],[mlp_params]]</f>
        <v>51530</v>
      </c>
      <c r="X1140">
        <f>Cancer_doubles_final2[[#This Row],[kan_test_acc]]</f>
        <v>0.96649183332920074</v>
      </c>
      <c r="Y1140">
        <f>Cancer_doubles_final2[[#This Row],[mlp_test_acc]]</f>
        <v>0.94114219114219122</v>
      </c>
      <c r="Z1140">
        <f>Cancer_doubles_final2[[#This Row],[mlp_test_acc2]]</f>
        <v>0.93414918414918413</v>
      </c>
    </row>
    <row r="1141" spans="1:26" x14ac:dyDescent="0.25">
      <c r="A1141" t="s">
        <v>19</v>
      </c>
      <c r="B1141">
        <v>3</v>
      </c>
      <c r="C1141">
        <v>5</v>
      </c>
      <c r="D1141">
        <v>0</v>
      </c>
      <c r="E1141" t="s">
        <v>457</v>
      </c>
      <c r="F1141">
        <v>31900</v>
      </c>
      <c r="G1141">
        <v>56528575.875</v>
      </c>
      <c r="H1141">
        <v>0.95833332588275277</v>
      </c>
      <c r="I1141">
        <v>0.94230769230769229</v>
      </c>
      <c r="J1141">
        <v>9787429.9583333321</v>
      </c>
      <c r="K1141">
        <v>63039</v>
      </c>
      <c r="L1141">
        <v>2</v>
      </c>
      <c r="M1141">
        <v>169</v>
      </c>
      <c r="N1141">
        <v>0.93881118881118875</v>
      </c>
      <c r="O1141">
        <v>10207016</v>
      </c>
      <c r="P1141">
        <v>63752</v>
      </c>
      <c r="Q1141">
        <v>2</v>
      </c>
      <c r="R1141">
        <v>170</v>
      </c>
      <c r="S1141" t="s">
        <v>886</v>
      </c>
      <c r="W1141">
        <f>Cancer_doubles_final2[[#This Row],[mlp_params]]</f>
        <v>63039</v>
      </c>
      <c r="X1141">
        <f>Cancer_doubles_final2[[#This Row],[kan_test_acc]]</f>
        <v>0.95833332588275277</v>
      </c>
      <c r="Y1141">
        <f>Cancer_doubles_final2[[#This Row],[mlp_test_acc]]</f>
        <v>0.94230769230769229</v>
      </c>
      <c r="Z1141">
        <f>Cancer_doubles_final2[[#This Row],[mlp_test_acc2]]</f>
        <v>0.93881118881118875</v>
      </c>
    </row>
    <row r="1142" spans="1:26" hidden="1" x14ac:dyDescent="0.25">
      <c r="A1142" t="s">
        <v>19</v>
      </c>
      <c r="B1142">
        <v>5</v>
      </c>
      <c r="C1142">
        <v>3</v>
      </c>
      <c r="D1142">
        <v>0</v>
      </c>
      <c r="E1142" t="s">
        <v>457</v>
      </c>
      <c r="F1142">
        <v>31900</v>
      </c>
      <c r="G1142">
        <v>52358435.916666672</v>
      </c>
      <c r="H1142">
        <v>0.94551281630992889</v>
      </c>
      <c r="I1142">
        <v>0.92103729603729612</v>
      </c>
      <c r="J1142">
        <v>9648399.875</v>
      </c>
      <c r="K1142">
        <v>51530</v>
      </c>
      <c r="L1142">
        <v>2</v>
      </c>
      <c r="M1142">
        <v>152</v>
      </c>
      <c r="N1142">
        <v>0.92045454545454541</v>
      </c>
      <c r="O1142">
        <v>9728699.375</v>
      </c>
      <c r="P1142">
        <v>52175</v>
      </c>
      <c r="Q1142">
        <v>2</v>
      </c>
      <c r="R1142">
        <v>153</v>
      </c>
      <c r="S1142" t="s">
        <v>887</v>
      </c>
      <c r="W1142">
        <f>Cancer_doubles_final2[[#This Row],[mlp_params]]</f>
        <v>51530</v>
      </c>
      <c r="X1142">
        <f>Cancer_doubles_final2[[#This Row],[kan_test_acc]]</f>
        <v>0.94551281630992889</v>
      </c>
      <c r="Y1142">
        <f>Cancer_doubles_final2[[#This Row],[mlp_test_acc]]</f>
        <v>0.92103729603729612</v>
      </c>
      <c r="Z1142">
        <f>Cancer_doubles_final2[[#This Row],[mlp_test_acc2]]</f>
        <v>0.92045454545454541</v>
      </c>
    </row>
    <row r="1143" spans="1:26" hidden="1" x14ac:dyDescent="0.25">
      <c r="A1143" t="s">
        <v>19</v>
      </c>
      <c r="B1143">
        <v>3</v>
      </c>
      <c r="C1143">
        <v>3</v>
      </c>
      <c r="D1143">
        <v>0</v>
      </c>
      <c r="E1143" t="s">
        <v>731</v>
      </c>
      <c r="F1143">
        <v>31960</v>
      </c>
      <c r="G1143">
        <v>44494936.166666672</v>
      </c>
      <c r="H1143">
        <v>0.95862470815579093</v>
      </c>
      <c r="I1143">
        <v>0.92395104895104896</v>
      </c>
      <c r="J1143">
        <v>8975068.7083333321</v>
      </c>
      <c r="K1143">
        <v>56129</v>
      </c>
      <c r="L1143">
        <v>2</v>
      </c>
      <c r="M1143">
        <v>159</v>
      </c>
      <c r="N1143">
        <v>0.92336829836829837</v>
      </c>
      <c r="O1143">
        <v>8831695.1666666679</v>
      </c>
      <c r="P1143">
        <v>56802</v>
      </c>
      <c r="Q1143">
        <v>2</v>
      </c>
      <c r="R1143">
        <v>160</v>
      </c>
      <c r="S1143" t="s">
        <v>888</v>
      </c>
      <c r="W1143">
        <f>Cancer_doubles_final2[[#This Row],[mlp_params]]</f>
        <v>56129</v>
      </c>
      <c r="X1143">
        <f>Cancer_doubles_final2[[#This Row],[kan_test_acc]]</f>
        <v>0.95862470815579093</v>
      </c>
      <c r="Y1143">
        <f>Cancer_doubles_final2[[#This Row],[mlp_test_acc]]</f>
        <v>0.92395104895104896</v>
      </c>
      <c r="Z1143">
        <f>Cancer_doubles_final2[[#This Row],[mlp_test_acc2]]</f>
        <v>0.92336829836829837</v>
      </c>
    </row>
    <row r="1144" spans="1:26" hidden="1" x14ac:dyDescent="0.25">
      <c r="A1144" t="s">
        <v>19</v>
      </c>
      <c r="B1144">
        <v>5</v>
      </c>
      <c r="C1144">
        <v>3</v>
      </c>
      <c r="D1144">
        <v>0</v>
      </c>
      <c r="E1144" t="s">
        <v>463</v>
      </c>
      <c r="F1144">
        <v>31984</v>
      </c>
      <c r="G1144">
        <v>45638819.05555556</v>
      </c>
      <c r="H1144">
        <v>0.97999222907755101</v>
      </c>
      <c r="I1144">
        <v>0.9403651903651904</v>
      </c>
      <c r="J1144">
        <v>9676659.6111111101</v>
      </c>
      <c r="K1144">
        <v>52175</v>
      </c>
      <c r="L1144">
        <v>2</v>
      </c>
      <c r="M1144">
        <v>153</v>
      </c>
      <c r="N1144">
        <v>0.94366744366744371</v>
      </c>
      <c r="O1144">
        <v>9641811.805555556</v>
      </c>
      <c r="P1144">
        <v>52824</v>
      </c>
      <c r="Q1144">
        <v>2</v>
      </c>
      <c r="R1144">
        <v>154</v>
      </c>
      <c r="S1144" t="s">
        <v>889</v>
      </c>
      <c r="W1144">
        <f>Cancer_doubles_final2[[#This Row],[mlp_params]]</f>
        <v>52175</v>
      </c>
      <c r="X1144">
        <f>Cancer_doubles_final2[[#This Row],[kan_test_acc]]</f>
        <v>0.97999222907755101</v>
      </c>
      <c r="Y1144">
        <f>Cancer_doubles_final2[[#This Row],[mlp_test_acc]]</f>
        <v>0.9403651903651904</v>
      </c>
      <c r="Z1144">
        <f>Cancer_doubles_final2[[#This Row],[mlp_test_acc2]]</f>
        <v>0.94366744366744371</v>
      </c>
    </row>
    <row r="1145" spans="1:26" x14ac:dyDescent="0.25">
      <c r="A1145" t="s">
        <v>19</v>
      </c>
      <c r="B1145">
        <v>3</v>
      </c>
      <c r="C1145">
        <v>5</v>
      </c>
      <c r="D1145">
        <v>0</v>
      </c>
      <c r="E1145" t="s">
        <v>463</v>
      </c>
      <c r="F1145">
        <v>31984</v>
      </c>
      <c r="G1145">
        <v>44257514.75</v>
      </c>
      <c r="H1145">
        <v>0.97639859964450193</v>
      </c>
      <c r="I1145">
        <v>0.94667832167832167</v>
      </c>
      <c r="J1145">
        <v>9783368.875</v>
      </c>
      <c r="K1145">
        <v>63752</v>
      </c>
      <c r="L1145">
        <v>2</v>
      </c>
      <c r="M1145">
        <v>170</v>
      </c>
      <c r="N1145">
        <v>0.94667832167832167</v>
      </c>
      <c r="O1145">
        <v>10004543.25</v>
      </c>
      <c r="P1145">
        <v>64469</v>
      </c>
      <c r="Q1145">
        <v>2</v>
      </c>
      <c r="R1145">
        <v>171</v>
      </c>
      <c r="S1145" t="s">
        <v>890</v>
      </c>
      <c r="W1145">
        <f>Cancer_doubles_final2[[#This Row],[mlp_params]]</f>
        <v>63752</v>
      </c>
      <c r="X1145">
        <f>Cancer_doubles_final2[[#This Row],[kan_test_acc]]</f>
        <v>0.97639859964450193</v>
      </c>
      <c r="Y1145">
        <f>Cancer_doubles_final2[[#This Row],[mlp_test_acc]]</f>
        <v>0.94667832167832167</v>
      </c>
      <c r="Z1145">
        <f>Cancer_doubles_final2[[#This Row],[mlp_test_acc2]]</f>
        <v>0.94667832167832167</v>
      </c>
    </row>
    <row r="1146" spans="1:26" hidden="1" x14ac:dyDescent="0.25">
      <c r="A1146" t="s">
        <v>19</v>
      </c>
      <c r="B1146">
        <v>5</v>
      </c>
      <c r="C1146">
        <v>3</v>
      </c>
      <c r="D1146">
        <v>0</v>
      </c>
      <c r="E1146" t="s">
        <v>463</v>
      </c>
      <c r="F1146">
        <v>31984</v>
      </c>
      <c r="G1146">
        <v>46904457.25</v>
      </c>
      <c r="H1146">
        <v>0.96882283687591553</v>
      </c>
      <c r="I1146">
        <v>0.93997668997668993</v>
      </c>
      <c r="J1146">
        <v>8947879.9583333321</v>
      </c>
      <c r="K1146">
        <v>52175</v>
      </c>
      <c r="L1146">
        <v>2</v>
      </c>
      <c r="M1146">
        <v>153</v>
      </c>
      <c r="N1146">
        <v>0.93414918414918424</v>
      </c>
      <c r="O1146">
        <v>9929435.708333334</v>
      </c>
      <c r="P1146">
        <v>52824</v>
      </c>
      <c r="Q1146">
        <v>2</v>
      </c>
      <c r="R1146">
        <v>154</v>
      </c>
      <c r="S1146" t="s">
        <v>889</v>
      </c>
      <c r="W1146">
        <f>Cancer_doubles_final2[[#This Row],[mlp_params]]</f>
        <v>52175</v>
      </c>
      <c r="X1146">
        <f>Cancer_doubles_final2[[#This Row],[kan_test_acc]]</f>
        <v>0.96882283687591553</v>
      </c>
      <c r="Y1146">
        <f>Cancer_doubles_final2[[#This Row],[mlp_test_acc]]</f>
        <v>0.93997668997668993</v>
      </c>
      <c r="Z1146">
        <f>Cancer_doubles_final2[[#This Row],[mlp_test_acc2]]</f>
        <v>0.93414918414918424</v>
      </c>
    </row>
    <row r="1147" spans="1:26" x14ac:dyDescent="0.25">
      <c r="A1147" t="s">
        <v>19</v>
      </c>
      <c r="B1147">
        <v>3</v>
      </c>
      <c r="C1147">
        <v>5</v>
      </c>
      <c r="D1147">
        <v>0</v>
      </c>
      <c r="E1147" t="s">
        <v>463</v>
      </c>
      <c r="F1147">
        <v>31984</v>
      </c>
      <c r="G1147">
        <v>53482626.791666672</v>
      </c>
      <c r="H1147">
        <v>0.95949882517258334</v>
      </c>
      <c r="I1147">
        <v>0.93968531468531469</v>
      </c>
      <c r="J1147">
        <v>10057920.041666668</v>
      </c>
      <c r="K1147">
        <v>63752</v>
      </c>
      <c r="L1147">
        <v>2</v>
      </c>
      <c r="M1147">
        <v>170</v>
      </c>
      <c r="N1147">
        <v>0.9358974358974359</v>
      </c>
      <c r="O1147">
        <v>11173606.666666668</v>
      </c>
      <c r="P1147">
        <v>64469</v>
      </c>
      <c r="Q1147">
        <v>2</v>
      </c>
      <c r="R1147">
        <v>171</v>
      </c>
      <c r="S1147" t="s">
        <v>890</v>
      </c>
      <c r="W1147">
        <f>Cancer_doubles_final2[[#This Row],[mlp_params]]</f>
        <v>63752</v>
      </c>
      <c r="X1147">
        <f>Cancer_doubles_final2[[#This Row],[kan_test_acc]]</f>
        <v>0.95949882517258334</v>
      </c>
      <c r="Y1147">
        <f>Cancer_doubles_final2[[#This Row],[mlp_test_acc]]</f>
        <v>0.93968531468531469</v>
      </c>
      <c r="Z1147">
        <f>Cancer_doubles_final2[[#This Row],[mlp_test_acc2]]</f>
        <v>0.9358974358974359</v>
      </c>
    </row>
    <row r="1148" spans="1:26" hidden="1" x14ac:dyDescent="0.25">
      <c r="A1148" t="s">
        <v>19</v>
      </c>
      <c r="B1148">
        <v>5</v>
      </c>
      <c r="C1148">
        <v>3</v>
      </c>
      <c r="D1148">
        <v>0</v>
      </c>
      <c r="E1148" t="s">
        <v>463</v>
      </c>
      <c r="F1148">
        <v>31984</v>
      </c>
      <c r="G1148">
        <v>51942367.041666664</v>
      </c>
      <c r="H1148">
        <v>0.94813519467910135</v>
      </c>
      <c r="I1148">
        <v>0.92016317016317017</v>
      </c>
      <c r="J1148">
        <v>10260614.125</v>
      </c>
      <c r="K1148">
        <v>52175</v>
      </c>
      <c r="L1148">
        <v>2</v>
      </c>
      <c r="M1148">
        <v>153</v>
      </c>
      <c r="N1148">
        <v>0.92016317016317017</v>
      </c>
      <c r="O1148">
        <v>11034446.541666668</v>
      </c>
      <c r="P1148">
        <v>52824</v>
      </c>
      <c r="Q1148">
        <v>2</v>
      </c>
      <c r="R1148">
        <v>154</v>
      </c>
      <c r="S1148" t="s">
        <v>889</v>
      </c>
      <c r="W1148">
        <f>Cancer_doubles_final2[[#This Row],[mlp_params]]</f>
        <v>52175</v>
      </c>
      <c r="X1148">
        <f>Cancer_doubles_final2[[#This Row],[kan_test_acc]]</f>
        <v>0.94813519467910135</v>
      </c>
      <c r="Y1148">
        <f>Cancer_doubles_final2[[#This Row],[mlp_test_acc]]</f>
        <v>0.92016317016317017</v>
      </c>
      <c r="Z1148">
        <f>Cancer_doubles_final2[[#This Row],[mlp_test_acc2]]</f>
        <v>0.92016317016317017</v>
      </c>
    </row>
    <row r="1149" spans="1:26" hidden="1" x14ac:dyDescent="0.25">
      <c r="A1149" t="s">
        <v>19</v>
      </c>
      <c r="B1149">
        <v>5</v>
      </c>
      <c r="C1149">
        <v>4</v>
      </c>
      <c r="D1149">
        <v>0</v>
      </c>
      <c r="E1149" t="s">
        <v>365</v>
      </c>
      <c r="F1149">
        <v>31998</v>
      </c>
      <c r="G1149">
        <v>40756033.416666672</v>
      </c>
      <c r="H1149">
        <v>0.94114219397306442</v>
      </c>
      <c r="I1149">
        <v>0.91520979020979021</v>
      </c>
      <c r="J1149">
        <v>9186050.208333334</v>
      </c>
      <c r="K1149">
        <v>55460</v>
      </c>
      <c r="L1149">
        <v>2</v>
      </c>
      <c r="M1149">
        <v>158</v>
      </c>
      <c r="N1149">
        <v>0.91462703962703973</v>
      </c>
      <c r="O1149">
        <v>10138684.625</v>
      </c>
      <c r="P1149">
        <v>56129</v>
      </c>
      <c r="Q1149">
        <v>2</v>
      </c>
      <c r="R1149">
        <v>159</v>
      </c>
      <c r="S1149" t="s">
        <v>891</v>
      </c>
      <c r="W1149">
        <f>Cancer_doubles_final2[[#This Row],[mlp_params]]</f>
        <v>55460</v>
      </c>
      <c r="X1149">
        <f>Cancer_doubles_final2[[#This Row],[kan_test_acc]]</f>
        <v>0.94114219397306442</v>
      </c>
      <c r="Y1149">
        <f>Cancer_doubles_final2[[#This Row],[mlp_test_acc]]</f>
        <v>0.91520979020979021</v>
      </c>
      <c r="Z1149">
        <f>Cancer_doubles_final2[[#This Row],[mlp_test_acc2]]</f>
        <v>0.91462703962703973</v>
      </c>
    </row>
    <row r="1150" spans="1:26" hidden="1" x14ac:dyDescent="0.25">
      <c r="A1150" t="s">
        <v>19</v>
      </c>
      <c r="B1150">
        <v>5</v>
      </c>
      <c r="C1150">
        <v>4</v>
      </c>
      <c r="D1150">
        <v>0</v>
      </c>
      <c r="E1150" t="s">
        <v>367</v>
      </c>
      <c r="F1150">
        <v>32004</v>
      </c>
      <c r="G1150">
        <v>39905571.666666664</v>
      </c>
      <c r="H1150">
        <v>0.93395493262343943</v>
      </c>
      <c r="I1150">
        <v>0.94502719502719501</v>
      </c>
      <c r="J1150">
        <v>10211425.138888888</v>
      </c>
      <c r="K1150">
        <v>55460</v>
      </c>
      <c r="L1150">
        <v>2</v>
      </c>
      <c r="M1150">
        <v>158</v>
      </c>
      <c r="N1150">
        <v>0.94191919191919193</v>
      </c>
      <c r="O1150">
        <v>10193049.777777778</v>
      </c>
      <c r="P1150">
        <v>56129</v>
      </c>
      <c r="Q1150">
        <v>2</v>
      </c>
      <c r="R1150">
        <v>159</v>
      </c>
      <c r="S1150" t="s">
        <v>892</v>
      </c>
      <c r="W1150">
        <f>Cancer_doubles_final2[[#This Row],[mlp_params]]</f>
        <v>55460</v>
      </c>
      <c r="X1150">
        <f>Cancer_doubles_final2[[#This Row],[kan_test_acc]]</f>
        <v>0.93395493262343943</v>
      </c>
      <c r="Y1150">
        <f>Cancer_doubles_final2[[#This Row],[mlp_test_acc]]</f>
        <v>0.94502719502719501</v>
      </c>
      <c r="Z1150">
        <f>Cancer_doubles_final2[[#This Row],[mlp_test_acc2]]</f>
        <v>0.94191919191919193</v>
      </c>
    </row>
    <row r="1151" spans="1:26" hidden="1" x14ac:dyDescent="0.25">
      <c r="A1151" t="s">
        <v>19</v>
      </c>
      <c r="B1151">
        <v>5</v>
      </c>
      <c r="C1151">
        <v>5</v>
      </c>
      <c r="D1151">
        <v>0</v>
      </c>
      <c r="E1151" t="s">
        <v>293</v>
      </c>
      <c r="F1151">
        <v>32006</v>
      </c>
      <c r="G1151">
        <v>39903270.041666672</v>
      </c>
      <c r="H1151">
        <v>0.92701048528154695</v>
      </c>
      <c r="I1151">
        <v>0.9401223776223776</v>
      </c>
      <c r="J1151">
        <v>9601219.0208333321</v>
      </c>
      <c r="K1151">
        <v>58845</v>
      </c>
      <c r="L1151">
        <v>2</v>
      </c>
      <c r="M1151">
        <v>163</v>
      </c>
      <c r="N1151">
        <v>0.93764568764568768</v>
      </c>
      <c r="O1151">
        <v>9878473.5833333321</v>
      </c>
      <c r="P1151">
        <v>59534</v>
      </c>
      <c r="Q1151">
        <v>2</v>
      </c>
      <c r="R1151">
        <v>164</v>
      </c>
      <c r="S1151" t="s">
        <v>893</v>
      </c>
      <c r="W1151">
        <f>Cancer_doubles_final2[[#This Row],[mlp_params]]</f>
        <v>58845</v>
      </c>
      <c r="X1151">
        <f>Cancer_doubles_final2[[#This Row],[kan_test_acc]]</f>
        <v>0.92701048528154695</v>
      </c>
      <c r="Y1151">
        <f>Cancer_doubles_final2[[#This Row],[mlp_test_acc]]</f>
        <v>0.9401223776223776</v>
      </c>
      <c r="Z1151">
        <f>Cancer_doubles_final2[[#This Row],[mlp_test_acc2]]</f>
        <v>0.93764568764568768</v>
      </c>
    </row>
    <row r="1152" spans="1:26" x14ac:dyDescent="0.25">
      <c r="A1152" t="s">
        <v>19</v>
      </c>
      <c r="B1152">
        <v>3</v>
      </c>
      <c r="C1152">
        <v>5</v>
      </c>
      <c r="D1152">
        <v>0</v>
      </c>
      <c r="E1152" t="s">
        <v>466</v>
      </c>
      <c r="F1152">
        <v>32030</v>
      </c>
      <c r="G1152">
        <v>47717382.333333328</v>
      </c>
      <c r="H1152">
        <v>0.93278942505518592</v>
      </c>
      <c r="I1152">
        <v>0.93861693861693862</v>
      </c>
      <c r="J1152">
        <v>9645705.6111111101</v>
      </c>
      <c r="K1152">
        <v>63752</v>
      </c>
      <c r="L1152">
        <v>2</v>
      </c>
      <c r="M1152">
        <v>170</v>
      </c>
      <c r="N1152">
        <v>0.93686868686868696</v>
      </c>
      <c r="O1152">
        <v>9805314.1388888899</v>
      </c>
      <c r="P1152">
        <v>64469</v>
      </c>
      <c r="Q1152">
        <v>2</v>
      </c>
      <c r="R1152">
        <v>171</v>
      </c>
      <c r="S1152" t="s">
        <v>894</v>
      </c>
      <c r="W1152">
        <f>Cancer_doubles_final2[[#This Row],[mlp_params]]</f>
        <v>63752</v>
      </c>
      <c r="X1152">
        <f>Cancer_doubles_final2[[#This Row],[kan_test_acc]]</f>
        <v>0.93278942505518592</v>
      </c>
      <c r="Y1152">
        <f>Cancer_doubles_final2[[#This Row],[mlp_test_acc]]</f>
        <v>0.93861693861693862</v>
      </c>
      <c r="Z1152">
        <f>Cancer_doubles_final2[[#This Row],[mlp_test_acc2]]</f>
        <v>0.93686868686868696</v>
      </c>
    </row>
    <row r="1153" spans="1:26" hidden="1" x14ac:dyDescent="0.25">
      <c r="A1153" t="s">
        <v>19</v>
      </c>
      <c r="B1153">
        <v>5</v>
      </c>
      <c r="C1153">
        <v>3</v>
      </c>
      <c r="D1153">
        <v>0</v>
      </c>
      <c r="E1153" t="s">
        <v>466</v>
      </c>
      <c r="F1153">
        <v>32030</v>
      </c>
      <c r="G1153">
        <v>50704019.166666664</v>
      </c>
      <c r="H1153">
        <v>0.96794870744148886</v>
      </c>
      <c r="I1153">
        <v>0.93881118881118886</v>
      </c>
      <c r="J1153">
        <v>9824971.666666666</v>
      </c>
      <c r="K1153">
        <v>52175</v>
      </c>
      <c r="L1153">
        <v>2</v>
      </c>
      <c r="M1153">
        <v>153</v>
      </c>
      <c r="N1153">
        <v>0.93618881118881125</v>
      </c>
      <c r="O1153">
        <v>10186954.583333334</v>
      </c>
      <c r="P1153">
        <v>52824</v>
      </c>
      <c r="Q1153">
        <v>2</v>
      </c>
      <c r="R1153">
        <v>154</v>
      </c>
      <c r="S1153" t="s">
        <v>895</v>
      </c>
      <c r="W1153">
        <f>Cancer_doubles_final2[[#This Row],[mlp_params]]</f>
        <v>52175</v>
      </c>
      <c r="X1153">
        <f>Cancer_doubles_final2[[#This Row],[kan_test_acc]]</f>
        <v>0.96794870744148886</v>
      </c>
      <c r="Y1153">
        <f>Cancer_doubles_final2[[#This Row],[mlp_test_acc]]</f>
        <v>0.93881118881118886</v>
      </c>
      <c r="Z1153">
        <f>Cancer_doubles_final2[[#This Row],[mlp_test_acc2]]</f>
        <v>0.93618881118881125</v>
      </c>
    </row>
    <row r="1154" spans="1:26" x14ac:dyDescent="0.25">
      <c r="A1154" t="s">
        <v>19</v>
      </c>
      <c r="B1154">
        <v>3</v>
      </c>
      <c r="C1154">
        <v>5</v>
      </c>
      <c r="D1154">
        <v>0</v>
      </c>
      <c r="E1154" t="s">
        <v>466</v>
      </c>
      <c r="F1154">
        <v>32030</v>
      </c>
      <c r="G1154">
        <v>51693714.166666672</v>
      </c>
      <c r="H1154">
        <v>0.95221444716056192</v>
      </c>
      <c r="I1154">
        <v>0.94055944055944063</v>
      </c>
      <c r="J1154">
        <v>10325555.416666666</v>
      </c>
      <c r="K1154">
        <v>63752</v>
      </c>
      <c r="L1154">
        <v>2</v>
      </c>
      <c r="M1154">
        <v>170</v>
      </c>
      <c r="N1154">
        <v>0.93997668997668993</v>
      </c>
      <c r="O1154">
        <v>10606092.125</v>
      </c>
      <c r="P1154">
        <v>64469</v>
      </c>
      <c r="Q1154">
        <v>2</v>
      </c>
      <c r="R1154">
        <v>171</v>
      </c>
      <c r="S1154" t="s">
        <v>894</v>
      </c>
      <c r="W1154">
        <f>Cancer_doubles_final2[[#This Row],[mlp_params]]</f>
        <v>63752</v>
      </c>
      <c r="X1154">
        <f>Cancer_doubles_final2[[#This Row],[kan_test_acc]]</f>
        <v>0.95221444716056192</v>
      </c>
      <c r="Y1154">
        <f>Cancer_doubles_final2[[#This Row],[mlp_test_acc]]</f>
        <v>0.94055944055944063</v>
      </c>
      <c r="Z1154">
        <f>Cancer_doubles_final2[[#This Row],[mlp_test_acc2]]</f>
        <v>0.93997668997668993</v>
      </c>
    </row>
    <row r="1155" spans="1:26" hidden="1" x14ac:dyDescent="0.25">
      <c r="A1155" t="s">
        <v>19</v>
      </c>
      <c r="B1155">
        <v>5</v>
      </c>
      <c r="C1155">
        <v>3</v>
      </c>
      <c r="D1155">
        <v>0</v>
      </c>
      <c r="E1155" t="s">
        <v>466</v>
      </c>
      <c r="F1155">
        <v>32030</v>
      </c>
      <c r="G1155">
        <v>50386293.583333336</v>
      </c>
      <c r="H1155">
        <v>0.93531468510627747</v>
      </c>
      <c r="I1155">
        <v>0.9184149184149184</v>
      </c>
      <c r="J1155">
        <v>10676493.125</v>
      </c>
      <c r="K1155">
        <v>52175</v>
      </c>
      <c r="L1155">
        <v>2</v>
      </c>
      <c r="M1155">
        <v>153</v>
      </c>
      <c r="N1155">
        <v>0.91928904428904423</v>
      </c>
      <c r="O1155">
        <v>9930399.9166666679</v>
      </c>
      <c r="P1155">
        <v>52824</v>
      </c>
      <c r="Q1155">
        <v>2</v>
      </c>
      <c r="R1155">
        <v>154</v>
      </c>
      <c r="S1155" t="s">
        <v>895</v>
      </c>
      <c r="W1155">
        <f>Cancer_doubles_final2[[#This Row],[mlp_params]]</f>
        <v>52175</v>
      </c>
      <c r="X1155">
        <f>Cancer_doubles_final2[[#This Row],[kan_test_acc]]</f>
        <v>0.93531468510627747</v>
      </c>
      <c r="Y1155">
        <f>Cancer_doubles_final2[[#This Row],[mlp_test_acc]]</f>
        <v>0.9184149184149184</v>
      </c>
      <c r="Z1155">
        <f>Cancer_doubles_final2[[#This Row],[mlp_test_acc2]]</f>
        <v>0.91928904428904423</v>
      </c>
    </row>
    <row r="1156" spans="1:26" hidden="1" x14ac:dyDescent="0.25">
      <c r="A1156" t="s">
        <v>19</v>
      </c>
      <c r="B1156">
        <v>5</v>
      </c>
      <c r="C1156">
        <v>5</v>
      </c>
      <c r="D1156">
        <v>0</v>
      </c>
      <c r="E1156" t="s">
        <v>296</v>
      </c>
      <c r="F1156">
        <v>32056</v>
      </c>
      <c r="G1156">
        <v>41816634.5</v>
      </c>
      <c r="H1156">
        <v>0.91520979007085157</v>
      </c>
      <c r="I1156">
        <v>0.90909090909090917</v>
      </c>
      <c r="J1156">
        <v>9917329.2916666679</v>
      </c>
      <c r="K1156">
        <v>58845</v>
      </c>
      <c r="L1156">
        <v>2</v>
      </c>
      <c r="M1156">
        <v>163</v>
      </c>
      <c r="N1156">
        <v>0.91171328671328677</v>
      </c>
      <c r="O1156">
        <v>9284358.5</v>
      </c>
      <c r="P1156">
        <v>59534</v>
      </c>
      <c r="Q1156">
        <v>2</v>
      </c>
      <c r="R1156">
        <v>164</v>
      </c>
      <c r="S1156" t="s">
        <v>896</v>
      </c>
      <c r="W1156">
        <f>Cancer_doubles_final2[[#This Row],[mlp_params]]</f>
        <v>58845</v>
      </c>
      <c r="X1156">
        <f>Cancer_doubles_final2[[#This Row],[kan_test_acc]]</f>
        <v>0.91520979007085157</v>
      </c>
      <c r="Y1156">
        <f>Cancer_doubles_final2[[#This Row],[mlp_test_acc]]</f>
        <v>0.90909090909090917</v>
      </c>
      <c r="Z1156">
        <f>Cancer_doubles_final2[[#This Row],[mlp_test_acc2]]</f>
        <v>0.91171328671328677</v>
      </c>
    </row>
    <row r="1157" spans="1:26" hidden="1" x14ac:dyDescent="0.25">
      <c r="A1157" t="s">
        <v>19</v>
      </c>
      <c r="B1157">
        <v>3</v>
      </c>
      <c r="C1157">
        <v>4</v>
      </c>
      <c r="D1157">
        <v>0</v>
      </c>
      <c r="E1157" t="s">
        <v>592</v>
      </c>
      <c r="F1157">
        <v>32174</v>
      </c>
      <c r="G1157">
        <v>43162025.805555552</v>
      </c>
      <c r="H1157">
        <v>0.92540791961881852</v>
      </c>
      <c r="I1157">
        <v>0.94153069153069158</v>
      </c>
      <c r="J1157">
        <v>9575068</v>
      </c>
      <c r="K1157">
        <v>60924</v>
      </c>
      <c r="L1157">
        <v>2</v>
      </c>
      <c r="M1157">
        <v>166</v>
      </c>
      <c r="N1157">
        <v>0.94191919191919193</v>
      </c>
      <c r="O1157">
        <v>9921561.527777778</v>
      </c>
      <c r="P1157">
        <v>61625</v>
      </c>
      <c r="Q1157">
        <v>2</v>
      </c>
      <c r="R1157">
        <v>167</v>
      </c>
      <c r="S1157" t="s">
        <v>897</v>
      </c>
      <c r="W1157">
        <f>Cancer_doubles_final2[[#This Row],[mlp_params]]</f>
        <v>60924</v>
      </c>
      <c r="X1157">
        <f>Cancer_doubles_final2[[#This Row],[kan_test_acc]]</f>
        <v>0.92540791961881852</v>
      </c>
      <c r="Y1157">
        <f>Cancer_doubles_final2[[#This Row],[mlp_test_acc]]</f>
        <v>0.94153069153069158</v>
      </c>
      <c r="Z1157">
        <f>Cancer_doubles_final2[[#This Row],[mlp_test_acc2]]</f>
        <v>0.94191919191919193</v>
      </c>
    </row>
    <row r="1158" spans="1:26" hidden="1" x14ac:dyDescent="0.25">
      <c r="A1158" t="s">
        <v>19</v>
      </c>
      <c r="B1158">
        <v>5</v>
      </c>
      <c r="C1158">
        <v>2</v>
      </c>
      <c r="D1158">
        <v>0</v>
      </c>
      <c r="E1158" t="s">
        <v>592</v>
      </c>
      <c r="F1158">
        <v>32174</v>
      </c>
      <c r="G1158">
        <v>40914631.25</v>
      </c>
      <c r="H1158">
        <v>0.97523308793703722</v>
      </c>
      <c r="I1158">
        <v>0.9443473193473193</v>
      </c>
      <c r="J1158">
        <v>9334850.0416666679</v>
      </c>
      <c r="K1158">
        <v>47744</v>
      </c>
      <c r="L1158">
        <v>2</v>
      </c>
      <c r="M1158">
        <v>146</v>
      </c>
      <c r="N1158">
        <v>0.94376456876456882</v>
      </c>
      <c r="O1158">
        <v>9859156.4166666679</v>
      </c>
      <c r="P1158">
        <v>48365</v>
      </c>
      <c r="Q1158">
        <v>2</v>
      </c>
      <c r="R1158">
        <v>147</v>
      </c>
      <c r="S1158" t="s">
        <v>898</v>
      </c>
      <c r="W1158">
        <f>Cancer_doubles_final2[[#This Row],[mlp_params]]</f>
        <v>47744</v>
      </c>
      <c r="X1158">
        <f>Cancer_doubles_final2[[#This Row],[kan_test_acc]]</f>
        <v>0.97523308793703722</v>
      </c>
      <c r="Y1158">
        <f>Cancer_doubles_final2[[#This Row],[mlp_test_acc]]</f>
        <v>0.9443473193473193</v>
      </c>
      <c r="Z1158">
        <f>Cancer_doubles_final2[[#This Row],[mlp_test_acc2]]</f>
        <v>0.94376456876456882</v>
      </c>
    </row>
    <row r="1159" spans="1:26" hidden="1" x14ac:dyDescent="0.25">
      <c r="A1159" t="s">
        <v>19</v>
      </c>
      <c r="B1159">
        <v>3</v>
      </c>
      <c r="C1159">
        <v>4</v>
      </c>
      <c r="D1159">
        <v>0</v>
      </c>
      <c r="E1159" t="s">
        <v>592</v>
      </c>
      <c r="F1159">
        <v>32174</v>
      </c>
      <c r="G1159">
        <v>37922297.458333328</v>
      </c>
      <c r="H1159">
        <v>0.96882283190886187</v>
      </c>
      <c r="I1159">
        <v>0.92948717948717952</v>
      </c>
      <c r="J1159">
        <v>9374454.25</v>
      </c>
      <c r="K1159">
        <v>60924</v>
      </c>
      <c r="L1159">
        <v>2</v>
      </c>
      <c r="M1159">
        <v>166</v>
      </c>
      <c r="N1159">
        <v>0.93094405594405605</v>
      </c>
      <c r="O1159">
        <v>9172547.25</v>
      </c>
      <c r="P1159">
        <v>61625</v>
      </c>
      <c r="Q1159">
        <v>2</v>
      </c>
      <c r="R1159">
        <v>167</v>
      </c>
      <c r="S1159" t="s">
        <v>897</v>
      </c>
      <c r="W1159">
        <f>Cancer_doubles_final2[[#This Row],[mlp_params]]</f>
        <v>60924</v>
      </c>
      <c r="X1159">
        <f>Cancer_doubles_final2[[#This Row],[kan_test_acc]]</f>
        <v>0.96882283190886187</v>
      </c>
      <c r="Y1159">
        <f>Cancer_doubles_final2[[#This Row],[mlp_test_acc]]</f>
        <v>0.92948717948717952</v>
      </c>
      <c r="Z1159">
        <f>Cancer_doubles_final2[[#This Row],[mlp_test_acc2]]</f>
        <v>0.93094405594405605</v>
      </c>
    </row>
    <row r="1160" spans="1:26" hidden="1" x14ac:dyDescent="0.25">
      <c r="A1160" t="s">
        <v>19</v>
      </c>
      <c r="B1160">
        <v>5</v>
      </c>
      <c r="C1160">
        <v>2</v>
      </c>
      <c r="D1160">
        <v>0</v>
      </c>
      <c r="E1160" t="s">
        <v>592</v>
      </c>
      <c r="F1160">
        <v>32174</v>
      </c>
      <c r="G1160">
        <v>35942258.208333328</v>
      </c>
      <c r="H1160">
        <v>0.95775057375431061</v>
      </c>
      <c r="I1160">
        <v>0.90646853146853146</v>
      </c>
      <c r="J1160">
        <v>9473844.416666666</v>
      </c>
      <c r="K1160">
        <v>47744</v>
      </c>
      <c r="L1160">
        <v>2</v>
      </c>
      <c r="M1160">
        <v>146</v>
      </c>
      <c r="N1160">
        <v>0.90705128205128205</v>
      </c>
      <c r="O1160">
        <v>8365016.916666667</v>
      </c>
      <c r="P1160">
        <v>48365</v>
      </c>
      <c r="Q1160">
        <v>2</v>
      </c>
      <c r="R1160">
        <v>147</v>
      </c>
      <c r="S1160" t="s">
        <v>898</v>
      </c>
      <c r="W1160">
        <f>Cancer_doubles_final2[[#This Row],[mlp_params]]</f>
        <v>47744</v>
      </c>
      <c r="X1160">
        <f>Cancer_doubles_final2[[#This Row],[kan_test_acc]]</f>
        <v>0.95775057375431061</v>
      </c>
      <c r="Y1160">
        <f>Cancer_doubles_final2[[#This Row],[mlp_test_acc]]</f>
        <v>0.90646853146853146</v>
      </c>
      <c r="Z1160">
        <f>Cancer_doubles_final2[[#This Row],[mlp_test_acc2]]</f>
        <v>0.90705128205128205</v>
      </c>
    </row>
    <row r="1161" spans="1:26" hidden="1" x14ac:dyDescent="0.25">
      <c r="A1161" t="s">
        <v>19</v>
      </c>
      <c r="B1161">
        <v>5</v>
      </c>
      <c r="C1161">
        <v>4</v>
      </c>
      <c r="D1161">
        <v>0</v>
      </c>
      <c r="E1161" t="s">
        <v>371</v>
      </c>
      <c r="F1161">
        <v>32192</v>
      </c>
      <c r="G1161">
        <v>31733416.041666664</v>
      </c>
      <c r="H1161">
        <v>0.95250582198301958</v>
      </c>
      <c r="I1161">
        <v>0.90850815850815847</v>
      </c>
      <c r="J1161">
        <v>8952476.041666666</v>
      </c>
      <c r="K1161">
        <v>56129</v>
      </c>
      <c r="L1161">
        <v>2</v>
      </c>
      <c r="M1161">
        <v>159</v>
      </c>
      <c r="N1161">
        <v>0.91083916083916083</v>
      </c>
      <c r="O1161">
        <v>8004745.666666667</v>
      </c>
      <c r="P1161">
        <v>56802</v>
      </c>
      <c r="Q1161">
        <v>2</v>
      </c>
      <c r="R1161">
        <v>160</v>
      </c>
      <c r="S1161" t="s">
        <v>899</v>
      </c>
      <c r="W1161">
        <f>Cancer_doubles_final2[[#This Row],[mlp_params]]</f>
        <v>56129</v>
      </c>
      <c r="X1161">
        <f>Cancer_doubles_final2[[#This Row],[kan_test_acc]]</f>
        <v>0.95250582198301958</v>
      </c>
      <c r="Y1161">
        <f>Cancer_doubles_final2[[#This Row],[mlp_test_acc]]</f>
        <v>0.90850815850815847</v>
      </c>
      <c r="Z1161">
        <f>Cancer_doubles_final2[[#This Row],[mlp_test_acc2]]</f>
        <v>0.91083916083916083</v>
      </c>
    </row>
    <row r="1162" spans="1:26" hidden="1" x14ac:dyDescent="0.25">
      <c r="A1162" t="s">
        <v>19</v>
      </c>
      <c r="B1162">
        <v>5</v>
      </c>
      <c r="C1162">
        <v>4</v>
      </c>
      <c r="D1162">
        <v>0</v>
      </c>
      <c r="E1162" t="s">
        <v>373</v>
      </c>
      <c r="F1162">
        <v>32194</v>
      </c>
      <c r="G1162">
        <v>37612165.555555552</v>
      </c>
      <c r="H1162">
        <v>0.94949494467841256</v>
      </c>
      <c r="I1162">
        <v>0.94463869463869465</v>
      </c>
      <c r="J1162">
        <v>8898838.083333334</v>
      </c>
      <c r="K1162">
        <v>56129</v>
      </c>
      <c r="L1162">
        <v>2</v>
      </c>
      <c r="M1162">
        <v>159</v>
      </c>
      <c r="N1162">
        <v>0.94522144522144524</v>
      </c>
      <c r="O1162">
        <v>10122900.38888889</v>
      </c>
      <c r="P1162">
        <v>56802</v>
      </c>
      <c r="Q1162">
        <v>2</v>
      </c>
      <c r="R1162">
        <v>160</v>
      </c>
      <c r="S1162" t="s">
        <v>900</v>
      </c>
      <c r="W1162">
        <f>Cancer_doubles_final2[[#This Row],[mlp_params]]</f>
        <v>56129</v>
      </c>
      <c r="X1162">
        <f>Cancer_doubles_final2[[#This Row],[kan_test_acc]]</f>
        <v>0.94949494467841256</v>
      </c>
      <c r="Y1162">
        <f>Cancer_doubles_final2[[#This Row],[mlp_test_acc]]</f>
        <v>0.94463869463869465</v>
      </c>
      <c r="Z1162">
        <f>Cancer_doubles_final2[[#This Row],[mlp_test_acc2]]</f>
        <v>0.94522144522144524</v>
      </c>
    </row>
    <row r="1163" spans="1:26" hidden="1" x14ac:dyDescent="0.25">
      <c r="A1163" t="s">
        <v>19</v>
      </c>
      <c r="B1163">
        <v>9</v>
      </c>
      <c r="C1163">
        <v>2</v>
      </c>
      <c r="D1163">
        <v>0</v>
      </c>
      <c r="E1163" t="s">
        <v>243</v>
      </c>
      <c r="F1163">
        <v>32214</v>
      </c>
      <c r="G1163">
        <v>36859108.333333336</v>
      </c>
      <c r="H1163">
        <v>0.94216200088461233</v>
      </c>
      <c r="I1163">
        <v>0.93633449883449882</v>
      </c>
      <c r="J1163">
        <v>9121978.6875</v>
      </c>
      <c r="K1163">
        <v>43509</v>
      </c>
      <c r="L1163">
        <v>2</v>
      </c>
      <c r="M1163">
        <v>139</v>
      </c>
      <c r="N1163">
        <v>0.93764568764568768</v>
      </c>
      <c r="O1163">
        <v>10232835.291666666</v>
      </c>
      <c r="P1163">
        <v>44102</v>
      </c>
      <c r="Q1163">
        <v>2</v>
      </c>
      <c r="R1163">
        <v>140</v>
      </c>
      <c r="S1163" t="s">
        <v>901</v>
      </c>
      <c r="W1163">
        <f>Cancer_doubles_final2[[#This Row],[mlp_params]]</f>
        <v>43509</v>
      </c>
      <c r="X1163">
        <f>Cancer_doubles_final2[[#This Row],[kan_test_acc]]</f>
        <v>0.94216200088461233</v>
      </c>
      <c r="Y1163">
        <f>Cancer_doubles_final2[[#This Row],[mlp_test_acc]]</f>
        <v>0.93633449883449882</v>
      </c>
      <c r="Z1163">
        <f>Cancer_doubles_final2[[#This Row],[mlp_test_acc2]]</f>
        <v>0.93764568764568768</v>
      </c>
    </row>
    <row r="1164" spans="1:26" hidden="1" x14ac:dyDescent="0.25">
      <c r="A1164" t="s">
        <v>19</v>
      </c>
      <c r="B1164">
        <v>3</v>
      </c>
      <c r="C1164">
        <v>4</v>
      </c>
      <c r="D1164">
        <v>0</v>
      </c>
      <c r="E1164" t="s">
        <v>597</v>
      </c>
      <c r="F1164">
        <v>32292</v>
      </c>
      <c r="G1164">
        <v>35170274.527777776</v>
      </c>
      <c r="H1164">
        <v>0.93842269149091506</v>
      </c>
      <c r="I1164">
        <v>0.92132867132867136</v>
      </c>
      <c r="J1164">
        <v>9511707.416666666</v>
      </c>
      <c r="K1164">
        <v>60924</v>
      </c>
      <c r="L1164">
        <v>2</v>
      </c>
      <c r="M1164">
        <v>166</v>
      </c>
      <c r="N1164">
        <v>0.92055167055167053</v>
      </c>
      <c r="O1164">
        <v>10099341.166666666</v>
      </c>
      <c r="P1164">
        <v>61625</v>
      </c>
      <c r="Q1164">
        <v>2</v>
      </c>
      <c r="R1164">
        <v>167</v>
      </c>
      <c r="S1164" t="s">
        <v>902</v>
      </c>
      <c r="W1164">
        <f>Cancer_doubles_final2[[#This Row],[mlp_params]]</f>
        <v>60924</v>
      </c>
      <c r="X1164">
        <f>Cancer_doubles_final2[[#This Row],[kan_test_acc]]</f>
        <v>0.93842269149091506</v>
      </c>
      <c r="Y1164">
        <f>Cancer_doubles_final2[[#This Row],[mlp_test_acc]]</f>
        <v>0.92132867132867136</v>
      </c>
      <c r="Z1164">
        <f>Cancer_doubles_final2[[#This Row],[mlp_test_acc2]]</f>
        <v>0.92055167055167053</v>
      </c>
    </row>
    <row r="1165" spans="1:26" hidden="1" x14ac:dyDescent="0.25">
      <c r="A1165" t="s">
        <v>19</v>
      </c>
      <c r="B1165">
        <v>5</v>
      </c>
      <c r="C1165">
        <v>2</v>
      </c>
      <c r="D1165">
        <v>0</v>
      </c>
      <c r="E1165" t="s">
        <v>597</v>
      </c>
      <c r="F1165">
        <v>32292</v>
      </c>
      <c r="G1165">
        <v>44145649.25</v>
      </c>
      <c r="H1165">
        <v>0.96590909113486612</v>
      </c>
      <c r="I1165">
        <v>0.94609557109557108</v>
      </c>
      <c r="J1165">
        <v>9107771.375</v>
      </c>
      <c r="K1165">
        <v>48365</v>
      </c>
      <c r="L1165">
        <v>2</v>
      </c>
      <c r="M1165">
        <v>147</v>
      </c>
      <c r="N1165">
        <v>0.93793706293706292</v>
      </c>
      <c r="O1165">
        <v>9882609.5416666679</v>
      </c>
      <c r="P1165">
        <v>48990</v>
      </c>
      <c r="Q1165">
        <v>2</v>
      </c>
      <c r="R1165">
        <v>148</v>
      </c>
      <c r="S1165" t="s">
        <v>903</v>
      </c>
      <c r="W1165">
        <f>Cancer_doubles_final2[[#This Row],[mlp_params]]</f>
        <v>48365</v>
      </c>
      <c r="X1165">
        <f>Cancer_doubles_final2[[#This Row],[kan_test_acc]]</f>
        <v>0.96590909113486612</v>
      </c>
      <c r="Y1165">
        <f>Cancer_doubles_final2[[#This Row],[mlp_test_acc]]</f>
        <v>0.94609557109557108</v>
      </c>
      <c r="Z1165">
        <f>Cancer_doubles_final2[[#This Row],[mlp_test_acc2]]</f>
        <v>0.93793706293706292</v>
      </c>
    </row>
    <row r="1166" spans="1:26" hidden="1" x14ac:dyDescent="0.25">
      <c r="A1166" t="s">
        <v>19</v>
      </c>
      <c r="B1166">
        <v>3</v>
      </c>
      <c r="C1166">
        <v>4</v>
      </c>
      <c r="D1166">
        <v>0</v>
      </c>
      <c r="E1166" t="s">
        <v>597</v>
      </c>
      <c r="F1166">
        <v>32292</v>
      </c>
      <c r="G1166">
        <v>42323612.75</v>
      </c>
      <c r="H1166">
        <v>0.96765734006961179</v>
      </c>
      <c r="I1166">
        <v>0.93298368298368306</v>
      </c>
      <c r="J1166">
        <v>8827488.4166666679</v>
      </c>
      <c r="K1166">
        <v>60924</v>
      </c>
      <c r="L1166">
        <v>2</v>
      </c>
      <c r="M1166">
        <v>166</v>
      </c>
      <c r="N1166">
        <v>0.92919580419580416</v>
      </c>
      <c r="O1166">
        <v>9808031.833333334</v>
      </c>
      <c r="P1166">
        <v>61625</v>
      </c>
      <c r="Q1166">
        <v>2</v>
      </c>
      <c r="R1166">
        <v>167</v>
      </c>
      <c r="S1166" t="s">
        <v>902</v>
      </c>
      <c r="W1166">
        <f>Cancer_doubles_final2[[#This Row],[mlp_params]]</f>
        <v>60924</v>
      </c>
      <c r="X1166">
        <f>Cancer_doubles_final2[[#This Row],[kan_test_acc]]</f>
        <v>0.96765734006961179</v>
      </c>
      <c r="Y1166">
        <f>Cancer_doubles_final2[[#This Row],[mlp_test_acc]]</f>
        <v>0.93298368298368306</v>
      </c>
      <c r="Z1166">
        <f>Cancer_doubles_final2[[#This Row],[mlp_test_acc2]]</f>
        <v>0.92919580419580416</v>
      </c>
    </row>
    <row r="1167" spans="1:26" hidden="1" x14ac:dyDescent="0.25">
      <c r="A1167" t="s">
        <v>19</v>
      </c>
      <c r="B1167">
        <v>5</v>
      </c>
      <c r="C1167">
        <v>2</v>
      </c>
      <c r="D1167">
        <v>0</v>
      </c>
      <c r="E1167" t="s">
        <v>597</v>
      </c>
      <c r="F1167">
        <v>32292</v>
      </c>
      <c r="G1167">
        <v>42327595.666666664</v>
      </c>
      <c r="H1167">
        <v>0.96445220957199729</v>
      </c>
      <c r="I1167">
        <v>0.90850815850815847</v>
      </c>
      <c r="J1167">
        <v>9295603.0416666679</v>
      </c>
      <c r="K1167">
        <v>48365</v>
      </c>
      <c r="L1167">
        <v>2</v>
      </c>
      <c r="M1167">
        <v>147</v>
      </c>
      <c r="N1167">
        <v>0.91025641025641024</v>
      </c>
      <c r="O1167">
        <v>9188633.4583333321</v>
      </c>
      <c r="P1167">
        <v>48990</v>
      </c>
      <c r="Q1167">
        <v>2</v>
      </c>
      <c r="R1167">
        <v>148</v>
      </c>
      <c r="S1167" t="s">
        <v>903</v>
      </c>
      <c r="W1167">
        <f>Cancer_doubles_final2[[#This Row],[mlp_params]]</f>
        <v>48365</v>
      </c>
      <c r="X1167">
        <f>Cancer_doubles_final2[[#This Row],[kan_test_acc]]</f>
        <v>0.96445220957199729</v>
      </c>
      <c r="Y1167">
        <f>Cancer_doubles_final2[[#This Row],[mlp_test_acc]]</f>
        <v>0.90850815850815847</v>
      </c>
      <c r="Z1167">
        <f>Cancer_doubles_final2[[#This Row],[mlp_test_acc2]]</f>
        <v>0.91025641025641024</v>
      </c>
    </row>
    <row r="1168" spans="1:26" x14ac:dyDescent="0.25">
      <c r="A1168" t="s">
        <v>19</v>
      </c>
      <c r="B1168">
        <v>3</v>
      </c>
      <c r="C1168">
        <v>5</v>
      </c>
      <c r="D1168">
        <v>0</v>
      </c>
      <c r="E1168" t="s">
        <v>479</v>
      </c>
      <c r="F1168">
        <v>32344</v>
      </c>
      <c r="G1168">
        <v>46208232.458333328</v>
      </c>
      <c r="H1168">
        <v>0.94755245000123978</v>
      </c>
      <c r="I1168">
        <v>0.91287878787878785</v>
      </c>
      <c r="J1168">
        <v>9791768.5416666679</v>
      </c>
      <c r="K1168">
        <v>64469</v>
      </c>
      <c r="L1168">
        <v>2</v>
      </c>
      <c r="M1168">
        <v>171</v>
      </c>
      <c r="N1168">
        <v>0.9184149184149184</v>
      </c>
      <c r="O1168">
        <v>9885105.666666666</v>
      </c>
      <c r="P1168">
        <v>65190</v>
      </c>
      <c r="Q1168">
        <v>2</v>
      </c>
      <c r="R1168">
        <v>172</v>
      </c>
      <c r="S1168" t="s">
        <v>904</v>
      </c>
      <c r="W1168">
        <f>Cancer_doubles_final2[[#This Row],[mlp_params]]</f>
        <v>64469</v>
      </c>
      <c r="X1168">
        <f>Cancer_doubles_final2[[#This Row],[kan_test_acc]]</f>
        <v>0.94755245000123978</v>
      </c>
      <c r="Y1168">
        <f>Cancer_doubles_final2[[#This Row],[mlp_test_acc]]</f>
        <v>0.91287878787878785</v>
      </c>
      <c r="Z1168">
        <f>Cancer_doubles_final2[[#This Row],[mlp_test_acc2]]</f>
        <v>0.9184149184149184</v>
      </c>
    </row>
    <row r="1169" spans="1:26" hidden="1" x14ac:dyDescent="0.25">
      <c r="A1169" t="s">
        <v>19</v>
      </c>
      <c r="B1169">
        <v>5</v>
      </c>
      <c r="C1169">
        <v>3</v>
      </c>
      <c r="D1169">
        <v>0</v>
      </c>
      <c r="E1169" t="s">
        <v>479</v>
      </c>
      <c r="F1169">
        <v>32344</v>
      </c>
      <c r="G1169">
        <v>49561896.25</v>
      </c>
      <c r="H1169">
        <v>0.95163169999917352</v>
      </c>
      <c r="I1169">
        <v>0.93444055944055937</v>
      </c>
      <c r="J1169">
        <v>9635985.708333334</v>
      </c>
      <c r="K1169">
        <v>52824</v>
      </c>
      <c r="L1169">
        <v>2</v>
      </c>
      <c r="M1169">
        <v>154</v>
      </c>
      <c r="N1169">
        <v>0.93822843822843827</v>
      </c>
      <c r="O1169">
        <v>10414396.208333332</v>
      </c>
      <c r="P1169">
        <v>53477</v>
      </c>
      <c r="Q1169">
        <v>2</v>
      </c>
      <c r="R1169">
        <v>155</v>
      </c>
      <c r="S1169" t="s">
        <v>905</v>
      </c>
      <c r="W1169">
        <f>Cancer_doubles_final2[[#This Row],[mlp_params]]</f>
        <v>52824</v>
      </c>
      <c r="X1169">
        <f>Cancer_doubles_final2[[#This Row],[kan_test_acc]]</f>
        <v>0.95163169999917352</v>
      </c>
      <c r="Y1169">
        <f>Cancer_doubles_final2[[#This Row],[mlp_test_acc]]</f>
        <v>0.93444055944055937</v>
      </c>
      <c r="Z1169">
        <f>Cancer_doubles_final2[[#This Row],[mlp_test_acc2]]</f>
        <v>0.93822843822843827</v>
      </c>
    </row>
    <row r="1170" spans="1:26" x14ac:dyDescent="0.25">
      <c r="A1170" t="s">
        <v>19</v>
      </c>
      <c r="B1170">
        <v>3</v>
      </c>
      <c r="C1170">
        <v>5</v>
      </c>
      <c r="D1170">
        <v>0</v>
      </c>
      <c r="E1170" t="s">
        <v>479</v>
      </c>
      <c r="F1170">
        <v>32344</v>
      </c>
      <c r="G1170">
        <v>55452837.583333328</v>
      </c>
      <c r="H1170">
        <v>0.95017482091983163</v>
      </c>
      <c r="I1170">
        <v>0.94172494172494181</v>
      </c>
      <c r="J1170">
        <v>10558549.125</v>
      </c>
      <c r="K1170">
        <v>64469</v>
      </c>
      <c r="L1170">
        <v>2</v>
      </c>
      <c r="M1170">
        <v>171</v>
      </c>
      <c r="N1170">
        <v>0.93997668997668993</v>
      </c>
      <c r="O1170">
        <v>10082148.666666668</v>
      </c>
      <c r="P1170">
        <v>65190</v>
      </c>
      <c r="Q1170">
        <v>2</v>
      </c>
      <c r="R1170">
        <v>172</v>
      </c>
      <c r="S1170" t="s">
        <v>904</v>
      </c>
      <c r="W1170">
        <f>Cancer_doubles_final2[[#This Row],[mlp_params]]</f>
        <v>64469</v>
      </c>
      <c r="X1170">
        <f>Cancer_doubles_final2[[#This Row],[kan_test_acc]]</f>
        <v>0.95017482091983163</v>
      </c>
      <c r="Y1170">
        <f>Cancer_doubles_final2[[#This Row],[mlp_test_acc]]</f>
        <v>0.94172494172494181</v>
      </c>
      <c r="Z1170">
        <f>Cancer_doubles_final2[[#This Row],[mlp_test_acc2]]</f>
        <v>0.93997668997668993</v>
      </c>
    </row>
    <row r="1171" spans="1:26" hidden="1" x14ac:dyDescent="0.25">
      <c r="A1171" t="s">
        <v>19</v>
      </c>
      <c r="B1171">
        <v>5</v>
      </c>
      <c r="C1171">
        <v>3</v>
      </c>
      <c r="D1171">
        <v>0</v>
      </c>
      <c r="E1171" t="s">
        <v>479</v>
      </c>
      <c r="F1171">
        <v>32344</v>
      </c>
      <c r="G1171">
        <v>55178640.166666664</v>
      </c>
      <c r="H1171">
        <v>0.94522144397099817</v>
      </c>
      <c r="I1171">
        <v>0.92453379953379955</v>
      </c>
      <c r="J1171">
        <v>10216034.916666666</v>
      </c>
      <c r="K1171">
        <v>52824</v>
      </c>
      <c r="L1171">
        <v>2</v>
      </c>
      <c r="M1171">
        <v>154</v>
      </c>
      <c r="N1171">
        <v>0.91928904428904423</v>
      </c>
      <c r="O1171">
        <v>9879460.5416666679</v>
      </c>
      <c r="P1171">
        <v>53477</v>
      </c>
      <c r="Q1171">
        <v>2</v>
      </c>
      <c r="R1171">
        <v>155</v>
      </c>
      <c r="S1171" t="s">
        <v>905</v>
      </c>
      <c r="W1171">
        <f>Cancer_doubles_final2[[#This Row],[mlp_params]]</f>
        <v>52824</v>
      </c>
      <c r="X1171">
        <f>Cancer_doubles_final2[[#This Row],[kan_test_acc]]</f>
        <v>0.94522144397099817</v>
      </c>
      <c r="Y1171">
        <f>Cancer_doubles_final2[[#This Row],[mlp_test_acc]]</f>
        <v>0.92453379953379955</v>
      </c>
      <c r="Z1171">
        <f>Cancer_doubles_final2[[#This Row],[mlp_test_acc2]]</f>
        <v>0.91928904428904423</v>
      </c>
    </row>
    <row r="1172" spans="1:26" hidden="1" x14ac:dyDescent="0.25">
      <c r="A1172" t="s">
        <v>19</v>
      </c>
      <c r="B1172">
        <v>9</v>
      </c>
      <c r="C1172">
        <v>2</v>
      </c>
      <c r="D1172">
        <v>0</v>
      </c>
      <c r="E1172" t="s">
        <v>250</v>
      </c>
      <c r="F1172">
        <v>32388</v>
      </c>
      <c r="G1172">
        <v>36365305.333333328</v>
      </c>
      <c r="H1172">
        <v>0.94085081170002627</v>
      </c>
      <c r="I1172">
        <v>0.91083916083916083</v>
      </c>
      <c r="J1172">
        <v>8692734.4583333321</v>
      </c>
      <c r="K1172">
        <v>43509</v>
      </c>
      <c r="L1172">
        <v>2</v>
      </c>
      <c r="M1172">
        <v>139</v>
      </c>
      <c r="N1172">
        <v>0.90472027972027969</v>
      </c>
      <c r="O1172">
        <v>9197552.541666666</v>
      </c>
      <c r="P1172">
        <v>44102</v>
      </c>
      <c r="Q1172">
        <v>2</v>
      </c>
      <c r="R1172">
        <v>140</v>
      </c>
      <c r="S1172" t="s">
        <v>906</v>
      </c>
      <c r="W1172">
        <f>Cancer_doubles_final2[[#This Row],[mlp_params]]</f>
        <v>43509</v>
      </c>
      <c r="X1172">
        <f>Cancer_doubles_final2[[#This Row],[kan_test_acc]]</f>
        <v>0.94085081170002627</v>
      </c>
      <c r="Y1172">
        <f>Cancer_doubles_final2[[#This Row],[mlp_test_acc]]</f>
        <v>0.91083916083916083</v>
      </c>
      <c r="Z1172">
        <f>Cancer_doubles_final2[[#This Row],[mlp_test_acc2]]</f>
        <v>0.90472027972027969</v>
      </c>
    </row>
    <row r="1173" spans="1:26" hidden="1" x14ac:dyDescent="0.25">
      <c r="A1173" t="s">
        <v>19</v>
      </c>
      <c r="B1173">
        <v>5</v>
      </c>
      <c r="C1173">
        <v>4</v>
      </c>
      <c r="D1173">
        <v>0</v>
      </c>
      <c r="E1173" t="s">
        <v>380</v>
      </c>
      <c r="F1173">
        <v>32392</v>
      </c>
      <c r="G1173">
        <v>35517270.527777776</v>
      </c>
      <c r="H1173">
        <v>0.92773892647690248</v>
      </c>
      <c r="I1173">
        <v>0.92773892773892774</v>
      </c>
      <c r="J1173">
        <v>9631893.416666666</v>
      </c>
      <c r="K1173">
        <v>56129</v>
      </c>
      <c r="L1173">
        <v>2</v>
      </c>
      <c r="M1173">
        <v>159</v>
      </c>
      <c r="N1173">
        <v>0.92365967365967361</v>
      </c>
      <c r="O1173">
        <v>10453557.083333334</v>
      </c>
      <c r="P1173">
        <v>56802</v>
      </c>
      <c r="Q1173">
        <v>2</v>
      </c>
      <c r="R1173">
        <v>160</v>
      </c>
      <c r="S1173" t="s">
        <v>907</v>
      </c>
      <c r="W1173">
        <f>Cancer_doubles_final2[[#This Row],[mlp_params]]</f>
        <v>56129</v>
      </c>
      <c r="X1173">
        <f>Cancer_doubles_final2[[#This Row],[kan_test_acc]]</f>
        <v>0.92773892647690248</v>
      </c>
      <c r="Y1173">
        <f>Cancer_doubles_final2[[#This Row],[mlp_test_acc]]</f>
        <v>0.92773892773892774</v>
      </c>
      <c r="Z1173">
        <f>Cancer_doubles_final2[[#This Row],[mlp_test_acc2]]</f>
        <v>0.92365967365967361</v>
      </c>
    </row>
    <row r="1174" spans="1:26" hidden="1" x14ac:dyDescent="0.25">
      <c r="A1174" t="s">
        <v>19</v>
      </c>
      <c r="B1174">
        <v>9</v>
      </c>
      <c r="C1174">
        <v>2</v>
      </c>
      <c r="D1174">
        <v>0</v>
      </c>
      <c r="E1174" t="s">
        <v>252</v>
      </c>
      <c r="F1174">
        <v>32496</v>
      </c>
      <c r="G1174">
        <v>36901204.4375</v>
      </c>
      <c r="H1174">
        <v>0.94187062978744507</v>
      </c>
      <c r="I1174">
        <v>0.94070512820512819</v>
      </c>
      <c r="J1174">
        <v>9991650.75</v>
      </c>
      <c r="K1174">
        <v>43509</v>
      </c>
      <c r="L1174">
        <v>2</v>
      </c>
      <c r="M1174">
        <v>139</v>
      </c>
      <c r="N1174">
        <v>0.93793706293706292</v>
      </c>
      <c r="O1174">
        <v>10382287.125</v>
      </c>
      <c r="P1174">
        <v>44102</v>
      </c>
      <c r="Q1174">
        <v>2</v>
      </c>
      <c r="R1174">
        <v>140</v>
      </c>
      <c r="S1174" t="s">
        <v>908</v>
      </c>
      <c r="W1174">
        <f>Cancer_doubles_final2[[#This Row],[mlp_params]]</f>
        <v>43509</v>
      </c>
      <c r="X1174">
        <f>Cancer_doubles_final2[[#This Row],[kan_test_acc]]</f>
        <v>0.94187062978744507</v>
      </c>
      <c r="Y1174">
        <f>Cancer_doubles_final2[[#This Row],[mlp_test_acc]]</f>
        <v>0.94070512820512819</v>
      </c>
      <c r="Z1174">
        <f>Cancer_doubles_final2[[#This Row],[mlp_test_acc2]]</f>
        <v>0.93793706293706292</v>
      </c>
    </row>
    <row r="1175" spans="1:26" hidden="1" x14ac:dyDescent="0.25">
      <c r="A1175" t="s">
        <v>19</v>
      </c>
      <c r="B1175">
        <v>9</v>
      </c>
      <c r="C1175">
        <v>2</v>
      </c>
      <c r="D1175">
        <v>0</v>
      </c>
      <c r="E1175" t="s">
        <v>256</v>
      </c>
      <c r="F1175">
        <v>32554</v>
      </c>
      <c r="G1175">
        <v>26671188.25</v>
      </c>
      <c r="H1175">
        <v>0.92385392718844939</v>
      </c>
      <c r="I1175">
        <v>0.91083916083916083</v>
      </c>
      <c r="J1175">
        <v>8683492</v>
      </c>
      <c r="K1175">
        <v>44102</v>
      </c>
      <c r="L1175">
        <v>2</v>
      </c>
      <c r="M1175">
        <v>140</v>
      </c>
      <c r="N1175">
        <v>0.91103341103341096</v>
      </c>
      <c r="O1175">
        <v>9856835.8611111119</v>
      </c>
      <c r="P1175">
        <v>44699</v>
      </c>
      <c r="Q1175">
        <v>2</v>
      </c>
      <c r="R1175">
        <v>141</v>
      </c>
      <c r="S1175" t="s">
        <v>909</v>
      </c>
      <c r="W1175">
        <f>Cancer_doubles_final2[[#This Row],[mlp_params]]</f>
        <v>44102</v>
      </c>
      <c r="X1175">
        <f>Cancer_doubles_final2[[#This Row],[kan_test_acc]]</f>
        <v>0.92385392718844939</v>
      </c>
      <c r="Y1175">
        <f>Cancer_doubles_final2[[#This Row],[mlp_test_acc]]</f>
        <v>0.91083916083916083</v>
      </c>
      <c r="Z1175">
        <f>Cancer_doubles_final2[[#This Row],[mlp_test_acc2]]</f>
        <v>0.91103341103341096</v>
      </c>
    </row>
    <row r="1176" spans="1:26" hidden="1" x14ac:dyDescent="0.25">
      <c r="A1176" t="s">
        <v>19</v>
      </c>
      <c r="B1176">
        <v>5</v>
      </c>
      <c r="C1176">
        <v>5</v>
      </c>
      <c r="D1176">
        <v>0</v>
      </c>
      <c r="E1176" t="s">
        <v>310</v>
      </c>
      <c r="F1176">
        <v>32574</v>
      </c>
      <c r="G1176">
        <v>33894472.305555552</v>
      </c>
      <c r="H1176">
        <v>0.91899766690201223</v>
      </c>
      <c r="I1176">
        <v>0.91103341103341096</v>
      </c>
      <c r="J1176">
        <v>8792393.6944444459</v>
      </c>
      <c r="K1176">
        <v>59534</v>
      </c>
      <c r="L1176">
        <v>2</v>
      </c>
      <c r="M1176">
        <v>164</v>
      </c>
      <c r="N1176">
        <v>0.90986790986790977</v>
      </c>
      <c r="O1176">
        <v>9300460.916666666</v>
      </c>
      <c r="P1176">
        <v>60227</v>
      </c>
      <c r="Q1176">
        <v>2</v>
      </c>
      <c r="R1176">
        <v>165</v>
      </c>
      <c r="S1176" t="s">
        <v>910</v>
      </c>
      <c r="W1176">
        <f>Cancer_doubles_final2[[#This Row],[mlp_params]]</f>
        <v>59534</v>
      </c>
      <c r="X1176">
        <f>Cancer_doubles_final2[[#This Row],[kan_test_acc]]</f>
        <v>0.91899766690201223</v>
      </c>
      <c r="Y1176">
        <f>Cancer_doubles_final2[[#This Row],[mlp_test_acc]]</f>
        <v>0.91103341103341096</v>
      </c>
      <c r="Z1176">
        <f>Cancer_doubles_final2[[#This Row],[mlp_test_acc2]]</f>
        <v>0.90986790986790977</v>
      </c>
    </row>
    <row r="1177" spans="1:26" hidden="1" x14ac:dyDescent="0.25">
      <c r="A1177" t="s">
        <v>19</v>
      </c>
      <c r="B1177">
        <v>5</v>
      </c>
      <c r="C1177">
        <v>5</v>
      </c>
      <c r="D1177">
        <v>0</v>
      </c>
      <c r="E1177" t="s">
        <v>312</v>
      </c>
      <c r="F1177">
        <v>32582</v>
      </c>
      <c r="G1177">
        <v>43272236.083333336</v>
      </c>
      <c r="H1177">
        <v>0.90093240638573968</v>
      </c>
      <c r="I1177">
        <v>0.91627816627816627</v>
      </c>
      <c r="J1177">
        <v>9558517.583333334</v>
      </c>
      <c r="K1177">
        <v>59534</v>
      </c>
      <c r="L1177">
        <v>2</v>
      </c>
      <c r="M1177">
        <v>164</v>
      </c>
      <c r="N1177">
        <v>0.91550116550116545</v>
      </c>
      <c r="O1177">
        <v>9699631.083333334</v>
      </c>
      <c r="P1177">
        <v>60227</v>
      </c>
      <c r="Q1177">
        <v>2</v>
      </c>
      <c r="R1177">
        <v>165</v>
      </c>
      <c r="S1177" t="s">
        <v>911</v>
      </c>
      <c r="W1177">
        <f>Cancer_doubles_final2[[#This Row],[mlp_params]]</f>
        <v>59534</v>
      </c>
      <c r="X1177">
        <f>Cancer_doubles_final2[[#This Row],[kan_test_acc]]</f>
        <v>0.90093240638573968</v>
      </c>
      <c r="Y1177">
        <f>Cancer_doubles_final2[[#This Row],[mlp_test_acc]]</f>
        <v>0.91627816627816627</v>
      </c>
      <c r="Z1177">
        <f>Cancer_doubles_final2[[#This Row],[mlp_test_acc2]]</f>
        <v>0.91550116550116545</v>
      </c>
    </row>
    <row r="1178" spans="1:26" hidden="1" x14ac:dyDescent="0.25">
      <c r="A1178" t="s">
        <v>19</v>
      </c>
      <c r="B1178">
        <v>9</v>
      </c>
      <c r="C1178">
        <v>3</v>
      </c>
      <c r="D1178">
        <v>0</v>
      </c>
      <c r="E1178" t="s">
        <v>214</v>
      </c>
      <c r="F1178">
        <v>32648</v>
      </c>
      <c r="G1178">
        <v>42263811.333333336</v>
      </c>
      <c r="H1178">
        <v>0.92968142529328668</v>
      </c>
      <c r="I1178">
        <v>0.9475524475524475</v>
      </c>
      <c r="J1178">
        <v>9475064.75</v>
      </c>
      <c r="K1178">
        <v>47744</v>
      </c>
      <c r="L1178">
        <v>2</v>
      </c>
      <c r="M1178">
        <v>146</v>
      </c>
      <c r="N1178">
        <v>0.94619269619269619</v>
      </c>
      <c r="O1178">
        <v>8956817.222222222</v>
      </c>
      <c r="P1178">
        <v>48365</v>
      </c>
      <c r="Q1178">
        <v>2</v>
      </c>
      <c r="R1178">
        <v>147</v>
      </c>
      <c r="S1178" t="s">
        <v>912</v>
      </c>
      <c r="W1178">
        <f>Cancer_doubles_final2[[#This Row],[mlp_params]]</f>
        <v>47744</v>
      </c>
      <c r="X1178">
        <f>Cancer_doubles_final2[[#This Row],[kan_test_acc]]</f>
        <v>0.92968142529328668</v>
      </c>
      <c r="Y1178">
        <f>Cancer_doubles_final2[[#This Row],[mlp_test_acc]]</f>
        <v>0.9475524475524475</v>
      </c>
      <c r="Z1178">
        <f>Cancer_doubles_final2[[#This Row],[mlp_test_acc2]]</f>
        <v>0.94619269619269619</v>
      </c>
    </row>
    <row r="1179" spans="1:26" x14ac:dyDescent="0.25">
      <c r="A1179" t="s">
        <v>19</v>
      </c>
      <c r="B1179">
        <v>3</v>
      </c>
      <c r="C1179">
        <v>5</v>
      </c>
      <c r="D1179">
        <v>0</v>
      </c>
      <c r="E1179" t="s">
        <v>487</v>
      </c>
      <c r="F1179">
        <v>32694</v>
      </c>
      <c r="G1179">
        <v>51301913.166666664</v>
      </c>
      <c r="H1179">
        <v>0.96153845638036728</v>
      </c>
      <c r="I1179">
        <v>0.95629370629370636</v>
      </c>
      <c r="J1179">
        <v>9678599</v>
      </c>
      <c r="K1179">
        <v>65190</v>
      </c>
      <c r="L1179">
        <v>2</v>
      </c>
      <c r="M1179">
        <v>172</v>
      </c>
      <c r="N1179">
        <v>0.95075757575757569</v>
      </c>
      <c r="O1179">
        <v>9915769.541666666</v>
      </c>
      <c r="P1179">
        <v>65915</v>
      </c>
      <c r="Q1179">
        <v>2</v>
      </c>
      <c r="R1179">
        <v>173</v>
      </c>
      <c r="S1179" t="s">
        <v>913</v>
      </c>
      <c r="W1179">
        <f>Cancer_doubles_final2[[#This Row],[mlp_params]]</f>
        <v>65190</v>
      </c>
      <c r="X1179">
        <f>Cancer_doubles_final2[[#This Row],[kan_test_acc]]</f>
        <v>0.96153845638036728</v>
      </c>
      <c r="Y1179">
        <f>Cancer_doubles_final2[[#This Row],[mlp_test_acc]]</f>
        <v>0.95629370629370636</v>
      </c>
      <c r="Z1179">
        <f>Cancer_doubles_final2[[#This Row],[mlp_test_acc2]]</f>
        <v>0.95075757575757569</v>
      </c>
    </row>
    <row r="1180" spans="1:26" hidden="1" x14ac:dyDescent="0.25">
      <c r="A1180" t="s">
        <v>19</v>
      </c>
      <c r="B1180">
        <v>5</v>
      </c>
      <c r="C1180">
        <v>3</v>
      </c>
      <c r="D1180">
        <v>0</v>
      </c>
      <c r="E1180" t="s">
        <v>487</v>
      </c>
      <c r="F1180">
        <v>32694</v>
      </c>
      <c r="G1180">
        <v>55105226.125</v>
      </c>
      <c r="H1180">
        <v>0.97290209184090293</v>
      </c>
      <c r="I1180">
        <v>0.93793706293706292</v>
      </c>
      <c r="J1180">
        <v>9571050.291666666</v>
      </c>
      <c r="K1180">
        <v>52824</v>
      </c>
      <c r="L1180">
        <v>2</v>
      </c>
      <c r="M1180">
        <v>154</v>
      </c>
      <c r="N1180">
        <v>0.93356643356643354</v>
      </c>
      <c r="O1180">
        <v>10377238.25</v>
      </c>
      <c r="P1180">
        <v>53477</v>
      </c>
      <c r="Q1180">
        <v>2</v>
      </c>
      <c r="R1180">
        <v>155</v>
      </c>
      <c r="S1180" t="s">
        <v>914</v>
      </c>
      <c r="W1180">
        <f>Cancer_doubles_final2[[#This Row],[mlp_params]]</f>
        <v>52824</v>
      </c>
      <c r="X1180">
        <f>Cancer_doubles_final2[[#This Row],[kan_test_acc]]</f>
        <v>0.97290209184090293</v>
      </c>
      <c r="Y1180">
        <f>Cancer_doubles_final2[[#This Row],[mlp_test_acc]]</f>
        <v>0.93793706293706292</v>
      </c>
      <c r="Z1180">
        <f>Cancer_doubles_final2[[#This Row],[mlp_test_acc2]]</f>
        <v>0.93356643356643354</v>
      </c>
    </row>
    <row r="1181" spans="1:26" x14ac:dyDescent="0.25">
      <c r="A1181" t="s">
        <v>19</v>
      </c>
      <c r="B1181">
        <v>3</v>
      </c>
      <c r="C1181">
        <v>5</v>
      </c>
      <c r="D1181">
        <v>0</v>
      </c>
      <c r="E1181" t="s">
        <v>487</v>
      </c>
      <c r="F1181">
        <v>32694</v>
      </c>
      <c r="G1181">
        <v>56901333.791666672</v>
      </c>
      <c r="H1181">
        <v>0.96037295709053672</v>
      </c>
      <c r="I1181">
        <v>0.94055944055944063</v>
      </c>
      <c r="J1181">
        <v>9612633.3333333321</v>
      </c>
      <c r="K1181">
        <v>65190</v>
      </c>
      <c r="L1181">
        <v>2</v>
      </c>
      <c r="M1181">
        <v>172</v>
      </c>
      <c r="N1181">
        <v>0.9391025641025641</v>
      </c>
      <c r="O1181">
        <v>10244953.375</v>
      </c>
      <c r="P1181">
        <v>65915</v>
      </c>
      <c r="Q1181">
        <v>2</v>
      </c>
      <c r="R1181">
        <v>173</v>
      </c>
      <c r="S1181" t="s">
        <v>913</v>
      </c>
      <c r="W1181">
        <f>Cancer_doubles_final2[[#This Row],[mlp_params]]</f>
        <v>65190</v>
      </c>
      <c r="X1181">
        <f>Cancer_doubles_final2[[#This Row],[kan_test_acc]]</f>
        <v>0.96037295709053672</v>
      </c>
      <c r="Y1181">
        <f>Cancer_doubles_final2[[#This Row],[mlp_test_acc]]</f>
        <v>0.94055944055944063</v>
      </c>
      <c r="Z1181">
        <f>Cancer_doubles_final2[[#This Row],[mlp_test_acc2]]</f>
        <v>0.9391025641025641</v>
      </c>
    </row>
    <row r="1182" spans="1:26" hidden="1" x14ac:dyDescent="0.25">
      <c r="A1182" t="s">
        <v>19</v>
      </c>
      <c r="B1182">
        <v>5</v>
      </c>
      <c r="C1182">
        <v>3</v>
      </c>
      <c r="D1182">
        <v>0</v>
      </c>
      <c r="E1182" t="s">
        <v>487</v>
      </c>
      <c r="F1182">
        <v>32694</v>
      </c>
      <c r="G1182">
        <v>52756203.25</v>
      </c>
      <c r="H1182">
        <v>0.94551282127698266</v>
      </c>
      <c r="I1182">
        <v>0.91812354312354316</v>
      </c>
      <c r="J1182">
        <v>8897979.8333333321</v>
      </c>
      <c r="K1182">
        <v>52824</v>
      </c>
      <c r="L1182">
        <v>2</v>
      </c>
      <c r="M1182">
        <v>154</v>
      </c>
      <c r="N1182">
        <v>0.92453379953379955</v>
      </c>
      <c r="O1182">
        <v>10020293.333333334</v>
      </c>
      <c r="P1182">
        <v>53477</v>
      </c>
      <c r="Q1182">
        <v>2</v>
      </c>
      <c r="R1182">
        <v>155</v>
      </c>
      <c r="S1182" t="s">
        <v>914</v>
      </c>
      <c r="W1182">
        <f>Cancer_doubles_final2[[#This Row],[mlp_params]]</f>
        <v>52824</v>
      </c>
      <c r="X1182">
        <f>Cancer_doubles_final2[[#This Row],[kan_test_acc]]</f>
        <v>0.94551282127698266</v>
      </c>
      <c r="Y1182">
        <f>Cancer_doubles_final2[[#This Row],[mlp_test_acc]]</f>
        <v>0.91812354312354316</v>
      </c>
      <c r="Z1182">
        <f>Cancer_doubles_final2[[#This Row],[mlp_test_acc2]]</f>
        <v>0.92453379953379955</v>
      </c>
    </row>
    <row r="1183" spans="1:26" hidden="1" x14ac:dyDescent="0.25">
      <c r="A1183" t="s">
        <v>19</v>
      </c>
      <c r="B1183">
        <v>9</v>
      </c>
      <c r="C1183">
        <v>5</v>
      </c>
      <c r="D1183">
        <v>0</v>
      </c>
      <c r="E1183" t="s">
        <v>165</v>
      </c>
      <c r="F1183">
        <v>32702</v>
      </c>
      <c r="G1183">
        <v>42240727.583333336</v>
      </c>
      <c r="H1183">
        <v>0.93531468262275064</v>
      </c>
      <c r="I1183">
        <v>0.91812354312354316</v>
      </c>
      <c r="J1183">
        <v>9326161.5</v>
      </c>
      <c r="K1183">
        <v>53477</v>
      </c>
      <c r="L1183">
        <v>2</v>
      </c>
      <c r="M1183">
        <v>155</v>
      </c>
      <c r="N1183">
        <v>0.92861305361305357</v>
      </c>
      <c r="O1183">
        <v>10247685.291666668</v>
      </c>
      <c r="P1183">
        <v>54134</v>
      </c>
      <c r="Q1183">
        <v>2</v>
      </c>
      <c r="R1183">
        <v>156</v>
      </c>
      <c r="S1183" t="s">
        <v>915</v>
      </c>
      <c r="W1183">
        <f>Cancer_doubles_final2[[#This Row],[mlp_params]]</f>
        <v>53477</v>
      </c>
      <c r="X1183">
        <f>Cancer_doubles_final2[[#This Row],[kan_test_acc]]</f>
        <v>0.93531468262275064</v>
      </c>
      <c r="Y1183">
        <f>Cancer_doubles_final2[[#This Row],[mlp_test_acc]]</f>
        <v>0.91812354312354316</v>
      </c>
      <c r="Z1183">
        <f>Cancer_doubles_final2[[#This Row],[mlp_test_acc2]]</f>
        <v>0.92861305361305357</v>
      </c>
    </row>
    <row r="1184" spans="1:26" hidden="1" x14ac:dyDescent="0.25">
      <c r="A1184" t="s">
        <v>19</v>
      </c>
      <c r="B1184">
        <v>9</v>
      </c>
      <c r="C1184">
        <v>3</v>
      </c>
      <c r="D1184">
        <v>0</v>
      </c>
      <c r="E1184" t="s">
        <v>217</v>
      </c>
      <c r="F1184">
        <v>32772</v>
      </c>
      <c r="G1184">
        <v>36140656.458333336</v>
      </c>
      <c r="H1184">
        <v>0.93560605496168137</v>
      </c>
      <c r="I1184">
        <v>0.93094405594405594</v>
      </c>
      <c r="J1184">
        <v>9573579.4583333321</v>
      </c>
      <c r="K1184">
        <v>47744</v>
      </c>
      <c r="L1184">
        <v>2</v>
      </c>
      <c r="M1184">
        <v>146</v>
      </c>
      <c r="N1184">
        <v>0.93444055944055937</v>
      </c>
      <c r="O1184">
        <v>10475372.208333334</v>
      </c>
      <c r="P1184">
        <v>48365</v>
      </c>
      <c r="Q1184">
        <v>2</v>
      </c>
      <c r="R1184">
        <v>147</v>
      </c>
      <c r="S1184" t="s">
        <v>916</v>
      </c>
      <c r="W1184">
        <f>Cancer_doubles_final2[[#This Row],[mlp_params]]</f>
        <v>47744</v>
      </c>
      <c r="X1184">
        <f>Cancer_doubles_final2[[#This Row],[kan_test_acc]]</f>
        <v>0.93560605496168137</v>
      </c>
      <c r="Y1184">
        <f>Cancer_doubles_final2[[#This Row],[mlp_test_acc]]</f>
        <v>0.93094405594405594</v>
      </c>
      <c r="Z1184">
        <f>Cancer_doubles_final2[[#This Row],[mlp_test_acc2]]</f>
        <v>0.93444055944055937</v>
      </c>
    </row>
    <row r="1185" spans="1:26" hidden="1" x14ac:dyDescent="0.25">
      <c r="A1185" t="s">
        <v>19</v>
      </c>
      <c r="B1185">
        <v>9</v>
      </c>
      <c r="C1185">
        <v>5</v>
      </c>
      <c r="D1185">
        <v>0</v>
      </c>
      <c r="E1185" t="s">
        <v>167</v>
      </c>
      <c r="F1185">
        <v>32772</v>
      </c>
      <c r="G1185">
        <v>33602348.875</v>
      </c>
      <c r="H1185">
        <v>0.88782050708929705</v>
      </c>
      <c r="I1185">
        <v>0.9358974358974359</v>
      </c>
      <c r="J1185">
        <v>9910280.708333334</v>
      </c>
      <c r="K1185">
        <v>53477</v>
      </c>
      <c r="L1185">
        <v>2</v>
      </c>
      <c r="M1185">
        <v>155</v>
      </c>
      <c r="N1185">
        <v>0.93327505827505819</v>
      </c>
      <c r="O1185">
        <v>10033704.541666668</v>
      </c>
      <c r="P1185">
        <v>54134</v>
      </c>
      <c r="Q1185">
        <v>2</v>
      </c>
      <c r="R1185">
        <v>156</v>
      </c>
      <c r="S1185" t="s">
        <v>917</v>
      </c>
      <c r="W1185">
        <f>Cancer_doubles_final2[[#This Row],[mlp_params]]</f>
        <v>53477</v>
      </c>
      <c r="X1185">
        <f>Cancer_doubles_final2[[#This Row],[kan_test_acc]]</f>
        <v>0.88782050708929705</v>
      </c>
      <c r="Y1185">
        <f>Cancer_doubles_final2[[#This Row],[mlp_test_acc]]</f>
        <v>0.9358974358974359</v>
      </c>
      <c r="Z1185">
        <f>Cancer_doubles_final2[[#This Row],[mlp_test_acc2]]</f>
        <v>0.93327505827505819</v>
      </c>
    </row>
    <row r="1186" spans="1:26" hidden="1" x14ac:dyDescent="0.25">
      <c r="A1186" t="s">
        <v>19</v>
      </c>
      <c r="B1186">
        <v>9</v>
      </c>
      <c r="C1186">
        <v>3</v>
      </c>
      <c r="D1186">
        <v>0</v>
      </c>
      <c r="E1186" t="s">
        <v>217</v>
      </c>
      <c r="F1186">
        <v>32772</v>
      </c>
      <c r="G1186">
        <v>36538209.958333336</v>
      </c>
      <c r="H1186">
        <v>0.87645687659581495</v>
      </c>
      <c r="I1186">
        <v>0.93094405594405594</v>
      </c>
      <c r="J1186">
        <v>9855231.9166666679</v>
      </c>
      <c r="K1186">
        <v>47744</v>
      </c>
      <c r="L1186">
        <v>2</v>
      </c>
      <c r="M1186">
        <v>146</v>
      </c>
      <c r="N1186">
        <v>0.92977855477855476</v>
      </c>
      <c r="O1186">
        <v>9684431.875</v>
      </c>
      <c r="P1186">
        <v>48365</v>
      </c>
      <c r="Q1186">
        <v>2</v>
      </c>
      <c r="R1186">
        <v>147</v>
      </c>
      <c r="S1186" t="s">
        <v>916</v>
      </c>
      <c r="W1186">
        <f>Cancer_doubles_final2[[#This Row],[mlp_params]]</f>
        <v>47744</v>
      </c>
      <c r="X1186">
        <f>Cancer_doubles_final2[[#This Row],[kan_test_acc]]</f>
        <v>0.87645687659581495</v>
      </c>
      <c r="Y1186">
        <f>Cancer_doubles_final2[[#This Row],[mlp_test_acc]]</f>
        <v>0.93094405594405594</v>
      </c>
      <c r="Z1186">
        <f>Cancer_doubles_final2[[#This Row],[mlp_test_acc2]]</f>
        <v>0.92977855477855476</v>
      </c>
    </row>
    <row r="1187" spans="1:26" hidden="1" x14ac:dyDescent="0.25">
      <c r="A1187" t="s">
        <v>19</v>
      </c>
      <c r="B1187">
        <v>5</v>
      </c>
      <c r="C1187">
        <v>4</v>
      </c>
      <c r="D1187">
        <v>0</v>
      </c>
      <c r="E1187" t="s">
        <v>393</v>
      </c>
      <c r="F1187">
        <v>32822</v>
      </c>
      <c r="G1187">
        <v>38828304.541666664</v>
      </c>
      <c r="H1187">
        <v>0.91083916525046027</v>
      </c>
      <c r="I1187">
        <v>0.93094405594405605</v>
      </c>
      <c r="J1187">
        <v>9882041.5</v>
      </c>
      <c r="K1187">
        <v>56802</v>
      </c>
      <c r="L1187">
        <v>2</v>
      </c>
      <c r="M1187">
        <v>160</v>
      </c>
      <c r="N1187">
        <v>0.93036130536130535</v>
      </c>
      <c r="O1187">
        <v>10623909.458333334</v>
      </c>
      <c r="P1187">
        <v>57479</v>
      </c>
      <c r="Q1187">
        <v>2</v>
      </c>
      <c r="R1187">
        <v>161</v>
      </c>
      <c r="S1187" t="s">
        <v>918</v>
      </c>
      <c r="W1187">
        <f>Cancer_doubles_final2[[#This Row],[mlp_params]]</f>
        <v>56802</v>
      </c>
      <c r="X1187">
        <f>Cancer_doubles_final2[[#This Row],[kan_test_acc]]</f>
        <v>0.91083916525046027</v>
      </c>
      <c r="Y1187">
        <f>Cancer_doubles_final2[[#This Row],[mlp_test_acc]]</f>
        <v>0.93094405594405605</v>
      </c>
      <c r="Z1187">
        <f>Cancer_doubles_final2[[#This Row],[mlp_test_acc2]]</f>
        <v>0.93036130536130535</v>
      </c>
    </row>
    <row r="1188" spans="1:26" hidden="1" x14ac:dyDescent="0.25">
      <c r="A1188" t="s">
        <v>19</v>
      </c>
      <c r="B1188">
        <v>9</v>
      </c>
      <c r="C1188">
        <v>2</v>
      </c>
      <c r="D1188">
        <v>0</v>
      </c>
      <c r="E1188" t="s">
        <v>260</v>
      </c>
      <c r="F1188">
        <v>32830</v>
      </c>
      <c r="G1188">
        <v>38586961</v>
      </c>
      <c r="H1188">
        <v>0.93356643368800474</v>
      </c>
      <c r="I1188">
        <v>0.93575174825174823</v>
      </c>
      <c r="J1188">
        <v>9702968.125</v>
      </c>
      <c r="K1188">
        <v>44102</v>
      </c>
      <c r="L1188">
        <v>2</v>
      </c>
      <c r="M1188">
        <v>140</v>
      </c>
      <c r="N1188">
        <v>0.93677156177156173</v>
      </c>
      <c r="O1188">
        <v>10505286.833333334</v>
      </c>
      <c r="P1188">
        <v>44699</v>
      </c>
      <c r="Q1188">
        <v>2</v>
      </c>
      <c r="R1188">
        <v>141</v>
      </c>
      <c r="S1188" t="s">
        <v>919</v>
      </c>
      <c r="W1188">
        <f>Cancer_doubles_final2[[#This Row],[mlp_params]]</f>
        <v>44102</v>
      </c>
      <c r="X1188">
        <f>Cancer_doubles_final2[[#This Row],[kan_test_acc]]</f>
        <v>0.93356643368800474</v>
      </c>
      <c r="Y1188">
        <f>Cancer_doubles_final2[[#This Row],[mlp_test_acc]]</f>
        <v>0.93575174825174823</v>
      </c>
      <c r="Z1188">
        <f>Cancer_doubles_final2[[#This Row],[mlp_test_acc2]]</f>
        <v>0.93677156177156173</v>
      </c>
    </row>
    <row r="1189" spans="1:26" hidden="1" x14ac:dyDescent="0.25">
      <c r="A1189" t="s">
        <v>19</v>
      </c>
      <c r="B1189">
        <v>9</v>
      </c>
      <c r="C1189">
        <v>3</v>
      </c>
      <c r="D1189">
        <v>0</v>
      </c>
      <c r="E1189" t="s">
        <v>220</v>
      </c>
      <c r="F1189">
        <v>32830</v>
      </c>
      <c r="G1189">
        <v>32625246.458333332</v>
      </c>
      <c r="H1189">
        <v>0.93589743723471952</v>
      </c>
      <c r="I1189">
        <v>0.94172494172494159</v>
      </c>
      <c r="J1189">
        <v>8840935.708333334</v>
      </c>
      <c r="K1189">
        <v>47744</v>
      </c>
      <c r="L1189">
        <v>2</v>
      </c>
      <c r="M1189">
        <v>146</v>
      </c>
      <c r="N1189">
        <v>0.94318181818181812</v>
      </c>
      <c r="O1189">
        <v>9996496.541666666</v>
      </c>
      <c r="P1189">
        <v>48365</v>
      </c>
      <c r="Q1189">
        <v>2</v>
      </c>
      <c r="R1189">
        <v>147</v>
      </c>
      <c r="S1189" t="s">
        <v>920</v>
      </c>
      <c r="W1189">
        <f>Cancer_doubles_final2[[#This Row],[mlp_params]]</f>
        <v>47744</v>
      </c>
      <c r="X1189">
        <f>Cancer_doubles_final2[[#This Row],[kan_test_acc]]</f>
        <v>0.93589743723471952</v>
      </c>
      <c r="Y1189">
        <f>Cancer_doubles_final2[[#This Row],[mlp_test_acc]]</f>
        <v>0.94172494172494159</v>
      </c>
      <c r="Z1189">
        <f>Cancer_doubles_final2[[#This Row],[mlp_test_acc2]]</f>
        <v>0.94318181818181812</v>
      </c>
    </row>
    <row r="1190" spans="1:26" hidden="1" x14ac:dyDescent="0.25">
      <c r="A1190" t="s">
        <v>19</v>
      </c>
      <c r="B1190">
        <v>9</v>
      </c>
      <c r="C1190">
        <v>2</v>
      </c>
      <c r="D1190">
        <v>0</v>
      </c>
      <c r="E1190" t="s">
        <v>260</v>
      </c>
      <c r="F1190">
        <v>32830</v>
      </c>
      <c r="G1190">
        <v>33212423.125</v>
      </c>
      <c r="H1190">
        <v>0.92657342801491427</v>
      </c>
      <c r="I1190">
        <v>0.9385198135198134</v>
      </c>
      <c r="J1190">
        <v>8642787.791666666</v>
      </c>
      <c r="K1190">
        <v>44102</v>
      </c>
      <c r="L1190">
        <v>2</v>
      </c>
      <c r="M1190">
        <v>140</v>
      </c>
      <c r="N1190">
        <v>0.93560606060606055</v>
      </c>
      <c r="O1190">
        <v>9406957.3333333321</v>
      </c>
      <c r="P1190">
        <v>44699</v>
      </c>
      <c r="Q1190">
        <v>2</v>
      </c>
      <c r="R1190">
        <v>141</v>
      </c>
      <c r="S1190" t="s">
        <v>919</v>
      </c>
      <c r="W1190">
        <f>Cancer_doubles_final2[[#This Row],[mlp_params]]</f>
        <v>44102</v>
      </c>
      <c r="X1190">
        <f>Cancer_doubles_final2[[#This Row],[kan_test_acc]]</f>
        <v>0.92657342801491427</v>
      </c>
      <c r="Y1190">
        <f>Cancer_doubles_final2[[#This Row],[mlp_test_acc]]</f>
        <v>0.9385198135198134</v>
      </c>
      <c r="Z1190">
        <f>Cancer_doubles_final2[[#This Row],[mlp_test_acc2]]</f>
        <v>0.93560606060606055</v>
      </c>
    </row>
    <row r="1191" spans="1:26" hidden="1" x14ac:dyDescent="0.25">
      <c r="A1191" t="s">
        <v>19</v>
      </c>
      <c r="B1191">
        <v>9</v>
      </c>
      <c r="C1191">
        <v>4</v>
      </c>
      <c r="D1191">
        <v>0</v>
      </c>
      <c r="E1191" t="s">
        <v>189</v>
      </c>
      <c r="F1191">
        <v>32834</v>
      </c>
      <c r="G1191">
        <v>35235193.083333336</v>
      </c>
      <c r="H1191">
        <v>0.92249417056639993</v>
      </c>
      <c r="I1191">
        <v>0.92453379953379944</v>
      </c>
      <c r="J1191">
        <v>10109508.291666666</v>
      </c>
      <c r="K1191">
        <v>50889</v>
      </c>
      <c r="L1191">
        <v>2</v>
      </c>
      <c r="M1191">
        <v>151</v>
      </c>
      <c r="N1191">
        <v>0.9274475524475525</v>
      </c>
      <c r="O1191">
        <v>10486815.375</v>
      </c>
      <c r="P1191">
        <v>51530</v>
      </c>
      <c r="Q1191">
        <v>2</v>
      </c>
      <c r="R1191">
        <v>152</v>
      </c>
      <c r="S1191" t="s">
        <v>921</v>
      </c>
      <c r="W1191">
        <f>Cancer_doubles_final2[[#This Row],[mlp_params]]</f>
        <v>50889</v>
      </c>
      <c r="X1191">
        <f>Cancer_doubles_final2[[#This Row],[kan_test_acc]]</f>
        <v>0.92249417056639993</v>
      </c>
      <c r="Y1191">
        <f>Cancer_doubles_final2[[#This Row],[mlp_test_acc]]</f>
        <v>0.92453379953379944</v>
      </c>
      <c r="Z1191">
        <f>Cancer_doubles_final2[[#This Row],[mlp_test_acc2]]</f>
        <v>0.9274475524475525</v>
      </c>
    </row>
    <row r="1192" spans="1:26" hidden="1" x14ac:dyDescent="0.25">
      <c r="A1192" t="s">
        <v>19</v>
      </c>
      <c r="B1192">
        <v>5</v>
      </c>
      <c r="C1192">
        <v>3</v>
      </c>
      <c r="D1192">
        <v>0</v>
      </c>
      <c r="E1192" t="s">
        <v>492</v>
      </c>
      <c r="F1192">
        <v>32866</v>
      </c>
      <c r="G1192">
        <v>38107797.166666672</v>
      </c>
      <c r="H1192">
        <v>0.95775057872136438</v>
      </c>
      <c r="I1192">
        <v>0.94551282051282048</v>
      </c>
      <c r="J1192">
        <v>11091166.541666666</v>
      </c>
      <c r="K1192">
        <v>53477</v>
      </c>
      <c r="L1192">
        <v>2</v>
      </c>
      <c r="M1192">
        <v>155</v>
      </c>
      <c r="N1192">
        <v>0.95541958041958042</v>
      </c>
      <c r="O1192">
        <v>11512314.666666668</v>
      </c>
      <c r="P1192">
        <v>54134</v>
      </c>
      <c r="Q1192">
        <v>2</v>
      </c>
      <c r="R1192">
        <v>156</v>
      </c>
      <c r="S1192" t="s">
        <v>922</v>
      </c>
      <c r="W1192">
        <f>Cancer_doubles_final2[[#This Row],[mlp_params]]</f>
        <v>53477</v>
      </c>
      <c r="X1192">
        <f>Cancer_doubles_final2[[#This Row],[kan_test_acc]]</f>
        <v>0.95775057872136438</v>
      </c>
      <c r="Y1192">
        <f>Cancer_doubles_final2[[#This Row],[mlp_test_acc]]</f>
        <v>0.94551282051282048</v>
      </c>
      <c r="Z1192">
        <f>Cancer_doubles_final2[[#This Row],[mlp_test_acc2]]</f>
        <v>0.95541958041958042</v>
      </c>
    </row>
    <row r="1193" spans="1:26" x14ac:dyDescent="0.25">
      <c r="A1193" t="s">
        <v>19</v>
      </c>
      <c r="B1193">
        <v>3</v>
      </c>
      <c r="C1193">
        <v>5</v>
      </c>
      <c r="D1193">
        <v>0</v>
      </c>
      <c r="E1193" t="s">
        <v>492</v>
      </c>
      <c r="F1193">
        <v>32866</v>
      </c>
      <c r="G1193">
        <v>44548394.5</v>
      </c>
      <c r="H1193">
        <v>0.97843822588523222</v>
      </c>
      <c r="I1193">
        <v>0.94609557109557108</v>
      </c>
      <c r="J1193">
        <v>10287563.041666666</v>
      </c>
      <c r="K1193">
        <v>65190</v>
      </c>
      <c r="L1193">
        <v>2</v>
      </c>
      <c r="M1193">
        <v>172</v>
      </c>
      <c r="N1193">
        <v>0.94900932400932403</v>
      </c>
      <c r="O1193">
        <v>10524755.25</v>
      </c>
      <c r="P1193">
        <v>65915</v>
      </c>
      <c r="Q1193">
        <v>2</v>
      </c>
      <c r="R1193">
        <v>173</v>
      </c>
      <c r="S1193" t="s">
        <v>923</v>
      </c>
      <c r="W1193">
        <f>Cancer_doubles_final2[[#This Row],[mlp_params]]</f>
        <v>65190</v>
      </c>
      <c r="X1193">
        <f>Cancer_doubles_final2[[#This Row],[kan_test_acc]]</f>
        <v>0.97843822588523222</v>
      </c>
      <c r="Y1193">
        <f>Cancer_doubles_final2[[#This Row],[mlp_test_acc]]</f>
        <v>0.94609557109557108</v>
      </c>
      <c r="Z1193">
        <f>Cancer_doubles_final2[[#This Row],[mlp_test_acc2]]</f>
        <v>0.94900932400932403</v>
      </c>
    </row>
    <row r="1194" spans="1:26" hidden="1" x14ac:dyDescent="0.25">
      <c r="A1194" t="s">
        <v>19</v>
      </c>
      <c r="B1194">
        <v>5</v>
      </c>
      <c r="C1194">
        <v>3</v>
      </c>
      <c r="D1194">
        <v>0</v>
      </c>
      <c r="E1194" t="s">
        <v>492</v>
      </c>
      <c r="F1194">
        <v>32866</v>
      </c>
      <c r="G1194">
        <v>48240475.708333328</v>
      </c>
      <c r="H1194">
        <v>0.97086246311664581</v>
      </c>
      <c r="I1194">
        <v>0.93822843822843827</v>
      </c>
      <c r="J1194">
        <v>9677858.75</v>
      </c>
      <c r="K1194">
        <v>53477</v>
      </c>
      <c r="L1194">
        <v>2</v>
      </c>
      <c r="M1194">
        <v>155</v>
      </c>
      <c r="N1194">
        <v>0.93618881118881125</v>
      </c>
      <c r="O1194">
        <v>9822873.0833333321</v>
      </c>
      <c r="P1194">
        <v>54134</v>
      </c>
      <c r="Q1194">
        <v>2</v>
      </c>
      <c r="R1194">
        <v>156</v>
      </c>
      <c r="S1194" t="s">
        <v>922</v>
      </c>
      <c r="W1194">
        <f>Cancer_doubles_final2[[#This Row],[mlp_params]]</f>
        <v>53477</v>
      </c>
      <c r="X1194">
        <f>Cancer_doubles_final2[[#This Row],[kan_test_acc]]</f>
        <v>0.97086246311664581</v>
      </c>
      <c r="Y1194">
        <f>Cancer_doubles_final2[[#This Row],[mlp_test_acc]]</f>
        <v>0.93822843822843827</v>
      </c>
      <c r="Z1194">
        <f>Cancer_doubles_final2[[#This Row],[mlp_test_acc2]]</f>
        <v>0.93618881118881125</v>
      </c>
    </row>
    <row r="1195" spans="1:26" x14ac:dyDescent="0.25">
      <c r="A1195" t="s">
        <v>19</v>
      </c>
      <c r="B1195">
        <v>3</v>
      </c>
      <c r="C1195">
        <v>5</v>
      </c>
      <c r="D1195">
        <v>0</v>
      </c>
      <c r="E1195" t="s">
        <v>492</v>
      </c>
      <c r="F1195">
        <v>32866</v>
      </c>
      <c r="G1195">
        <v>52768483.041666672</v>
      </c>
      <c r="H1195">
        <v>0.95571094503005338</v>
      </c>
      <c r="I1195">
        <v>0.9391025641025641</v>
      </c>
      <c r="J1195">
        <v>10202595.416666666</v>
      </c>
      <c r="K1195">
        <v>65190</v>
      </c>
      <c r="L1195">
        <v>2</v>
      </c>
      <c r="M1195">
        <v>172</v>
      </c>
      <c r="N1195">
        <v>0.93851981351981351</v>
      </c>
      <c r="O1195">
        <v>10787611.291666668</v>
      </c>
      <c r="P1195">
        <v>65915</v>
      </c>
      <c r="Q1195">
        <v>2</v>
      </c>
      <c r="R1195">
        <v>173</v>
      </c>
      <c r="S1195" t="s">
        <v>923</v>
      </c>
      <c r="W1195">
        <f>Cancer_doubles_final2[[#This Row],[mlp_params]]</f>
        <v>65190</v>
      </c>
      <c r="X1195">
        <f>Cancer_doubles_final2[[#This Row],[kan_test_acc]]</f>
        <v>0.95571094503005338</v>
      </c>
      <c r="Y1195">
        <f>Cancer_doubles_final2[[#This Row],[mlp_test_acc]]</f>
        <v>0.9391025641025641</v>
      </c>
      <c r="Z1195">
        <f>Cancer_doubles_final2[[#This Row],[mlp_test_acc2]]</f>
        <v>0.93851981351981351</v>
      </c>
    </row>
    <row r="1196" spans="1:26" hidden="1" x14ac:dyDescent="0.25">
      <c r="A1196" t="s">
        <v>19</v>
      </c>
      <c r="B1196">
        <v>5</v>
      </c>
      <c r="C1196">
        <v>3</v>
      </c>
      <c r="D1196">
        <v>0</v>
      </c>
      <c r="E1196" t="s">
        <v>492</v>
      </c>
      <c r="F1196">
        <v>32866</v>
      </c>
      <c r="G1196">
        <v>51464001.333333328</v>
      </c>
      <c r="H1196">
        <v>0.94318180779616045</v>
      </c>
      <c r="I1196">
        <v>0.92045454545454541</v>
      </c>
      <c r="J1196">
        <v>9683139.166666666</v>
      </c>
      <c r="K1196">
        <v>53477</v>
      </c>
      <c r="L1196">
        <v>2</v>
      </c>
      <c r="M1196">
        <v>155</v>
      </c>
      <c r="N1196">
        <v>0.92132867132867136</v>
      </c>
      <c r="O1196">
        <v>10746542.791666666</v>
      </c>
      <c r="P1196">
        <v>54134</v>
      </c>
      <c r="Q1196">
        <v>2</v>
      </c>
      <c r="R1196">
        <v>156</v>
      </c>
      <c r="S1196" t="s">
        <v>922</v>
      </c>
      <c r="W1196">
        <f>Cancer_doubles_final2[[#This Row],[mlp_params]]</f>
        <v>53477</v>
      </c>
      <c r="X1196">
        <f>Cancer_doubles_final2[[#This Row],[kan_test_acc]]</f>
        <v>0.94318180779616045</v>
      </c>
      <c r="Y1196">
        <f>Cancer_doubles_final2[[#This Row],[mlp_test_acc]]</f>
        <v>0.92045454545454541</v>
      </c>
      <c r="Z1196">
        <f>Cancer_doubles_final2[[#This Row],[mlp_test_acc2]]</f>
        <v>0.92132867132867136</v>
      </c>
    </row>
    <row r="1197" spans="1:26" x14ac:dyDescent="0.25">
      <c r="A1197" t="s">
        <v>19</v>
      </c>
      <c r="B1197">
        <v>3</v>
      </c>
      <c r="C1197">
        <v>5</v>
      </c>
      <c r="D1197">
        <v>0</v>
      </c>
      <c r="E1197" t="s">
        <v>494</v>
      </c>
      <c r="F1197">
        <v>32868</v>
      </c>
      <c r="G1197">
        <v>50579573.583333328</v>
      </c>
      <c r="H1197">
        <v>0.95425406595071149</v>
      </c>
      <c r="I1197">
        <v>0.91754079254079257</v>
      </c>
      <c r="J1197">
        <v>9726343.375</v>
      </c>
      <c r="K1197">
        <v>65190</v>
      </c>
      <c r="L1197">
        <v>2</v>
      </c>
      <c r="M1197">
        <v>172</v>
      </c>
      <c r="N1197">
        <v>0.91958041958041958</v>
      </c>
      <c r="O1197">
        <v>10740222.166666666</v>
      </c>
      <c r="P1197">
        <v>65915</v>
      </c>
      <c r="Q1197">
        <v>2</v>
      </c>
      <c r="R1197">
        <v>173</v>
      </c>
      <c r="S1197" t="s">
        <v>924</v>
      </c>
      <c r="W1197">
        <f>Cancer_doubles_final2[[#This Row],[mlp_params]]</f>
        <v>65190</v>
      </c>
      <c r="X1197">
        <f>Cancer_doubles_final2[[#This Row],[kan_test_acc]]</f>
        <v>0.95425406595071149</v>
      </c>
      <c r="Y1197">
        <f>Cancer_doubles_final2[[#This Row],[mlp_test_acc]]</f>
        <v>0.91754079254079257</v>
      </c>
      <c r="Z1197">
        <f>Cancer_doubles_final2[[#This Row],[mlp_test_acc2]]</f>
        <v>0.91958041958041958</v>
      </c>
    </row>
    <row r="1198" spans="1:26" hidden="1" x14ac:dyDescent="0.25">
      <c r="A1198" t="s">
        <v>19</v>
      </c>
      <c r="B1198">
        <v>5</v>
      </c>
      <c r="C1198">
        <v>3</v>
      </c>
      <c r="D1198">
        <v>0</v>
      </c>
      <c r="E1198" t="s">
        <v>494</v>
      </c>
      <c r="F1198">
        <v>32868</v>
      </c>
      <c r="G1198">
        <v>50146449.958333328</v>
      </c>
      <c r="H1198">
        <v>0.96445219715436292</v>
      </c>
      <c r="I1198">
        <v>0.93822843822843827</v>
      </c>
      <c r="J1198">
        <v>10045674.708333334</v>
      </c>
      <c r="K1198">
        <v>53477</v>
      </c>
      <c r="L1198">
        <v>2</v>
      </c>
      <c r="M1198">
        <v>155</v>
      </c>
      <c r="N1198">
        <v>0.93881118881118875</v>
      </c>
      <c r="O1198">
        <v>10708951.125</v>
      </c>
      <c r="P1198">
        <v>54134</v>
      </c>
      <c r="Q1198">
        <v>2</v>
      </c>
      <c r="R1198">
        <v>156</v>
      </c>
      <c r="S1198" t="s">
        <v>925</v>
      </c>
      <c r="W1198">
        <f>Cancer_doubles_final2[[#This Row],[mlp_params]]</f>
        <v>53477</v>
      </c>
      <c r="X1198">
        <f>Cancer_doubles_final2[[#This Row],[kan_test_acc]]</f>
        <v>0.96445219715436292</v>
      </c>
      <c r="Y1198">
        <f>Cancer_doubles_final2[[#This Row],[mlp_test_acc]]</f>
        <v>0.93822843822843827</v>
      </c>
      <c r="Z1198">
        <f>Cancer_doubles_final2[[#This Row],[mlp_test_acc2]]</f>
        <v>0.93881118881118875</v>
      </c>
    </row>
    <row r="1199" spans="1:26" x14ac:dyDescent="0.25">
      <c r="A1199" t="s">
        <v>19</v>
      </c>
      <c r="B1199">
        <v>3</v>
      </c>
      <c r="C1199">
        <v>5</v>
      </c>
      <c r="D1199">
        <v>0</v>
      </c>
      <c r="E1199" t="s">
        <v>494</v>
      </c>
      <c r="F1199">
        <v>32868</v>
      </c>
      <c r="G1199">
        <v>52494844.458333328</v>
      </c>
      <c r="H1199">
        <v>0.95862470070521033</v>
      </c>
      <c r="I1199">
        <v>0.93997668997669004</v>
      </c>
      <c r="J1199">
        <v>10287381.125</v>
      </c>
      <c r="K1199">
        <v>65190</v>
      </c>
      <c r="L1199">
        <v>2</v>
      </c>
      <c r="M1199">
        <v>172</v>
      </c>
      <c r="N1199">
        <v>0.93939393939393945</v>
      </c>
      <c r="O1199">
        <v>10536203.583333332</v>
      </c>
      <c r="P1199">
        <v>65915</v>
      </c>
      <c r="Q1199">
        <v>2</v>
      </c>
      <c r="R1199">
        <v>173</v>
      </c>
      <c r="S1199" t="s">
        <v>924</v>
      </c>
      <c r="W1199">
        <f>Cancer_doubles_final2[[#This Row],[mlp_params]]</f>
        <v>65190</v>
      </c>
      <c r="X1199">
        <f>Cancer_doubles_final2[[#This Row],[kan_test_acc]]</f>
        <v>0.95862470070521033</v>
      </c>
      <c r="Y1199">
        <f>Cancer_doubles_final2[[#This Row],[mlp_test_acc]]</f>
        <v>0.93997668997669004</v>
      </c>
      <c r="Z1199">
        <f>Cancer_doubles_final2[[#This Row],[mlp_test_acc2]]</f>
        <v>0.93939393939393945</v>
      </c>
    </row>
    <row r="1200" spans="1:26" hidden="1" x14ac:dyDescent="0.25">
      <c r="A1200" t="s">
        <v>19</v>
      </c>
      <c r="B1200">
        <v>5</v>
      </c>
      <c r="C1200">
        <v>3</v>
      </c>
      <c r="D1200">
        <v>0</v>
      </c>
      <c r="E1200" t="s">
        <v>494</v>
      </c>
      <c r="F1200">
        <v>32868</v>
      </c>
      <c r="G1200">
        <v>51023629.833333336</v>
      </c>
      <c r="H1200">
        <v>0.94463869432608283</v>
      </c>
      <c r="I1200">
        <v>0.91958041958041958</v>
      </c>
      <c r="J1200">
        <v>10263985.083333332</v>
      </c>
      <c r="K1200">
        <v>53477</v>
      </c>
      <c r="L1200">
        <v>2</v>
      </c>
      <c r="M1200">
        <v>155</v>
      </c>
      <c r="N1200">
        <v>0.91987179487179482</v>
      </c>
      <c r="O1200">
        <v>9912475.1666666679</v>
      </c>
      <c r="P1200">
        <v>54134</v>
      </c>
      <c r="Q1200">
        <v>2</v>
      </c>
      <c r="R1200">
        <v>156</v>
      </c>
      <c r="S1200" t="s">
        <v>925</v>
      </c>
      <c r="W1200">
        <f>Cancer_doubles_final2[[#This Row],[mlp_params]]</f>
        <v>53477</v>
      </c>
      <c r="X1200">
        <f>Cancer_doubles_final2[[#This Row],[kan_test_acc]]</f>
        <v>0.94463869432608283</v>
      </c>
      <c r="Y1200">
        <f>Cancer_doubles_final2[[#This Row],[mlp_test_acc]]</f>
        <v>0.91958041958041958</v>
      </c>
      <c r="Z1200">
        <f>Cancer_doubles_final2[[#This Row],[mlp_test_acc2]]</f>
        <v>0.91987179487179482</v>
      </c>
    </row>
    <row r="1201" spans="1:26" hidden="1" x14ac:dyDescent="0.25">
      <c r="A1201" t="s">
        <v>19</v>
      </c>
      <c r="B1201">
        <v>5</v>
      </c>
      <c r="C1201">
        <v>5</v>
      </c>
      <c r="D1201">
        <v>0</v>
      </c>
      <c r="E1201" t="s">
        <v>316</v>
      </c>
      <c r="F1201">
        <v>32888</v>
      </c>
      <c r="G1201">
        <v>43991629.791666672</v>
      </c>
      <c r="H1201">
        <v>0.93502331525087357</v>
      </c>
      <c r="I1201">
        <v>0.90705128205128205</v>
      </c>
      <c r="J1201">
        <v>9196838.666666666</v>
      </c>
      <c r="K1201">
        <v>60227</v>
      </c>
      <c r="L1201">
        <v>2</v>
      </c>
      <c r="M1201">
        <v>165</v>
      </c>
      <c r="N1201">
        <v>0.9067599067599067</v>
      </c>
      <c r="O1201">
        <v>8705454.583333334</v>
      </c>
      <c r="P1201">
        <v>60924</v>
      </c>
      <c r="Q1201">
        <v>2</v>
      </c>
      <c r="R1201">
        <v>166</v>
      </c>
      <c r="S1201" t="s">
        <v>926</v>
      </c>
      <c r="W1201">
        <f>Cancer_doubles_final2[[#This Row],[mlp_params]]</f>
        <v>60227</v>
      </c>
      <c r="X1201">
        <f>Cancer_doubles_final2[[#This Row],[kan_test_acc]]</f>
        <v>0.93502331525087357</v>
      </c>
      <c r="Y1201">
        <f>Cancer_doubles_final2[[#This Row],[mlp_test_acc]]</f>
        <v>0.90705128205128205</v>
      </c>
      <c r="Z1201">
        <f>Cancer_doubles_final2[[#This Row],[mlp_test_acc2]]</f>
        <v>0.9067599067599067</v>
      </c>
    </row>
    <row r="1202" spans="1:26" hidden="1" x14ac:dyDescent="0.25">
      <c r="A1202" t="s">
        <v>19</v>
      </c>
      <c r="B1202">
        <v>5</v>
      </c>
      <c r="C1202">
        <v>5</v>
      </c>
      <c r="D1202">
        <v>0</v>
      </c>
      <c r="E1202" t="s">
        <v>319</v>
      </c>
      <c r="F1202">
        <v>32892</v>
      </c>
      <c r="G1202">
        <v>43904665.083333328</v>
      </c>
      <c r="H1202">
        <v>0.92132866713735784</v>
      </c>
      <c r="I1202">
        <v>0.92832167832167833</v>
      </c>
      <c r="J1202">
        <v>9548078.8333333321</v>
      </c>
      <c r="K1202">
        <v>60227</v>
      </c>
      <c r="L1202">
        <v>2</v>
      </c>
      <c r="M1202">
        <v>165</v>
      </c>
      <c r="N1202">
        <v>0.92773892773892774</v>
      </c>
      <c r="O1202">
        <v>9265541.555555556</v>
      </c>
      <c r="P1202">
        <v>60924</v>
      </c>
      <c r="Q1202">
        <v>2</v>
      </c>
      <c r="R1202">
        <v>166</v>
      </c>
      <c r="S1202" t="s">
        <v>927</v>
      </c>
      <c r="W1202">
        <f>Cancer_doubles_final2[[#This Row],[mlp_params]]</f>
        <v>60227</v>
      </c>
      <c r="X1202">
        <f>Cancer_doubles_final2[[#This Row],[kan_test_acc]]</f>
        <v>0.92132866713735784</v>
      </c>
      <c r="Y1202">
        <f>Cancer_doubles_final2[[#This Row],[mlp_test_acc]]</f>
        <v>0.92832167832167833</v>
      </c>
      <c r="Z1202">
        <f>Cancer_doubles_final2[[#This Row],[mlp_test_acc2]]</f>
        <v>0.92773892773892774</v>
      </c>
    </row>
    <row r="1203" spans="1:26" hidden="1" x14ac:dyDescent="0.25">
      <c r="A1203" t="s">
        <v>19</v>
      </c>
      <c r="B1203">
        <v>9</v>
      </c>
      <c r="C1203">
        <v>4</v>
      </c>
      <c r="D1203">
        <v>0</v>
      </c>
      <c r="E1203" t="s">
        <v>191</v>
      </c>
      <c r="F1203">
        <v>32900</v>
      </c>
      <c r="G1203">
        <v>41745957.361111112</v>
      </c>
      <c r="H1203">
        <v>0.92210566831959617</v>
      </c>
      <c r="I1203">
        <v>0.94794094794094785</v>
      </c>
      <c r="J1203">
        <v>9502094.277777778</v>
      </c>
      <c r="K1203">
        <v>50889</v>
      </c>
      <c r="L1203">
        <v>2</v>
      </c>
      <c r="M1203">
        <v>151</v>
      </c>
      <c r="N1203">
        <v>0.94755244755244761</v>
      </c>
      <c r="O1203">
        <v>9343675.3611111119</v>
      </c>
      <c r="P1203">
        <v>51530</v>
      </c>
      <c r="Q1203">
        <v>2</v>
      </c>
      <c r="R1203">
        <v>152</v>
      </c>
      <c r="S1203" t="s">
        <v>928</v>
      </c>
      <c r="W1203">
        <f>Cancer_doubles_final2[[#This Row],[mlp_params]]</f>
        <v>50889</v>
      </c>
      <c r="X1203">
        <f>Cancer_doubles_final2[[#This Row],[kan_test_acc]]</f>
        <v>0.92210566831959617</v>
      </c>
      <c r="Y1203">
        <f>Cancer_doubles_final2[[#This Row],[mlp_test_acc]]</f>
        <v>0.94794094794094785</v>
      </c>
      <c r="Z1203">
        <f>Cancer_doubles_final2[[#This Row],[mlp_test_acc2]]</f>
        <v>0.94755244755244761</v>
      </c>
    </row>
    <row r="1204" spans="1:26" hidden="1" x14ac:dyDescent="0.25">
      <c r="A1204" t="s">
        <v>19</v>
      </c>
      <c r="B1204">
        <v>3</v>
      </c>
      <c r="C1204">
        <v>4</v>
      </c>
      <c r="D1204">
        <v>0</v>
      </c>
      <c r="E1204" t="s">
        <v>630</v>
      </c>
      <c r="F1204">
        <v>32936</v>
      </c>
      <c r="G1204">
        <v>40755540.041666672</v>
      </c>
      <c r="H1204">
        <v>0.95104895035425818</v>
      </c>
      <c r="I1204">
        <v>0.96037296037296027</v>
      </c>
      <c r="J1204">
        <v>9779159.416666666</v>
      </c>
      <c r="K1204">
        <v>62330</v>
      </c>
      <c r="L1204">
        <v>2</v>
      </c>
      <c r="M1204">
        <v>168</v>
      </c>
      <c r="N1204">
        <v>0.95775058275058278</v>
      </c>
      <c r="O1204">
        <v>9166407.9166666679</v>
      </c>
      <c r="P1204">
        <v>63039</v>
      </c>
      <c r="Q1204">
        <v>2</v>
      </c>
      <c r="R1204">
        <v>169</v>
      </c>
      <c r="S1204" t="s">
        <v>929</v>
      </c>
      <c r="W1204">
        <f>Cancer_doubles_final2[[#This Row],[mlp_params]]</f>
        <v>62330</v>
      </c>
      <c r="X1204">
        <f>Cancer_doubles_final2[[#This Row],[kan_test_acc]]</f>
        <v>0.95104895035425818</v>
      </c>
      <c r="Y1204">
        <f>Cancer_doubles_final2[[#This Row],[mlp_test_acc]]</f>
        <v>0.96037296037296027</v>
      </c>
      <c r="Z1204">
        <f>Cancer_doubles_final2[[#This Row],[mlp_test_acc2]]</f>
        <v>0.95775058275058278</v>
      </c>
    </row>
    <row r="1205" spans="1:26" hidden="1" x14ac:dyDescent="0.25">
      <c r="A1205" t="s">
        <v>19</v>
      </c>
      <c r="B1205">
        <v>5</v>
      </c>
      <c r="C1205">
        <v>2</v>
      </c>
      <c r="D1205">
        <v>0</v>
      </c>
      <c r="E1205" t="s">
        <v>630</v>
      </c>
      <c r="F1205">
        <v>32936</v>
      </c>
      <c r="G1205">
        <v>43346362.5</v>
      </c>
      <c r="H1205">
        <v>0.97581584503253294</v>
      </c>
      <c r="I1205">
        <v>0.94376456876456871</v>
      </c>
      <c r="J1205">
        <v>9764257.041666666</v>
      </c>
      <c r="K1205">
        <v>48990</v>
      </c>
      <c r="L1205">
        <v>2</v>
      </c>
      <c r="M1205">
        <v>148</v>
      </c>
      <c r="N1205">
        <v>0.94230769230769229</v>
      </c>
      <c r="O1205">
        <v>9246152.708333334</v>
      </c>
      <c r="P1205">
        <v>49619</v>
      </c>
      <c r="Q1205">
        <v>2</v>
      </c>
      <c r="R1205">
        <v>149</v>
      </c>
      <c r="S1205" t="s">
        <v>930</v>
      </c>
      <c r="W1205">
        <f>Cancer_doubles_final2[[#This Row],[mlp_params]]</f>
        <v>48990</v>
      </c>
      <c r="X1205">
        <f>Cancer_doubles_final2[[#This Row],[kan_test_acc]]</f>
        <v>0.97581584503253294</v>
      </c>
      <c r="Y1205">
        <f>Cancer_doubles_final2[[#This Row],[mlp_test_acc]]</f>
        <v>0.94376456876456871</v>
      </c>
      <c r="Z1205">
        <f>Cancer_doubles_final2[[#This Row],[mlp_test_acc2]]</f>
        <v>0.94230769230769229</v>
      </c>
    </row>
    <row r="1206" spans="1:26" hidden="1" x14ac:dyDescent="0.25">
      <c r="A1206" t="s">
        <v>19</v>
      </c>
      <c r="B1206">
        <v>3</v>
      </c>
      <c r="C1206">
        <v>4</v>
      </c>
      <c r="D1206">
        <v>0</v>
      </c>
      <c r="E1206" t="s">
        <v>630</v>
      </c>
      <c r="F1206">
        <v>32936</v>
      </c>
      <c r="G1206">
        <v>42698126.5</v>
      </c>
      <c r="H1206">
        <v>0.96824008723100019</v>
      </c>
      <c r="I1206">
        <v>0.92890442890442892</v>
      </c>
      <c r="J1206">
        <v>9360159.916666666</v>
      </c>
      <c r="K1206">
        <v>62330</v>
      </c>
      <c r="L1206">
        <v>2</v>
      </c>
      <c r="M1206">
        <v>168</v>
      </c>
      <c r="N1206">
        <v>0.92803030303030309</v>
      </c>
      <c r="O1206">
        <v>8878060.625</v>
      </c>
      <c r="P1206">
        <v>63039</v>
      </c>
      <c r="Q1206">
        <v>2</v>
      </c>
      <c r="R1206">
        <v>169</v>
      </c>
      <c r="S1206" t="s">
        <v>929</v>
      </c>
      <c r="W1206">
        <f>Cancer_doubles_final2[[#This Row],[mlp_params]]</f>
        <v>62330</v>
      </c>
      <c r="X1206">
        <f>Cancer_doubles_final2[[#This Row],[kan_test_acc]]</f>
        <v>0.96824008723100019</v>
      </c>
      <c r="Y1206">
        <f>Cancer_doubles_final2[[#This Row],[mlp_test_acc]]</f>
        <v>0.92890442890442892</v>
      </c>
      <c r="Z1206">
        <f>Cancer_doubles_final2[[#This Row],[mlp_test_acc2]]</f>
        <v>0.92803030303030309</v>
      </c>
    </row>
    <row r="1207" spans="1:26" hidden="1" x14ac:dyDescent="0.25">
      <c r="A1207" t="s">
        <v>19</v>
      </c>
      <c r="B1207">
        <v>5</v>
      </c>
      <c r="C1207">
        <v>2</v>
      </c>
      <c r="D1207">
        <v>0</v>
      </c>
      <c r="E1207" t="s">
        <v>630</v>
      </c>
      <c r="F1207">
        <v>32936</v>
      </c>
      <c r="G1207">
        <v>36776743.708333328</v>
      </c>
      <c r="H1207">
        <v>0.95104894290367759</v>
      </c>
      <c r="I1207">
        <v>0.90559440559440563</v>
      </c>
      <c r="J1207">
        <v>9191629.791666666</v>
      </c>
      <c r="K1207">
        <v>48990</v>
      </c>
      <c r="L1207">
        <v>2</v>
      </c>
      <c r="M1207">
        <v>148</v>
      </c>
      <c r="N1207">
        <v>0.90675990675990681</v>
      </c>
      <c r="O1207">
        <v>8752651.7083333321</v>
      </c>
      <c r="P1207">
        <v>49619</v>
      </c>
      <c r="Q1207">
        <v>2</v>
      </c>
      <c r="R1207">
        <v>149</v>
      </c>
      <c r="S1207" t="s">
        <v>930</v>
      </c>
      <c r="W1207">
        <f>Cancer_doubles_final2[[#This Row],[mlp_params]]</f>
        <v>48990</v>
      </c>
      <c r="X1207">
        <f>Cancer_doubles_final2[[#This Row],[kan_test_acc]]</f>
        <v>0.95104894290367759</v>
      </c>
      <c r="Y1207">
        <f>Cancer_doubles_final2[[#This Row],[mlp_test_acc]]</f>
        <v>0.90559440559440563</v>
      </c>
      <c r="Z1207">
        <f>Cancer_doubles_final2[[#This Row],[mlp_test_acc2]]</f>
        <v>0.90675990675990681</v>
      </c>
    </row>
    <row r="1208" spans="1:26" hidden="1" x14ac:dyDescent="0.25">
      <c r="A1208" t="s">
        <v>19</v>
      </c>
      <c r="B1208">
        <v>5</v>
      </c>
      <c r="C1208">
        <v>4</v>
      </c>
      <c r="D1208">
        <v>0</v>
      </c>
      <c r="E1208" t="s">
        <v>399</v>
      </c>
      <c r="F1208">
        <v>32960</v>
      </c>
      <c r="G1208">
        <v>34340215</v>
      </c>
      <c r="H1208">
        <v>0.9449300616979599</v>
      </c>
      <c r="I1208">
        <v>0.909965034965035</v>
      </c>
      <c r="J1208">
        <v>9309410.333333334</v>
      </c>
      <c r="K1208">
        <v>57479</v>
      </c>
      <c r="L1208">
        <v>2</v>
      </c>
      <c r="M1208">
        <v>161</v>
      </c>
      <c r="N1208">
        <v>0.91142191142191153</v>
      </c>
      <c r="O1208">
        <v>9253533.4166666679</v>
      </c>
      <c r="P1208">
        <v>58160</v>
      </c>
      <c r="Q1208">
        <v>2</v>
      </c>
      <c r="R1208">
        <v>162</v>
      </c>
      <c r="S1208" t="s">
        <v>931</v>
      </c>
      <c r="W1208">
        <f>Cancer_doubles_final2[[#This Row],[mlp_params]]</f>
        <v>57479</v>
      </c>
      <c r="X1208">
        <f>Cancer_doubles_final2[[#This Row],[kan_test_acc]]</f>
        <v>0.9449300616979599</v>
      </c>
      <c r="Y1208">
        <f>Cancer_doubles_final2[[#This Row],[mlp_test_acc]]</f>
        <v>0.909965034965035</v>
      </c>
      <c r="Z1208">
        <f>Cancer_doubles_final2[[#This Row],[mlp_test_acc2]]</f>
        <v>0.91142191142191153</v>
      </c>
    </row>
    <row r="1209" spans="1:26" hidden="1" x14ac:dyDescent="0.25">
      <c r="A1209" t="s">
        <v>19</v>
      </c>
      <c r="B1209">
        <v>5</v>
      </c>
      <c r="C1209">
        <v>5</v>
      </c>
      <c r="D1209">
        <v>0</v>
      </c>
      <c r="E1209" t="s">
        <v>321</v>
      </c>
      <c r="F1209">
        <v>32994</v>
      </c>
      <c r="G1209">
        <v>40973145.805555552</v>
      </c>
      <c r="H1209">
        <v>0.92288266784614992</v>
      </c>
      <c r="I1209">
        <v>0.93473193473193472</v>
      </c>
      <c r="J1209">
        <v>9861657.472222222</v>
      </c>
      <c r="K1209">
        <v>60227</v>
      </c>
      <c r="L1209">
        <v>2</v>
      </c>
      <c r="M1209">
        <v>165</v>
      </c>
      <c r="N1209">
        <v>0.93550893550893555</v>
      </c>
      <c r="O1209">
        <v>9750857.083333334</v>
      </c>
      <c r="P1209">
        <v>60924</v>
      </c>
      <c r="Q1209">
        <v>2</v>
      </c>
      <c r="R1209">
        <v>166</v>
      </c>
      <c r="S1209" t="s">
        <v>932</v>
      </c>
      <c r="W1209">
        <f>Cancer_doubles_final2[[#This Row],[mlp_params]]</f>
        <v>60227</v>
      </c>
      <c r="X1209">
        <f>Cancer_doubles_final2[[#This Row],[kan_test_acc]]</f>
        <v>0.92288266784614992</v>
      </c>
      <c r="Y1209">
        <f>Cancer_doubles_final2[[#This Row],[mlp_test_acc]]</f>
        <v>0.93473193473193472</v>
      </c>
      <c r="Z1209">
        <f>Cancer_doubles_final2[[#This Row],[mlp_test_acc2]]</f>
        <v>0.93550893550893555</v>
      </c>
    </row>
    <row r="1210" spans="1:26" hidden="1" x14ac:dyDescent="0.25">
      <c r="A1210" t="s">
        <v>19</v>
      </c>
      <c r="B1210">
        <v>5</v>
      </c>
      <c r="C1210">
        <v>4</v>
      </c>
      <c r="D1210">
        <v>0</v>
      </c>
      <c r="E1210" t="s">
        <v>402</v>
      </c>
      <c r="F1210">
        <v>33060</v>
      </c>
      <c r="G1210">
        <v>46291155.833333336</v>
      </c>
      <c r="H1210">
        <v>0.92618492411242592</v>
      </c>
      <c r="I1210">
        <v>0.94191919191919193</v>
      </c>
      <c r="J1210">
        <v>9008307.083333334</v>
      </c>
      <c r="K1210">
        <v>57479</v>
      </c>
      <c r="L1210">
        <v>2</v>
      </c>
      <c r="M1210">
        <v>161</v>
      </c>
      <c r="N1210">
        <v>0.94153069153069158</v>
      </c>
      <c r="O1210">
        <v>10166946.583333334</v>
      </c>
      <c r="P1210">
        <v>58160</v>
      </c>
      <c r="Q1210">
        <v>2</v>
      </c>
      <c r="R1210">
        <v>162</v>
      </c>
      <c r="S1210" t="s">
        <v>933</v>
      </c>
      <c r="W1210">
        <f>Cancer_doubles_final2[[#This Row],[mlp_params]]</f>
        <v>57479</v>
      </c>
      <c r="X1210">
        <f>Cancer_doubles_final2[[#This Row],[kan_test_acc]]</f>
        <v>0.92618492411242592</v>
      </c>
      <c r="Y1210">
        <f>Cancer_doubles_final2[[#This Row],[mlp_test_acc]]</f>
        <v>0.94191919191919193</v>
      </c>
      <c r="Z1210">
        <f>Cancer_doubles_final2[[#This Row],[mlp_test_acc2]]</f>
        <v>0.94153069153069158</v>
      </c>
    </row>
    <row r="1211" spans="1:26" hidden="1" x14ac:dyDescent="0.25">
      <c r="A1211" t="s">
        <v>19</v>
      </c>
      <c r="B1211">
        <v>3</v>
      </c>
      <c r="C1211">
        <v>4</v>
      </c>
      <c r="D1211">
        <v>0</v>
      </c>
      <c r="E1211" t="s">
        <v>633</v>
      </c>
      <c r="F1211">
        <v>33094</v>
      </c>
      <c r="G1211">
        <v>43346210.75</v>
      </c>
      <c r="H1211">
        <v>0.96226689592003822</v>
      </c>
      <c r="I1211">
        <v>0.94609557109557108</v>
      </c>
      <c r="J1211">
        <v>8812072.9375</v>
      </c>
      <c r="K1211">
        <v>62330</v>
      </c>
      <c r="L1211">
        <v>2</v>
      </c>
      <c r="M1211">
        <v>168</v>
      </c>
      <c r="N1211">
        <v>0.94391025641025639</v>
      </c>
      <c r="O1211">
        <v>10435578.229166668</v>
      </c>
      <c r="P1211">
        <v>63039</v>
      </c>
      <c r="Q1211">
        <v>2</v>
      </c>
      <c r="R1211">
        <v>169</v>
      </c>
      <c r="S1211" t="s">
        <v>934</v>
      </c>
      <c r="W1211">
        <f>Cancer_doubles_final2[[#This Row],[mlp_params]]</f>
        <v>62330</v>
      </c>
      <c r="X1211">
        <f>Cancer_doubles_final2[[#This Row],[kan_test_acc]]</f>
        <v>0.96226689592003822</v>
      </c>
      <c r="Y1211">
        <f>Cancer_doubles_final2[[#This Row],[mlp_test_acc]]</f>
        <v>0.94609557109557108</v>
      </c>
      <c r="Z1211">
        <f>Cancer_doubles_final2[[#This Row],[mlp_test_acc2]]</f>
        <v>0.94391025641025639</v>
      </c>
    </row>
    <row r="1212" spans="1:26" x14ac:dyDescent="0.25">
      <c r="A1212" t="s">
        <v>19</v>
      </c>
      <c r="B1212">
        <v>3</v>
      </c>
      <c r="C1212">
        <v>5</v>
      </c>
      <c r="D1212">
        <v>0</v>
      </c>
      <c r="E1212" t="s">
        <v>508</v>
      </c>
      <c r="F1212">
        <v>33094</v>
      </c>
      <c r="G1212">
        <v>52125003.666666672</v>
      </c>
      <c r="H1212">
        <v>0.97668997446695971</v>
      </c>
      <c r="I1212">
        <v>0.94405594405594406</v>
      </c>
      <c r="J1212">
        <v>9641830.791666666</v>
      </c>
      <c r="K1212">
        <v>65915</v>
      </c>
      <c r="L1212">
        <v>2</v>
      </c>
      <c r="M1212">
        <v>173</v>
      </c>
      <c r="N1212">
        <v>0.94318181818181812</v>
      </c>
      <c r="O1212">
        <v>10328663.625</v>
      </c>
      <c r="P1212">
        <v>66644</v>
      </c>
      <c r="Q1212">
        <v>2</v>
      </c>
      <c r="R1212">
        <v>174</v>
      </c>
      <c r="S1212" t="s">
        <v>935</v>
      </c>
      <c r="W1212">
        <f>Cancer_doubles_final2[[#This Row],[mlp_params]]</f>
        <v>65915</v>
      </c>
      <c r="X1212">
        <f>Cancer_doubles_final2[[#This Row],[kan_test_acc]]</f>
        <v>0.97668997446695971</v>
      </c>
      <c r="Y1212">
        <f>Cancer_doubles_final2[[#This Row],[mlp_test_acc]]</f>
        <v>0.94405594405594406</v>
      </c>
      <c r="Z1212">
        <f>Cancer_doubles_final2[[#This Row],[mlp_test_acc2]]</f>
        <v>0.94318181818181812</v>
      </c>
    </row>
    <row r="1213" spans="1:26" hidden="1" x14ac:dyDescent="0.25">
      <c r="A1213" t="s">
        <v>19</v>
      </c>
      <c r="B1213">
        <v>5</v>
      </c>
      <c r="C1213">
        <v>2</v>
      </c>
      <c r="D1213">
        <v>0</v>
      </c>
      <c r="E1213" t="s">
        <v>633</v>
      </c>
      <c r="F1213">
        <v>33094</v>
      </c>
      <c r="G1213">
        <v>49288467.041666664</v>
      </c>
      <c r="H1213">
        <v>0.96765734255313873</v>
      </c>
      <c r="I1213">
        <v>0.94026806526806528</v>
      </c>
      <c r="J1213">
        <v>9374775.7083333321</v>
      </c>
      <c r="K1213">
        <v>48990</v>
      </c>
      <c r="L1213">
        <v>2</v>
      </c>
      <c r="M1213">
        <v>148</v>
      </c>
      <c r="N1213">
        <v>0.93706293706293708</v>
      </c>
      <c r="O1213">
        <v>9531625.333333334</v>
      </c>
      <c r="P1213">
        <v>49619</v>
      </c>
      <c r="Q1213">
        <v>2</v>
      </c>
      <c r="R1213">
        <v>149</v>
      </c>
      <c r="S1213" t="s">
        <v>936</v>
      </c>
      <c r="W1213">
        <f>Cancer_doubles_final2[[#This Row],[mlp_params]]</f>
        <v>48990</v>
      </c>
      <c r="X1213">
        <f>Cancer_doubles_final2[[#This Row],[kan_test_acc]]</f>
        <v>0.96765734255313873</v>
      </c>
      <c r="Y1213">
        <f>Cancer_doubles_final2[[#This Row],[mlp_test_acc]]</f>
        <v>0.94026806526806528</v>
      </c>
      <c r="Z1213">
        <f>Cancer_doubles_final2[[#This Row],[mlp_test_acc2]]</f>
        <v>0.93706293706293708</v>
      </c>
    </row>
    <row r="1214" spans="1:26" hidden="1" x14ac:dyDescent="0.25">
      <c r="A1214" t="s">
        <v>19</v>
      </c>
      <c r="B1214">
        <v>5</v>
      </c>
      <c r="C1214">
        <v>3</v>
      </c>
      <c r="D1214">
        <v>0</v>
      </c>
      <c r="E1214" t="s">
        <v>508</v>
      </c>
      <c r="F1214">
        <v>33094</v>
      </c>
      <c r="G1214">
        <v>43327471.125</v>
      </c>
      <c r="H1214">
        <v>0.96212121099233627</v>
      </c>
      <c r="I1214">
        <v>0.94085081585081587</v>
      </c>
      <c r="J1214">
        <v>8849039.166666666</v>
      </c>
      <c r="K1214">
        <v>53477</v>
      </c>
      <c r="L1214">
        <v>2</v>
      </c>
      <c r="M1214">
        <v>155</v>
      </c>
      <c r="N1214">
        <v>0.93444055944055948</v>
      </c>
      <c r="O1214">
        <v>9531660.125</v>
      </c>
      <c r="P1214">
        <v>54134</v>
      </c>
      <c r="Q1214">
        <v>2</v>
      </c>
      <c r="R1214">
        <v>156</v>
      </c>
      <c r="S1214" t="s">
        <v>937</v>
      </c>
      <c r="W1214">
        <f>Cancer_doubles_final2[[#This Row],[mlp_params]]</f>
        <v>53477</v>
      </c>
      <c r="X1214">
        <f>Cancer_doubles_final2[[#This Row],[kan_test_acc]]</f>
        <v>0.96212121099233627</v>
      </c>
      <c r="Y1214">
        <f>Cancer_doubles_final2[[#This Row],[mlp_test_acc]]</f>
        <v>0.94085081585081587</v>
      </c>
      <c r="Z1214">
        <f>Cancer_doubles_final2[[#This Row],[mlp_test_acc2]]</f>
        <v>0.93444055944055948</v>
      </c>
    </row>
    <row r="1215" spans="1:26" hidden="1" x14ac:dyDescent="0.25">
      <c r="A1215" t="s">
        <v>19</v>
      </c>
      <c r="B1215">
        <v>3</v>
      </c>
      <c r="C1215">
        <v>4</v>
      </c>
      <c r="D1215">
        <v>0</v>
      </c>
      <c r="E1215" t="s">
        <v>633</v>
      </c>
      <c r="F1215">
        <v>33094</v>
      </c>
      <c r="G1215">
        <v>48359324.541666672</v>
      </c>
      <c r="H1215">
        <v>0.9694055815537771</v>
      </c>
      <c r="I1215">
        <v>0.93006993006993011</v>
      </c>
      <c r="J1215">
        <v>8813681.7916666679</v>
      </c>
      <c r="K1215">
        <v>62330</v>
      </c>
      <c r="L1215">
        <v>2</v>
      </c>
      <c r="M1215">
        <v>168</v>
      </c>
      <c r="N1215">
        <v>0.92861305361305368</v>
      </c>
      <c r="O1215">
        <v>9983508.541666666</v>
      </c>
      <c r="P1215">
        <v>63039</v>
      </c>
      <c r="Q1215">
        <v>2</v>
      </c>
      <c r="R1215">
        <v>169</v>
      </c>
      <c r="S1215" t="s">
        <v>934</v>
      </c>
      <c r="W1215">
        <f>Cancer_doubles_final2[[#This Row],[mlp_params]]</f>
        <v>62330</v>
      </c>
      <c r="X1215">
        <f>Cancer_doubles_final2[[#This Row],[kan_test_acc]]</f>
        <v>0.9694055815537771</v>
      </c>
      <c r="Y1215">
        <f>Cancer_doubles_final2[[#This Row],[mlp_test_acc]]</f>
        <v>0.93006993006993011</v>
      </c>
      <c r="Z1215">
        <f>Cancer_doubles_final2[[#This Row],[mlp_test_acc2]]</f>
        <v>0.92861305361305368</v>
      </c>
    </row>
    <row r="1216" spans="1:26" x14ac:dyDescent="0.25">
      <c r="A1216" t="s">
        <v>19</v>
      </c>
      <c r="B1216">
        <v>3</v>
      </c>
      <c r="C1216">
        <v>5</v>
      </c>
      <c r="D1216">
        <v>0</v>
      </c>
      <c r="E1216" t="s">
        <v>508</v>
      </c>
      <c r="F1216">
        <v>33094</v>
      </c>
      <c r="G1216">
        <v>56405538.041666672</v>
      </c>
      <c r="H1216">
        <v>0.94055943191051483</v>
      </c>
      <c r="I1216">
        <v>0.93094405594405594</v>
      </c>
      <c r="J1216">
        <v>10090976.791666668</v>
      </c>
      <c r="K1216">
        <v>65915</v>
      </c>
      <c r="L1216">
        <v>2</v>
      </c>
      <c r="M1216">
        <v>173</v>
      </c>
      <c r="N1216">
        <v>0.93123543123543118</v>
      </c>
      <c r="O1216">
        <v>9895499.958333334</v>
      </c>
      <c r="P1216">
        <v>66644</v>
      </c>
      <c r="Q1216">
        <v>2</v>
      </c>
      <c r="R1216">
        <v>174</v>
      </c>
      <c r="S1216" t="s">
        <v>935</v>
      </c>
      <c r="W1216">
        <f>Cancer_doubles_final2[[#This Row],[mlp_params]]</f>
        <v>65915</v>
      </c>
      <c r="X1216">
        <f>Cancer_doubles_final2[[#This Row],[kan_test_acc]]</f>
        <v>0.94055943191051483</v>
      </c>
      <c r="Y1216">
        <f>Cancer_doubles_final2[[#This Row],[mlp_test_acc]]</f>
        <v>0.93094405594405594</v>
      </c>
      <c r="Z1216">
        <f>Cancer_doubles_final2[[#This Row],[mlp_test_acc2]]</f>
        <v>0.93123543123543118</v>
      </c>
    </row>
    <row r="1217" spans="1:26" hidden="1" x14ac:dyDescent="0.25">
      <c r="A1217" t="s">
        <v>19</v>
      </c>
      <c r="B1217">
        <v>5</v>
      </c>
      <c r="C1217">
        <v>2</v>
      </c>
      <c r="D1217">
        <v>0</v>
      </c>
      <c r="E1217" t="s">
        <v>633</v>
      </c>
      <c r="F1217">
        <v>33094</v>
      </c>
      <c r="G1217">
        <v>50850461.958333336</v>
      </c>
      <c r="H1217">
        <v>0.91958041985829664</v>
      </c>
      <c r="I1217">
        <v>0.91550116550116545</v>
      </c>
      <c r="J1217">
        <v>10273799.541666668</v>
      </c>
      <c r="K1217">
        <v>48990</v>
      </c>
      <c r="L1217">
        <v>2</v>
      </c>
      <c r="M1217">
        <v>148</v>
      </c>
      <c r="N1217">
        <v>0.91637529137529139</v>
      </c>
      <c r="O1217">
        <v>9958598.375</v>
      </c>
      <c r="P1217">
        <v>49619</v>
      </c>
      <c r="Q1217">
        <v>2</v>
      </c>
      <c r="R1217">
        <v>149</v>
      </c>
      <c r="S1217" t="s">
        <v>936</v>
      </c>
      <c r="W1217">
        <f>Cancer_doubles_final2[[#This Row],[mlp_params]]</f>
        <v>48990</v>
      </c>
      <c r="X1217">
        <f>Cancer_doubles_final2[[#This Row],[kan_test_acc]]</f>
        <v>0.91958041985829664</v>
      </c>
      <c r="Y1217">
        <f>Cancer_doubles_final2[[#This Row],[mlp_test_acc]]</f>
        <v>0.91550116550116545</v>
      </c>
      <c r="Z1217">
        <f>Cancer_doubles_final2[[#This Row],[mlp_test_acc2]]</f>
        <v>0.91637529137529139</v>
      </c>
    </row>
    <row r="1218" spans="1:26" hidden="1" x14ac:dyDescent="0.25">
      <c r="A1218" t="s">
        <v>19</v>
      </c>
      <c r="B1218">
        <v>5</v>
      </c>
      <c r="C1218">
        <v>3</v>
      </c>
      <c r="D1218">
        <v>0</v>
      </c>
      <c r="E1218" t="s">
        <v>508</v>
      </c>
      <c r="F1218">
        <v>33094</v>
      </c>
      <c r="G1218">
        <v>44474952.125</v>
      </c>
      <c r="H1218">
        <v>0.94463869432608294</v>
      </c>
      <c r="I1218">
        <v>0.89627039627039617</v>
      </c>
      <c r="J1218">
        <v>9014010.1666666679</v>
      </c>
      <c r="K1218">
        <v>53477</v>
      </c>
      <c r="L1218">
        <v>2</v>
      </c>
      <c r="M1218">
        <v>155</v>
      </c>
      <c r="N1218">
        <v>0.89743589743589747</v>
      </c>
      <c r="O1218">
        <v>10042216.291666666</v>
      </c>
      <c r="P1218">
        <v>54134</v>
      </c>
      <c r="Q1218">
        <v>2</v>
      </c>
      <c r="R1218">
        <v>156</v>
      </c>
      <c r="S1218" t="s">
        <v>937</v>
      </c>
      <c r="W1218">
        <f>Cancer_doubles_final2[[#This Row],[mlp_params]]</f>
        <v>53477</v>
      </c>
      <c r="X1218">
        <f>Cancer_doubles_final2[[#This Row],[kan_test_acc]]</f>
        <v>0.94463869432608294</v>
      </c>
      <c r="Y1218">
        <f>Cancer_doubles_final2[[#This Row],[mlp_test_acc]]</f>
        <v>0.89627039627039617</v>
      </c>
      <c r="Z1218">
        <f>Cancer_doubles_final2[[#This Row],[mlp_test_acc2]]</f>
        <v>0.89743589743589747</v>
      </c>
    </row>
    <row r="1219" spans="1:26" hidden="1" x14ac:dyDescent="0.25">
      <c r="A1219" t="s">
        <v>19</v>
      </c>
      <c r="B1219">
        <v>5</v>
      </c>
      <c r="C1219">
        <v>4</v>
      </c>
      <c r="D1219">
        <v>0</v>
      </c>
      <c r="E1219" t="s">
        <v>404</v>
      </c>
      <c r="F1219">
        <v>33106</v>
      </c>
      <c r="G1219">
        <v>41452022.625</v>
      </c>
      <c r="H1219">
        <v>0.9577505812048912</v>
      </c>
      <c r="I1219">
        <v>0.91462703962703962</v>
      </c>
      <c r="J1219">
        <v>8988745.416666666</v>
      </c>
      <c r="K1219">
        <v>57479</v>
      </c>
      <c r="L1219">
        <v>2</v>
      </c>
      <c r="M1219">
        <v>161</v>
      </c>
      <c r="N1219">
        <v>0.91608391608391604</v>
      </c>
      <c r="O1219">
        <v>9502882.5</v>
      </c>
      <c r="P1219">
        <v>58160</v>
      </c>
      <c r="Q1219">
        <v>2</v>
      </c>
      <c r="R1219">
        <v>162</v>
      </c>
      <c r="S1219" t="s">
        <v>938</v>
      </c>
      <c r="W1219">
        <f>Cancer_doubles_final2[[#This Row],[mlp_params]]</f>
        <v>57479</v>
      </c>
      <c r="X1219">
        <f>Cancer_doubles_final2[[#This Row],[kan_test_acc]]</f>
        <v>0.9577505812048912</v>
      </c>
      <c r="Y1219">
        <f>Cancer_doubles_final2[[#This Row],[mlp_test_acc]]</f>
        <v>0.91462703962703962</v>
      </c>
      <c r="Z1219">
        <f>Cancer_doubles_final2[[#This Row],[mlp_test_acc2]]</f>
        <v>0.91608391608391604</v>
      </c>
    </row>
    <row r="1220" spans="1:26" hidden="1" x14ac:dyDescent="0.25">
      <c r="A1220" t="s">
        <v>19</v>
      </c>
      <c r="B1220">
        <v>5</v>
      </c>
      <c r="C1220">
        <v>4</v>
      </c>
      <c r="D1220">
        <v>0</v>
      </c>
      <c r="E1220" t="s">
        <v>408</v>
      </c>
      <c r="F1220">
        <v>33162</v>
      </c>
      <c r="G1220">
        <v>39928622.19444444</v>
      </c>
      <c r="H1220">
        <v>0.94191919267177582</v>
      </c>
      <c r="I1220">
        <v>0.94347319347319347</v>
      </c>
      <c r="J1220">
        <v>10031152.805555556</v>
      </c>
      <c r="K1220">
        <v>57479</v>
      </c>
      <c r="L1220">
        <v>2</v>
      </c>
      <c r="M1220">
        <v>161</v>
      </c>
      <c r="N1220">
        <v>0.94696969696969702</v>
      </c>
      <c r="O1220">
        <v>10008720.13888889</v>
      </c>
      <c r="P1220">
        <v>58160</v>
      </c>
      <c r="Q1220">
        <v>2</v>
      </c>
      <c r="R1220">
        <v>162</v>
      </c>
      <c r="S1220" t="s">
        <v>939</v>
      </c>
      <c r="W1220">
        <f>Cancer_doubles_final2[[#This Row],[mlp_params]]</f>
        <v>57479</v>
      </c>
      <c r="X1220">
        <f>Cancer_doubles_final2[[#This Row],[kan_test_acc]]</f>
        <v>0.94191919267177582</v>
      </c>
      <c r="Y1220">
        <f>Cancer_doubles_final2[[#This Row],[mlp_test_acc]]</f>
        <v>0.94347319347319347</v>
      </c>
      <c r="Z1220">
        <f>Cancer_doubles_final2[[#This Row],[mlp_test_acc2]]</f>
        <v>0.94696969696969702</v>
      </c>
    </row>
    <row r="1221" spans="1:26" hidden="1" x14ac:dyDescent="0.25">
      <c r="A1221" t="s">
        <v>19</v>
      </c>
      <c r="B1221">
        <v>9</v>
      </c>
      <c r="C1221">
        <v>2</v>
      </c>
      <c r="D1221">
        <v>0</v>
      </c>
      <c r="E1221" t="s">
        <v>264</v>
      </c>
      <c r="F1221">
        <v>33280</v>
      </c>
      <c r="G1221">
        <v>37382662.770833328</v>
      </c>
      <c r="H1221">
        <v>0.93589743599295616</v>
      </c>
      <c r="I1221">
        <v>0.93618881118881125</v>
      </c>
      <c r="J1221">
        <v>10606466.0625</v>
      </c>
      <c r="K1221">
        <v>44699</v>
      </c>
      <c r="L1221">
        <v>2</v>
      </c>
      <c r="M1221">
        <v>141</v>
      </c>
      <c r="N1221">
        <v>0.93881118881118875</v>
      </c>
      <c r="O1221">
        <v>9758608.979166666</v>
      </c>
      <c r="P1221">
        <v>45300</v>
      </c>
      <c r="Q1221">
        <v>2</v>
      </c>
      <c r="R1221">
        <v>142</v>
      </c>
      <c r="S1221" t="s">
        <v>940</v>
      </c>
      <c r="W1221">
        <f>Cancer_doubles_final2[[#This Row],[mlp_params]]</f>
        <v>44699</v>
      </c>
      <c r="X1221">
        <f>Cancer_doubles_final2[[#This Row],[kan_test_acc]]</f>
        <v>0.93589743599295616</v>
      </c>
      <c r="Y1221">
        <f>Cancer_doubles_final2[[#This Row],[mlp_test_acc]]</f>
        <v>0.93618881118881125</v>
      </c>
      <c r="Z1221">
        <f>Cancer_doubles_final2[[#This Row],[mlp_test_acc2]]</f>
        <v>0.93881118881118875</v>
      </c>
    </row>
    <row r="1222" spans="1:26" hidden="1" x14ac:dyDescent="0.25">
      <c r="A1222" t="s">
        <v>19</v>
      </c>
      <c r="B1222">
        <v>9</v>
      </c>
      <c r="C1222">
        <v>2</v>
      </c>
      <c r="D1222">
        <v>0</v>
      </c>
      <c r="E1222" t="s">
        <v>266</v>
      </c>
      <c r="F1222">
        <v>33286</v>
      </c>
      <c r="G1222">
        <v>28024099.527777776</v>
      </c>
      <c r="H1222">
        <v>0.92346542908085716</v>
      </c>
      <c r="I1222">
        <v>0.91239316239316237</v>
      </c>
      <c r="J1222">
        <v>9139444.694444444</v>
      </c>
      <c r="K1222">
        <v>44699</v>
      </c>
      <c r="L1222">
        <v>2</v>
      </c>
      <c r="M1222">
        <v>141</v>
      </c>
      <c r="N1222">
        <v>0.9106449106449106</v>
      </c>
      <c r="O1222">
        <v>9848990</v>
      </c>
      <c r="P1222">
        <v>45300</v>
      </c>
      <c r="Q1222">
        <v>2</v>
      </c>
      <c r="R1222">
        <v>142</v>
      </c>
      <c r="S1222" t="s">
        <v>941</v>
      </c>
      <c r="W1222">
        <f>Cancer_doubles_final2[[#This Row],[mlp_params]]</f>
        <v>44699</v>
      </c>
      <c r="X1222">
        <f>Cancer_doubles_final2[[#This Row],[kan_test_acc]]</f>
        <v>0.92346542908085716</v>
      </c>
      <c r="Y1222">
        <f>Cancer_doubles_final2[[#This Row],[mlp_test_acc]]</f>
        <v>0.91239316239316237</v>
      </c>
      <c r="Z1222">
        <f>Cancer_doubles_final2[[#This Row],[mlp_test_acc2]]</f>
        <v>0.9106449106449106</v>
      </c>
    </row>
    <row r="1223" spans="1:26" hidden="1" x14ac:dyDescent="0.25">
      <c r="A1223" t="s">
        <v>19</v>
      </c>
      <c r="B1223">
        <v>9</v>
      </c>
      <c r="C1223">
        <v>3</v>
      </c>
      <c r="D1223">
        <v>0</v>
      </c>
      <c r="E1223" t="s">
        <v>225</v>
      </c>
      <c r="F1223">
        <v>33368</v>
      </c>
      <c r="G1223">
        <v>34723756.583333328</v>
      </c>
      <c r="H1223">
        <v>0.93104118439886296</v>
      </c>
      <c r="I1223">
        <v>0.93123543123543118</v>
      </c>
      <c r="J1223">
        <v>9051530.6388888881</v>
      </c>
      <c r="K1223">
        <v>48365</v>
      </c>
      <c r="L1223">
        <v>2</v>
      </c>
      <c r="M1223">
        <v>147</v>
      </c>
      <c r="N1223">
        <v>0.92851592851592846</v>
      </c>
      <c r="O1223">
        <v>10528310.166666666</v>
      </c>
      <c r="P1223">
        <v>48990</v>
      </c>
      <c r="Q1223">
        <v>2</v>
      </c>
      <c r="R1223">
        <v>148</v>
      </c>
      <c r="S1223" t="s">
        <v>942</v>
      </c>
      <c r="W1223">
        <f>Cancer_doubles_final2[[#This Row],[mlp_params]]</f>
        <v>48365</v>
      </c>
      <c r="X1223">
        <f>Cancer_doubles_final2[[#This Row],[kan_test_acc]]</f>
        <v>0.93104118439886296</v>
      </c>
      <c r="Y1223">
        <f>Cancer_doubles_final2[[#This Row],[mlp_test_acc]]</f>
        <v>0.93123543123543118</v>
      </c>
      <c r="Z1223">
        <f>Cancer_doubles_final2[[#This Row],[mlp_test_acc2]]</f>
        <v>0.92851592851592846</v>
      </c>
    </row>
    <row r="1224" spans="1:26" hidden="1" x14ac:dyDescent="0.25">
      <c r="A1224" t="s">
        <v>19</v>
      </c>
      <c r="B1224">
        <v>5</v>
      </c>
      <c r="C1224">
        <v>5</v>
      </c>
      <c r="D1224">
        <v>0</v>
      </c>
      <c r="E1224" t="s">
        <v>333</v>
      </c>
      <c r="F1224">
        <v>33416</v>
      </c>
      <c r="G1224">
        <v>44539396.333333328</v>
      </c>
      <c r="H1224">
        <v>0.92919580638408661</v>
      </c>
      <c r="I1224">
        <v>0.94813519813519809</v>
      </c>
      <c r="J1224">
        <v>10201653.625</v>
      </c>
      <c r="K1224">
        <v>60924</v>
      </c>
      <c r="L1224">
        <v>2</v>
      </c>
      <c r="M1224">
        <v>166</v>
      </c>
      <c r="N1224">
        <v>0.94784382284382285</v>
      </c>
      <c r="O1224">
        <v>9441524.25</v>
      </c>
      <c r="P1224">
        <v>61625</v>
      </c>
      <c r="Q1224">
        <v>2</v>
      </c>
      <c r="R1224">
        <v>167</v>
      </c>
      <c r="S1224" t="s">
        <v>943</v>
      </c>
      <c r="W1224">
        <f>Cancer_doubles_final2[[#This Row],[mlp_params]]</f>
        <v>60924</v>
      </c>
      <c r="X1224">
        <f>Cancer_doubles_final2[[#This Row],[kan_test_acc]]</f>
        <v>0.92919580638408661</v>
      </c>
      <c r="Y1224">
        <f>Cancer_doubles_final2[[#This Row],[mlp_test_acc]]</f>
        <v>0.94813519813519809</v>
      </c>
      <c r="Z1224">
        <f>Cancer_doubles_final2[[#This Row],[mlp_test_acc2]]</f>
        <v>0.94784382284382285</v>
      </c>
    </row>
    <row r="1225" spans="1:26" x14ac:dyDescent="0.25">
      <c r="A1225" t="s">
        <v>19</v>
      </c>
      <c r="B1225">
        <v>3</v>
      </c>
      <c r="C1225">
        <v>5</v>
      </c>
      <c r="D1225">
        <v>0</v>
      </c>
      <c r="E1225" t="s">
        <v>520</v>
      </c>
      <c r="F1225">
        <v>33488</v>
      </c>
      <c r="G1225">
        <v>52250321.25</v>
      </c>
      <c r="H1225">
        <v>0.93356642789310884</v>
      </c>
      <c r="I1225">
        <v>0.93764568764568768</v>
      </c>
      <c r="J1225">
        <v>9680162.6111111119</v>
      </c>
      <c r="K1225">
        <v>66644</v>
      </c>
      <c r="L1225">
        <v>2</v>
      </c>
      <c r="M1225">
        <v>174</v>
      </c>
      <c r="N1225">
        <v>0.93706293706293708</v>
      </c>
      <c r="O1225">
        <v>8881612.3611111119</v>
      </c>
      <c r="P1225">
        <v>67377</v>
      </c>
      <c r="Q1225">
        <v>2</v>
      </c>
      <c r="R1225">
        <v>175</v>
      </c>
      <c r="S1225" t="s">
        <v>944</v>
      </c>
      <c r="W1225">
        <f>Cancer_doubles_final2[[#This Row],[mlp_params]]</f>
        <v>66644</v>
      </c>
      <c r="X1225">
        <f>Cancer_doubles_final2[[#This Row],[kan_test_acc]]</f>
        <v>0.93356642789310884</v>
      </c>
      <c r="Y1225">
        <f>Cancer_doubles_final2[[#This Row],[mlp_test_acc]]</f>
        <v>0.93764568764568768</v>
      </c>
      <c r="Z1225">
        <f>Cancer_doubles_final2[[#This Row],[mlp_test_acc2]]</f>
        <v>0.93706293706293708</v>
      </c>
    </row>
    <row r="1226" spans="1:26" hidden="1" x14ac:dyDescent="0.25">
      <c r="A1226" t="s">
        <v>19</v>
      </c>
      <c r="B1226">
        <v>5</v>
      </c>
      <c r="C1226">
        <v>3</v>
      </c>
      <c r="D1226">
        <v>0</v>
      </c>
      <c r="E1226" t="s">
        <v>520</v>
      </c>
      <c r="F1226">
        <v>33488</v>
      </c>
      <c r="G1226">
        <v>53399997.833333328</v>
      </c>
      <c r="H1226">
        <v>0.97319346914688742</v>
      </c>
      <c r="I1226">
        <v>0.93764568764568768</v>
      </c>
      <c r="J1226">
        <v>10315478.333333332</v>
      </c>
      <c r="K1226">
        <v>54134</v>
      </c>
      <c r="L1226">
        <v>2</v>
      </c>
      <c r="M1226">
        <v>156</v>
      </c>
      <c r="N1226">
        <v>0.93444055944055948</v>
      </c>
      <c r="O1226">
        <v>10075809.125</v>
      </c>
      <c r="P1226">
        <v>54795</v>
      </c>
      <c r="Q1226">
        <v>2</v>
      </c>
      <c r="R1226">
        <v>157</v>
      </c>
      <c r="S1226" t="s">
        <v>945</v>
      </c>
      <c r="W1226">
        <f>Cancer_doubles_final2[[#This Row],[mlp_params]]</f>
        <v>54134</v>
      </c>
      <c r="X1226">
        <f>Cancer_doubles_final2[[#This Row],[kan_test_acc]]</f>
        <v>0.97319346914688742</v>
      </c>
      <c r="Y1226">
        <f>Cancer_doubles_final2[[#This Row],[mlp_test_acc]]</f>
        <v>0.93764568764568768</v>
      </c>
      <c r="Z1226">
        <f>Cancer_doubles_final2[[#This Row],[mlp_test_acc2]]</f>
        <v>0.93444055944055948</v>
      </c>
    </row>
    <row r="1227" spans="1:26" x14ac:dyDescent="0.25">
      <c r="A1227" t="s">
        <v>19</v>
      </c>
      <c r="B1227">
        <v>3</v>
      </c>
      <c r="C1227">
        <v>5</v>
      </c>
      <c r="D1227">
        <v>0</v>
      </c>
      <c r="E1227" t="s">
        <v>520</v>
      </c>
      <c r="F1227">
        <v>33488</v>
      </c>
      <c r="G1227">
        <v>56530127.625</v>
      </c>
      <c r="H1227">
        <v>0.95600232978661848</v>
      </c>
      <c r="I1227">
        <v>0.9391025641025641</v>
      </c>
      <c r="J1227">
        <v>10246826.208333332</v>
      </c>
      <c r="K1227">
        <v>66644</v>
      </c>
      <c r="L1227">
        <v>2</v>
      </c>
      <c r="M1227">
        <v>174</v>
      </c>
      <c r="N1227">
        <v>0.93764568764568768</v>
      </c>
      <c r="O1227">
        <v>10461844.541666666</v>
      </c>
      <c r="P1227">
        <v>67377</v>
      </c>
      <c r="Q1227">
        <v>2</v>
      </c>
      <c r="R1227">
        <v>175</v>
      </c>
      <c r="S1227" t="s">
        <v>944</v>
      </c>
      <c r="W1227">
        <f>Cancer_doubles_final2[[#This Row],[mlp_params]]</f>
        <v>66644</v>
      </c>
      <c r="X1227">
        <f>Cancer_doubles_final2[[#This Row],[kan_test_acc]]</f>
        <v>0.95600232978661848</v>
      </c>
      <c r="Y1227">
        <f>Cancer_doubles_final2[[#This Row],[mlp_test_acc]]</f>
        <v>0.9391025641025641</v>
      </c>
      <c r="Z1227">
        <f>Cancer_doubles_final2[[#This Row],[mlp_test_acc2]]</f>
        <v>0.93764568764568768</v>
      </c>
    </row>
    <row r="1228" spans="1:26" hidden="1" x14ac:dyDescent="0.25">
      <c r="A1228" t="s">
        <v>19</v>
      </c>
      <c r="B1228">
        <v>5</v>
      </c>
      <c r="C1228">
        <v>3</v>
      </c>
      <c r="D1228">
        <v>0</v>
      </c>
      <c r="E1228" t="s">
        <v>520</v>
      </c>
      <c r="F1228">
        <v>33488</v>
      </c>
      <c r="G1228">
        <v>53457317.791666672</v>
      </c>
      <c r="H1228">
        <v>0.94522144397099817</v>
      </c>
      <c r="I1228">
        <v>0.91491841491841497</v>
      </c>
      <c r="J1228">
        <v>8776052.5833333321</v>
      </c>
      <c r="K1228">
        <v>54134</v>
      </c>
      <c r="L1228">
        <v>2</v>
      </c>
      <c r="M1228">
        <v>156</v>
      </c>
      <c r="N1228">
        <v>0.92045454545454541</v>
      </c>
      <c r="O1228">
        <v>9653700.5416666679</v>
      </c>
      <c r="P1228">
        <v>54795</v>
      </c>
      <c r="Q1228">
        <v>2</v>
      </c>
      <c r="R1228">
        <v>157</v>
      </c>
      <c r="S1228" t="s">
        <v>945</v>
      </c>
      <c r="W1228">
        <f>Cancer_doubles_final2[[#This Row],[mlp_params]]</f>
        <v>54134</v>
      </c>
      <c r="X1228">
        <f>Cancer_doubles_final2[[#This Row],[kan_test_acc]]</f>
        <v>0.94522144397099817</v>
      </c>
      <c r="Y1228">
        <f>Cancer_doubles_final2[[#This Row],[mlp_test_acc]]</f>
        <v>0.91491841491841497</v>
      </c>
      <c r="Z1228">
        <f>Cancer_doubles_final2[[#This Row],[mlp_test_acc2]]</f>
        <v>0.92045454545454541</v>
      </c>
    </row>
    <row r="1229" spans="1:26" hidden="1" x14ac:dyDescent="0.25">
      <c r="A1229" t="s">
        <v>19</v>
      </c>
      <c r="B1229">
        <v>9</v>
      </c>
      <c r="C1229">
        <v>2</v>
      </c>
      <c r="D1229">
        <v>0</v>
      </c>
      <c r="E1229" t="s">
        <v>272</v>
      </c>
      <c r="F1229">
        <v>33506</v>
      </c>
      <c r="G1229">
        <v>32295861</v>
      </c>
      <c r="H1229">
        <v>0.93356643617153168</v>
      </c>
      <c r="I1229">
        <v>0.9009324009324009</v>
      </c>
      <c r="J1229">
        <v>8358523.708333334</v>
      </c>
      <c r="K1229">
        <v>45300</v>
      </c>
      <c r="L1229">
        <v>2</v>
      </c>
      <c r="M1229">
        <v>142</v>
      </c>
      <c r="N1229">
        <v>0.90588578088578087</v>
      </c>
      <c r="O1229">
        <v>8637280</v>
      </c>
      <c r="P1229">
        <v>45905</v>
      </c>
      <c r="Q1229">
        <v>2</v>
      </c>
      <c r="R1229">
        <v>143</v>
      </c>
      <c r="S1229" t="s">
        <v>946</v>
      </c>
      <c r="W1229">
        <f>Cancer_doubles_final2[[#This Row],[mlp_params]]</f>
        <v>45300</v>
      </c>
      <c r="X1229">
        <f>Cancer_doubles_final2[[#This Row],[kan_test_acc]]</f>
        <v>0.93356643617153168</v>
      </c>
      <c r="Y1229">
        <f>Cancer_doubles_final2[[#This Row],[mlp_test_acc]]</f>
        <v>0.9009324009324009</v>
      </c>
      <c r="Z1229">
        <f>Cancer_doubles_final2[[#This Row],[mlp_test_acc2]]</f>
        <v>0.90588578088578087</v>
      </c>
    </row>
    <row r="1230" spans="1:26" hidden="1" x14ac:dyDescent="0.25">
      <c r="A1230" t="s">
        <v>19</v>
      </c>
      <c r="B1230">
        <v>9</v>
      </c>
      <c r="C1230">
        <v>2</v>
      </c>
      <c r="D1230">
        <v>0</v>
      </c>
      <c r="E1230" t="s">
        <v>274</v>
      </c>
      <c r="F1230">
        <v>33508</v>
      </c>
      <c r="G1230">
        <v>27784423.333333332</v>
      </c>
      <c r="H1230">
        <v>0.92268842789861882</v>
      </c>
      <c r="I1230">
        <v>0.91025641025641024</v>
      </c>
      <c r="J1230">
        <v>8997200.1388888899</v>
      </c>
      <c r="K1230">
        <v>45300</v>
      </c>
      <c r="L1230">
        <v>2</v>
      </c>
      <c r="M1230">
        <v>142</v>
      </c>
      <c r="N1230">
        <v>0.9106449106449106</v>
      </c>
      <c r="O1230">
        <v>9228369.1388888899</v>
      </c>
      <c r="P1230">
        <v>45905</v>
      </c>
      <c r="Q1230">
        <v>2</v>
      </c>
      <c r="R1230">
        <v>143</v>
      </c>
      <c r="S1230" t="s">
        <v>947</v>
      </c>
      <c r="W1230">
        <f>Cancer_doubles_final2[[#This Row],[mlp_params]]</f>
        <v>45300</v>
      </c>
      <c r="X1230">
        <f>Cancer_doubles_final2[[#This Row],[kan_test_acc]]</f>
        <v>0.92268842789861882</v>
      </c>
      <c r="Y1230">
        <f>Cancer_doubles_final2[[#This Row],[mlp_test_acc]]</f>
        <v>0.91025641025641024</v>
      </c>
      <c r="Z1230">
        <f>Cancer_doubles_final2[[#This Row],[mlp_test_acc2]]</f>
        <v>0.9106449106449106</v>
      </c>
    </row>
    <row r="1231" spans="1:26" hidden="1" x14ac:dyDescent="0.25">
      <c r="A1231" t="s">
        <v>19</v>
      </c>
      <c r="B1231">
        <v>5</v>
      </c>
      <c r="C1231">
        <v>5</v>
      </c>
      <c r="D1231">
        <v>0</v>
      </c>
      <c r="E1231" t="s">
        <v>337</v>
      </c>
      <c r="F1231">
        <v>33616</v>
      </c>
      <c r="G1231">
        <v>36139182.305555552</v>
      </c>
      <c r="H1231">
        <v>0.91763791607485878</v>
      </c>
      <c r="I1231">
        <v>0.91161616161616155</v>
      </c>
      <c r="J1231">
        <v>8950475.444444444</v>
      </c>
      <c r="K1231">
        <v>61625</v>
      </c>
      <c r="L1231">
        <v>2</v>
      </c>
      <c r="M1231">
        <v>167</v>
      </c>
      <c r="N1231">
        <v>0.9106449106449106</v>
      </c>
      <c r="O1231">
        <v>9250934.083333334</v>
      </c>
      <c r="P1231">
        <v>62330</v>
      </c>
      <c r="Q1231">
        <v>2</v>
      </c>
      <c r="R1231">
        <v>168</v>
      </c>
      <c r="S1231" t="s">
        <v>948</v>
      </c>
      <c r="W1231">
        <f>Cancer_doubles_final2[[#This Row],[mlp_params]]</f>
        <v>61625</v>
      </c>
      <c r="X1231">
        <f>Cancer_doubles_final2[[#This Row],[kan_test_acc]]</f>
        <v>0.91763791607485878</v>
      </c>
      <c r="Y1231">
        <f>Cancer_doubles_final2[[#This Row],[mlp_test_acc]]</f>
        <v>0.91161616161616155</v>
      </c>
      <c r="Z1231">
        <f>Cancer_doubles_final2[[#This Row],[mlp_test_acc2]]</f>
        <v>0.9106449106449106</v>
      </c>
    </row>
    <row r="1232" spans="1:26" hidden="1" x14ac:dyDescent="0.25">
      <c r="A1232" t="s">
        <v>19</v>
      </c>
      <c r="B1232">
        <v>5</v>
      </c>
      <c r="C1232">
        <v>4</v>
      </c>
      <c r="D1232">
        <v>0</v>
      </c>
      <c r="E1232" t="s">
        <v>417</v>
      </c>
      <c r="F1232">
        <v>33640</v>
      </c>
      <c r="G1232">
        <v>47452642.333333336</v>
      </c>
      <c r="H1232">
        <v>0.8960761494106716</v>
      </c>
      <c r="I1232">
        <v>0.92521367521367526</v>
      </c>
      <c r="J1232">
        <v>10636286.222222222</v>
      </c>
      <c r="K1232">
        <v>58160</v>
      </c>
      <c r="L1232">
        <v>2</v>
      </c>
      <c r="M1232">
        <v>162</v>
      </c>
      <c r="N1232">
        <v>0.92676767676767668</v>
      </c>
      <c r="O1232">
        <v>10643266.5</v>
      </c>
      <c r="P1232">
        <v>58845</v>
      </c>
      <c r="Q1232">
        <v>2</v>
      </c>
      <c r="R1232">
        <v>163</v>
      </c>
      <c r="S1232" t="s">
        <v>949</v>
      </c>
      <c r="W1232">
        <f>Cancer_doubles_final2[[#This Row],[mlp_params]]</f>
        <v>58160</v>
      </c>
      <c r="X1232">
        <f>Cancer_doubles_final2[[#This Row],[kan_test_acc]]</f>
        <v>0.8960761494106716</v>
      </c>
      <c r="Y1232">
        <f>Cancer_doubles_final2[[#This Row],[mlp_test_acc]]</f>
        <v>0.92521367521367526</v>
      </c>
      <c r="Z1232">
        <f>Cancer_doubles_final2[[#This Row],[mlp_test_acc2]]</f>
        <v>0.92676767676767668</v>
      </c>
    </row>
    <row r="1233" spans="1:26" hidden="1" x14ac:dyDescent="0.25">
      <c r="A1233" t="s">
        <v>19</v>
      </c>
      <c r="B1233">
        <v>9</v>
      </c>
      <c r="C1233">
        <v>4</v>
      </c>
      <c r="D1233">
        <v>0</v>
      </c>
      <c r="E1233" t="s">
        <v>198</v>
      </c>
      <c r="F1233">
        <v>33666</v>
      </c>
      <c r="G1233">
        <v>44606767.1875</v>
      </c>
      <c r="H1233">
        <v>0.93298367783427238</v>
      </c>
      <c r="I1233">
        <v>0.94216200466200473</v>
      </c>
      <c r="J1233">
        <v>11090589.854166666</v>
      </c>
      <c r="K1233">
        <v>52175</v>
      </c>
      <c r="L1233">
        <v>2</v>
      </c>
      <c r="M1233">
        <v>153</v>
      </c>
      <c r="N1233">
        <v>0.94667832167832167</v>
      </c>
      <c r="O1233">
        <v>10987616.375</v>
      </c>
      <c r="P1233">
        <v>52824</v>
      </c>
      <c r="Q1233">
        <v>2</v>
      </c>
      <c r="R1233">
        <v>154</v>
      </c>
      <c r="S1233" t="s">
        <v>950</v>
      </c>
      <c r="W1233">
        <f>Cancer_doubles_final2[[#This Row],[mlp_params]]</f>
        <v>52175</v>
      </c>
      <c r="X1233">
        <f>Cancer_doubles_final2[[#This Row],[kan_test_acc]]</f>
        <v>0.93298367783427238</v>
      </c>
      <c r="Y1233">
        <f>Cancer_doubles_final2[[#This Row],[mlp_test_acc]]</f>
        <v>0.94216200466200473</v>
      </c>
      <c r="Z1233">
        <f>Cancer_doubles_final2[[#This Row],[mlp_test_acc2]]</f>
        <v>0.94667832167832167</v>
      </c>
    </row>
    <row r="1234" spans="1:26" hidden="1" x14ac:dyDescent="0.25">
      <c r="A1234" t="s">
        <v>19</v>
      </c>
      <c r="B1234">
        <v>3</v>
      </c>
      <c r="C1234">
        <v>4</v>
      </c>
      <c r="D1234">
        <v>0</v>
      </c>
      <c r="E1234" t="s">
        <v>656</v>
      </c>
      <c r="F1234">
        <v>33698</v>
      </c>
      <c r="G1234">
        <v>46954382.333333336</v>
      </c>
      <c r="H1234">
        <v>0.94405593723058701</v>
      </c>
      <c r="I1234">
        <v>0.94988344988344986</v>
      </c>
      <c r="J1234">
        <v>11761302.583333332</v>
      </c>
      <c r="K1234">
        <v>63752</v>
      </c>
      <c r="L1234">
        <v>2</v>
      </c>
      <c r="M1234">
        <v>170</v>
      </c>
      <c r="N1234">
        <v>0.94930069930069927</v>
      </c>
      <c r="O1234">
        <v>11445156.541666666</v>
      </c>
      <c r="P1234">
        <v>64469</v>
      </c>
      <c r="Q1234">
        <v>2</v>
      </c>
      <c r="R1234">
        <v>171</v>
      </c>
      <c r="S1234" t="s">
        <v>951</v>
      </c>
      <c r="W1234">
        <f>Cancer_doubles_final2[[#This Row],[mlp_params]]</f>
        <v>63752</v>
      </c>
      <c r="X1234">
        <f>Cancer_doubles_final2[[#This Row],[kan_test_acc]]</f>
        <v>0.94405593723058701</v>
      </c>
      <c r="Y1234">
        <f>Cancer_doubles_final2[[#This Row],[mlp_test_acc]]</f>
        <v>0.94988344988344986</v>
      </c>
      <c r="Z1234">
        <f>Cancer_doubles_final2[[#This Row],[mlp_test_acc2]]</f>
        <v>0.94930069930069927</v>
      </c>
    </row>
    <row r="1235" spans="1:26" hidden="1" x14ac:dyDescent="0.25">
      <c r="A1235" t="s">
        <v>19</v>
      </c>
      <c r="B1235">
        <v>5</v>
      </c>
      <c r="C1235">
        <v>2</v>
      </c>
      <c r="D1235">
        <v>0</v>
      </c>
      <c r="E1235" t="s">
        <v>656</v>
      </c>
      <c r="F1235">
        <v>33698</v>
      </c>
      <c r="G1235">
        <v>45411280.666666672</v>
      </c>
      <c r="H1235">
        <v>0.97523309538761782</v>
      </c>
      <c r="I1235">
        <v>0.94522144522144513</v>
      </c>
      <c r="J1235">
        <v>9349283.5833333321</v>
      </c>
      <c r="K1235">
        <v>50252</v>
      </c>
      <c r="L1235">
        <v>2</v>
      </c>
      <c r="M1235">
        <v>150</v>
      </c>
      <c r="N1235">
        <v>0.94055944055944052</v>
      </c>
      <c r="O1235">
        <v>9880549.416666666</v>
      </c>
      <c r="P1235">
        <v>50889</v>
      </c>
      <c r="Q1235">
        <v>2</v>
      </c>
      <c r="R1235">
        <v>151</v>
      </c>
      <c r="S1235" t="s">
        <v>952</v>
      </c>
      <c r="W1235">
        <f>Cancer_doubles_final2[[#This Row],[mlp_params]]</f>
        <v>50252</v>
      </c>
      <c r="X1235">
        <f>Cancer_doubles_final2[[#This Row],[kan_test_acc]]</f>
        <v>0.97523309538761782</v>
      </c>
      <c r="Y1235">
        <f>Cancer_doubles_final2[[#This Row],[mlp_test_acc]]</f>
        <v>0.94522144522144513</v>
      </c>
      <c r="Z1235">
        <f>Cancer_doubles_final2[[#This Row],[mlp_test_acc2]]</f>
        <v>0.94055944055944052</v>
      </c>
    </row>
    <row r="1236" spans="1:26" hidden="1" x14ac:dyDescent="0.25">
      <c r="A1236" t="s">
        <v>19</v>
      </c>
      <c r="B1236">
        <v>3</v>
      </c>
      <c r="C1236">
        <v>4</v>
      </c>
      <c r="D1236">
        <v>0</v>
      </c>
      <c r="E1236" t="s">
        <v>656</v>
      </c>
      <c r="F1236">
        <v>33698</v>
      </c>
      <c r="G1236">
        <v>45547451.625</v>
      </c>
      <c r="H1236">
        <v>0.97552447021007538</v>
      </c>
      <c r="I1236">
        <v>0.93036130536130535</v>
      </c>
      <c r="J1236">
        <v>9340140.5</v>
      </c>
      <c r="K1236">
        <v>63752</v>
      </c>
      <c r="L1236">
        <v>2</v>
      </c>
      <c r="M1236">
        <v>170</v>
      </c>
      <c r="N1236">
        <v>0.9274475524475525</v>
      </c>
      <c r="O1236">
        <v>8728671.9583333321</v>
      </c>
      <c r="P1236">
        <v>64469</v>
      </c>
      <c r="Q1236">
        <v>2</v>
      </c>
      <c r="R1236">
        <v>171</v>
      </c>
      <c r="S1236" t="s">
        <v>951</v>
      </c>
      <c r="W1236">
        <f>Cancer_doubles_final2[[#This Row],[mlp_params]]</f>
        <v>63752</v>
      </c>
      <c r="X1236">
        <f>Cancer_doubles_final2[[#This Row],[kan_test_acc]]</f>
        <v>0.97552447021007538</v>
      </c>
      <c r="Y1236">
        <f>Cancer_doubles_final2[[#This Row],[mlp_test_acc]]</f>
        <v>0.93036130536130535</v>
      </c>
      <c r="Z1236">
        <f>Cancer_doubles_final2[[#This Row],[mlp_test_acc2]]</f>
        <v>0.9274475524475525</v>
      </c>
    </row>
    <row r="1237" spans="1:26" hidden="1" x14ac:dyDescent="0.25">
      <c r="A1237" t="s">
        <v>19</v>
      </c>
      <c r="B1237">
        <v>5</v>
      </c>
      <c r="C1237">
        <v>2</v>
      </c>
      <c r="D1237">
        <v>0</v>
      </c>
      <c r="E1237" t="s">
        <v>656</v>
      </c>
      <c r="F1237">
        <v>33698</v>
      </c>
      <c r="G1237">
        <v>37539582.666666664</v>
      </c>
      <c r="H1237">
        <v>0.95396269609530759</v>
      </c>
      <c r="I1237">
        <v>0.91025641025641024</v>
      </c>
      <c r="J1237">
        <v>9428879.625</v>
      </c>
      <c r="K1237">
        <v>50252</v>
      </c>
      <c r="L1237">
        <v>2</v>
      </c>
      <c r="M1237">
        <v>150</v>
      </c>
      <c r="N1237">
        <v>0.90734265734265729</v>
      </c>
      <c r="O1237">
        <v>8286769.5</v>
      </c>
      <c r="P1237">
        <v>50889</v>
      </c>
      <c r="Q1237">
        <v>2</v>
      </c>
      <c r="R1237">
        <v>151</v>
      </c>
      <c r="S1237" t="s">
        <v>952</v>
      </c>
      <c r="W1237">
        <f>Cancer_doubles_final2[[#This Row],[mlp_params]]</f>
        <v>50252</v>
      </c>
      <c r="X1237">
        <f>Cancer_doubles_final2[[#This Row],[kan_test_acc]]</f>
        <v>0.95396269609530759</v>
      </c>
      <c r="Y1237">
        <f>Cancer_doubles_final2[[#This Row],[mlp_test_acc]]</f>
        <v>0.91025641025641024</v>
      </c>
      <c r="Z1237">
        <f>Cancer_doubles_final2[[#This Row],[mlp_test_acc2]]</f>
        <v>0.90734265734265729</v>
      </c>
    </row>
    <row r="1238" spans="1:26" x14ac:dyDescent="0.25">
      <c r="A1238" t="s">
        <v>19</v>
      </c>
      <c r="B1238">
        <v>3</v>
      </c>
      <c r="C1238">
        <v>5</v>
      </c>
      <c r="D1238">
        <v>0</v>
      </c>
      <c r="E1238" t="s">
        <v>526</v>
      </c>
      <c r="F1238">
        <v>33706</v>
      </c>
      <c r="G1238">
        <v>41989677.666666672</v>
      </c>
      <c r="H1238">
        <v>0.94842656205097831</v>
      </c>
      <c r="I1238">
        <v>0.91812354312354305</v>
      </c>
      <c r="J1238">
        <v>9957663.458333334</v>
      </c>
      <c r="K1238">
        <v>66644</v>
      </c>
      <c r="L1238">
        <v>2</v>
      </c>
      <c r="M1238">
        <v>174</v>
      </c>
      <c r="N1238">
        <v>0.91695804195804198</v>
      </c>
      <c r="O1238">
        <v>9465073.5416666679</v>
      </c>
      <c r="P1238">
        <v>67377</v>
      </c>
      <c r="Q1238">
        <v>2</v>
      </c>
      <c r="R1238">
        <v>175</v>
      </c>
      <c r="S1238" t="s">
        <v>953</v>
      </c>
      <c r="W1238">
        <f>Cancer_doubles_final2[[#This Row],[mlp_params]]</f>
        <v>66644</v>
      </c>
      <c r="X1238">
        <f>Cancer_doubles_final2[[#This Row],[kan_test_acc]]</f>
        <v>0.94842656205097831</v>
      </c>
      <c r="Y1238">
        <f>Cancer_doubles_final2[[#This Row],[mlp_test_acc]]</f>
        <v>0.91812354312354305</v>
      </c>
      <c r="Z1238">
        <f>Cancer_doubles_final2[[#This Row],[mlp_test_acc2]]</f>
        <v>0.91695804195804198</v>
      </c>
    </row>
    <row r="1239" spans="1:26" hidden="1" x14ac:dyDescent="0.25">
      <c r="A1239" t="s">
        <v>19</v>
      </c>
      <c r="B1239">
        <v>5</v>
      </c>
      <c r="C1239">
        <v>3</v>
      </c>
      <c r="D1239">
        <v>0</v>
      </c>
      <c r="E1239" t="s">
        <v>526</v>
      </c>
      <c r="F1239">
        <v>33706</v>
      </c>
      <c r="G1239">
        <v>49377225.708333328</v>
      </c>
      <c r="H1239">
        <v>0.96678320566813147</v>
      </c>
      <c r="I1239">
        <v>0.93939393939393945</v>
      </c>
      <c r="J1239">
        <v>10059847.125</v>
      </c>
      <c r="K1239">
        <v>54795</v>
      </c>
      <c r="L1239">
        <v>2</v>
      </c>
      <c r="M1239">
        <v>157</v>
      </c>
      <c r="N1239">
        <v>0.93939393939393945</v>
      </c>
      <c r="O1239">
        <v>9974374.791666666</v>
      </c>
      <c r="P1239">
        <v>55460</v>
      </c>
      <c r="Q1239">
        <v>2</v>
      </c>
      <c r="R1239">
        <v>158</v>
      </c>
      <c r="S1239" t="s">
        <v>954</v>
      </c>
      <c r="W1239">
        <f>Cancer_doubles_final2[[#This Row],[mlp_params]]</f>
        <v>54795</v>
      </c>
      <c r="X1239">
        <f>Cancer_doubles_final2[[#This Row],[kan_test_acc]]</f>
        <v>0.96678320566813147</v>
      </c>
      <c r="Y1239">
        <f>Cancer_doubles_final2[[#This Row],[mlp_test_acc]]</f>
        <v>0.93939393939393945</v>
      </c>
      <c r="Z1239">
        <f>Cancer_doubles_final2[[#This Row],[mlp_test_acc2]]</f>
        <v>0.93939393939393945</v>
      </c>
    </row>
    <row r="1240" spans="1:26" x14ac:dyDescent="0.25">
      <c r="A1240" t="s">
        <v>19</v>
      </c>
      <c r="B1240">
        <v>3</v>
      </c>
      <c r="C1240">
        <v>5</v>
      </c>
      <c r="D1240">
        <v>0</v>
      </c>
      <c r="E1240" t="s">
        <v>526</v>
      </c>
      <c r="F1240">
        <v>33706</v>
      </c>
      <c r="G1240">
        <v>55777441.583333336</v>
      </c>
      <c r="H1240">
        <v>0.96328671028216672</v>
      </c>
      <c r="I1240">
        <v>0.9396853146853148</v>
      </c>
      <c r="J1240">
        <v>10468452.5</v>
      </c>
      <c r="K1240">
        <v>66644</v>
      </c>
      <c r="L1240">
        <v>2</v>
      </c>
      <c r="M1240">
        <v>174</v>
      </c>
      <c r="N1240">
        <v>0.94085081585081587</v>
      </c>
      <c r="O1240">
        <v>10581725.583333332</v>
      </c>
      <c r="P1240">
        <v>67377</v>
      </c>
      <c r="Q1240">
        <v>2</v>
      </c>
      <c r="R1240">
        <v>175</v>
      </c>
      <c r="S1240" t="s">
        <v>953</v>
      </c>
      <c r="W1240">
        <f>Cancer_doubles_final2[[#This Row],[mlp_params]]</f>
        <v>66644</v>
      </c>
      <c r="X1240">
        <f>Cancer_doubles_final2[[#This Row],[kan_test_acc]]</f>
        <v>0.96328671028216672</v>
      </c>
      <c r="Y1240">
        <f>Cancer_doubles_final2[[#This Row],[mlp_test_acc]]</f>
        <v>0.9396853146853148</v>
      </c>
      <c r="Z1240">
        <f>Cancer_doubles_final2[[#This Row],[mlp_test_acc2]]</f>
        <v>0.94085081585081587</v>
      </c>
    </row>
    <row r="1241" spans="1:26" hidden="1" x14ac:dyDescent="0.25">
      <c r="A1241" t="s">
        <v>19</v>
      </c>
      <c r="B1241">
        <v>5</v>
      </c>
      <c r="C1241">
        <v>3</v>
      </c>
      <c r="D1241">
        <v>0</v>
      </c>
      <c r="E1241" t="s">
        <v>526</v>
      </c>
      <c r="F1241">
        <v>33706</v>
      </c>
      <c r="G1241">
        <v>55286329.333333343</v>
      </c>
      <c r="H1241">
        <v>0.95425408085187269</v>
      </c>
      <c r="I1241">
        <v>0.92132867132867136</v>
      </c>
      <c r="J1241">
        <v>10001352.5</v>
      </c>
      <c r="K1241">
        <v>54795</v>
      </c>
      <c r="L1241">
        <v>2</v>
      </c>
      <c r="M1241">
        <v>157</v>
      </c>
      <c r="N1241">
        <v>0.92074592074592077</v>
      </c>
      <c r="O1241">
        <v>10573775.708333332</v>
      </c>
      <c r="P1241">
        <v>55460</v>
      </c>
      <c r="Q1241">
        <v>2</v>
      </c>
      <c r="R1241">
        <v>158</v>
      </c>
      <c r="S1241" t="s">
        <v>954</v>
      </c>
      <c r="W1241">
        <f>Cancer_doubles_final2[[#This Row],[mlp_params]]</f>
        <v>54795</v>
      </c>
      <c r="X1241">
        <f>Cancer_doubles_final2[[#This Row],[kan_test_acc]]</f>
        <v>0.95425408085187269</v>
      </c>
      <c r="Y1241">
        <f>Cancer_doubles_final2[[#This Row],[mlp_test_acc]]</f>
        <v>0.92132867132867136</v>
      </c>
      <c r="Z1241">
        <f>Cancer_doubles_final2[[#This Row],[mlp_test_acc2]]</f>
        <v>0.92074592074592077</v>
      </c>
    </row>
    <row r="1242" spans="1:26" hidden="1" x14ac:dyDescent="0.25">
      <c r="A1242" t="s">
        <v>19</v>
      </c>
      <c r="B1242">
        <v>9</v>
      </c>
      <c r="C1242">
        <v>5</v>
      </c>
      <c r="D1242">
        <v>0</v>
      </c>
      <c r="E1242" t="s">
        <v>173</v>
      </c>
      <c r="F1242">
        <v>33724</v>
      </c>
      <c r="G1242">
        <v>46976842.458333328</v>
      </c>
      <c r="H1242">
        <v>0.89656177163124084</v>
      </c>
      <c r="I1242">
        <v>0.92657342657342656</v>
      </c>
      <c r="J1242">
        <v>11628701.375</v>
      </c>
      <c r="K1242">
        <v>55460</v>
      </c>
      <c r="L1242">
        <v>2</v>
      </c>
      <c r="M1242">
        <v>158</v>
      </c>
      <c r="N1242">
        <v>0.92045454545454541</v>
      </c>
      <c r="O1242">
        <v>12258561.166666666</v>
      </c>
      <c r="P1242">
        <v>56129</v>
      </c>
      <c r="Q1242">
        <v>2</v>
      </c>
      <c r="R1242">
        <v>159</v>
      </c>
      <c r="S1242" t="s">
        <v>955</v>
      </c>
      <c r="W1242">
        <f>Cancer_doubles_final2[[#This Row],[mlp_params]]</f>
        <v>55460</v>
      </c>
      <c r="X1242">
        <f>Cancer_doubles_final2[[#This Row],[kan_test_acc]]</f>
        <v>0.89656177163124084</v>
      </c>
      <c r="Y1242">
        <f>Cancer_doubles_final2[[#This Row],[mlp_test_acc]]</f>
        <v>0.92657342657342656</v>
      </c>
      <c r="Z1242">
        <f>Cancer_doubles_final2[[#This Row],[mlp_test_acc2]]</f>
        <v>0.92045454545454541</v>
      </c>
    </row>
    <row r="1243" spans="1:26" hidden="1" x14ac:dyDescent="0.25">
      <c r="A1243" t="s">
        <v>19</v>
      </c>
      <c r="B1243">
        <v>9</v>
      </c>
      <c r="C1243">
        <v>3</v>
      </c>
      <c r="D1243">
        <v>0</v>
      </c>
      <c r="E1243" t="s">
        <v>233</v>
      </c>
      <c r="F1243">
        <v>33730</v>
      </c>
      <c r="G1243">
        <v>41487667.833333328</v>
      </c>
      <c r="H1243">
        <v>0.89627039680878329</v>
      </c>
      <c r="I1243">
        <v>0.96095571095571097</v>
      </c>
      <c r="J1243">
        <v>11345227.75</v>
      </c>
      <c r="K1243">
        <v>48990</v>
      </c>
      <c r="L1243">
        <v>2</v>
      </c>
      <c r="M1243">
        <v>148</v>
      </c>
      <c r="N1243">
        <v>0.95425407925407923</v>
      </c>
      <c r="O1243">
        <v>12049889.583333332</v>
      </c>
      <c r="P1243">
        <v>49619</v>
      </c>
      <c r="Q1243">
        <v>2</v>
      </c>
      <c r="R1243">
        <v>149</v>
      </c>
      <c r="S1243" t="s">
        <v>956</v>
      </c>
      <c r="W1243">
        <f>Cancer_doubles_final2[[#This Row],[mlp_params]]</f>
        <v>48990</v>
      </c>
      <c r="X1243">
        <f>Cancer_doubles_final2[[#This Row],[kan_test_acc]]</f>
        <v>0.89627039680878329</v>
      </c>
      <c r="Y1243">
        <f>Cancer_doubles_final2[[#This Row],[mlp_test_acc]]</f>
        <v>0.96095571095571097</v>
      </c>
      <c r="Z1243">
        <f>Cancer_doubles_final2[[#This Row],[mlp_test_acc2]]</f>
        <v>0.95425407925407923</v>
      </c>
    </row>
    <row r="1244" spans="1:26" hidden="1" x14ac:dyDescent="0.25">
      <c r="A1244" t="s">
        <v>19</v>
      </c>
      <c r="B1244">
        <v>9</v>
      </c>
      <c r="C1244">
        <v>3</v>
      </c>
      <c r="D1244">
        <v>0</v>
      </c>
      <c r="E1244" t="s">
        <v>235</v>
      </c>
      <c r="F1244">
        <v>33734</v>
      </c>
      <c r="G1244">
        <v>34100624.666666672</v>
      </c>
      <c r="H1244">
        <v>0.93997668723265337</v>
      </c>
      <c r="I1244">
        <v>0.94289044289044288</v>
      </c>
      <c r="J1244">
        <v>8808090.625</v>
      </c>
      <c r="K1244">
        <v>48990</v>
      </c>
      <c r="L1244">
        <v>2</v>
      </c>
      <c r="M1244">
        <v>148</v>
      </c>
      <c r="N1244">
        <v>0.93881118881118875</v>
      </c>
      <c r="O1244">
        <v>8961254.875</v>
      </c>
      <c r="P1244">
        <v>49619</v>
      </c>
      <c r="Q1244">
        <v>2</v>
      </c>
      <c r="R1244">
        <v>149</v>
      </c>
      <c r="S1244" t="s">
        <v>957</v>
      </c>
      <c r="W1244">
        <f>Cancer_doubles_final2[[#This Row],[mlp_params]]</f>
        <v>48990</v>
      </c>
      <c r="X1244">
        <f>Cancer_doubles_final2[[#This Row],[kan_test_acc]]</f>
        <v>0.93997668723265337</v>
      </c>
      <c r="Y1244">
        <f>Cancer_doubles_final2[[#This Row],[mlp_test_acc]]</f>
        <v>0.94289044289044288</v>
      </c>
      <c r="Z1244">
        <f>Cancer_doubles_final2[[#This Row],[mlp_test_acc2]]</f>
        <v>0.93881118881118875</v>
      </c>
    </row>
    <row r="1245" spans="1:26" hidden="1" x14ac:dyDescent="0.25">
      <c r="A1245" t="s">
        <v>19</v>
      </c>
      <c r="B1245">
        <v>5</v>
      </c>
      <c r="C1245">
        <v>3</v>
      </c>
      <c r="D1245">
        <v>0</v>
      </c>
      <c r="E1245" t="s">
        <v>530</v>
      </c>
      <c r="F1245">
        <v>33748</v>
      </c>
      <c r="G1245">
        <v>37043297.472222224</v>
      </c>
      <c r="H1245">
        <v>0.94425019787417519</v>
      </c>
      <c r="I1245">
        <v>0.92579642579642585</v>
      </c>
      <c r="J1245">
        <v>10115839.166666666</v>
      </c>
      <c r="K1245">
        <v>54795</v>
      </c>
      <c r="L1245">
        <v>2</v>
      </c>
      <c r="M1245">
        <v>157</v>
      </c>
      <c r="N1245">
        <v>0.92579642579642574</v>
      </c>
      <c r="O1245">
        <v>10031851.36111111</v>
      </c>
      <c r="P1245">
        <v>55460</v>
      </c>
      <c r="Q1245">
        <v>2</v>
      </c>
      <c r="R1245">
        <v>158</v>
      </c>
      <c r="S1245" t="s">
        <v>958</v>
      </c>
      <c r="W1245">
        <f>Cancer_doubles_final2[[#This Row],[mlp_params]]</f>
        <v>54795</v>
      </c>
      <c r="X1245">
        <f>Cancer_doubles_final2[[#This Row],[kan_test_acc]]</f>
        <v>0.94425019787417519</v>
      </c>
      <c r="Y1245">
        <f>Cancer_doubles_final2[[#This Row],[mlp_test_acc]]</f>
        <v>0.92579642579642585</v>
      </c>
      <c r="Z1245">
        <f>Cancer_doubles_final2[[#This Row],[mlp_test_acc2]]</f>
        <v>0.92579642579642574</v>
      </c>
    </row>
    <row r="1246" spans="1:26" x14ac:dyDescent="0.25">
      <c r="A1246" t="s">
        <v>19</v>
      </c>
      <c r="B1246">
        <v>3</v>
      </c>
      <c r="C1246">
        <v>5</v>
      </c>
      <c r="D1246">
        <v>0</v>
      </c>
      <c r="E1246" t="s">
        <v>530</v>
      </c>
      <c r="F1246">
        <v>33748</v>
      </c>
      <c r="G1246">
        <v>48704568.291666672</v>
      </c>
      <c r="H1246">
        <v>0.9778554762403171</v>
      </c>
      <c r="I1246">
        <v>0.94842657342657344</v>
      </c>
      <c r="J1246">
        <v>10965581</v>
      </c>
      <c r="K1246">
        <v>67377</v>
      </c>
      <c r="L1246">
        <v>2</v>
      </c>
      <c r="M1246">
        <v>175</v>
      </c>
      <c r="N1246">
        <v>0.94959207459207462</v>
      </c>
      <c r="O1246">
        <v>11041968</v>
      </c>
      <c r="P1246">
        <v>68114</v>
      </c>
      <c r="Q1246">
        <v>2</v>
      </c>
      <c r="R1246">
        <v>176</v>
      </c>
      <c r="S1246" t="s">
        <v>959</v>
      </c>
      <c r="W1246">
        <f>Cancer_doubles_final2[[#This Row],[mlp_params]]</f>
        <v>67377</v>
      </c>
      <c r="X1246">
        <f>Cancer_doubles_final2[[#This Row],[kan_test_acc]]</f>
        <v>0.9778554762403171</v>
      </c>
      <c r="Y1246">
        <f>Cancer_doubles_final2[[#This Row],[mlp_test_acc]]</f>
        <v>0.94842657342657344</v>
      </c>
      <c r="Z1246">
        <f>Cancer_doubles_final2[[#This Row],[mlp_test_acc2]]</f>
        <v>0.94959207459207462</v>
      </c>
    </row>
    <row r="1247" spans="1:26" hidden="1" x14ac:dyDescent="0.25">
      <c r="A1247" t="s">
        <v>19</v>
      </c>
      <c r="B1247">
        <v>5</v>
      </c>
      <c r="C1247">
        <v>3</v>
      </c>
      <c r="D1247">
        <v>0</v>
      </c>
      <c r="E1247" t="s">
        <v>530</v>
      </c>
      <c r="F1247">
        <v>33748</v>
      </c>
      <c r="G1247">
        <v>51021589.958333328</v>
      </c>
      <c r="H1247">
        <v>0.96969696134328842</v>
      </c>
      <c r="I1247">
        <v>0.94055944055944063</v>
      </c>
      <c r="J1247">
        <v>9842848.208333334</v>
      </c>
      <c r="K1247">
        <v>54795</v>
      </c>
      <c r="L1247">
        <v>2</v>
      </c>
      <c r="M1247">
        <v>157</v>
      </c>
      <c r="N1247">
        <v>0.94055944055944063</v>
      </c>
      <c r="O1247">
        <v>10338425.875</v>
      </c>
      <c r="P1247">
        <v>55460</v>
      </c>
      <c r="Q1247">
        <v>2</v>
      </c>
      <c r="R1247">
        <v>158</v>
      </c>
      <c r="S1247" t="s">
        <v>958</v>
      </c>
      <c r="W1247">
        <f>Cancer_doubles_final2[[#This Row],[mlp_params]]</f>
        <v>54795</v>
      </c>
      <c r="X1247">
        <f>Cancer_doubles_final2[[#This Row],[kan_test_acc]]</f>
        <v>0.96969696134328842</v>
      </c>
      <c r="Y1247">
        <f>Cancer_doubles_final2[[#This Row],[mlp_test_acc]]</f>
        <v>0.94055944055944063</v>
      </c>
      <c r="Z1247">
        <f>Cancer_doubles_final2[[#This Row],[mlp_test_acc2]]</f>
        <v>0.94055944055944063</v>
      </c>
    </row>
    <row r="1248" spans="1:26" x14ac:dyDescent="0.25">
      <c r="A1248" t="s">
        <v>19</v>
      </c>
      <c r="B1248">
        <v>3</v>
      </c>
      <c r="C1248">
        <v>5</v>
      </c>
      <c r="D1248">
        <v>0</v>
      </c>
      <c r="E1248" t="s">
        <v>530</v>
      </c>
      <c r="F1248">
        <v>33748</v>
      </c>
      <c r="G1248">
        <v>55474147.375</v>
      </c>
      <c r="H1248">
        <v>0.95804194857676828</v>
      </c>
      <c r="I1248">
        <v>0.94172494172494181</v>
      </c>
      <c r="J1248">
        <v>10416783.75</v>
      </c>
      <c r="K1248">
        <v>67377</v>
      </c>
      <c r="L1248">
        <v>2</v>
      </c>
      <c r="M1248">
        <v>175</v>
      </c>
      <c r="N1248">
        <v>0.94201631701631705</v>
      </c>
      <c r="O1248">
        <v>11298702.541666668</v>
      </c>
      <c r="P1248">
        <v>68114</v>
      </c>
      <c r="Q1248">
        <v>2</v>
      </c>
      <c r="R1248">
        <v>176</v>
      </c>
      <c r="S1248" t="s">
        <v>959</v>
      </c>
      <c r="W1248">
        <f>Cancer_doubles_final2[[#This Row],[mlp_params]]</f>
        <v>67377</v>
      </c>
      <c r="X1248">
        <f>Cancer_doubles_final2[[#This Row],[kan_test_acc]]</f>
        <v>0.95804194857676828</v>
      </c>
      <c r="Y1248">
        <f>Cancer_doubles_final2[[#This Row],[mlp_test_acc]]</f>
        <v>0.94172494172494181</v>
      </c>
      <c r="Z1248">
        <f>Cancer_doubles_final2[[#This Row],[mlp_test_acc2]]</f>
        <v>0.94201631701631705</v>
      </c>
    </row>
    <row r="1249" spans="1:26" hidden="1" x14ac:dyDescent="0.25">
      <c r="A1249" t="s">
        <v>19</v>
      </c>
      <c r="B1249">
        <v>5</v>
      </c>
      <c r="C1249">
        <v>3</v>
      </c>
      <c r="D1249">
        <v>0</v>
      </c>
      <c r="E1249" t="s">
        <v>530</v>
      </c>
      <c r="F1249">
        <v>33748</v>
      </c>
      <c r="G1249">
        <v>55933996.875</v>
      </c>
      <c r="H1249">
        <v>0.94143355886141467</v>
      </c>
      <c r="I1249">
        <v>0.92045454545454541</v>
      </c>
      <c r="J1249">
        <v>9311272.166666666</v>
      </c>
      <c r="K1249">
        <v>54795</v>
      </c>
      <c r="L1249">
        <v>2</v>
      </c>
      <c r="M1249">
        <v>157</v>
      </c>
      <c r="N1249">
        <v>0.92132867132867136</v>
      </c>
      <c r="O1249">
        <v>10874841.291666668</v>
      </c>
      <c r="P1249">
        <v>55460</v>
      </c>
      <c r="Q1249">
        <v>2</v>
      </c>
      <c r="R1249">
        <v>158</v>
      </c>
      <c r="S1249" t="s">
        <v>958</v>
      </c>
      <c r="W1249">
        <f>Cancer_doubles_final2[[#This Row],[mlp_params]]</f>
        <v>54795</v>
      </c>
      <c r="X1249">
        <f>Cancer_doubles_final2[[#This Row],[kan_test_acc]]</f>
        <v>0.94143355886141467</v>
      </c>
      <c r="Y1249">
        <f>Cancer_doubles_final2[[#This Row],[mlp_test_acc]]</f>
        <v>0.92045454545454541</v>
      </c>
      <c r="Z1249">
        <f>Cancer_doubles_final2[[#This Row],[mlp_test_acc2]]</f>
        <v>0.92132867132867136</v>
      </c>
    </row>
    <row r="1250" spans="1:26" hidden="1" x14ac:dyDescent="0.25">
      <c r="A1250" t="s">
        <v>19</v>
      </c>
      <c r="B1250">
        <v>5</v>
      </c>
      <c r="C1250">
        <v>5</v>
      </c>
      <c r="D1250">
        <v>0</v>
      </c>
      <c r="E1250" t="s">
        <v>341</v>
      </c>
      <c r="F1250">
        <v>33778</v>
      </c>
      <c r="G1250">
        <v>47185082.833333336</v>
      </c>
      <c r="H1250">
        <v>0.92103729397058487</v>
      </c>
      <c r="I1250">
        <v>0.9131701631701632</v>
      </c>
      <c r="J1250">
        <v>8548296.333333334</v>
      </c>
      <c r="K1250">
        <v>61625</v>
      </c>
      <c r="L1250">
        <v>2</v>
      </c>
      <c r="M1250">
        <v>167</v>
      </c>
      <c r="N1250">
        <v>0.91258741258741261</v>
      </c>
      <c r="O1250">
        <v>9250700.333333334</v>
      </c>
      <c r="P1250">
        <v>62330</v>
      </c>
      <c r="Q1250">
        <v>2</v>
      </c>
      <c r="R1250">
        <v>168</v>
      </c>
      <c r="S1250" t="s">
        <v>960</v>
      </c>
      <c r="W1250">
        <f>Cancer_doubles_final2[[#This Row],[mlp_params]]</f>
        <v>61625</v>
      </c>
      <c r="X1250">
        <f>Cancer_doubles_final2[[#This Row],[kan_test_acc]]</f>
        <v>0.92103729397058487</v>
      </c>
      <c r="Y1250">
        <f>Cancer_doubles_final2[[#This Row],[mlp_test_acc]]</f>
        <v>0.9131701631701632</v>
      </c>
      <c r="Z1250">
        <f>Cancer_doubles_final2[[#This Row],[mlp_test_acc2]]</f>
        <v>0.91258741258741261</v>
      </c>
    </row>
    <row r="1251" spans="1:26" hidden="1" x14ac:dyDescent="0.25">
      <c r="A1251" t="s">
        <v>19</v>
      </c>
      <c r="B1251">
        <v>9</v>
      </c>
      <c r="C1251">
        <v>5</v>
      </c>
      <c r="D1251">
        <v>0</v>
      </c>
      <c r="E1251" t="s">
        <v>175</v>
      </c>
      <c r="F1251">
        <v>33792</v>
      </c>
      <c r="G1251">
        <v>46514906.75</v>
      </c>
      <c r="H1251">
        <v>0.91880341536468924</v>
      </c>
      <c r="I1251">
        <v>0.94133644133644134</v>
      </c>
      <c r="J1251">
        <v>9847286.8888888899</v>
      </c>
      <c r="K1251">
        <v>55460</v>
      </c>
      <c r="L1251">
        <v>2</v>
      </c>
      <c r="M1251">
        <v>158</v>
      </c>
      <c r="N1251">
        <v>0.94463869463869465</v>
      </c>
      <c r="O1251">
        <v>10018282.111111112</v>
      </c>
      <c r="P1251">
        <v>56129</v>
      </c>
      <c r="Q1251">
        <v>2</v>
      </c>
      <c r="R1251">
        <v>159</v>
      </c>
      <c r="S1251" t="s">
        <v>961</v>
      </c>
      <c r="W1251">
        <f>Cancer_doubles_final2[[#This Row],[mlp_params]]</f>
        <v>55460</v>
      </c>
      <c r="X1251">
        <f>Cancer_doubles_final2[[#This Row],[kan_test_acc]]</f>
        <v>0.91880341536468924</v>
      </c>
      <c r="Y1251">
        <f>Cancer_doubles_final2[[#This Row],[mlp_test_acc]]</f>
        <v>0.94133644133644134</v>
      </c>
      <c r="Z1251">
        <f>Cancer_doubles_final2[[#This Row],[mlp_test_acc2]]</f>
        <v>0.94463869463869465</v>
      </c>
    </row>
    <row r="1252" spans="1:26" hidden="1" x14ac:dyDescent="0.25">
      <c r="A1252" t="s">
        <v>19</v>
      </c>
      <c r="B1252">
        <v>9</v>
      </c>
      <c r="C1252">
        <v>3</v>
      </c>
      <c r="D1252">
        <v>0</v>
      </c>
      <c r="E1252" t="s">
        <v>237</v>
      </c>
      <c r="F1252">
        <v>33852</v>
      </c>
      <c r="G1252">
        <v>39025853.541666672</v>
      </c>
      <c r="H1252">
        <v>0.94114218652248383</v>
      </c>
      <c r="I1252">
        <v>0.95979020979020979</v>
      </c>
      <c r="J1252">
        <v>9258123.791666666</v>
      </c>
      <c r="K1252">
        <v>48990</v>
      </c>
      <c r="L1252">
        <v>2</v>
      </c>
      <c r="M1252">
        <v>148</v>
      </c>
      <c r="N1252">
        <v>0.9618298368298368</v>
      </c>
      <c r="O1252">
        <v>9744587.875</v>
      </c>
      <c r="P1252">
        <v>49619</v>
      </c>
      <c r="Q1252">
        <v>2</v>
      </c>
      <c r="R1252">
        <v>149</v>
      </c>
      <c r="S1252" t="s">
        <v>962</v>
      </c>
      <c r="W1252">
        <f>Cancer_doubles_final2[[#This Row],[mlp_params]]</f>
        <v>48990</v>
      </c>
      <c r="X1252">
        <f>Cancer_doubles_final2[[#This Row],[kan_test_acc]]</f>
        <v>0.94114218652248383</v>
      </c>
      <c r="Y1252">
        <f>Cancer_doubles_final2[[#This Row],[mlp_test_acc]]</f>
        <v>0.95979020979020979</v>
      </c>
      <c r="Z1252">
        <f>Cancer_doubles_final2[[#This Row],[mlp_test_acc2]]</f>
        <v>0.9618298368298368</v>
      </c>
    </row>
    <row r="1253" spans="1:26" hidden="1" x14ac:dyDescent="0.25">
      <c r="A1253" t="s">
        <v>19</v>
      </c>
      <c r="B1253">
        <v>9</v>
      </c>
      <c r="C1253">
        <v>5</v>
      </c>
      <c r="D1253">
        <v>0</v>
      </c>
      <c r="E1253" t="s">
        <v>177</v>
      </c>
      <c r="F1253">
        <v>33862</v>
      </c>
      <c r="G1253">
        <v>37071024.208333336</v>
      </c>
      <c r="H1253">
        <v>0.87937062233686447</v>
      </c>
      <c r="I1253">
        <v>0.96299533799533799</v>
      </c>
      <c r="J1253">
        <v>9571305.0416666679</v>
      </c>
      <c r="K1253">
        <v>55460</v>
      </c>
      <c r="L1253">
        <v>2</v>
      </c>
      <c r="M1253">
        <v>158</v>
      </c>
      <c r="N1253">
        <v>0.95891608391608396</v>
      </c>
      <c r="O1253">
        <v>9589899.375</v>
      </c>
      <c r="P1253">
        <v>56129</v>
      </c>
      <c r="Q1253">
        <v>2</v>
      </c>
      <c r="R1253">
        <v>159</v>
      </c>
      <c r="S1253" t="s">
        <v>963</v>
      </c>
      <c r="W1253">
        <f>Cancer_doubles_final2[[#This Row],[mlp_params]]</f>
        <v>55460</v>
      </c>
      <c r="X1253">
        <f>Cancer_doubles_final2[[#This Row],[kan_test_acc]]</f>
        <v>0.87937062233686447</v>
      </c>
      <c r="Y1253">
        <f>Cancer_doubles_final2[[#This Row],[mlp_test_acc]]</f>
        <v>0.96299533799533799</v>
      </c>
      <c r="Z1253">
        <f>Cancer_doubles_final2[[#This Row],[mlp_test_acc2]]</f>
        <v>0.95891608391608396</v>
      </c>
    </row>
    <row r="1254" spans="1:26" hidden="1" x14ac:dyDescent="0.25">
      <c r="A1254" t="s">
        <v>19</v>
      </c>
      <c r="B1254">
        <v>5</v>
      </c>
      <c r="C1254">
        <v>5</v>
      </c>
      <c r="D1254">
        <v>0</v>
      </c>
      <c r="E1254" t="s">
        <v>345</v>
      </c>
      <c r="F1254">
        <v>33878</v>
      </c>
      <c r="G1254">
        <v>51360715.625</v>
      </c>
      <c r="H1254">
        <v>0.8607226088643074</v>
      </c>
      <c r="I1254">
        <v>0.93618881118881114</v>
      </c>
      <c r="J1254">
        <v>10262510.75</v>
      </c>
      <c r="K1254">
        <v>62330</v>
      </c>
      <c r="L1254">
        <v>2</v>
      </c>
      <c r="M1254">
        <v>168</v>
      </c>
      <c r="N1254">
        <v>0.93385780885780889</v>
      </c>
      <c r="O1254">
        <v>9700375.1666666679</v>
      </c>
      <c r="P1254">
        <v>63039</v>
      </c>
      <c r="Q1254">
        <v>2</v>
      </c>
      <c r="R1254">
        <v>169</v>
      </c>
      <c r="S1254" t="s">
        <v>964</v>
      </c>
      <c r="W1254">
        <f>Cancer_doubles_final2[[#This Row],[mlp_params]]</f>
        <v>62330</v>
      </c>
      <c r="X1254">
        <f>Cancer_doubles_final2[[#This Row],[kan_test_acc]]</f>
        <v>0.8607226088643074</v>
      </c>
      <c r="Y1254">
        <f>Cancer_doubles_final2[[#This Row],[mlp_test_acc]]</f>
        <v>0.93618881118881114</v>
      </c>
      <c r="Z1254">
        <f>Cancer_doubles_final2[[#This Row],[mlp_test_acc2]]</f>
        <v>0.93385780885780889</v>
      </c>
    </row>
    <row r="1255" spans="1:26" hidden="1" x14ac:dyDescent="0.25">
      <c r="A1255" t="s">
        <v>19</v>
      </c>
      <c r="B1255">
        <v>3</v>
      </c>
      <c r="C1255">
        <v>4</v>
      </c>
      <c r="D1255">
        <v>0</v>
      </c>
      <c r="E1255" t="s">
        <v>669</v>
      </c>
      <c r="F1255">
        <v>33896</v>
      </c>
      <c r="G1255">
        <v>52075077.5</v>
      </c>
      <c r="H1255">
        <v>0.915889667140113</v>
      </c>
      <c r="I1255">
        <v>0.92851592851592846</v>
      </c>
      <c r="J1255">
        <v>9703647.944444444</v>
      </c>
      <c r="K1255">
        <v>63752</v>
      </c>
      <c r="L1255">
        <v>2</v>
      </c>
      <c r="M1255">
        <v>170</v>
      </c>
      <c r="N1255">
        <v>0.92929292929292928</v>
      </c>
      <c r="O1255">
        <v>10024935.138888888</v>
      </c>
      <c r="P1255">
        <v>64469</v>
      </c>
      <c r="Q1255">
        <v>2</v>
      </c>
      <c r="R1255">
        <v>171</v>
      </c>
      <c r="S1255" t="s">
        <v>965</v>
      </c>
      <c r="W1255">
        <f>Cancer_doubles_final2[[#This Row],[mlp_params]]</f>
        <v>63752</v>
      </c>
      <c r="X1255">
        <f>Cancer_doubles_final2[[#This Row],[kan_test_acc]]</f>
        <v>0.915889667140113</v>
      </c>
      <c r="Y1255">
        <f>Cancer_doubles_final2[[#This Row],[mlp_test_acc]]</f>
        <v>0.92851592851592846</v>
      </c>
      <c r="Z1255">
        <f>Cancer_doubles_final2[[#This Row],[mlp_test_acc2]]</f>
        <v>0.92929292929292928</v>
      </c>
    </row>
    <row r="1256" spans="1:26" hidden="1" x14ac:dyDescent="0.25">
      <c r="A1256" t="s">
        <v>19</v>
      </c>
      <c r="B1256">
        <v>5</v>
      </c>
      <c r="C1256">
        <v>2</v>
      </c>
      <c r="D1256">
        <v>0</v>
      </c>
      <c r="E1256" t="s">
        <v>669</v>
      </c>
      <c r="F1256">
        <v>33896</v>
      </c>
      <c r="G1256">
        <v>44253706.166666672</v>
      </c>
      <c r="H1256">
        <v>0.96911422411600745</v>
      </c>
      <c r="I1256">
        <v>0.94696969696969702</v>
      </c>
      <c r="J1256">
        <v>9817691.3333333321</v>
      </c>
      <c r="K1256">
        <v>50252</v>
      </c>
      <c r="L1256">
        <v>2</v>
      </c>
      <c r="M1256">
        <v>150</v>
      </c>
      <c r="N1256">
        <v>0.93881118881118886</v>
      </c>
      <c r="O1256">
        <v>9454614.333333334</v>
      </c>
      <c r="P1256">
        <v>50889</v>
      </c>
      <c r="Q1256">
        <v>2</v>
      </c>
      <c r="R1256">
        <v>151</v>
      </c>
      <c r="S1256" t="s">
        <v>966</v>
      </c>
      <c r="W1256">
        <f>Cancer_doubles_final2[[#This Row],[mlp_params]]</f>
        <v>50252</v>
      </c>
      <c r="X1256">
        <f>Cancer_doubles_final2[[#This Row],[kan_test_acc]]</f>
        <v>0.96911422411600745</v>
      </c>
      <c r="Y1256">
        <f>Cancer_doubles_final2[[#This Row],[mlp_test_acc]]</f>
        <v>0.94696969696969702</v>
      </c>
      <c r="Z1256">
        <f>Cancer_doubles_final2[[#This Row],[mlp_test_acc2]]</f>
        <v>0.93881118881118886</v>
      </c>
    </row>
    <row r="1257" spans="1:26" hidden="1" x14ac:dyDescent="0.25">
      <c r="A1257" t="s">
        <v>19</v>
      </c>
      <c r="B1257">
        <v>3</v>
      </c>
      <c r="C1257">
        <v>4</v>
      </c>
      <c r="D1257">
        <v>0</v>
      </c>
      <c r="E1257" t="s">
        <v>669</v>
      </c>
      <c r="F1257">
        <v>33896</v>
      </c>
      <c r="G1257">
        <v>46929567.625</v>
      </c>
      <c r="H1257">
        <v>0.96561770886182785</v>
      </c>
      <c r="I1257">
        <v>0.93181818181818188</v>
      </c>
      <c r="J1257">
        <v>9521084.875</v>
      </c>
      <c r="K1257">
        <v>63752</v>
      </c>
      <c r="L1257">
        <v>2</v>
      </c>
      <c r="M1257">
        <v>170</v>
      </c>
      <c r="N1257">
        <v>0.92657342657342667</v>
      </c>
      <c r="O1257">
        <v>8901897.9166666679</v>
      </c>
      <c r="P1257">
        <v>64469</v>
      </c>
      <c r="Q1257">
        <v>2</v>
      </c>
      <c r="R1257">
        <v>171</v>
      </c>
      <c r="S1257" t="s">
        <v>965</v>
      </c>
      <c r="W1257">
        <f>Cancer_doubles_final2[[#This Row],[mlp_params]]</f>
        <v>63752</v>
      </c>
      <c r="X1257">
        <f>Cancer_doubles_final2[[#This Row],[kan_test_acc]]</f>
        <v>0.96561770886182785</v>
      </c>
      <c r="Y1257">
        <f>Cancer_doubles_final2[[#This Row],[mlp_test_acc]]</f>
        <v>0.93181818181818188</v>
      </c>
      <c r="Z1257">
        <f>Cancer_doubles_final2[[#This Row],[mlp_test_acc2]]</f>
        <v>0.92657342657342667</v>
      </c>
    </row>
    <row r="1258" spans="1:26" hidden="1" x14ac:dyDescent="0.25">
      <c r="A1258" t="s">
        <v>19</v>
      </c>
      <c r="B1258">
        <v>5</v>
      </c>
      <c r="C1258">
        <v>2</v>
      </c>
      <c r="D1258">
        <v>0</v>
      </c>
      <c r="E1258" t="s">
        <v>669</v>
      </c>
      <c r="F1258">
        <v>33896</v>
      </c>
      <c r="G1258">
        <v>42874954.958333328</v>
      </c>
      <c r="H1258">
        <v>0.95571094503005338</v>
      </c>
      <c r="I1258">
        <v>0.90850815850815847</v>
      </c>
      <c r="J1258">
        <v>9131596.9166666679</v>
      </c>
      <c r="K1258">
        <v>50252</v>
      </c>
      <c r="L1258">
        <v>2</v>
      </c>
      <c r="M1258">
        <v>150</v>
      </c>
      <c r="N1258">
        <v>0.90705128205128205</v>
      </c>
      <c r="O1258">
        <v>9577255.125</v>
      </c>
      <c r="P1258">
        <v>50889</v>
      </c>
      <c r="Q1258">
        <v>2</v>
      </c>
      <c r="R1258">
        <v>151</v>
      </c>
      <c r="S1258" t="s">
        <v>966</v>
      </c>
      <c r="W1258">
        <f>Cancer_doubles_final2[[#This Row],[mlp_params]]</f>
        <v>50252</v>
      </c>
      <c r="X1258">
        <f>Cancer_doubles_final2[[#This Row],[kan_test_acc]]</f>
        <v>0.95571094503005338</v>
      </c>
      <c r="Y1258">
        <f>Cancer_doubles_final2[[#This Row],[mlp_test_acc]]</f>
        <v>0.90850815850815847</v>
      </c>
      <c r="Z1258">
        <f>Cancer_doubles_final2[[#This Row],[mlp_test_acc2]]</f>
        <v>0.90705128205128205</v>
      </c>
    </row>
    <row r="1259" spans="1:26" hidden="1" x14ac:dyDescent="0.25">
      <c r="A1259" t="s">
        <v>19</v>
      </c>
      <c r="B1259">
        <v>5</v>
      </c>
      <c r="C1259">
        <v>4</v>
      </c>
      <c r="D1259">
        <v>0</v>
      </c>
      <c r="E1259" t="s">
        <v>433</v>
      </c>
      <c r="F1259">
        <v>33922</v>
      </c>
      <c r="G1259">
        <v>37874744.416666672</v>
      </c>
      <c r="H1259">
        <v>0.94347318758567167</v>
      </c>
      <c r="I1259">
        <v>0.91083916083916083</v>
      </c>
      <c r="J1259">
        <v>9431657.75</v>
      </c>
      <c r="K1259">
        <v>58845</v>
      </c>
      <c r="L1259">
        <v>2</v>
      </c>
      <c r="M1259">
        <v>163</v>
      </c>
      <c r="N1259">
        <v>0.91229603729603737</v>
      </c>
      <c r="O1259">
        <v>9822358.5</v>
      </c>
      <c r="P1259">
        <v>59534</v>
      </c>
      <c r="Q1259">
        <v>2</v>
      </c>
      <c r="R1259">
        <v>164</v>
      </c>
      <c r="S1259" t="s">
        <v>967</v>
      </c>
      <c r="W1259">
        <f>Cancer_doubles_final2[[#This Row],[mlp_params]]</f>
        <v>58845</v>
      </c>
      <c r="X1259">
        <f>Cancer_doubles_final2[[#This Row],[kan_test_acc]]</f>
        <v>0.94347318758567167</v>
      </c>
      <c r="Y1259">
        <f>Cancer_doubles_final2[[#This Row],[mlp_test_acc]]</f>
        <v>0.91083916083916083</v>
      </c>
      <c r="Z1259">
        <f>Cancer_doubles_final2[[#This Row],[mlp_test_acc2]]</f>
        <v>0.91229603729603737</v>
      </c>
    </row>
    <row r="1260" spans="1:26" hidden="1" x14ac:dyDescent="0.25">
      <c r="A1260" t="s">
        <v>19</v>
      </c>
      <c r="B1260">
        <v>9</v>
      </c>
      <c r="C1260">
        <v>4</v>
      </c>
      <c r="D1260">
        <v>0</v>
      </c>
      <c r="E1260" t="s">
        <v>203</v>
      </c>
      <c r="F1260">
        <v>33924</v>
      </c>
      <c r="G1260">
        <v>39141737.888888888</v>
      </c>
      <c r="H1260">
        <v>0.93939393427636886</v>
      </c>
      <c r="I1260">
        <v>0.93997668997669004</v>
      </c>
      <c r="J1260">
        <v>9329996.75</v>
      </c>
      <c r="K1260">
        <v>52824</v>
      </c>
      <c r="L1260">
        <v>2</v>
      </c>
      <c r="M1260">
        <v>154</v>
      </c>
      <c r="N1260">
        <v>0.94366744366744371</v>
      </c>
      <c r="O1260">
        <v>9805532.083333334</v>
      </c>
      <c r="P1260">
        <v>53477</v>
      </c>
      <c r="Q1260">
        <v>2</v>
      </c>
      <c r="R1260">
        <v>155</v>
      </c>
      <c r="S1260" t="s">
        <v>968</v>
      </c>
      <c r="W1260">
        <f>Cancer_doubles_final2[[#This Row],[mlp_params]]</f>
        <v>52824</v>
      </c>
      <c r="X1260">
        <f>Cancer_doubles_final2[[#This Row],[kan_test_acc]]</f>
        <v>0.93939393427636886</v>
      </c>
      <c r="Y1260">
        <f>Cancer_doubles_final2[[#This Row],[mlp_test_acc]]</f>
        <v>0.93997668997669004</v>
      </c>
      <c r="Z1260">
        <f>Cancer_doubles_final2[[#This Row],[mlp_test_acc2]]</f>
        <v>0.94366744366744371</v>
      </c>
    </row>
    <row r="1261" spans="1:26" hidden="1" x14ac:dyDescent="0.25">
      <c r="A1261" t="s">
        <v>19</v>
      </c>
      <c r="B1261">
        <v>5</v>
      </c>
      <c r="C1261">
        <v>4</v>
      </c>
      <c r="D1261">
        <v>0</v>
      </c>
      <c r="E1261" t="s">
        <v>435</v>
      </c>
      <c r="F1261">
        <v>33926</v>
      </c>
      <c r="G1261">
        <v>44532092.916666672</v>
      </c>
      <c r="H1261">
        <v>0.949592078725497</v>
      </c>
      <c r="I1261">
        <v>0.94580419580419584</v>
      </c>
      <c r="J1261">
        <v>9132852.208333334</v>
      </c>
      <c r="K1261">
        <v>58845</v>
      </c>
      <c r="L1261">
        <v>2</v>
      </c>
      <c r="M1261">
        <v>163</v>
      </c>
      <c r="N1261">
        <v>0.95134032634032639</v>
      </c>
      <c r="O1261">
        <v>10943464.458333334</v>
      </c>
      <c r="P1261">
        <v>59534</v>
      </c>
      <c r="Q1261">
        <v>2</v>
      </c>
      <c r="R1261">
        <v>164</v>
      </c>
      <c r="S1261" t="s">
        <v>969</v>
      </c>
      <c r="W1261">
        <f>Cancer_doubles_final2[[#This Row],[mlp_params]]</f>
        <v>58845</v>
      </c>
      <c r="X1261">
        <f>Cancer_doubles_final2[[#This Row],[kan_test_acc]]</f>
        <v>0.949592078725497</v>
      </c>
      <c r="Y1261">
        <f>Cancer_doubles_final2[[#This Row],[mlp_test_acc]]</f>
        <v>0.94580419580419584</v>
      </c>
      <c r="Z1261">
        <f>Cancer_doubles_final2[[#This Row],[mlp_test_acc2]]</f>
        <v>0.95134032634032639</v>
      </c>
    </row>
    <row r="1262" spans="1:26" hidden="1" x14ac:dyDescent="0.25">
      <c r="A1262" t="s">
        <v>19</v>
      </c>
      <c r="B1262">
        <v>9</v>
      </c>
      <c r="C1262">
        <v>4</v>
      </c>
      <c r="D1262">
        <v>0</v>
      </c>
      <c r="E1262" t="s">
        <v>205</v>
      </c>
      <c r="F1262">
        <v>33926</v>
      </c>
      <c r="G1262">
        <v>41299982.416666672</v>
      </c>
      <c r="H1262">
        <v>0.95279720094468867</v>
      </c>
      <c r="I1262">
        <v>0.94813519813519809</v>
      </c>
      <c r="J1262">
        <v>8984641.333333334</v>
      </c>
      <c r="K1262">
        <v>52824</v>
      </c>
      <c r="L1262">
        <v>2</v>
      </c>
      <c r="M1262">
        <v>154</v>
      </c>
      <c r="N1262">
        <v>0.95163170163170163</v>
      </c>
      <c r="O1262">
        <v>10602183.222222224</v>
      </c>
      <c r="P1262">
        <v>53477</v>
      </c>
      <c r="Q1262">
        <v>2</v>
      </c>
      <c r="R1262">
        <v>155</v>
      </c>
      <c r="S1262" t="s">
        <v>970</v>
      </c>
      <c r="W1262">
        <f>Cancer_doubles_final2[[#This Row],[mlp_params]]</f>
        <v>52824</v>
      </c>
      <c r="X1262">
        <f>Cancer_doubles_final2[[#This Row],[kan_test_acc]]</f>
        <v>0.95279720094468867</v>
      </c>
      <c r="Y1262">
        <f>Cancer_doubles_final2[[#This Row],[mlp_test_acc]]</f>
        <v>0.94813519813519809</v>
      </c>
      <c r="Z1262">
        <f>Cancer_doubles_final2[[#This Row],[mlp_test_acc2]]</f>
        <v>0.95163170163170163</v>
      </c>
    </row>
    <row r="1263" spans="1:26" hidden="1" x14ac:dyDescent="0.25">
      <c r="A1263" t="s">
        <v>19</v>
      </c>
      <c r="B1263">
        <v>5</v>
      </c>
      <c r="C1263">
        <v>4</v>
      </c>
      <c r="D1263">
        <v>0</v>
      </c>
      <c r="E1263" t="s">
        <v>435</v>
      </c>
      <c r="F1263">
        <v>33926</v>
      </c>
      <c r="G1263">
        <v>38748407.125</v>
      </c>
      <c r="H1263">
        <v>0.9449300691485405</v>
      </c>
      <c r="I1263">
        <v>0.95949883449883444</v>
      </c>
      <c r="J1263">
        <v>9815662.25</v>
      </c>
      <c r="K1263">
        <v>58845</v>
      </c>
      <c r="L1263">
        <v>2</v>
      </c>
      <c r="M1263">
        <v>163</v>
      </c>
      <c r="N1263">
        <v>0.96037296037296027</v>
      </c>
      <c r="O1263">
        <v>9600008.375</v>
      </c>
      <c r="P1263">
        <v>59534</v>
      </c>
      <c r="Q1263">
        <v>2</v>
      </c>
      <c r="R1263">
        <v>164</v>
      </c>
      <c r="S1263" t="s">
        <v>969</v>
      </c>
      <c r="W1263">
        <f>Cancer_doubles_final2[[#This Row],[mlp_params]]</f>
        <v>58845</v>
      </c>
      <c r="X1263">
        <f>Cancer_doubles_final2[[#This Row],[kan_test_acc]]</f>
        <v>0.9449300691485405</v>
      </c>
      <c r="Y1263">
        <f>Cancer_doubles_final2[[#This Row],[mlp_test_acc]]</f>
        <v>0.95949883449883444</v>
      </c>
      <c r="Z1263">
        <f>Cancer_doubles_final2[[#This Row],[mlp_test_acc2]]</f>
        <v>0.96037296037296027</v>
      </c>
    </row>
    <row r="1264" spans="1:26" hidden="1" x14ac:dyDescent="0.25">
      <c r="A1264" t="s">
        <v>19</v>
      </c>
      <c r="B1264">
        <v>5</v>
      </c>
      <c r="C1264">
        <v>4</v>
      </c>
      <c r="D1264">
        <v>0</v>
      </c>
      <c r="E1264" t="s">
        <v>437</v>
      </c>
      <c r="F1264">
        <v>33932</v>
      </c>
      <c r="G1264">
        <v>44564753.5</v>
      </c>
      <c r="H1264">
        <v>0.9484265769521395</v>
      </c>
      <c r="I1264">
        <v>0.94930069930069927</v>
      </c>
      <c r="J1264">
        <v>10418890.541666668</v>
      </c>
      <c r="K1264">
        <v>58845</v>
      </c>
      <c r="L1264">
        <v>2</v>
      </c>
      <c r="M1264">
        <v>163</v>
      </c>
      <c r="N1264">
        <v>0.95367132867132876</v>
      </c>
      <c r="O1264">
        <v>10501876.083333332</v>
      </c>
      <c r="P1264">
        <v>59534</v>
      </c>
      <c r="Q1264">
        <v>2</v>
      </c>
      <c r="R1264">
        <v>164</v>
      </c>
      <c r="S1264" t="s">
        <v>971</v>
      </c>
      <c r="W1264">
        <f>Cancer_doubles_final2[[#This Row],[mlp_params]]</f>
        <v>58845</v>
      </c>
      <c r="X1264">
        <f>Cancer_doubles_final2[[#This Row],[kan_test_acc]]</f>
        <v>0.9484265769521395</v>
      </c>
      <c r="Y1264">
        <f>Cancer_doubles_final2[[#This Row],[mlp_test_acc]]</f>
        <v>0.94930069930069927</v>
      </c>
      <c r="Z1264">
        <f>Cancer_doubles_final2[[#This Row],[mlp_test_acc2]]</f>
        <v>0.95367132867132876</v>
      </c>
    </row>
    <row r="1265" spans="1:26" hidden="1" x14ac:dyDescent="0.25">
      <c r="A1265" t="s">
        <v>19</v>
      </c>
      <c r="B1265">
        <v>5</v>
      </c>
      <c r="C1265">
        <v>5</v>
      </c>
      <c r="D1265">
        <v>0</v>
      </c>
      <c r="E1265" t="s">
        <v>347</v>
      </c>
      <c r="F1265">
        <v>33932</v>
      </c>
      <c r="G1265">
        <v>42703788.333333328</v>
      </c>
      <c r="H1265">
        <v>0.91608391536606681</v>
      </c>
      <c r="I1265">
        <v>0.93648018648018649</v>
      </c>
      <c r="J1265">
        <v>10222299.055555556</v>
      </c>
      <c r="K1265">
        <v>62330</v>
      </c>
      <c r="L1265">
        <v>2</v>
      </c>
      <c r="M1265">
        <v>168</v>
      </c>
      <c r="N1265">
        <v>0.93725718725718732</v>
      </c>
      <c r="O1265">
        <v>9507189.166666666</v>
      </c>
      <c r="P1265">
        <v>63039</v>
      </c>
      <c r="Q1265">
        <v>2</v>
      </c>
      <c r="R1265">
        <v>169</v>
      </c>
      <c r="S1265" t="s">
        <v>972</v>
      </c>
      <c r="W1265">
        <f>Cancer_doubles_final2[[#This Row],[mlp_params]]</f>
        <v>62330</v>
      </c>
      <c r="X1265">
        <f>Cancer_doubles_final2[[#This Row],[kan_test_acc]]</f>
        <v>0.91608391536606681</v>
      </c>
      <c r="Y1265">
        <f>Cancer_doubles_final2[[#This Row],[mlp_test_acc]]</f>
        <v>0.93648018648018649</v>
      </c>
      <c r="Z1265">
        <f>Cancer_doubles_final2[[#This Row],[mlp_test_acc2]]</f>
        <v>0.93725718725718732</v>
      </c>
    </row>
    <row r="1266" spans="1:26" hidden="1" x14ac:dyDescent="0.25">
      <c r="A1266" t="s">
        <v>19</v>
      </c>
      <c r="B1266">
        <v>5</v>
      </c>
      <c r="C1266">
        <v>4</v>
      </c>
      <c r="D1266">
        <v>0</v>
      </c>
      <c r="E1266" t="s">
        <v>437</v>
      </c>
      <c r="F1266">
        <v>33932</v>
      </c>
      <c r="G1266">
        <v>42012929.75</v>
      </c>
      <c r="H1266">
        <v>0.90472027907768882</v>
      </c>
      <c r="I1266">
        <v>0.93677156177156173</v>
      </c>
      <c r="J1266">
        <v>9922394.3333333321</v>
      </c>
      <c r="K1266">
        <v>58845</v>
      </c>
      <c r="L1266">
        <v>2</v>
      </c>
      <c r="M1266">
        <v>163</v>
      </c>
      <c r="N1266">
        <v>0.93793706293706292</v>
      </c>
      <c r="O1266">
        <v>9690288.625</v>
      </c>
      <c r="P1266">
        <v>59534</v>
      </c>
      <c r="Q1266">
        <v>2</v>
      </c>
      <c r="R1266">
        <v>164</v>
      </c>
      <c r="S1266" t="s">
        <v>971</v>
      </c>
      <c r="W1266">
        <f>Cancer_doubles_final2[[#This Row],[mlp_params]]</f>
        <v>58845</v>
      </c>
      <c r="X1266">
        <f>Cancer_doubles_final2[[#This Row],[kan_test_acc]]</f>
        <v>0.90472027907768882</v>
      </c>
      <c r="Y1266">
        <f>Cancer_doubles_final2[[#This Row],[mlp_test_acc]]</f>
        <v>0.93677156177156173</v>
      </c>
      <c r="Z1266">
        <f>Cancer_doubles_final2[[#This Row],[mlp_test_acc2]]</f>
        <v>0.93793706293706292</v>
      </c>
    </row>
    <row r="1267" spans="1:26" hidden="1" x14ac:dyDescent="0.25">
      <c r="A1267" t="s">
        <v>19</v>
      </c>
      <c r="B1267">
        <v>5</v>
      </c>
      <c r="C1267">
        <v>5</v>
      </c>
      <c r="D1267">
        <v>0</v>
      </c>
      <c r="E1267" t="s">
        <v>347</v>
      </c>
      <c r="F1267">
        <v>33932</v>
      </c>
      <c r="G1267">
        <v>44819216.25</v>
      </c>
      <c r="H1267">
        <v>0.91317015886306763</v>
      </c>
      <c r="I1267">
        <v>0.94696969696969702</v>
      </c>
      <c r="J1267">
        <v>9366374.5833333321</v>
      </c>
      <c r="K1267">
        <v>62330</v>
      </c>
      <c r="L1267">
        <v>2</v>
      </c>
      <c r="M1267">
        <v>168</v>
      </c>
      <c r="N1267">
        <v>0.94988344988344986</v>
      </c>
      <c r="O1267">
        <v>9825318.9583333321</v>
      </c>
      <c r="P1267">
        <v>63039</v>
      </c>
      <c r="Q1267">
        <v>2</v>
      </c>
      <c r="R1267">
        <v>169</v>
      </c>
      <c r="S1267" t="s">
        <v>972</v>
      </c>
      <c r="W1267">
        <f>Cancer_doubles_final2[[#This Row],[mlp_params]]</f>
        <v>62330</v>
      </c>
      <c r="X1267">
        <f>Cancer_doubles_final2[[#This Row],[kan_test_acc]]</f>
        <v>0.91317015886306763</v>
      </c>
      <c r="Y1267">
        <f>Cancer_doubles_final2[[#This Row],[mlp_test_acc]]</f>
        <v>0.94696969696969702</v>
      </c>
      <c r="Z1267">
        <f>Cancer_doubles_final2[[#This Row],[mlp_test_acc2]]</f>
        <v>0.94988344988344986</v>
      </c>
    </row>
    <row r="1268" spans="1:26" hidden="1" x14ac:dyDescent="0.25">
      <c r="A1268" t="s">
        <v>19</v>
      </c>
      <c r="B1268">
        <v>9</v>
      </c>
      <c r="C1268">
        <v>2</v>
      </c>
      <c r="D1268">
        <v>0</v>
      </c>
      <c r="E1268" t="s">
        <v>283</v>
      </c>
      <c r="F1268">
        <v>33952</v>
      </c>
      <c r="G1268">
        <v>40208408.208333328</v>
      </c>
      <c r="H1268">
        <v>0.90151515354712808</v>
      </c>
      <c r="I1268">
        <v>0.93240093240093236</v>
      </c>
      <c r="J1268">
        <v>8928768.833333334</v>
      </c>
      <c r="K1268">
        <v>45905</v>
      </c>
      <c r="L1268">
        <v>2</v>
      </c>
      <c r="M1268">
        <v>143</v>
      </c>
      <c r="N1268">
        <v>0.93356643356643354</v>
      </c>
      <c r="O1268">
        <v>9918205.2083333321</v>
      </c>
      <c r="P1268">
        <v>46514</v>
      </c>
      <c r="Q1268">
        <v>2</v>
      </c>
      <c r="R1268">
        <v>144</v>
      </c>
      <c r="S1268" t="s">
        <v>973</v>
      </c>
      <c r="W1268">
        <f>Cancer_doubles_final2[[#This Row],[mlp_params]]</f>
        <v>45905</v>
      </c>
      <c r="X1268">
        <f>Cancer_doubles_final2[[#This Row],[kan_test_acc]]</f>
        <v>0.90151515354712808</v>
      </c>
      <c r="Y1268">
        <f>Cancer_doubles_final2[[#This Row],[mlp_test_acc]]</f>
        <v>0.93240093240093236</v>
      </c>
      <c r="Z1268">
        <f>Cancer_doubles_final2[[#This Row],[mlp_test_acc2]]</f>
        <v>0.93356643356643354</v>
      </c>
    </row>
    <row r="1269" spans="1:26" hidden="1" x14ac:dyDescent="0.25">
      <c r="A1269" t="s">
        <v>19</v>
      </c>
      <c r="B1269">
        <v>5</v>
      </c>
      <c r="C1269">
        <v>4</v>
      </c>
      <c r="D1269">
        <v>0</v>
      </c>
      <c r="E1269" t="s">
        <v>439</v>
      </c>
      <c r="F1269">
        <v>34020</v>
      </c>
      <c r="G1269">
        <v>33728391.888888888</v>
      </c>
      <c r="H1269">
        <v>0.92346542742517257</v>
      </c>
      <c r="I1269">
        <v>0.91530691530691521</v>
      </c>
      <c r="J1269">
        <v>9189429.555555556</v>
      </c>
      <c r="K1269">
        <v>58845</v>
      </c>
      <c r="L1269">
        <v>2</v>
      </c>
      <c r="M1269">
        <v>163</v>
      </c>
      <c r="N1269">
        <v>0.91569541569541568</v>
      </c>
      <c r="O1269">
        <v>8885909.6111111119</v>
      </c>
      <c r="P1269">
        <v>59534</v>
      </c>
      <c r="Q1269">
        <v>2</v>
      </c>
      <c r="R1269">
        <v>164</v>
      </c>
      <c r="S1269" t="s">
        <v>974</v>
      </c>
      <c r="W1269">
        <f>Cancer_doubles_final2[[#This Row],[mlp_params]]</f>
        <v>58845</v>
      </c>
      <c r="X1269">
        <f>Cancer_doubles_final2[[#This Row],[kan_test_acc]]</f>
        <v>0.92346542742517257</v>
      </c>
      <c r="Y1269">
        <f>Cancer_doubles_final2[[#This Row],[mlp_test_acc]]</f>
        <v>0.91530691530691521</v>
      </c>
      <c r="Z1269">
        <f>Cancer_doubles_final2[[#This Row],[mlp_test_acc2]]</f>
        <v>0.91569541569541568</v>
      </c>
    </row>
    <row r="1270" spans="1:26" hidden="1" x14ac:dyDescent="0.25">
      <c r="A1270" t="s">
        <v>19</v>
      </c>
      <c r="B1270">
        <v>9</v>
      </c>
      <c r="C1270">
        <v>2</v>
      </c>
      <c r="D1270">
        <v>0</v>
      </c>
      <c r="E1270" t="s">
        <v>286</v>
      </c>
      <c r="F1270">
        <v>34184</v>
      </c>
      <c r="G1270">
        <v>34874395.777777776</v>
      </c>
      <c r="H1270">
        <v>0.94055944184462226</v>
      </c>
      <c r="I1270">
        <v>0.93084693084693082</v>
      </c>
      <c r="J1270">
        <v>9625816.1111111119</v>
      </c>
      <c r="K1270">
        <v>45905</v>
      </c>
      <c r="L1270">
        <v>2</v>
      </c>
      <c r="M1270">
        <v>143</v>
      </c>
      <c r="N1270">
        <v>0.93084693084693082</v>
      </c>
      <c r="O1270">
        <v>8961526.694444444</v>
      </c>
      <c r="P1270">
        <v>46514</v>
      </c>
      <c r="Q1270">
        <v>2</v>
      </c>
      <c r="R1270">
        <v>144</v>
      </c>
      <c r="S1270" t="s">
        <v>975</v>
      </c>
      <c r="W1270">
        <f>Cancer_doubles_final2[[#This Row],[mlp_params]]</f>
        <v>45905</v>
      </c>
      <c r="X1270">
        <f>Cancer_doubles_final2[[#This Row],[kan_test_acc]]</f>
        <v>0.94055944184462226</v>
      </c>
      <c r="Y1270">
        <f>Cancer_doubles_final2[[#This Row],[mlp_test_acc]]</f>
        <v>0.93084693084693082</v>
      </c>
      <c r="Z1270">
        <f>Cancer_doubles_final2[[#This Row],[mlp_test_acc2]]</f>
        <v>0.93084693084693082</v>
      </c>
    </row>
    <row r="1271" spans="1:26" hidden="1" x14ac:dyDescent="0.25">
      <c r="A1271" t="s">
        <v>19</v>
      </c>
      <c r="B1271">
        <v>5</v>
      </c>
      <c r="C1271">
        <v>5</v>
      </c>
      <c r="D1271">
        <v>0</v>
      </c>
      <c r="E1271" t="s">
        <v>353</v>
      </c>
      <c r="F1271">
        <v>34250</v>
      </c>
      <c r="G1271">
        <v>31803335.5</v>
      </c>
      <c r="H1271">
        <v>0.91919192009501982</v>
      </c>
      <c r="I1271">
        <v>0.91802641802641805</v>
      </c>
      <c r="J1271">
        <v>9028730.805555556</v>
      </c>
      <c r="K1271">
        <v>63039</v>
      </c>
      <c r="L1271">
        <v>2</v>
      </c>
      <c r="M1271">
        <v>169</v>
      </c>
      <c r="N1271">
        <v>0.91588966588966592</v>
      </c>
      <c r="O1271">
        <v>9166713.027777778</v>
      </c>
      <c r="P1271">
        <v>63752</v>
      </c>
      <c r="Q1271">
        <v>2</v>
      </c>
      <c r="R1271">
        <v>170</v>
      </c>
      <c r="S1271" t="s">
        <v>976</v>
      </c>
      <c r="W1271">
        <f>Cancer_doubles_final2[[#This Row],[mlp_params]]</f>
        <v>63039</v>
      </c>
      <c r="X1271">
        <f>Cancer_doubles_final2[[#This Row],[kan_test_acc]]</f>
        <v>0.91919192009501982</v>
      </c>
      <c r="Y1271">
        <f>Cancer_doubles_final2[[#This Row],[mlp_test_acc]]</f>
        <v>0.91802641802641805</v>
      </c>
      <c r="Z1271">
        <f>Cancer_doubles_final2[[#This Row],[mlp_test_acc2]]</f>
        <v>0.91588966588966592</v>
      </c>
    </row>
    <row r="1272" spans="1:26" x14ac:dyDescent="0.25">
      <c r="A1272" t="s">
        <v>19</v>
      </c>
      <c r="B1272">
        <v>3</v>
      </c>
      <c r="C1272">
        <v>5</v>
      </c>
      <c r="D1272">
        <v>0</v>
      </c>
      <c r="E1272" t="s">
        <v>550</v>
      </c>
      <c r="F1272">
        <v>34282</v>
      </c>
      <c r="G1272">
        <v>52486343.25</v>
      </c>
      <c r="H1272">
        <v>0.93026417824957108</v>
      </c>
      <c r="I1272">
        <v>0.93842268842268839</v>
      </c>
      <c r="J1272">
        <v>9650664.805555556</v>
      </c>
      <c r="K1272">
        <v>68114</v>
      </c>
      <c r="L1272">
        <v>2</v>
      </c>
      <c r="M1272">
        <v>176</v>
      </c>
      <c r="N1272">
        <v>0.93997668997668993</v>
      </c>
      <c r="O1272">
        <v>9494743.25</v>
      </c>
      <c r="P1272">
        <v>68855</v>
      </c>
      <c r="Q1272">
        <v>2</v>
      </c>
      <c r="R1272">
        <v>177</v>
      </c>
      <c r="S1272" t="s">
        <v>977</v>
      </c>
      <c r="W1272">
        <f>Cancer_doubles_final2[[#This Row],[mlp_params]]</f>
        <v>68114</v>
      </c>
      <c r="X1272">
        <f>Cancer_doubles_final2[[#This Row],[kan_test_acc]]</f>
        <v>0.93026417824957108</v>
      </c>
      <c r="Y1272">
        <f>Cancer_doubles_final2[[#This Row],[mlp_test_acc]]</f>
        <v>0.93842268842268839</v>
      </c>
      <c r="Z1272">
        <f>Cancer_doubles_final2[[#This Row],[mlp_test_acc2]]</f>
        <v>0.93997668997668993</v>
      </c>
    </row>
    <row r="1273" spans="1:26" hidden="1" x14ac:dyDescent="0.25">
      <c r="A1273" t="s">
        <v>19</v>
      </c>
      <c r="B1273">
        <v>5</v>
      </c>
      <c r="C1273">
        <v>3</v>
      </c>
      <c r="D1273">
        <v>0</v>
      </c>
      <c r="E1273" t="s">
        <v>550</v>
      </c>
      <c r="F1273">
        <v>34282</v>
      </c>
      <c r="G1273">
        <v>55636410.875</v>
      </c>
      <c r="H1273">
        <v>0.97377622127532959</v>
      </c>
      <c r="I1273">
        <v>0.93764568764568768</v>
      </c>
      <c r="J1273">
        <v>10426334.375</v>
      </c>
      <c r="K1273">
        <v>55460</v>
      </c>
      <c r="L1273">
        <v>2</v>
      </c>
      <c r="M1273">
        <v>158</v>
      </c>
      <c r="N1273">
        <v>0.93851981351981351</v>
      </c>
      <c r="O1273">
        <v>9407827.666666666</v>
      </c>
      <c r="P1273">
        <v>56129</v>
      </c>
      <c r="Q1273">
        <v>2</v>
      </c>
      <c r="R1273">
        <v>159</v>
      </c>
      <c r="S1273" t="s">
        <v>978</v>
      </c>
      <c r="W1273">
        <f>Cancer_doubles_final2[[#This Row],[mlp_params]]</f>
        <v>55460</v>
      </c>
      <c r="X1273">
        <f>Cancer_doubles_final2[[#This Row],[kan_test_acc]]</f>
        <v>0.97377622127532959</v>
      </c>
      <c r="Y1273">
        <f>Cancer_doubles_final2[[#This Row],[mlp_test_acc]]</f>
        <v>0.93764568764568768</v>
      </c>
      <c r="Z1273">
        <f>Cancer_doubles_final2[[#This Row],[mlp_test_acc2]]</f>
        <v>0.93851981351981351</v>
      </c>
    </row>
    <row r="1274" spans="1:26" x14ac:dyDescent="0.25">
      <c r="A1274" t="s">
        <v>19</v>
      </c>
      <c r="B1274">
        <v>3</v>
      </c>
      <c r="C1274">
        <v>5</v>
      </c>
      <c r="D1274">
        <v>0</v>
      </c>
      <c r="E1274" t="s">
        <v>550</v>
      </c>
      <c r="F1274">
        <v>34282</v>
      </c>
      <c r="G1274">
        <v>55181380</v>
      </c>
      <c r="H1274">
        <v>0.95308857411146164</v>
      </c>
      <c r="I1274">
        <v>0.93764568764568768</v>
      </c>
      <c r="J1274">
        <v>10356877.333333332</v>
      </c>
      <c r="K1274">
        <v>68114</v>
      </c>
      <c r="L1274">
        <v>2</v>
      </c>
      <c r="M1274">
        <v>176</v>
      </c>
      <c r="N1274">
        <v>0.93793706293706292</v>
      </c>
      <c r="O1274">
        <v>10039425.458333334</v>
      </c>
      <c r="P1274">
        <v>68855</v>
      </c>
      <c r="Q1274">
        <v>2</v>
      </c>
      <c r="R1274">
        <v>177</v>
      </c>
      <c r="S1274" t="s">
        <v>977</v>
      </c>
      <c r="W1274">
        <f>Cancer_doubles_final2[[#This Row],[mlp_params]]</f>
        <v>68114</v>
      </c>
      <c r="X1274">
        <f>Cancer_doubles_final2[[#This Row],[kan_test_acc]]</f>
        <v>0.95308857411146164</v>
      </c>
      <c r="Y1274">
        <f>Cancer_doubles_final2[[#This Row],[mlp_test_acc]]</f>
        <v>0.93764568764568768</v>
      </c>
      <c r="Z1274">
        <f>Cancer_doubles_final2[[#This Row],[mlp_test_acc2]]</f>
        <v>0.93793706293706292</v>
      </c>
    </row>
    <row r="1275" spans="1:26" hidden="1" x14ac:dyDescent="0.25">
      <c r="A1275" t="s">
        <v>19</v>
      </c>
      <c r="B1275">
        <v>5</v>
      </c>
      <c r="C1275">
        <v>3</v>
      </c>
      <c r="D1275">
        <v>0</v>
      </c>
      <c r="E1275" t="s">
        <v>550</v>
      </c>
      <c r="F1275">
        <v>34282</v>
      </c>
      <c r="G1275">
        <v>52038645.666666664</v>
      </c>
      <c r="H1275">
        <v>0.94347319006919861</v>
      </c>
      <c r="I1275">
        <v>0.91754079254079257</v>
      </c>
      <c r="J1275">
        <v>9107992.041666666</v>
      </c>
      <c r="K1275">
        <v>55460</v>
      </c>
      <c r="L1275">
        <v>2</v>
      </c>
      <c r="M1275">
        <v>158</v>
      </c>
      <c r="N1275">
        <v>0.91754079254079257</v>
      </c>
      <c r="O1275">
        <v>9586354.75</v>
      </c>
      <c r="P1275">
        <v>56129</v>
      </c>
      <c r="Q1275">
        <v>2</v>
      </c>
      <c r="R1275">
        <v>159</v>
      </c>
      <c r="S1275" t="s">
        <v>978</v>
      </c>
      <c r="W1275">
        <f>Cancer_doubles_final2[[#This Row],[mlp_params]]</f>
        <v>55460</v>
      </c>
      <c r="X1275">
        <f>Cancer_doubles_final2[[#This Row],[kan_test_acc]]</f>
        <v>0.94347319006919861</v>
      </c>
      <c r="Y1275">
        <f>Cancer_doubles_final2[[#This Row],[mlp_test_acc]]</f>
        <v>0.91754079254079257</v>
      </c>
      <c r="Z1275">
        <f>Cancer_doubles_final2[[#This Row],[mlp_test_acc2]]</f>
        <v>0.91754079254079257</v>
      </c>
    </row>
    <row r="1276" spans="1:26" hidden="1" x14ac:dyDescent="0.25">
      <c r="A1276" t="s">
        <v>19</v>
      </c>
      <c r="B1276">
        <v>9</v>
      </c>
      <c r="C1276">
        <v>2</v>
      </c>
      <c r="D1276">
        <v>0</v>
      </c>
      <c r="E1276" t="s">
        <v>290</v>
      </c>
      <c r="F1276">
        <v>34346</v>
      </c>
      <c r="G1276">
        <v>34539027.916666672</v>
      </c>
      <c r="H1276">
        <v>0.93997668474912643</v>
      </c>
      <c r="I1276">
        <v>0.90530303030303028</v>
      </c>
      <c r="J1276">
        <v>8995858.7083333321</v>
      </c>
      <c r="K1276">
        <v>46514</v>
      </c>
      <c r="L1276">
        <v>2</v>
      </c>
      <c r="M1276">
        <v>144</v>
      </c>
      <c r="N1276">
        <v>0.90501165501165504</v>
      </c>
      <c r="O1276">
        <v>8961698.2916666679</v>
      </c>
      <c r="P1276">
        <v>47127</v>
      </c>
      <c r="Q1276">
        <v>2</v>
      </c>
      <c r="R1276">
        <v>145</v>
      </c>
      <c r="S1276" t="s">
        <v>979</v>
      </c>
      <c r="W1276">
        <f>Cancer_doubles_final2[[#This Row],[mlp_params]]</f>
        <v>46514</v>
      </c>
      <c r="X1276">
        <f>Cancer_doubles_final2[[#This Row],[kan_test_acc]]</f>
        <v>0.93997668474912643</v>
      </c>
      <c r="Y1276">
        <f>Cancer_doubles_final2[[#This Row],[mlp_test_acc]]</f>
        <v>0.90530303030303028</v>
      </c>
      <c r="Z1276">
        <f>Cancer_doubles_final2[[#This Row],[mlp_test_acc2]]</f>
        <v>0.90501165501165504</v>
      </c>
    </row>
    <row r="1277" spans="1:26" hidden="1" x14ac:dyDescent="0.25">
      <c r="A1277" t="s">
        <v>19</v>
      </c>
      <c r="B1277">
        <v>5</v>
      </c>
      <c r="C1277">
        <v>4</v>
      </c>
      <c r="D1277">
        <v>0</v>
      </c>
      <c r="E1277" t="s">
        <v>445</v>
      </c>
      <c r="F1277">
        <v>34458</v>
      </c>
      <c r="G1277">
        <v>37843503.666666672</v>
      </c>
      <c r="H1277">
        <v>0.93783993853463066</v>
      </c>
      <c r="I1277">
        <v>0.92132867132867136</v>
      </c>
      <c r="J1277">
        <v>9939734.194444444</v>
      </c>
      <c r="K1277">
        <v>60227</v>
      </c>
      <c r="L1277">
        <v>2</v>
      </c>
      <c r="M1277">
        <v>165</v>
      </c>
      <c r="N1277">
        <v>0.92832167832167833</v>
      </c>
      <c r="O1277">
        <v>10306812.388888888</v>
      </c>
      <c r="P1277">
        <v>60924</v>
      </c>
      <c r="Q1277">
        <v>2</v>
      </c>
      <c r="R1277">
        <v>166</v>
      </c>
      <c r="S1277" t="s">
        <v>980</v>
      </c>
      <c r="W1277">
        <f>Cancer_doubles_final2[[#This Row],[mlp_params]]</f>
        <v>60227</v>
      </c>
      <c r="X1277">
        <f>Cancer_doubles_final2[[#This Row],[kan_test_acc]]</f>
        <v>0.93783993853463066</v>
      </c>
      <c r="Y1277">
        <f>Cancer_doubles_final2[[#This Row],[mlp_test_acc]]</f>
        <v>0.92132867132867136</v>
      </c>
      <c r="Z1277">
        <f>Cancer_doubles_final2[[#This Row],[mlp_test_acc2]]</f>
        <v>0.92832167832167833</v>
      </c>
    </row>
    <row r="1278" spans="1:26" hidden="1" x14ac:dyDescent="0.25">
      <c r="A1278" t="s">
        <v>19</v>
      </c>
      <c r="B1278">
        <v>9</v>
      </c>
      <c r="C1278">
        <v>2</v>
      </c>
      <c r="D1278">
        <v>0</v>
      </c>
      <c r="E1278" t="s">
        <v>293</v>
      </c>
      <c r="F1278">
        <v>34462</v>
      </c>
      <c r="G1278">
        <v>43097203.1875</v>
      </c>
      <c r="H1278">
        <v>0.94565850496292114</v>
      </c>
      <c r="I1278">
        <v>0.93400349650349646</v>
      </c>
      <c r="J1278">
        <v>9668206.125</v>
      </c>
      <c r="K1278">
        <v>46514</v>
      </c>
      <c r="L1278">
        <v>2</v>
      </c>
      <c r="M1278">
        <v>144</v>
      </c>
      <c r="N1278">
        <v>0.93924825174825177</v>
      </c>
      <c r="O1278">
        <v>10114932.791666666</v>
      </c>
      <c r="P1278">
        <v>47127</v>
      </c>
      <c r="Q1278">
        <v>2</v>
      </c>
      <c r="R1278">
        <v>145</v>
      </c>
      <c r="S1278" t="s">
        <v>981</v>
      </c>
      <c r="W1278">
        <f>Cancer_doubles_final2[[#This Row],[mlp_params]]</f>
        <v>46514</v>
      </c>
      <c r="X1278">
        <f>Cancer_doubles_final2[[#This Row],[kan_test_acc]]</f>
        <v>0.94565850496292114</v>
      </c>
      <c r="Y1278">
        <f>Cancer_doubles_final2[[#This Row],[mlp_test_acc]]</f>
        <v>0.93400349650349646</v>
      </c>
      <c r="Z1278">
        <f>Cancer_doubles_final2[[#This Row],[mlp_test_acc2]]</f>
        <v>0.93924825174825177</v>
      </c>
    </row>
    <row r="1279" spans="1:26" hidden="1" x14ac:dyDescent="0.25">
      <c r="A1279" t="s">
        <v>19</v>
      </c>
      <c r="B1279">
        <v>9</v>
      </c>
      <c r="C1279">
        <v>3</v>
      </c>
      <c r="D1279">
        <v>0</v>
      </c>
      <c r="E1279" t="s">
        <v>243</v>
      </c>
      <c r="F1279">
        <v>34510</v>
      </c>
      <c r="G1279">
        <v>32244190.611111112</v>
      </c>
      <c r="H1279">
        <v>0.92832168108887136</v>
      </c>
      <c r="I1279">
        <v>0.92773892773892774</v>
      </c>
      <c r="J1279">
        <v>9228442.3055555541</v>
      </c>
      <c r="K1279">
        <v>50252</v>
      </c>
      <c r="L1279">
        <v>2</v>
      </c>
      <c r="M1279">
        <v>150</v>
      </c>
      <c r="N1279">
        <v>0.93065268065268059</v>
      </c>
      <c r="O1279">
        <v>9753009.277777778</v>
      </c>
      <c r="P1279">
        <v>50889</v>
      </c>
      <c r="Q1279">
        <v>2</v>
      </c>
      <c r="R1279">
        <v>151</v>
      </c>
      <c r="S1279" t="s">
        <v>982</v>
      </c>
      <c r="W1279">
        <f>Cancer_doubles_final2[[#This Row],[mlp_params]]</f>
        <v>50252</v>
      </c>
      <c r="X1279">
        <f>Cancer_doubles_final2[[#This Row],[kan_test_acc]]</f>
        <v>0.92832168108887136</v>
      </c>
      <c r="Y1279">
        <f>Cancer_doubles_final2[[#This Row],[mlp_test_acc]]</f>
        <v>0.92773892773892774</v>
      </c>
      <c r="Z1279">
        <f>Cancer_doubles_final2[[#This Row],[mlp_test_acc2]]</f>
        <v>0.93065268065268059</v>
      </c>
    </row>
    <row r="1280" spans="1:26" hidden="1" x14ac:dyDescent="0.25">
      <c r="A1280" t="s">
        <v>19</v>
      </c>
      <c r="B1280">
        <v>9</v>
      </c>
      <c r="C1280">
        <v>2</v>
      </c>
      <c r="D1280">
        <v>0</v>
      </c>
      <c r="E1280" t="s">
        <v>296</v>
      </c>
      <c r="F1280">
        <v>34516</v>
      </c>
      <c r="G1280">
        <v>31434147.458333336</v>
      </c>
      <c r="H1280">
        <v>0.93764569362004602</v>
      </c>
      <c r="I1280">
        <v>0.93997668997668993</v>
      </c>
      <c r="J1280">
        <v>9839698.541666666</v>
      </c>
      <c r="K1280">
        <v>46514</v>
      </c>
      <c r="L1280">
        <v>2</v>
      </c>
      <c r="M1280">
        <v>144</v>
      </c>
      <c r="N1280">
        <v>0.94230769230769229</v>
      </c>
      <c r="O1280">
        <v>9397180.0416666679</v>
      </c>
      <c r="P1280">
        <v>47127</v>
      </c>
      <c r="Q1280">
        <v>2</v>
      </c>
      <c r="R1280">
        <v>145</v>
      </c>
      <c r="S1280" t="s">
        <v>983</v>
      </c>
      <c r="W1280">
        <f>Cancer_doubles_final2[[#This Row],[mlp_params]]</f>
        <v>46514</v>
      </c>
      <c r="X1280">
        <f>Cancer_doubles_final2[[#This Row],[kan_test_acc]]</f>
        <v>0.93764569362004602</v>
      </c>
      <c r="Y1280">
        <f>Cancer_doubles_final2[[#This Row],[mlp_test_acc]]</f>
        <v>0.93997668997668993</v>
      </c>
      <c r="Z1280">
        <f>Cancer_doubles_final2[[#This Row],[mlp_test_acc2]]</f>
        <v>0.94230769230769229</v>
      </c>
    </row>
    <row r="1281" spans="1:26" x14ac:dyDescent="0.25">
      <c r="A1281" t="s">
        <v>19</v>
      </c>
      <c r="B1281">
        <v>3</v>
      </c>
      <c r="C1281">
        <v>5</v>
      </c>
      <c r="D1281">
        <v>0</v>
      </c>
      <c r="E1281" t="s">
        <v>561</v>
      </c>
      <c r="F1281">
        <v>34544</v>
      </c>
      <c r="G1281">
        <v>38515385.611111112</v>
      </c>
      <c r="H1281">
        <v>0.93706294066376161</v>
      </c>
      <c r="I1281">
        <v>0.91822066822066817</v>
      </c>
      <c r="J1281">
        <v>9831175.916666666</v>
      </c>
      <c r="K1281">
        <v>68855</v>
      </c>
      <c r="L1281">
        <v>2</v>
      </c>
      <c r="M1281">
        <v>177</v>
      </c>
      <c r="N1281">
        <v>0.91996891996891994</v>
      </c>
      <c r="O1281">
        <v>9217826.555555556</v>
      </c>
      <c r="P1281">
        <v>69600</v>
      </c>
      <c r="Q1281">
        <v>2</v>
      </c>
      <c r="R1281">
        <v>178</v>
      </c>
      <c r="S1281" t="s">
        <v>984</v>
      </c>
      <c r="W1281">
        <f>Cancer_doubles_final2[[#This Row],[mlp_params]]</f>
        <v>68855</v>
      </c>
      <c r="X1281">
        <f>Cancer_doubles_final2[[#This Row],[kan_test_acc]]</f>
        <v>0.93706294066376161</v>
      </c>
      <c r="Y1281">
        <f>Cancer_doubles_final2[[#This Row],[mlp_test_acc]]</f>
        <v>0.91822066822066817</v>
      </c>
      <c r="Z1281">
        <f>Cancer_doubles_final2[[#This Row],[mlp_test_acc2]]</f>
        <v>0.91996891996891994</v>
      </c>
    </row>
    <row r="1282" spans="1:26" hidden="1" x14ac:dyDescent="0.25">
      <c r="A1282" t="s">
        <v>19</v>
      </c>
      <c r="B1282">
        <v>5</v>
      </c>
      <c r="C1282">
        <v>3</v>
      </c>
      <c r="D1282">
        <v>0</v>
      </c>
      <c r="E1282" t="s">
        <v>561</v>
      </c>
      <c r="F1282">
        <v>34544</v>
      </c>
      <c r="G1282">
        <v>53072294.583333336</v>
      </c>
      <c r="H1282">
        <v>0.96765733758608496</v>
      </c>
      <c r="I1282">
        <v>0.94114219114219111</v>
      </c>
      <c r="J1282">
        <v>10213364.875</v>
      </c>
      <c r="K1282">
        <v>56129</v>
      </c>
      <c r="L1282">
        <v>2</v>
      </c>
      <c r="M1282">
        <v>159</v>
      </c>
      <c r="N1282">
        <v>0.94172494172494181</v>
      </c>
      <c r="O1282">
        <v>9993943</v>
      </c>
      <c r="P1282">
        <v>56802</v>
      </c>
      <c r="Q1282">
        <v>2</v>
      </c>
      <c r="R1282">
        <v>160</v>
      </c>
      <c r="S1282" t="s">
        <v>985</v>
      </c>
      <c r="W1282">
        <f>Cancer_doubles_final2[[#This Row],[mlp_params]]</f>
        <v>56129</v>
      </c>
      <c r="X1282">
        <f>Cancer_doubles_final2[[#This Row],[kan_test_acc]]</f>
        <v>0.96765733758608496</v>
      </c>
      <c r="Y1282">
        <f>Cancer_doubles_final2[[#This Row],[mlp_test_acc]]</f>
        <v>0.94114219114219111</v>
      </c>
      <c r="Z1282">
        <f>Cancer_doubles_final2[[#This Row],[mlp_test_acc2]]</f>
        <v>0.94172494172494181</v>
      </c>
    </row>
    <row r="1283" spans="1:26" x14ac:dyDescent="0.25">
      <c r="A1283" t="s">
        <v>19</v>
      </c>
      <c r="B1283">
        <v>3</v>
      </c>
      <c r="C1283">
        <v>5</v>
      </c>
      <c r="D1283">
        <v>0</v>
      </c>
      <c r="E1283" t="s">
        <v>561</v>
      </c>
      <c r="F1283">
        <v>34544</v>
      </c>
      <c r="G1283">
        <v>55997435.958333336</v>
      </c>
      <c r="H1283">
        <v>0.96037295957406354</v>
      </c>
      <c r="I1283">
        <v>0.94026806526806528</v>
      </c>
      <c r="J1283">
        <v>10722112.666666666</v>
      </c>
      <c r="K1283">
        <v>68855</v>
      </c>
      <c r="L1283">
        <v>2</v>
      </c>
      <c r="M1283">
        <v>177</v>
      </c>
      <c r="N1283">
        <v>0.94259906759906764</v>
      </c>
      <c r="O1283">
        <v>10820055.625</v>
      </c>
      <c r="P1283">
        <v>69600</v>
      </c>
      <c r="Q1283">
        <v>2</v>
      </c>
      <c r="R1283">
        <v>178</v>
      </c>
      <c r="S1283" t="s">
        <v>984</v>
      </c>
      <c r="W1283">
        <f>Cancer_doubles_final2[[#This Row],[mlp_params]]</f>
        <v>68855</v>
      </c>
      <c r="X1283">
        <f>Cancer_doubles_final2[[#This Row],[kan_test_acc]]</f>
        <v>0.96037295957406354</v>
      </c>
      <c r="Y1283">
        <f>Cancer_doubles_final2[[#This Row],[mlp_test_acc]]</f>
        <v>0.94026806526806528</v>
      </c>
      <c r="Z1283">
        <f>Cancer_doubles_final2[[#This Row],[mlp_test_acc2]]</f>
        <v>0.94259906759906764</v>
      </c>
    </row>
    <row r="1284" spans="1:26" hidden="1" x14ac:dyDescent="0.25">
      <c r="A1284" t="s">
        <v>19</v>
      </c>
      <c r="B1284">
        <v>5</v>
      </c>
      <c r="C1284">
        <v>3</v>
      </c>
      <c r="D1284">
        <v>0</v>
      </c>
      <c r="E1284" t="s">
        <v>561</v>
      </c>
      <c r="F1284">
        <v>34544</v>
      </c>
      <c r="G1284">
        <v>56574643.083333336</v>
      </c>
      <c r="H1284">
        <v>0.95396270602941513</v>
      </c>
      <c r="I1284">
        <v>0.92132867132867124</v>
      </c>
      <c r="J1284">
        <v>9748231.416666666</v>
      </c>
      <c r="K1284">
        <v>56129</v>
      </c>
      <c r="L1284">
        <v>2</v>
      </c>
      <c r="M1284">
        <v>159</v>
      </c>
      <c r="N1284">
        <v>0.92045454545454541</v>
      </c>
      <c r="O1284">
        <v>11023638.5</v>
      </c>
      <c r="P1284">
        <v>56802</v>
      </c>
      <c r="Q1284">
        <v>2</v>
      </c>
      <c r="R1284">
        <v>160</v>
      </c>
      <c r="S1284" t="s">
        <v>985</v>
      </c>
      <c r="W1284">
        <f>Cancer_doubles_final2[[#This Row],[mlp_params]]</f>
        <v>56129</v>
      </c>
      <c r="X1284">
        <f>Cancer_doubles_final2[[#This Row],[kan_test_acc]]</f>
        <v>0.95396270602941513</v>
      </c>
      <c r="Y1284">
        <f>Cancer_doubles_final2[[#This Row],[mlp_test_acc]]</f>
        <v>0.92132867132867124</v>
      </c>
      <c r="Z1284">
        <f>Cancer_doubles_final2[[#This Row],[mlp_test_acc2]]</f>
        <v>0.92045454545454541</v>
      </c>
    </row>
    <row r="1285" spans="1:26" hidden="1" x14ac:dyDescent="0.25">
      <c r="A1285" t="s">
        <v>19</v>
      </c>
      <c r="B1285">
        <v>5</v>
      </c>
      <c r="C1285">
        <v>3</v>
      </c>
      <c r="D1285">
        <v>0</v>
      </c>
      <c r="E1285" t="s">
        <v>563</v>
      </c>
      <c r="F1285">
        <v>34630</v>
      </c>
      <c r="G1285">
        <v>42310074.75</v>
      </c>
      <c r="H1285">
        <v>0.97115385284026468</v>
      </c>
      <c r="I1285">
        <v>0.92890442890442881</v>
      </c>
      <c r="J1285">
        <v>9152705.875</v>
      </c>
      <c r="K1285">
        <v>56129</v>
      </c>
      <c r="L1285">
        <v>2</v>
      </c>
      <c r="M1285">
        <v>159</v>
      </c>
      <c r="N1285">
        <v>0.92482517482517479</v>
      </c>
      <c r="O1285">
        <v>11229644.125</v>
      </c>
      <c r="P1285">
        <v>56802</v>
      </c>
      <c r="Q1285">
        <v>2</v>
      </c>
      <c r="R1285">
        <v>160</v>
      </c>
      <c r="S1285" t="s">
        <v>986</v>
      </c>
      <c r="W1285">
        <f>Cancer_doubles_final2[[#This Row],[mlp_params]]</f>
        <v>56129</v>
      </c>
      <c r="X1285">
        <f>Cancer_doubles_final2[[#This Row],[kan_test_acc]]</f>
        <v>0.97115385284026468</v>
      </c>
      <c r="Y1285">
        <f>Cancer_doubles_final2[[#This Row],[mlp_test_acc]]</f>
        <v>0.92890442890442881</v>
      </c>
      <c r="Z1285">
        <f>Cancer_doubles_final2[[#This Row],[mlp_test_acc2]]</f>
        <v>0.92482517482517479</v>
      </c>
    </row>
    <row r="1286" spans="1:26" x14ac:dyDescent="0.25">
      <c r="A1286" t="s">
        <v>19</v>
      </c>
      <c r="B1286">
        <v>3</v>
      </c>
      <c r="C1286">
        <v>5</v>
      </c>
      <c r="D1286">
        <v>0</v>
      </c>
      <c r="E1286" t="s">
        <v>563</v>
      </c>
      <c r="F1286">
        <v>34630</v>
      </c>
      <c r="G1286">
        <v>49254886.833333328</v>
      </c>
      <c r="H1286">
        <v>0.97902098546425509</v>
      </c>
      <c r="I1286">
        <v>0.95104895104895104</v>
      </c>
      <c r="J1286">
        <v>10446646.416666666</v>
      </c>
      <c r="K1286">
        <v>68855</v>
      </c>
      <c r="L1286">
        <v>2</v>
      </c>
      <c r="M1286">
        <v>177</v>
      </c>
      <c r="N1286">
        <v>0.94609557109557108</v>
      </c>
      <c r="O1286">
        <v>11145288.5</v>
      </c>
      <c r="P1286">
        <v>69600</v>
      </c>
      <c r="Q1286">
        <v>2</v>
      </c>
      <c r="R1286">
        <v>178</v>
      </c>
      <c r="S1286" t="s">
        <v>987</v>
      </c>
      <c r="W1286">
        <f>Cancer_doubles_final2[[#This Row],[mlp_params]]</f>
        <v>68855</v>
      </c>
      <c r="X1286">
        <f>Cancer_doubles_final2[[#This Row],[kan_test_acc]]</f>
        <v>0.97902098546425509</v>
      </c>
      <c r="Y1286">
        <f>Cancer_doubles_final2[[#This Row],[mlp_test_acc]]</f>
        <v>0.95104895104895104</v>
      </c>
      <c r="Z1286">
        <f>Cancer_doubles_final2[[#This Row],[mlp_test_acc2]]</f>
        <v>0.94609557109557108</v>
      </c>
    </row>
    <row r="1287" spans="1:26" hidden="1" x14ac:dyDescent="0.25">
      <c r="A1287" t="s">
        <v>19</v>
      </c>
      <c r="B1287">
        <v>5</v>
      </c>
      <c r="C1287">
        <v>3</v>
      </c>
      <c r="D1287">
        <v>0</v>
      </c>
      <c r="E1287" t="s">
        <v>563</v>
      </c>
      <c r="F1287">
        <v>34630</v>
      </c>
      <c r="G1287">
        <v>51367744.5</v>
      </c>
      <c r="H1287">
        <v>0.96561771134535479</v>
      </c>
      <c r="I1287">
        <v>0.94026806526806528</v>
      </c>
      <c r="J1287">
        <v>9703934.791666666</v>
      </c>
      <c r="K1287">
        <v>56129</v>
      </c>
      <c r="L1287">
        <v>2</v>
      </c>
      <c r="M1287">
        <v>159</v>
      </c>
      <c r="N1287">
        <v>0.94201631701631705</v>
      </c>
      <c r="O1287">
        <v>10344634.833333332</v>
      </c>
      <c r="P1287">
        <v>56802</v>
      </c>
      <c r="Q1287">
        <v>2</v>
      </c>
      <c r="R1287">
        <v>160</v>
      </c>
      <c r="S1287" t="s">
        <v>986</v>
      </c>
      <c r="W1287">
        <f>Cancer_doubles_final2[[#This Row],[mlp_params]]</f>
        <v>56129</v>
      </c>
      <c r="X1287">
        <f>Cancer_doubles_final2[[#This Row],[kan_test_acc]]</f>
        <v>0.96561771134535479</v>
      </c>
      <c r="Y1287">
        <f>Cancer_doubles_final2[[#This Row],[mlp_test_acc]]</f>
        <v>0.94026806526806528</v>
      </c>
      <c r="Z1287">
        <f>Cancer_doubles_final2[[#This Row],[mlp_test_acc2]]</f>
        <v>0.94201631701631705</v>
      </c>
    </row>
    <row r="1288" spans="1:26" x14ac:dyDescent="0.25">
      <c r="A1288" t="s">
        <v>19</v>
      </c>
      <c r="B1288">
        <v>3</v>
      </c>
      <c r="C1288">
        <v>5</v>
      </c>
      <c r="D1288">
        <v>0</v>
      </c>
      <c r="E1288" t="s">
        <v>563</v>
      </c>
      <c r="F1288">
        <v>34630</v>
      </c>
      <c r="G1288">
        <v>58870021.208333336</v>
      </c>
      <c r="H1288">
        <v>0.96212120354175568</v>
      </c>
      <c r="I1288">
        <v>0.93939393939393945</v>
      </c>
      <c r="J1288">
        <v>10439242</v>
      </c>
      <c r="K1288">
        <v>68855</v>
      </c>
      <c r="L1288">
        <v>2</v>
      </c>
      <c r="M1288">
        <v>177</v>
      </c>
      <c r="N1288">
        <v>0.94347319347319347</v>
      </c>
      <c r="O1288">
        <v>11594848.833333332</v>
      </c>
      <c r="P1288">
        <v>69600</v>
      </c>
      <c r="Q1288">
        <v>2</v>
      </c>
      <c r="R1288">
        <v>178</v>
      </c>
      <c r="S1288" t="s">
        <v>987</v>
      </c>
      <c r="W1288">
        <f>Cancer_doubles_final2[[#This Row],[mlp_params]]</f>
        <v>68855</v>
      </c>
      <c r="X1288">
        <f>Cancer_doubles_final2[[#This Row],[kan_test_acc]]</f>
        <v>0.96212120354175568</v>
      </c>
      <c r="Y1288">
        <f>Cancer_doubles_final2[[#This Row],[mlp_test_acc]]</f>
        <v>0.93939393939393945</v>
      </c>
      <c r="Z1288">
        <f>Cancer_doubles_final2[[#This Row],[mlp_test_acc2]]</f>
        <v>0.94347319347319347</v>
      </c>
    </row>
    <row r="1289" spans="1:26" hidden="1" x14ac:dyDescent="0.25">
      <c r="A1289" t="s">
        <v>19</v>
      </c>
      <c r="B1289">
        <v>5</v>
      </c>
      <c r="C1289">
        <v>3</v>
      </c>
      <c r="D1289">
        <v>0</v>
      </c>
      <c r="E1289" t="s">
        <v>563</v>
      </c>
      <c r="F1289">
        <v>34630</v>
      </c>
      <c r="G1289">
        <v>54977995.375000007</v>
      </c>
      <c r="H1289">
        <v>0.94784381737311674</v>
      </c>
      <c r="I1289">
        <v>0.92395104895104896</v>
      </c>
      <c r="J1289">
        <v>10135724.625</v>
      </c>
      <c r="K1289">
        <v>56129</v>
      </c>
      <c r="L1289">
        <v>2</v>
      </c>
      <c r="M1289">
        <v>159</v>
      </c>
      <c r="N1289">
        <v>0.92191142191142195</v>
      </c>
      <c r="O1289">
        <v>11041636.541666668</v>
      </c>
      <c r="P1289">
        <v>56802</v>
      </c>
      <c r="Q1289">
        <v>2</v>
      </c>
      <c r="R1289">
        <v>160</v>
      </c>
      <c r="S1289" t="s">
        <v>986</v>
      </c>
      <c r="W1289">
        <f>Cancer_doubles_final2[[#This Row],[mlp_params]]</f>
        <v>56129</v>
      </c>
      <c r="X1289">
        <f>Cancer_doubles_final2[[#This Row],[kan_test_acc]]</f>
        <v>0.94784381737311674</v>
      </c>
      <c r="Y1289">
        <f>Cancer_doubles_final2[[#This Row],[mlp_test_acc]]</f>
        <v>0.92395104895104896</v>
      </c>
      <c r="Z1289">
        <f>Cancer_doubles_final2[[#This Row],[mlp_test_acc2]]</f>
        <v>0.92191142191142195</v>
      </c>
    </row>
    <row r="1290" spans="1:26" hidden="1" x14ac:dyDescent="0.25">
      <c r="A1290" t="s">
        <v>19</v>
      </c>
      <c r="B1290">
        <v>5</v>
      </c>
      <c r="C1290">
        <v>5</v>
      </c>
      <c r="D1290">
        <v>0</v>
      </c>
      <c r="E1290" t="s">
        <v>365</v>
      </c>
      <c r="F1290">
        <v>34658</v>
      </c>
      <c r="G1290">
        <v>47523174.333333336</v>
      </c>
      <c r="H1290">
        <v>0.9248251741131146</v>
      </c>
      <c r="I1290">
        <v>0.91025641025641024</v>
      </c>
      <c r="J1290">
        <v>9150287.375</v>
      </c>
      <c r="K1290">
        <v>63752</v>
      </c>
      <c r="L1290">
        <v>2</v>
      </c>
      <c r="M1290">
        <v>170</v>
      </c>
      <c r="N1290">
        <v>0.90792540792540788</v>
      </c>
      <c r="O1290">
        <v>9526589.0416666679</v>
      </c>
      <c r="P1290">
        <v>64469</v>
      </c>
      <c r="Q1290">
        <v>2</v>
      </c>
      <c r="R1290">
        <v>171</v>
      </c>
      <c r="S1290" t="s">
        <v>988</v>
      </c>
      <c r="W1290">
        <f>Cancer_doubles_final2[[#This Row],[mlp_params]]</f>
        <v>63752</v>
      </c>
      <c r="X1290">
        <f>Cancer_doubles_final2[[#This Row],[kan_test_acc]]</f>
        <v>0.9248251741131146</v>
      </c>
      <c r="Y1290">
        <f>Cancer_doubles_final2[[#This Row],[mlp_test_acc]]</f>
        <v>0.91025641025641024</v>
      </c>
      <c r="Z1290">
        <f>Cancer_doubles_final2[[#This Row],[mlp_test_acc2]]</f>
        <v>0.90792540792540788</v>
      </c>
    </row>
    <row r="1291" spans="1:26" hidden="1" x14ac:dyDescent="0.25">
      <c r="A1291" t="s">
        <v>19</v>
      </c>
      <c r="B1291">
        <v>5</v>
      </c>
      <c r="C1291">
        <v>5</v>
      </c>
      <c r="D1291">
        <v>0</v>
      </c>
      <c r="E1291" t="s">
        <v>367</v>
      </c>
      <c r="F1291">
        <v>34664</v>
      </c>
      <c r="G1291">
        <v>49796201.5</v>
      </c>
      <c r="H1291">
        <v>0.89180264373620355</v>
      </c>
      <c r="I1291">
        <v>0.92016317016317017</v>
      </c>
      <c r="J1291">
        <v>10244538.472222222</v>
      </c>
      <c r="K1291">
        <v>63752</v>
      </c>
      <c r="L1291">
        <v>2</v>
      </c>
      <c r="M1291">
        <v>170</v>
      </c>
      <c r="N1291">
        <v>0.91802641802641805</v>
      </c>
      <c r="O1291">
        <v>9780756.75</v>
      </c>
      <c r="P1291">
        <v>64469</v>
      </c>
      <c r="Q1291">
        <v>2</v>
      </c>
      <c r="R1291">
        <v>171</v>
      </c>
      <c r="S1291" t="s">
        <v>989</v>
      </c>
      <c r="W1291">
        <f>Cancer_doubles_final2[[#This Row],[mlp_params]]</f>
        <v>63752</v>
      </c>
      <c r="X1291">
        <f>Cancer_doubles_final2[[#This Row],[kan_test_acc]]</f>
        <v>0.89180264373620355</v>
      </c>
      <c r="Y1291">
        <f>Cancer_doubles_final2[[#This Row],[mlp_test_acc]]</f>
        <v>0.92016317016317017</v>
      </c>
      <c r="Z1291">
        <f>Cancer_doubles_final2[[#This Row],[mlp_test_acc2]]</f>
        <v>0.91802641802641805</v>
      </c>
    </row>
    <row r="1292" spans="1:26" hidden="1" x14ac:dyDescent="0.25">
      <c r="A1292" t="s">
        <v>19</v>
      </c>
      <c r="B1292">
        <v>9</v>
      </c>
      <c r="C1292">
        <v>3</v>
      </c>
      <c r="D1292">
        <v>0</v>
      </c>
      <c r="E1292" t="s">
        <v>250</v>
      </c>
      <c r="F1292">
        <v>34696</v>
      </c>
      <c r="G1292">
        <v>45982095.55555556</v>
      </c>
      <c r="H1292">
        <v>0.92035741772916591</v>
      </c>
      <c r="I1292">
        <v>0.93512043512043508</v>
      </c>
      <c r="J1292">
        <v>9214616.1666666679</v>
      </c>
      <c r="K1292">
        <v>50252</v>
      </c>
      <c r="L1292">
        <v>2</v>
      </c>
      <c r="M1292">
        <v>150</v>
      </c>
      <c r="N1292">
        <v>0.93745143745143744</v>
      </c>
      <c r="O1292">
        <v>9645884.3611111119</v>
      </c>
      <c r="P1292">
        <v>50889</v>
      </c>
      <c r="Q1292">
        <v>2</v>
      </c>
      <c r="R1292">
        <v>151</v>
      </c>
      <c r="S1292" t="s">
        <v>990</v>
      </c>
      <c r="W1292">
        <f>Cancer_doubles_final2[[#This Row],[mlp_params]]</f>
        <v>50252</v>
      </c>
      <c r="X1292">
        <f>Cancer_doubles_final2[[#This Row],[kan_test_acc]]</f>
        <v>0.92035741772916591</v>
      </c>
      <c r="Y1292">
        <f>Cancer_doubles_final2[[#This Row],[mlp_test_acc]]</f>
        <v>0.93512043512043508</v>
      </c>
      <c r="Z1292">
        <f>Cancer_doubles_final2[[#This Row],[mlp_test_acc2]]</f>
        <v>0.93745143745143744</v>
      </c>
    </row>
    <row r="1293" spans="1:26" hidden="1" x14ac:dyDescent="0.25">
      <c r="A1293" t="s">
        <v>19</v>
      </c>
      <c r="B1293">
        <v>3</v>
      </c>
      <c r="C1293">
        <v>4</v>
      </c>
      <c r="D1293">
        <v>0</v>
      </c>
      <c r="E1293" t="s">
        <v>697</v>
      </c>
      <c r="F1293">
        <v>34698</v>
      </c>
      <c r="G1293">
        <v>43910491.861111112</v>
      </c>
      <c r="H1293">
        <v>0.93861693971686888</v>
      </c>
      <c r="I1293">
        <v>0.92987567987567987</v>
      </c>
      <c r="J1293">
        <v>9189968.222222222</v>
      </c>
      <c r="K1293">
        <v>65190</v>
      </c>
      <c r="L1293">
        <v>2</v>
      </c>
      <c r="M1293">
        <v>172</v>
      </c>
      <c r="N1293">
        <v>0.92715617715617715</v>
      </c>
      <c r="O1293">
        <v>9752486</v>
      </c>
      <c r="P1293">
        <v>65915</v>
      </c>
      <c r="Q1293">
        <v>2</v>
      </c>
      <c r="R1293">
        <v>173</v>
      </c>
      <c r="S1293" t="s">
        <v>991</v>
      </c>
      <c r="W1293">
        <f>Cancer_doubles_final2[[#This Row],[mlp_params]]</f>
        <v>65190</v>
      </c>
      <c r="X1293">
        <f>Cancer_doubles_final2[[#This Row],[kan_test_acc]]</f>
        <v>0.93861693971686888</v>
      </c>
      <c r="Y1293">
        <f>Cancer_doubles_final2[[#This Row],[mlp_test_acc]]</f>
        <v>0.92987567987567987</v>
      </c>
      <c r="Z1293">
        <f>Cancer_doubles_final2[[#This Row],[mlp_test_acc2]]</f>
        <v>0.92715617715617715</v>
      </c>
    </row>
    <row r="1294" spans="1:26" hidden="1" x14ac:dyDescent="0.25">
      <c r="A1294" t="s">
        <v>19</v>
      </c>
      <c r="B1294">
        <v>5</v>
      </c>
      <c r="C1294">
        <v>2</v>
      </c>
      <c r="D1294">
        <v>0</v>
      </c>
      <c r="E1294" t="s">
        <v>697</v>
      </c>
      <c r="F1294">
        <v>34698</v>
      </c>
      <c r="G1294">
        <v>44145372.083333336</v>
      </c>
      <c r="H1294">
        <v>0.97115384290615714</v>
      </c>
      <c r="I1294">
        <v>0.94376456876456882</v>
      </c>
      <c r="J1294">
        <v>8707757.541666666</v>
      </c>
      <c r="K1294">
        <v>51530</v>
      </c>
      <c r="L1294">
        <v>2</v>
      </c>
      <c r="M1294">
        <v>152</v>
      </c>
      <c r="N1294">
        <v>0.93735431235431232</v>
      </c>
      <c r="O1294">
        <v>10202867.083333332</v>
      </c>
      <c r="P1294">
        <v>52175</v>
      </c>
      <c r="Q1294">
        <v>2</v>
      </c>
      <c r="R1294">
        <v>153</v>
      </c>
      <c r="S1294" t="s">
        <v>992</v>
      </c>
      <c r="W1294">
        <f>Cancer_doubles_final2[[#This Row],[mlp_params]]</f>
        <v>51530</v>
      </c>
      <c r="X1294">
        <f>Cancer_doubles_final2[[#This Row],[kan_test_acc]]</f>
        <v>0.97115384290615714</v>
      </c>
      <c r="Y1294">
        <f>Cancer_doubles_final2[[#This Row],[mlp_test_acc]]</f>
        <v>0.94376456876456882</v>
      </c>
      <c r="Z1294">
        <f>Cancer_doubles_final2[[#This Row],[mlp_test_acc2]]</f>
        <v>0.93735431235431232</v>
      </c>
    </row>
    <row r="1295" spans="1:26" hidden="1" x14ac:dyDescent="0.25">
      <c r="A1295" t="s">
        <v>19</v>
      </c>
      <c r="B1295">
        <v>3</v>
      </c>
      <c r="C1295">
        <v>4</v>
      </c>
      <c r="D1295">
        <v>0</v>
      </c>
      <c r="E1295" t="s">
        <v>697</v>
      </c>
      <c r="F1295">
        <v>34698</v>
      </c>
      <c r="G1295">
        <v>46006271.291666664</v>
      </c>
      <c r="H1295">
        <v>0.96212120354175568</v>
      </c>
      <c r="I1295">
        <v>0.92948717948717952</v>
      </c>
      <c r="J1295">
        <v>9092199.5416666679</v>
      </c>
      <c r="K1295">
        <v>65190</v>
      </c>
      <c r="L1295">
        <v>2</v>
      </c>
      <c r="M1295">
        <v>172</v>
      </c>
      <c r="N1295">
        <v>0.9268648018648018</v>
      </c>
      <c r="O1295">
        <v>10006149.25</v>
      </c>
      <c r="P1295">
        <v>65915</v>
      </c>
      <c r="Q1295">
        <v>2</v>
      </c>
      <c r="R1295">
        <v>173</v>
      </c>
      <c r="S1295" t="s">
        <v>991</v>
      </c>
      <c r="W1295">
        <f>Cancer_doubles_final2[[#This Row],[mlp_params]]</f>
        <v>65190</v>
      </c>
      <c r="X1295">
        <f>Cancer_doubles_final2[[#This Row],[kan_test_acc]]</f>
        <v>0.96212120354175568</v>
      </c>
      <c r="Y1295">
        <f>Cancer_doubles_final2[[#This Row],[mlp_test_acc]]</f>
        <v>0.92948717948717952</v>
      </c>
      <c r="Z1295">
        <f>Cancer_doubles_final2[[#This Row],[mlp_test_acc2]]</f>
        <v>0.9268648018648018</v>
      </c>
    </row>
    <row r="1296" spans="1:26" hidden="1" x14ac:dyDescent="0.25">
      <c r="A1296" t="s">
        <v>19</v>
      </c>
      <c r="B1296">
        <v>5</v>
      </c>
      <c r="C1296">
        <v>2</v>
      </c>
      <c r="D1296">
        <v>0</v>
      </c>
      <c r="E1296" t="s">
        <v>697</v>
      </c>
      <c r="F1296">
        <v>34698</v>
      </c>
      <c r="G1296">
        <v>40202440.791666664</v>
      </c>
      <c r="H1296">
        <v>0.95192306737105048</v>
      </c>
      <c r="I1296">
        <v>0.91171328671328677</v>
      </c>
      <c r="J1296">
        <v>9223553.125</v>
      </c>
      <c r="K1296">
        <v>51530</v>
      </c>
      <c r="L1296">
        <v>2</v>
      </c>
      <c r="M1296">
        <v>152</v>
      </c>
      <c r="N1296">
        <v>0.90734265734265729</v>
      </c>
      <c r="O1296">
        <v>9820568.125</v>
      </c>
      <c r="P1296">
        <v>52175</v>
      </c>
      <c r="Q1296">
        <v>2</v>
      </c>
      <c r="R1296">
        <v>153</v>
      </c>
      <c r="S1296" t="s">
        <v>992</v>
      </c>
      <c r="W1296">
        <f>Cancer_doubles_final2[[#This Row],[mlp_params]]</f>
        <v>51530</v>
      </c>
      <c r="X1296">
        <f>Cancer_doubles_final2[[#This Row],[kan_test_acc]]</f>
        <v>0.95192306737105048</v>
      </c>
      <c r="Y1296">
        <f>Cancer_doubles_final2[[#This Row],[mlp_test_acc]]</f>
        <v>0.91171328671328677</v>
      </c>
      <c r="Z1296">
        <f>Cancer_doubles_final2[[#This Row],[mlp_test_acc2]]</f>
        <v>0.90734265734265729</v>
      </c>
    </row>
    <row r="1297" spans="1:26" hidden="1" x14ac:dyDescent="0.25">
      <c r="A1297" t="s">
        <v>19</v>
      </c>
      <c r="B1297">
        <v>5</v>
      </c>
      <c r="C1297">
        <v>4</v>
      </c>
      <c r="D1297">
        <v>0</v>
      </c>
      <c r="E1297" t="s">
        <v>457</v>
      </c>
      <c r="F1297">
        <v>34792</v>
      </c>
      <c r="G1297">
        <v>39597056.375</v>
      </c>
      <c r="H1297">
        <v>0.95367132872343063</v>
      </c>
      <c r="I1297">
        <v>0.92132867132867136</v>
      </c>
      <c r="J1297">
        <v>9991268.625</v>
      </c>
      <c r="K1297">
        <v>60227</v>
      </c>
      <c r="L1297">
        <v>2</v>
      </c>
      <c r="M1297">
        <v>165</v>
      </c>
      <c r="N1297">
        <v>0.92657342657342656</v>
      </c>
      <c r="O1297">
        <v>11063980.875</v>
      </c>
      <c r="P1297">
        <v>60924</v>
      </c>
      <c r="Q1297">
        <v>2</v>
      </c>
      <c r="R1297">
        <v>166</v>
      </c>
      <c r="S1297" t="s">
        <v>993</v>
      </c>
      <c r="W1297">
        <f>Cancer_doubles_final2[[#This Row],[mlp_params]]</f>
        <v>60227</v>
      </c>
      <c r="X1297">
        <f>Cancer_doubles_final2[[#This Row],[kan_test_acc]]</f>
        <v>0.95367132872343063</v>
      </c>
      <c r="Y1297">
        <f>Cancer_doubles_final2[[#This Row],[mlp_test_acc]]</f>
        <v>0.92132867132867136</v>
      </c>
      <c r="Z1297">
        <f>Cancer_doubles_final2[[#This Row],[mlp_test_acc2]]</f>
        <v>0.92657342657342656</v>
      </c>
    </row>
    <row r="1298" spans="1:26" hidden="1" x14ac:dyDescent="0.25">
      <c r="A1298" t="s">
        <v>19</v>
      </c>
      <c r="B1298">
        <v>9</v>
      </c>
      <c r="C1298">
        <v>3</v>
      </c>
      <c r="D1298">
        <v>0</v>
      </c>
      <c r="E1298" t="s">
        <v>252</v>
      </c>
      <c r="F1298">
        <v>34812</v>
      </c>
      <c r="G1298">
        <v>38358232.75</v>
      </c>
      <c r="H1298">
        <v>0.95002913723389315</v>
      </c>
      <c r="I1298">
        <v>0.94828088578088576</v>
      </c>
      <c r="J1298">
        <v>9974834.125</v>
      </c>
      <c r="K1298">
        <v>50889</v>
      </c>
      <c r="L1298">
        <v>2</v>
      </c>
      <c r="M1298">
        <v>151</v>
      </c>
      <c r="N1298">
        <v>0.95206876456876455</v>
      </c>
      <c r="O1298">
        <v>10163203.020833334</v>
      </c>
      <c r="P1298">
        <v>51530</v>
      </c>
      <c r="Q1298">
        <v>2</v>
      </c>
      <c r="R1298">
        <v>152</v>
      </c>
      <c r="S1298" t="s">
        <v>994</v>
      </c>
      <c r="W1298">
        <f>Cancer_doubles_final2[[#This Row],[mlp_params]]</f>
        <v>50889</v>
      </c>
      <c r="X1298">
        <f>Cancer_doubles_final2[[#This Row],[kan_test_acc]]</f>
        <v>0.95002913723389315</v>
      </c>
      <c r="Y1298">
        <f>Cancer_doubles_final2[[#This Row],[mlp_test_acc]]</f>
        <v>0.94828088578088576</v>
      </c>
      <c r="Z1298">
        <f>Cancer_doubles_final2[[#This Row],[mlp_test_acc2]]</f>
        <v>0.95206876456876455</v>
      </c>
    </row>
    <row r="1299" spans="1:26" hidden="1" x14ac:dyDescent="0.25">
      <c r="A1299" t="s">
        <v>19</v>
      </c>
      <c r="B1299">
        <v>9</v>
      </c>
      <c r="C1299">
        <v>4</v>
      </c>
      <c r="D1299">
        <v>0</v>
      </c>
      <c r="E1299" t="s">
        <v>214</v>
      </c>
      <c r="F1299">
        <v>34820</v>
      </c>
      <c r="G1299">
        <v>33145582.333333336</v>
      </c>
      <c r="H1299">
        <v>0.92744754503170646</v>
      </c>
      <c r="I1299">
        <v>0.95775058275058278</v>
      </c>
      <c r="J1299">
        <v>10219914.916666666</v>
      </c>
      <c r="K1299">
        <v>54134</v>
      </c>
      <c r="L1299">
        <v>2</v>
      </c>
      <c r="M1299">
        <v>156</v>
      </c>
      <c r="N1299">
        <v>0.95541958041958042</v>
      </c>
      <c r="O1299">
        <v>10507949.625</v>
      </c>
      <c r="P1299">
        <v>54795</v>
      </c>
      <c r="Q1299">
        <v>2</v>
      </c>
      <c r="R1299">
        <v>157</v>
      </c>
      <c r="S1299" t="s">
        <v>995</v>
      </c>
      <c r="W1299">
        <f>Cancer_doubles_final2[[#This Row],[mlp_params]]</f>
        <v>54134</v>
      </c>
      <c r="X1299">
        <f>Cancer_doubles_final2[[#This Row],[kan_test_acc]]</f>
        <v>0.92744754503170646</v>
      </c>
      <c r="Y1299">
        <f>Cancer_doubles_final2[[#This Row],[mlp_test_acc]]</f>
        <v>0.95775058275058278</v>
      </c>
      <c r="Z1299">
        <f>Cancer_doubles_final2[[#This Row],[mlp_test_acc2]]</f>
        <v>0.95541958041958042</v>
      </c>
    </row>
    <row r="1300" spans="1:26" hidden="1" x14ac:dyDescent="0.25">
      <c r="A1300" t="s">
        <v>19</v>
      </c>
      <c r="B1300">
        <v>5</v>
      </c>
      <c r="C1300">
        <v>5</v>
      </c>
      <c r="D1300">
        <v>0</v>
      </c>
      <c r="E1300" t="s">
        <v>371</v>
      </c>
      <c r="F1300">
        <v>34868</v>
      </c>
      <c r="G1300">
        <v>47589687.666666672</v>
      </c>
      <c r="H1300">
        <v>0.91113053262233734</v>
      </c>
      <c r="I1300">
        <v>0.93036130536130535</v>
      </c>
      <c r="J1300">
        <v>10481679.083333332</v>
      </c>
      <c r="K1300">
        <v>63752</v>
      </c>
      <c r="L1300">
        <v>2</v>
      </c>
      <c r="M1300">
        <v>170</v>
      </c>
      <c r="N1300">
        <v>0.92977855477855476</v>
      </c>
      <c r="O1300">
        <v>10886589.666666666</v>
      </c>
      <c r="P1300">
        <v>64469</v>
      </c>
      <c r="Q1300">
        <v>2</v>
      </c>
      <c r="R1300">
        <v>171</v>
      </c>
      <c r="S1300" t="s">
        <v>996</v>
      </c>
      <c r="W1300">
        <f>Cancer_doubles_final2[[#This Row],[mlp_params]]</f>
        <v>63752</v>
      </c>
      <c r="X1300">
        <f>Cancer_doubles_final2[[#This Row],[kan_test_acc]]</f>
        <v>0.91113053262233734</v>
      </c>
      <c r="Y1300">
        <f>Cancer_doubles_final2[[#This Row],[mlp_test_acc]]</f>
        <v>0.93036130536130535</v>
      </c>
      <c r="Z1300">
        <f>Cancer_doubles_final2[[#This Row],[mlp_test_acc2]]</f>
        <v>0.92977855477855476</v>
      </c>
    </row>
    <row r="1301" spans="1:26" hidden="1" x14ac:dyDescent="0.25">
      <c r="A1301" t="s">
        <v>19</v>
      </c>
      <c r="B1301">
        <v>5</v>
      </c>
      <c r="C1301">
        <v>5</v>
      </c>
      <c r="D1301">
        <v>0</v>
      </c>
      <c r="E1301" t="s">
        <v>373</v>
      </c>
      <c r="F1301">
        <v>34870</v>
      </c>
      <c r="G1301">
        <v>51334009.583333336</v>
      </c>
      <c r="H1301">
        <v>0.8721833709213469</v>
      </c>
      <c r="I1301">
        <v>0.91686091686091686</v>
      </c>
      <c r="J1301">
        <v>9566847.722222222</v>
      </c>
      <c r="K1301">
        <v>63752</v>
      </c>
      <c r="L1301">
        <v>2</v>
      </c>
      <c r="M1301">
        <v>170</v>
      </c>
      <c r="N1301">
        <v>0.91550116550116556</v>
      </c>
      <c r="O1301">
        <v>10401510.194444444</v>
      </c>
      <c r="P1301">
        <v>64469</v>
      </c>
      <c r="Q1301">
        <v>2</v>
      </c>
      <c r="R1301">
        <v>171</v>
      </c>
      <c r="S1301" t="s">
        <v>997</v>
      </c>
      <c r="W1301">
        <f>Cancer_doubles_final2[[#This Row],[mlp_params]]</f>
        <v>63752</v>
      </c>
      <c r="X1301">
        <f>Cancer_doubles_final2[[#This Row],[kan_test_acc]]</f>
        <v>0.8721833709213469</v>
      </c>
      <c r="Y1301">
        <f>Cancer_doubles_final2[[#This Row],[mlp_test_acc]]</f>
        <v>0.91686091686091686</v>
      </c>
      <c r="Z1301">
        <f>Cancer_doubles_final2[[#This Row],[mlp_test_acc2]]</f>
        <v>0.91550116550116556</v>
      </c>
    </row>
    <row r="1302" spans="1:26" hidden="1" x14ac:dyDescent="0.25">
      <c r="A1302" t="s">
        <v>19</v>
      </c>
      <c r="B1302">
        <v>9</v>
      </c>
      <c r="C1302">
        <v>3</v>
      </c>
      <c r="D1302">
        <v>0</v>
      </c>
      <c r="E1302" t="s">
        <v>256</v>
      </c>
      <c r="F1302">
        <v>34874</v>
      </c>
      <c r="G1302">
        <v>44419254.166666664</v>
      </c>
      <c r="H1302">
        <v>0.89083138770527315</v>
      </c>
      <c r="I1302">
        <v>0.95007770007770009</v>
      </c>
      <c r="J1302">
        <v>9018108.6111111119</v>
      </c>
      <c r="K1302">
        <v>50889</v>
      </c>
      <c r="L1302">
        <v>2</v>
      </c>
      <c r="M1302">
        <v>151</v>
      </c>
      <c r="N1302">
        <v>0.94619269619269619</v>
      </c>
      <c r="O1302">
        <v>9540208.8611111119</v>
      </c>
      <c r="P1302">
        <v>51530</v>
      </c>
      <c r="Q1302">
        <v>2</v>
      </c>
      <c r="R1302">
        <v>152</v>
      </c>
      <c r="S1302" t="s">
        <v>998</v>
      </c>
      <c r="W1302">
        <f>Cancer_doubles_final2[[#This Row],[mlp_params]]</f>
        <v>50889</v>
      </c>
      <c r="X1302">
        <f>Cancer_doubles_final2[[#This Row],[kan_test_acc]]</f>
        <v>0.89083138770527315</v>
      </c>
      <c r="Y1302">
        <f>Cancer_doubles_final2[[#This Row],[mlp_test_acc]]</f>
        <v>0.95007770007770009</v>
      </c>
      <c r="Z1302">
        <f>Cancer_doubles_final2[[#This Row],[mlp_test_acc2]]</f>
        <v>0.94619269619269619</v>
      </c>
    </row>
    <row r="1303" spans="1:26" hidden="1" x14ac:dyDescent="0.25">
      <c r="A1303" t="s">
        <v>19</v>
      </c>
      <c r="B1303">
        <v>9</v>
      </c>
      <c r="C1303">
        <v>5</v>
      </c>
      <c r="D1303">
        <v>0</v>
      </c>
      <c r="E1303" t="s">
        <v>189</v>
      </c>
      <c r="F1303">
        <v>34882</v>
      </c>
      <c r="G1303">
        <v>40235723.583333336</v>
      </c>
      <c r="H1303">
        <v>0.90268065532048547</v>
      </c>
      <c r="I1303">
        <v>0.96095571095571097</v>
      </c>
      <c r="J1303">
        <v>10496088.208333334</v>
      </c>
      <c r="K1303">
        <v>56802</v>
      </c>
      <c r="L1303">
        <v>2</v>
      </c>
      <c r="M1303">
        <v>160</v>
      </c>
      <c r="N1303">
        <v>0.95629370629370625</v>
      </c>
      <c r="O1303">
        <v>10890435.583333334</v>
      </c>
      <c r="P1303">
        <v>57479</v>
      </c>
      <c r="Q1303">
        <v>2</v>
      </c>
      <c r="R1303">
        <v>161</v>
      </c>
      <c r="S1303" t="s">
        <v>999</v>
      </c>
      <c r="W1303">
        <f>Cancer_doubles_final2[[#This Row],[mlp_params]]</f>
        <v>56802</v>
      </c>
      <c r="X1303">
        <f>Cancer_doubles_final2[[#This Row],[kan_test_acc]]</f>
        <v>0.90268065532048547</v>
      </c>
      <c r="Y1303">
        <f>Cancer_doubles_final2[[#This Row],[mlp_test_acc]]</f>
        <v>0.96095571095571097</v>
      </c>
      <c r="Z1303">
        <f>Cancer_doubles_final2[[#This Row],[mlp_test_acc2]]</f>
        <v>0.95629370629370625</v>
      </c>
    </row>
    <row r="1304" spans="1:26" hidden="1" x14ac:dyDescent="0.25">
      <c r="A1304" t="s">
        <v>19</v>
      </c>
      <c r="B1304">
        <v>5</v>
      </c>
      <c r="C1304">
        <v>4</v>
      </c>
      <c r="D1304">
        <v>0</v>
      </c>
      <c r="E1304" t="s">
        <v>463</v>
      </c>
      <c r="F1304">
        <v>34884</v>
      </c>
      <c r="G1304">
        <v>41987595.416666672</v>
      </c>
      <c r="H1304">
        <v>0.8991841500004133</v>
      </c>
      <c r="I1304">
        <v>0.94143356643356646</v>
      </c>
      <c r="J1304">
        <v>11059147.208333332</v>
      </c>
      <c r="K1304">
        <v>60924</v>
      </c>
      <c r="L1304">
        <v>2</v>
      </c>
      <c r="M1304">
        <v>166</v>
      </c>
      <c r="N1304">
        <v>0.93735431235431244</v>
      </c>
      <c r="O1304">
        <v>11052990.041666668</v>
      </c>
      <c r="P1304">
        <v>61625</v>
      </c>
      <c r="Q1304">
        <v>2</v>
      </c>
      <c r="R1304">
        <v>167</v>
      </c>
      <c r="S1304" t="s">
        <v>1000</v>
      </c>
      <c r="W1304">
        <f>Cancer_doubles_final2[[#This Row],[mlp_params]]</f>
        <v>60924</v>
      </c>
      <c r="X1304">
        <f>Cancer_doubles_final2[[#This Row],[kan_test_acc]]</f>
        <v>0.8991841500004133</v>
      </c>
      <c r="Y1304">
        <f>Cancer_doubles_final2[[#This Row],[mlp_test_acc]]</f>
        <v>0.94143356643356646</v>
      </c>
      <c r="Z1304">
        <f>Cancer_doubles_final2[[#This Row],[mlp_test_acc2]]</f>
        <v>0.93735431235431244</v>
      </c>
    </row>
    <row r="1305" spans="1:26" hidden="1" x14ac:dyDescent="0.25">
      <c r="A1305" t="s">
        <v>19</v>
      </c>
      <c r="B1305">
        <v>5</v>
      </c>
      <c r="C1305">
        <v>4</v>
      </c>
      <c r="D1305">
        <v>0</v>
      </c>
      <c r="E1305" t="s">
        <v>466</v>
      </c>
      <c r="F1305">
        <v>34934</v>
      </c>
      <c r="G1305">
        <v>40380336.361111112</v>
      </c>
      <c r="H1305">
        <v>0.93978243900669944</v>
      </c>
      <c r="I1305">
        <v>0.93531468531468531</v>
      </c>
      <c r="J1305">
        <v>9384581.194444444</v>
      </c>
      <c r="K1305">
        <v>60924</v>
      </c>
      <c r="L1305">
        <v>2</v>
      </c>
      <c r="M1305">
        <v>166</v>
      </c>
      <c r="N1305">
        <v>0.93531468531468531</v>
      </c>
      <c r="O1305">
        <v>9365392.3888888899</v>
      </c>
      <c r="P1305">
        <v>61625</v>
      </c>
      <c r="Q1305">
        <v>2</v>
      </c>
      <c r="R1305">
        <v>167</v>
      </c>
      <c r="S1305" t="s">
        <v>1001</v>
      </c>
      <c r="W1305">
        <f>Cancer_doubles_final2[[#This Row],[mlp_params]]</f>
        <v>60924</v>
      </c>
      <c r="X1305">
        <f>Cancer_doubles_final2[[#This Row],[kan_test_acc]]</f>
        <v>0.93978243900669944</v>
      </c>
      <c r="Y1305">
        <f>Cancer_doubles_final2[[#This Row],[mlp_test_acc]]</f>
        <v>0.93531468531468531</v>
      </c>
      <c r="Z1305">
        <f>Cancer_doubles_final2[[#This Row],[mlp_test_acc2]]</f>
        <v>0.93531468531468531</v>
      </c>
    </row>
    <row r="1306" spans="1:26" hidden="1" x14ac:dyDescent="0.25">
      <c r="A1306" t="s">
        <v>19</v>
      </c>
      <c r="B1306">
        <v>9</v>
      </c>
      <c r="C1306">
        <v>4</v>
      </c>
      <c r="D1306">
        <v>0</v>
      </c>
      <c r="E1306" t="s">
        <v>217</v>
      </c>
      <c r="F1306">
        <v>34952</v>
      </c>
      <c r="G1306">
        <v>36780768.111111104</v>
      </c>
      <c r="H1306">
        <v>0.93434343569808542</v>
      </c>
      <c r="I1306">
        <v>0.94910644910644903</v>
      </c>
      <c r="J1306">
        <v>9707051.777777778</v>
      </c>
      <c r="K1306">
        <v>54134</v>
      </c>
      <c r="L1306">
        <v>2</v>
      </c>
      <c r="M1306">
        <v>156</v>
      </c>
      <c r="N1306">
        <v>0.94852369852369856</v>
      </c>
      <c r="O1306">
        <v>9021627.083333334</v>
      </c>
      <c r="P1306">
        <v>54795</v>
      </c>
      <c r="Q1306">
        <v>2</v>
      </c>
      <c r="R1306">
        <v>157</v>
      </c>
      <c r="S1306" t="s">
        <v>1002</v>
      </c>
      <c r="W1306">
        <f>Cancer_doubles_final2[[#This Row],[mlp_params]]</f>
        <v>54134</v>
      </c>
      <c r="X1306">
        <f>Cancer_doubles_final2[[#This Row],[kan_test_acc]]</f>
        <v>0.93434343569808542</v>
      </c>
      <c r="Y1306">
        <f>Cancer_doubles_final2[[#This Row],[mlp_test_acc]]</f>
        <v>0.94910644910644903</v>
      </c>
      <c r="Z1306">
        <f>Cancer_doubles_final2[[#This Row],[mlp_test_acc2]]</f>
        <v>0.94852369852369856</v>
      </c>
    </row>
    <row r="1307" spans="1:26" hidden="1" x14ac:dyDescent="0.25">
      <c r="A1307" t="s">
        <v>19</v>
      </c>
      <c r="B1307">
        <v>9</v>
      </c>
      <c r="C1307">
        <v>5</v>
      </c>
      <c r="D1307">
        <v>0</v>
      </c>
      <c r="E1307" t="s">
        <v>191</v>
      </c>
      <c r="F1307">
        <v>34952</v>
      </c>
      <c r="G1307">
        <v>34875397.791666664</v>
      </c>
      <c r="H1307">
        <v>0.89219113687674212</v>
      </c>
      <c r="I1307">
        <v>0.96066433566433562</v>
      </c>
      <c r="J1307">
        <v>9981990.541666666</v>
      </c>
      <c r="K1307">
        <v>57479</v>
      </c>
      <c r="L1307">
        <v>2</v>
      </c>
      <c r="M1307">
        <v>161</v>
      </c>
      <c r="N1307">
        <v>0.95833333333333326</v>
      </c>
      <c r="O1307">
        <v>10973505.75</v>
      </c>
      <c r="P1307">
        <v>58160</v>
      </c>
      <c r="Q1307">
        <v>2</v>
      </c>
      <c r="R1307">
        <v>162</v>
      </c>
      <c r="S1307" t="s">
        <v>1003</v>
      </c>
      <c r="W1307">
        <f>Cancer_doubles_final2[[#This Row],[mlp_params]]</f>
        <v>57479</v>
      </c>
      <c r="X1307">
        <f>Cancer_doubles_final2[[#This Row],[kan_test_acc]]</f>
        <v>0.89219113687674212</v>
      </c>
      <c r="Y1307">
        <f>Cancer_doubles_final2[[#This Row],[mlp_test_acc]]</f>
        <v>0.96066433566433562</v>
      </c>
      <c r="Z1307">
        <f>Cancer_doubles_final2[[#This Row],[mlp_test_acc2]]</f>
        <v>0.95833333333333326</v>
      </c>
    </row>
    <row r="1308" spans="1:26" hidden="1" x14ac:dyDescent="0.25">
      <c r="A1308" t="s">
        <v>19</v>
      </c>
      <c r="B1308">
        <v>9</v>
      </c>
      <c r="C1308">
        <v>4</v>
      </c>
      <c r="D1308">
        <v>0</v>
      </c>
      <c r="E1308" t="s">
        <v>220</v>
      </c>
      <c r="F1308">
        <v>35014</v>
      </c>
      <c r="G1308">
        <v>39660408.625</v>
      </c>
      <c r="H1308">
        <v>0.89656176914771391</v>
      </c>
      <c r="I1308">
        <v>0.95075757575757569</v>
      </c>
      <c r="J1308">
        <v>10267539.833333332</v>
      </c>
      <c r="K1308">
        <v>54134</v>
      </c>
      <c r="L1308">
        <v>2</v>
      </c>
      <c r="M1308">
        <v>156</v>
      </c>
      <c r="N1308">
        <v>0.95104895104895104</v>
      </c>
      <c r="O1308">
        <v>10931809.958333332</v>
      </c>
      <c r="P1308">
        <v>54795</v>
      </c>
      <c r="Q1308">
        <v>2</v>
      </c>
      <c r="R1308">
        <v>157</v>
      </c>
      <c r="S1308" t="s">
        <v>1004</v>
      </c>
      <c r="W1308">
        <f>Cancer_doubles_final2[[#This Row],[mlp_params]]</f>
        <v>54134</v>
      </c>
      <c r="X1308">
        <f>Cancer_doubles_final2[[#This Row],[kan_test_acc]]</f>
        <v>0.89656176914771391</v>
      </c>
      <c r="Y1308">
        <f>Cancer_doubles_final2[[#This Row],[mlp_test_acc]]</f>
        <v>0.95075757575757569</v>
      </c>
      <c r="Z1308">
        <f>Cancer_doubles_final2[[#This Row],[mlp_test_acc2]]</f>
        <v>0.95104895104895104</v>
      </c>
    </row>
    <row r="1309" spans="1:26" hidden="1" x14ac:dyDescent="0.25">
      <c r="A1309" t="s">
        <v>19</v>
      </c>
      <c r="B1309">
        <v>9</v>
      </c>
      <c r="C1309">
        <v>2</v>
      </c>
      <c r="D1309">
        <v>0</v>
      </c>
      <c r="E1309" t="s">
        <v>310</v>
      </c>
      <c r="F1309">
        <v>35074</v>
      </c>
      <c r="G1309">
        <v>34251513.5</v>
      </c>
      <c r="H1309">
        <v>0.92919580638408661</v>
      </c>
      <c r="I1309">
        <v>0.93414918414918413</v>
      </c>
      <c r="J1309">
        <v>9308343.5833333321</v>
      </c>
      <c r="K1309">
        <v>47127</v>
      </c>
      <c r="L1309">
        <v>2</v>
      </c>
      <c r="M1309">
        <v>145</v>
      </c>
      <c r="N1309">
        <v>0.93473193473193472</v>
      </c>
      <c r="O1309">
        <v>9791995</v>
      </c>
      <c r="P1309">
        <v>47744</v>
      </c>
      <c r="Q1309">
        <v>2</v>
      </c>
      <c r="R1309">
        <v>146</v>
      </c>
      <c r="S1309" t="s">
        <v>1005</v>
      </c>
      <c r="W1309">
        <f>Cancer_doubles_final2[[#This Row],[mlp_params]]</f>
        <v>47127</v>
      </c>
      <c r="X1309">
        <f>Cancer_doubles_final2[[#This Row],[kan_test_acc]]</f>
        <v>0.92919580638408661</v>
      </c>
      <c r="Y1309">
        <f>Cancer_doubles_final2[[#This Row],[mlp_test_acc]]</f>
        <v>0.93414918414918413</v>
      </c>
      <c r="Z1309">
        <f>Cancer_doubles_final2[[#This Row],[mlp_test_acc2]]</f>
        <v>0.93473193473193472</v>
      </c>
    </row>
    <row r="1310" spans="1:26" x14ac:dyDescent="0.25">
      <c r="A1310" t="s">
        <v>19</v>
      </c>
      <c r="B1310">
        <v>3</v>
      </c>
      <c r="C1310">
        <v>5</v>
      </c>
      <c r="D1310">
        <v>0</v>
      </c>
      <c r="E1310" t="s">
        <v>582</v>
      </c>
      <c r="F1310">
        <v>35076</v>
      </c>
      <c r="G1310">
        <v>42117438.5</v>
      </c>
      <c r="H1310">
        <v>0.93822843829790759</v>
      </c>
      <c r="I1310">
        <v>0.91860916860916864</v>
      </c>
      <c r="J1310">
        <v>9473129.194444444</v>
      </c>
      <c r="K1310">
        <v>69600</v>
      </c>
      <c r="L1310">
        <v>2</v>
      </c>
      <c r="M1310">
        <v>178</v>
      </c>
      <c r="N1310">
        <v>0.91899766899766899</v>
      </c>
      <c r="O1310">
        <v>9235884.222222222</v>
      </c>
      <c r="P1310">
        <v>70349</v>
      </c>
      <c r="Q1310">
        <v>2</v>
      </c>
      <c r="R1310">
        <v>179</v>
      </c>
      <c r="S1310" t="s">
        <v>1006</v>
      </c>
      <c r="W1310">
        <f>Cancer_doubles_final2[[#This Row],[mlp_params]]</f>
        <v>69600</v>
      </c>
      <c r="X1310">
        <f>Cancer_doubles_final2[[#This Row],[kan_test_acc]]</f>
        <v>0.93822843829790759</v>
      </c>
      <c r="Y1310">
        <f>Cancer_doubles_final2[[#This Row],[mlp_test_acc]]</f>
        <v>0.91860916860916864</v>
      </c>
      <c r="Z1310">
        <f>Cancer_doubles_final2[[#This Row],[mlp_test_acc2]]</f>
        <v>0.91899766899766899</v>
      </c>
    </row>
    <row r="1311" spans="1:26" hidden="1" x14ac:dyDescent="0.25">
      <c r="A1311" t="s">
        <v>19</v>
      </c>
      <c r="B1311">
        <v>5</v>
      </c>
      <c r="C1311">
        <v>3</v>
      </c>
      <c r="D1311">
        <v>0</v>
      </c>
      <c r="E1311" t="s">
        <v>582</v>
      </c>
      <c r="F1311">
        <v>35076</v>
      </c>
      <c r="G1311">
        <v>59421075.375</v>
      </c>
      <c r="H1311">
        <v>0.97668997198343277</v>
      </c>
      <c r="I1311">
        <v>0.93793706293706292</v>
      </c>
      <c r="J1311">
        <v>10321373.166666668</v>
      </c>
      <c r="K1311">
        <v>56802</v>
      </c>
      <c r="L1311">
        <v>2</v>
      </c>
      <c r="M1311">
        <v>160</v>
      </c>
      <c r="N1311">
        <v>0.93735431235431244</v>
      </c>
      <c r="O1311">
        <v>9825074.958333334</v>
      </c>
      <c r="P1311">
        <v>57479</v>
      </c>
      <c r="Q1311">
        <v>2</v>
      </c>
      <c r="R1311">
        <v>161</v>
      </c>
      <c r="S1311" t="s">
        <v>1007</v>
      </c>
      <c r="W1311">
        <f>Cancer_doubles_final2[[#This Row],[mlp_params]]</f>
        <v>56802</v>
      </c>
      <c r="X1311">
        <f>Cancer_doubles_final2[[#This Row],[kan_test_acc]]</f>
        <v>0.97668997198343277</v>
      </c>
      <c r="Y1311">
        <f>Cancer_doubles_final2[[#This Row],[mlp_test_acc]]</f>
        <v>0.93793706293706292</v>
      </c>
      <c r="Z1311">
        <f>Cancer_doubles_final2[[#This Row],[mlp_test_acc2]]</f>
        <v>0.93735431235431244</v>
      </c>
    </row>
    <row r="1312" spans="1:26" x14ac:dyDescent="0.25">
      <c r="A1312" t="s">
        <v>19</v>
      </c>
      <c r="B1312">
        <v>3</v>
      </c>
      <c r="C1312">
        <v>5</v>
      </c>
      <c r="D1312">
        <v>0</v>
      </c>
      <c r="E1312" t="s">
        <v>582</v>
      </c>
      <c r="F1312">
        <v>35076</v>
      </c>
      <c r="G1312">
        <v>54144850.666666664</v>
      </c>
      <c r="H1312">
        <v>0.95833332588275277</v>
      </c>
      <c r="I1312">
        <v>0.93793706293706292</v>
      </c>
      <c r="J1312">
        <v>10611815.25</v>
      </c>
      <c r="K1312">
        <v>69600</v>
      </c>
      <c r="L1312">
        <v>2</v>
      </c>
      <c r="M1312">
        <v>178</v>
      </c>
      <c r="N1312">
        <v>0.93793706293706303</v>
      </c>
      <c r="O1312">
        <v>10355845.916666666</v>
      </c>
      <c r="P1312">
        <v>70349</v>
      </c>
      <c r="Q1312">
        <v>2</v>
      </c>
      <c r="R1312">
        <v>179</v>
      </c>
      <c r="S1312" t="s">
        <v>1006</v>
      </c>
      <c r="W1312">
        <f>Cancer_doubles_final2[[#This Row],[mlp_params]]</f>
        <v>69600</v>
      </c>
      <c r="X1312">
        <f>Cancer_doubles_final2[[#This Row],[kan_test_acc]]</f>
        <v>0.95833332588275277</v>
      </c>
      <c r="Y1312">
        <f>Cancer_doubles_final2[[#This Row],[mlp_test_acc]]</f>
        <v>0.93793706293706292</v>
      </c>
      <c r="Z1312">
        <f>Cancer_doubles_final2[[#This Row],[mlp_test_acc2]]</f>
        <v>0.93793706293706303</v>
      </c>
    </row>
    <row r="1313" spans="1:26" hidden="1" x14ac:dyDescent="0.25">
      <c r="A1313" t="s">
        <v>19</v>
      </c>
      <c r="B1313">
        <v>5</v>
      </c>
      <c r="C1313">
        <v>3</v>
      </c>
      <c r="D1313">
        <v>0</v>
      </c>
      <c r="E1313" t="s">
        <v>582</v>
      </c>
      <c r="F1313">
        <v>35076</v>
      </c>
      <c r="G1313">
        <v>54081885.333333328</v>
      </c>
      <c r="H1313">
        <v>0.94726107269525528</v>
      </c>
      <c r="I1313">
        <v>0.91666666666666674</v>
      </c>
      <c r="J1313">
        <v>9567779.4166666679</v>
      </c>
      <c r="K1313">
        <v>56802</v>
      </c>
      <c r="L1313">
        <v>2</v>
      </c>
      <c r="M1313">
        <v>160</v>
      </c>
      <c r="N1313">
        <v>0.9189976689976691</v>
      </c>
      <c r="O1313">
        <v>10302178.833333332</v>
      </c>
      <c r="P1313">
        <v>57479</v>
      </c>
      <c r="Q1313">
        <v>2</v>
      </c>
      <c r="R1313">
        <v>161</v>
      </c>
      <c r="S1313" t="s">
        <v>1007</v>
      </c>
      <c r="W1313">
        <f>Cancer_doubles_final2[[#This Row],[mlp_params]]</f>
        <v>56802</v>
      </c>
      <c r="X1313">
        <f>Cancer_doubles_final2[[#This Row],[kan_test_acc]]</f>
        <v>0.94726107269525528</v>
      </c>
      <c r="Y1313">
        <f>Cancer_doubles_final2[[#This Row],[mlp_test_acc]]</f>
        <v>0.91666666666666674</v>
      </c>
      <c r="Z1313">
        <f>Cancer_doubles_final2[[#This Row],[mlp_test_acc2]]</f>
        <v>0.9189976689976691</v>
      </c>
    </row>
    <row r="1314" spans="1:26" hidden="1" x14ac:dyDescent="0.25">
      <c r="A1314" t="s">
        <v>19</v>
      </c>
      <c r="B1314">
        <v>9</v>
      </c>
      <c r="C1314">
        <v>2</v>
      </c>
      <c r="D1314">
        <v>0</v>
      </c>
      <c r="E1314" t="s">
        <v>312</v>
      </c>
      <c r="F1314">
        <v>35082</v>
      </c>
      <c r="G1314">
        <v>38659284.375</v>
      </c>
      <c r="H1314">
        <v>0.94026806950569153</v>
      </c>
      <c r="I1314">
        <v>0.90530303030303028</v>
      </c>
      <c r="J1314">
        <v>8826268.0416666679</v>
      </c>
      <c r="K1314">
        <v>47127</v>
      </c>
      <c r="L1314">
        <v>2</v>
      </c>
      <c r="M1314">
        <v>145</v>
      </c>
      <c r="N1314">
        <v>0.90501165501165493</v>
      </c>
      <c r="O1314">
        <v>9224362.875</v>
      </c>
      <c r="P1314">
        <v>47744</v>
      </c>
      <c r="Q1314">
        <v>2</v>
      </c>
      <c r="R1314">
        <v>146</v>
      </c>
      <c r="S1314" t="s">
        <v>1008</v>
      </c>
      <c r="W1314">
        <f>Cancer_doubles_final2[[#This Row],[mlp_params]]</f>
        <v>47127</v>
      </c>
      <c r="X1314">
        <f>Cancer_doubles_final2[[#This Row],[kan_test_acc]]</f>
        <v>0.94026806950569153</v>
      </c>
      <c r="Y1314">
        <f>Cancer_doubles_final2[[#This Row],[mlp_test_acc]]</f>
        <v>0.90530303030303028</v>
      </c>
      <c r="Z1314">
        <f>Cancer_doubles_final2[[#This Row],[mlp_test_acc2]]</f>
        <v>0.90501165501165493</v>
      </c>
    </row>
    <row r="1315" spans="1:26" hidden="1" x14ac:dyDescent="0.25">
      <c r="A1315" t="s">
        <v>19</v>
      </c>
      <c r="B1315">
        <v>5</v>
      </c>
      <c r="C1315">
        <v>5</v>
      </c>
      <c r="D1315">
        <v>0</v>
      </c>
      <c r="E1315" t="s">
        <v>380</v>
      </c>
      <c r="F1315">
        <v>35084</v>
      </c>
      <c r="G1315">
        <v>34603039.80555556</v>
      </c>
      <c r="H1315">
        <v>0.92579642600483369</v>
      </c>
      <c r="I1315">
        <v>0.91569541569541568</v>
      </c>
      <c r="J1315">
        <v>8864629.666666666</v>
      </c>
      <c r="K1315">
        <v>64469</v>
      </c>
      <c r="L1315">
        <v>2</v>
      </c>
      <c r="M1315">
        <v>171</v>
      </c>
      <c r="N1315">
        <v>0.9145299145299145</v>
      </c>
      <c r="O1315">
        <v>8994347.805555556</v>
      </c>
      <c r="P1315">
        <v>65190</v>
      </c>
      <c r="Q1315">
        <v>2</v>
      </c>
      <c r="R1315">
        <v>172</v>
      </c>
      <c r="S1315" t="s">
        <v>1009</v>
      </c>
      <c r="W1315">
        <f>Cancer_doubles_final2[[#This Row],[mlp_params]]</f>
        <v>64469</v>
      </c>
      <c r="X1315">
        <f>Cancer_doubles_final2[[#This Row],[kan_test_acc]]</f>
        <v>0.92579642600483369</v>
      </c>
      <c r="Y1315">
        <f>Cancer_doubles_final2[[#This Row],[mlp_test_acc]]</f>
        <v>0.91569541569541568</v>
      </c>
      <c r="Z1315">
        <f>Cancer_doubles_final2[[#This Row],[mlp_test_acc2]]</f>
        <v>0.9145299145299145</v>
      </c>
    </row>
    <row r="1316" spans="1:26" hidden="1" x14ac:dyDescent="0.25">
      <c r="A1316" t="s">
        <v>19</v>
      </c>
      <c r="B1316">
        <v>9</v>
      </c>
      <c r="C1316">
        <v>3</v>
      </c>
      <c r="D1316">
        <v>0</v>
      </c>
      <c r="E1316" t="s">
        <v>260</v>
      </c>
      <c r="F1316">
        <v>35170</v>
      </c>
      <c r="G1316">
        <v>49159122.777777784</v>
      </c>
      <c r="H1316">
        <v>0.93026417659388649</v>
      </c>
      <c r="I1316">
        <v>0.94774669774669773</v>
      </c>
      <c r="J1316">
        <v>10242586.722222222</v>
      </c>
      <c r="K1316">
        <v>51530</v>
      </c>
      <c r="L1316">
        <v>2</v>
      </c>
      <c r="M1316">
        <v>152</v>
      </c>
      <c r="N1316">
        <v>0.94968919968919963</v>
      </c>
      <c r="O1316">
        <v>10969770.25</v>
      </c>
      <c r="P1316">
        <v>52175</v>
      </c>
      <c r="Q1316">
        <v>2</v>
      </c>
      <c r="R1316">
        <v>153</v>
      </c>
      <c r="S1316" t="s">
        <v>1010</v>
      </c>
      <c r="W1316">
        <f>Cancer_doubles_final2[[#This Row],[mlp_params]]</f>
        <v>51530</v>
      </c>
      <c r="X1316">
        <f>Cancer_doubles_final2[[#This Row],[kan_test_acc]]</f>
        <v>0.93026417659388649</v>
      </c>
      <c r="Y1316">
        <f>Cancer_doubles_final2[[#This Row],[mlp_test_acc]]</f>
        <v>0.94774669774669773</v>
      </c>
      <c r="Z1316">
        <f>Cancer_doubles_final2[[#This Row],[mlp_test_acc2]]</f>
        <v>0.94968919968919963</v>
      </c>
    </row>
    <row r="1317" spans="1:26" hidden="1" x14ac:dyDescent="0.25">
      <c r="A1317" t="s">
        <v>19</v>
      </c>
      <c r="B1317">
        <v>5</v>
      </c>
      <c r="C1317">
        <v>4</v>
      </c>
      <c r="D1317">
        <v>0</v>
      </c>
      <c r="E1317" t="s">
        <v>479</v>
      </c>
      <c r="F1317">
        <v>35276</v>
      </c>
      <c r="G1317">
        <v>50218837.833333336</v>
      </c>
      <c r="H1317">
        <v>0.96095570673545194</v>
      </c>
      <c r="I1317">
        <v>0.95716783216783208</v>
      </c>
      <c r="J1317">
        <v>11980888.333333334</v>
      </c>
      <c r="K1317">
        <v>61625</v>
      </c>
      <c r="L1317">
        <v>2</v>
      </c>
      <c r="M1317">
        <v>167</v>
      </c>
      <c r="N1317">
        <v>0.96386946386946382</v>
      </c>
      <c r="O1317">
        <v>12313706.375</v>
      </c>
      <c r="P1317">
        <v>62330</v>
      </c>
      <c r="Q1317">
        <v>2</v>
      </c>
      <c r="R1317">
        <v>168</v>
      </c>
      <c r="S1317" t="s">
        <v>1011</v>
      </c>
      <c r="W1317">
        <f>Cancer_doubles_final2[[#This Row],[mlp_params]]</f>
        <v>61625</v>
      </c>
      <c r="X1317">
        <f>Cancer_doubles_final2[[#This Row],[kan_test_acc]]</f>
        <v>0.96095570673545194</v>
      </c>
      <c r="Y1317">
        <f>Cancer_doubles_final2[[#This Row],[mlp_test_acc]]</f>
        <v>0.95716783216783208</v>
      </c>
      <c r="Z1317">
        <f>Cancer_doubles_final2[[#This Row],[mlp_test_acc2]]</f>
        <v>0.96386946386946382</v>
      </c>
    </row>
    <row r="1318" spans="1:26" x14ac:dyDescent="0.25">
      <c r="A1318" t="s">
        <v>19</v>
      </c>
      <c r="B1318">
        <v>3</v>
      </c>
      <c r="C1318">
        <v>5</v>
      </c>
      <c r="D1318">
        <v>0</v>
      </c>
      <c r="E1318" t="s">
        <v>592</v>
      </c>
      <c r="F1318">
        <v>35382</v>
      </c>
      <c r="G1318">
        <v>52382939.083333336</v>
      </c>
      <c r="H1318">
        <v>0.95702213918169343</v>
      </c>
      <c r="I1318">
        <v>0.94114219114219111</v>
      </c>
      <c r="J1318">
        <v>10275412.1875</v>
      </c>
      <c r="K1318">
        <v>70349</v>
      </c>
      <c r="L1318">
        <v>2</v>
      </c>
      <c r="M1318">
        <v>179</v>
      </c>
      <c r="N1318">
        <v>0.94361888111888115</v>
      </c>
      <c r="O1318">
        <v>10639684.979166666</v>
      </c>
      <c r="P1318">
        <v>71102</v>
      </c>
      <c r="Q1318">
        <v>2</v>
      </c>
      <c r="R1318">
        <v>180</v>
      </c>
      <c r="S1318" t="s">
        <v>1012</v>
      </c>
      <c r="W1318">
        <f>Cancer_doubles_final2[[#This Row],[mlp_params]]</f>
        <v>70349</v>
      </c>
      <c r="X1318">
        <f>Cancer_doubles_final2[[#This Row],[kan_test_acc]]</f>
        <v>0.95702213918169343</v>
      </c>
      <c r="Y1318">
        <f>Cancer_doubles_final2[[#This Row],[mlp_test_acc]]</f>
        <v>0.94114219114219111</v>
      </c>
      <c r="Z1318">
        <f>Cancer_doubles_final2[[#This Row],[mlp_test_acc2]]</f>
        <v>0.94361888111888115</v>
      </c>
    </row>
    <row r="1319" spans="1:26" hidden="1" x14ac:dyDescent="0.25">
      <c r="A1319" t="s">
        <v>19</v>
      </c>
      <c r="B1319">
        <v>5</v>
      </c>
      <c r="C1319">
        <v>3</v>
      </c>
      <c r="D1319">
        <v>0</v>
      </c>
      <c r="E1319" t="s">
        <v>592</v>
      </c>
      <c r="F1319">
        <v>35382</v>
      </c>
      <c r="G1319">
        <v>55636584.625</v>
      </c>
      <c r="H1319">
        <v>0.96590908120075869</v>
      </c>
      <c r="I1319">
        <v>0.94085081585081587</v>
      </c>
      <c r="J1319">
        <v>10072593.083333332</v>
      </c>
      <c r="K1319">
        <v>57479</v>
      </c>
      <c r="L1319">
        <v>2</v>
      </c>
      <c r="M1319">
        <v>161</v>
      </c>
      <c r="N1319">
        <v>0.94230769230769229</v>
      </c>
      <c r="O1319">
        <v>10034789.625</v>
      </c>
      <c r="P1319">
        <v>58160</v>
      </c>
      <c r="Q1319">
        <v>2</v>
      </c>
      <c r="R1319">
        <v>162</v>
      </c>
      <c r="S1319" t="s">
        <v>1013</v>
      </c>
      <c r="W1319">
        <f>Cancer_doubles_final2[[#This Row],[mlp_params]]</f>
        <v>57479</v>
      </c>
      <c r="X1319">
        <f>Cancer_doubles_final2[[#This Row],[kan_test_acc]]</f>
        <v>0.96590908120075869</v>
      </c>
      <c r="Y1319">
        <f>Cancer_doubles_final2[[#This Row],[mlp_test_acc]]</f>
        <v>0.94085081585081587</v>
      </c>
      <c r="Z1319">
        <f>Cancer_doubles_final2[[#This Row],[mlp_test_acc2]]</f>
        <v>0.94230769230769229</v>
      </c>
    </row>
    <row r="1320" spans="1:26" x14ac:dyDescent="0.25">
      <c r="A1320" t="s">
        <v>19</v>
      </c>
      <c r="B1320">
        <v>3</v>
      </c>
      <c r="C1320">
        <v>5</v>
      </c>
      <c r="D1320">
        <v>0</v>
      </c>
      <c r="E1320" t="s">
        <v>592</v>
      </c>
      <c r="F1320">
        <v>35382</v>
      </c>
      <c r="G1320">
        <v>57776788.833333336</v>
      </c>
      <c r="H1320">
        <v>0.96066432942946756</v>
      </c>
      <c r="I1320">
        <v>0.94172494172494181</v>
      </c>
      <c r="J1320">
        <v>10734758.625</v>
      </c>
      <c r="K1320">
        <v>70349</v>
      </c>
      <c r="L1320">
        <v>2</v>
      </c>
      <c r="M1320">
        <v>179</v>
      </c>
      <c r="N1320">
        <v>0.94143356643356646</v>
      </c>
      <c r="O1320">
        <v>11141192.75</v>
      </c>
      <c r="P1320">
        <v>71102</v>
      </c>
      <c r="Q1320">
        <v>2</v>
      </c>
      <c r="R1320">
        <v>180</v>
      </c>
      <c r="S1320" t="s">
        <v>1012</v>
      </c>
      <c r="W1320">
        <f>Cancer_doubles_final2[[#This Row],[mlp_params]]</f>
        <v>70349</v>
      </c>
      <c r="X1320">
        <f>Cancer_doubles_final2[[#This Row],[kan_test_acc]]</f>
        <v>0.96066432942946756</v>
      </c>
      <c r="Y1320">
        <f>Cancer_doubles_final2[[#This Row],[mlp_test_acc]]</f>
        <v>0.94172494172494181</v>
      </c>
      <c r="Z1320">
        <f>Cancer_doubles_final2[[#This Row],[mlp_test_acc2]]</f>
        <v>0.94143356643356646</v>
      </c>
    </row>
    <row r="1321" spans="1:26" hidden="1" x14ac:dyDescent="0.25">
      <c r="A1321" t="s">
        <v>19</v>
      </c>
      <c r="B1321">
        <v>5</v>
      </c>
      <c r="C1321">
        <v>3</v>
      </c>
      <c r="D1321">
        <v>0</v>
      </c>
      <c r="E1321" t="s">
        <v>592</v>
      </c>
      <c r="F1321">
        <v>35382</v>
      </c>
      <c r="G1321">
        <v>56846192.625</v>
      </c>
      <c r="H1321">
        <v>0.95337995141744614</v>
      </c>
      <c r="I1321">
        <v>0.92045454545454553</v>
      </c>
      <c r="J1321">
        <v>10107105.583333332</v>
      </c>
      <c r="K1321">
        <v>57479</v>
      </c>
      <c r="L1321">
        <v>2</v>
      </c>
      <c r="M1321">
        <v>161</v>
      </c>
      <c r="N1321">
        <v>0.92103729603729612</v>
      </c>
      <c r="O1321">
        <v>10745741.458333334</v>
      </c>
      <c r="P1321">
        <v>58160</v>
      </c>
      <c r="Q1321">
        <v>2</v>
      </c>
      <c r="R1321">
        <v>162</v>
      </c>
      <c r="S1321" t="s">
        <v>1013</v>
      </c>
      <c r="W1321">
        <f>Cancer_doubles_final2[[#This Row],[mlp_params]]</f>
        <v>57479</v>
      </c>
      <c r="X1321">
        <f>Cancer_doubles_final2[[#This Row],[kan_test_acc]]</f>
        <v>0.95337995141744614</v>
      </c>
      <c r="Y1321">
        <f>Cancer_doubles_final2[[#This Row],[mlp_test_acc]]</f>
        <v>0.92045454545454553</v>
      </c>
      <c r="Z1321">
        <f>Cancer_doubles_final2[[#This Row],[mlp_test_acc2]]</f>
        <v>0.92103729603729612</v>
      </c>
    </row>
    <row r="1322" spans="1:26" hidden="1" x14ac:dyDescent="0.25">
      <c r="A1322" t="s">
        <v>19</v>
      </c>
      <c r="B1322">
        <v>9</v>
      </c>
      <c r="C1322">
        <v>2</v>
      </c>
      <c r="D1322">
        <v>0</v>
      </c>
      <c r="E1322" t="s">
        <v>316</v>
      </c>
      <c r="F1322">
        <v>35412</v>
      </c>
      <c r="G1322">
        <v>32560744.208333332</v>
      </c>
      <c r="H1322">
        <v>0.94289043794075655</v>
      </c>
      <c r="I1322">
        <v>0.90646853146853146</v>
      </c>
      <c r="J1322">
        <v>9328139.7083333321</v>
      </c>
      <c r="K1322">
        <v>47744</v>
      </c>
      <c r="L1322">
        <v>2</v>
      </c>
      <c r="M1322">
        <v>146</v>
      </c>
      <c r="N1322">
        <v>0.91025641025641024</v>
      </c>
      <c r="O1322">
        <v>9335386.708333334</v>
      </c>
      <c r="P1322">
        <v>48365</v>
      </c>
      <c r="Q1322">
        <v>2</v>
      </c>
      <c r="R1322">
        <v>147</v>
      </c>
      <c r="S1322" t="s">
        <v>1014</v>
      </c>
      <c r="W1322">
        <f>Cancer_doubles_final2[[#This Row],[mlp_params]]</f>
        <v>47744</v>
      </c>
      <c r="X1322">
        <f>Cancer_doubles_final2[[#This Row],[kan_test_acc]]</f>
        <v>0.94289043794075655</v>
      </c>
      <c r="Y1322">
        <f>Cancer_doubles_final2[[#This Row],[mlp_test_acc]]</f>
        <v>0.90646853146853146</v>
      </c>
      <c r="Z1322">
        <f>Cancer_doubles_final2[[#This Row],[mlp_test_acc2]]</f>
        <v>0.91025641025641024</v>
      </c>
    </row>
    <row r="1323" spans="1:26" hidden="1" x14ac:dyDescent="0.25">
      <c r="A1323" t="s">
        <v>19</v>
      </c>
      <c r="B1323">
        <v>9</v>
      </c>
      <c r="C1323">
        <v>2</v>
      </c>
      <c r="D1323">
        <v>0</v>
      </c>
      <c r="E1323" t="s">
        <v>319</v>
      </c>
      <c r="F1323">
        <v>35416</v>
      </c>
      <c r="G1323">
        <v>27539836.555555556</v>
      </c>
      <c r="H1323">
        <v>0.92482517659664154</v>
      </c>
      <c r="I1323">
        <v>0.91258741258741261</v>
      </c>
      <c r="J1323">
        <v>9130780.75</v>
      </c>
      <c r="K1323">
        <v>47744</v>
      </c>
      <c r="L1323">
        <v>2</v>
      </c>
      <c r="M1323">
        <v>146</v>
      </c>
      <c r="N1323">
        <v>0.91569541569541568</v>
      </c>
      <c r="O1323">
        <v>9734363.4444444459</v>
      </c>
      <c r="P1323">
        <v>48365</v>
      </c>
      <c r="Q1323">
        <v>2</v>
      </c>
      <c r="R1323">
        <v>147</v>
      </c>
      <c r="S1323" t="s">
        <v>1015</v>
      </c>
      <c r="W1323">
        <f>Cancer_doubles_final2[[#This Row],[mlp_params]]</f>
        <v>47744</v>
      </c>
      <c r="X1323">
        <f>Cancer_doubles_final2[[#This Row],[kan_test_acc]]</f>
        <v>0.92482517659664154</v>
      </c>
      <c r="Y1323">
        <f>Cancer_doubles_final2[[#This Row],[mlp_test_acc]]</f>
        <v>0.91258741258741261</v>
      </c>
      <c r="Z1323">
        <f>Cancer_doubles_final2[[#This Row],[mlp_test_acc2]]</f>
        <v>0.91569541569541568</v>
      </c>
    </row>
    <row r="1324" spans="1:26" hidden="1" x14ac:dyDescent="0.25">
      <c r="A1324" t="s">
        <v>19</v>
      </c>
      <c r="B1324">
        <v>3</v>
      </c>
      <c r="C1324">
        <v>4</v>
      </c>
      <c r="D1324">
        <v>0</v>
      </c>
      <c r="E1324" t="s">
        <v>731</v>
      </c>
      <c r="F1324">
        <v>35500</v>
      </c>
      <c r="G1324">
        <v>35103666.05555556</v>
      </c>
      <c r="H1324">
        <v>0.93706294231944609</v>
      </c>
      <c r="I1324">
        <v>0.92268842268842266</v>
      </c>
      <c r="J1324">
        <v>8624801.777777778</v>
      </c>
      <c r="K1324">
        <v>66644</v>
      </c>
      <c r="L1324">
        <v>2</v>
      </c>
      <c r="M1324">
        <v>174</v>
      </c>
      <c r="N1324">
        <v>0.92210567210567207</v>
      </c>
      <c r="O1324">
        <v>10196602.583333334</v>
      </c>
      <c r="P1324">
        <v>67377</v>
      </c>
      <c r="Q1324">
        <v>2</v>
      </c>
      <c r="R1324">
        <v>175</v>
      </c>
      <c r="S1324" t="s">
        <v>1016</v>
      </c>
      <c r="W1324">
        <f>Cancer_doubles_final2[[#This Row],[mlp_params]]</f>
        <v>66644</v>
      </c>
      <c r="X1324">
        <f>Cancer_doubles_final2[[#This Row],[kan_test_acc]]</f>
        <v>0.93706294231944609</v>
      </c>
      <c r="Y1324">
        <f>Cancer_doubles_final2[[#This Row],[mlp_test_acc]]</f>
        <v>0.92268842268842266</v>
      </c>
      <c r="Z1324">
        <f>Cancer_doubles_final2[[#This Row],[mlp_test_acc2]]</f>
        <v>0.92210567210567207</v>
      </c>
    </row>
    <row r="1325" spans="1:26" hidden="1" x14ac:dyDescent="0.25">
      <c r="A1325" t="s">
        <v>19</v>
      </c>
      <c r="B1325">
        <v>5</v>
      </c>
      <c r="C1325">
        <v>2</v>
      </c>
      <c r="D1325">
        <v>0</v>
      </c>
      <c r="E1325" t="s">
        <v>731</v>
      </c>
      <c r="F1325">
        <v>35500</v>
      </c>
      <c r="G1325">
        <v>46142661.291666672</v>
      </c>
      <c r="H1325">
        <v>0.97465034077564872</v>
      </c>
      <c r="I1325">
        <v>0.94055944055944052</v>
      </c>
      <c r="J1325">
        <v>8352577.208333333</v>
      </c>
      <c r="K1325">
        <v>52824</v>
      </c>
      <c r="L1325">
        <v>2</v>
      </c>
      <c r="M1325">
        <v>154</v>
      </c>
      <c r="N1325">
        <v>0.93793706293706292</v>
      </c>
      <c r="O1325">
        <v>10088111.208333332</v>
      </c>
      <c r="P1325">
        <v>53477</v>
      </c>
      <c r="Q1325">
        <v>2</v>
      </c>
      <c r="R1325">
        <v>155</v>
      </c>
      <c r="S1325" t="s">
        <v>1017</v>
      </c>
      <c r="W1325">
        <f>Cancer_doubles_final2[[#This Row],[mlp_params]]</f>
        <v>52824</v>
      </c>
      <c r="X1325">
        <f>Cancer_doubles_final2[[#This Row],[kan_test_acc]]</f>
        <v>0.97465034077564872</v>
      </c>
      <c r="Y1325">
        <f>Cancer_doubles_final2[[#This Row],[mlp_test_acc]]</f>
        <v>0.94055944055944052</v>
      </c>
      <c r="Z1325">
        <f>Cancer_doubles_final2[[#This Row],[mlp_test_acc2]]</f>
        <v>0.93793706293706292</v>
      </c>
    </row>
    <row r="1326" spans="1:26" hidden="1" x14ac:dyDescent="0.25">
      <c r="A1326" t="s">
        <v>19</v>
      </c>
      <c r="B1326">
        <v>3</v>
      </c>
      <c r="C1326">
        <v>4</v>
      </c>
      <c r="D1326">
        <v>0</v>
      </c>
      <c r="E1326" t="s">
        <v>731</v>
      </c>
      <c r="F1326">
        <v>35500</v>
      </c>
      <c r="G1326">
        <v>46199985.625</v>
      </c>
      <c r="H1326">
        <v>0.96532632907231641</v>
      </c>
      <c r="I1326">
        <v>0.93006993006993011</v>
      </c>
      <c r="J1326">
        <v>8954108.25</v>
      </c>
      <c r="K1326">
        <v>66644</v>
      </c>
      <c r="L1326">
        <v>2</v>
      </c>
      <c r="M1326">
        <v>174</v>
      </c>
      <c r="N1326">
        <v>0.9274475524475525</v>
      </c>
      <c r="O1326">
        <v>9708263.125</v>
      </c>
      <c r="P1326">
        <v>67377</v>
      </c>
      <c r="Q1326">
        <v>2</v>
      </c>
      <c r="R1326">
        <v>175</v>
      </c>
      <c r="S1326" t="s">
        <v>1016</v>
      </c>
      <c r="W1326">
        <f>Cancer_doubles_final2[[#This Row],[mlp_params]]</f>
        <v>66644</v>
      </c>
      <c r="X1326">
        <f>Cancer_doubles_final2[[#This Row],[kan_test_acc]]</f>
        <v>0.96532632907231641</v>
      </c>
      <c r="Y1326">
        <f>Cancer_doubles_final2[[#This Row],[mlp_test_acc]]</f>
        <v>0.93006993006993011</v>
      </c>
      <c r="Z1326">
        <f>Cancer_doubles_final2[[#This Row],[mlp_test_acc2]]</f>
        <v>0.9274475524475525</v>
      </c>
    </row>
    <row r="1327" spans="1:26" hidden="1" x14ac:dyDescent="0.25">
      <c r="A1327" t="s">
        <v>19</v>
      </c>
      <c r="B1327">
        <v>5</v>
      </c>
      <c r="C1327">
        <v>2</v>
      </c>
      <c r="D1327">
        <v>0</v>
      </c>
      <c r="E1327" t="s">
        <v>731</v>
      </c>
      <c r="F1327">
        <v>35500</v>
      </c>
      <c r="G1327">
        <v>41141292.791666672</v>
      </c>
      <c r="H1327">
        <v>0.94784381488959002</v>
      </c>
      <c r="I1327">
        <v>0.91171328671328677</v>
      </c>
      <c r="J1327">
        <v>9355802.8333333321</v>
      </c>
      <c r="K1327">
        <v>52824</v>
      </c>
      <c r="L1327">
        <v>2</v>
      </c>
      <c r="M1327">
        <v>154</v>
      </c>
      <c r="N1327">
        <v>0.90559440559440563</v>
      </c>
      <c r="O1327">
        <v>9804966.875</v>
      </c>
      <c r="P1327">
        <v>53477</v>
      </c>
      <c r="Q1327">
        <v>2</v>
      </c>
      <c r="R1327">
        <v>155</v>
      </c>
      <c r="S1327" t="s">
        <v>1017</v>
      </c>
      <c r="W1327">
        <f>Cancer_doubles_final2[[#This Row],[mlp_params]]</f>
        <v>52824</v>
      </c>
      <c r="X1327">
        <f>Cancer_doubles_final2[[#This Row],[kan_test_acc]]</f>
        <v>0.94784381488959002</v>
      </c>
      <c r="Y1327">
        <f>Cancer_doubles_final2[[#This Row],[mlp_test_acc]]</f>
        <v>0.91171328671328677</v>
      </c>
      <c r="Z1327">
        <f>Cancer_doubles_final2[[#This Row],[mlp_test_acc2]]</f>
        <v>0.90559440559440563</v>
      </c>
    </row>
    <row r="1328" spans="1:26" hidden="1" x14ac:dyDescent="0.25">
      <c r="A1328" t="s">
        <v>19</v>
      </c>
      <c r="B1328">
        <v>5</v>
      </c>
      <c r="C1328">
        <v>3</v>
      </c>
      <c r="D1328">
        <v>0</v>
      </c>
      <c r="E1328" t="s">
        <v>597</v>
      </c>
      <c r="F1328">
        <v>35512</v>
      </c>
      <c r="G1328">
        <v>38474369.958333328</v>
      </c>
      <c r="H1328">
        <v>0.96270396560430527</v>
      </c>
      <c r="I1328">
        <v>0.92336829836829837</v>
      </c>
      <c r="J1328">
        <v>9293438.4583333321</v>
      </c>
      <c r="K1328">
        <v>57479</v>
      </c>
      <c r="L1328">
        <v>2</v>
      </c>
      <c r="M1328">
        <v>161</v>
      </c>
      <c r="N1328">
        <v>0.9184149184149184</v>
      </c>
      <c r="O1328">
        <v>10260523.208333334</v>
      </c>
      <c r="P1328">
        <v>58160</v>
      </c>
      <c r="Q1328">
        <v>2</v>
      </c>
      <c r="R1328">
        <v>162</v>
      </c>
      <c r="S1328" t="s">
        <v>1018</v>
      </c>
      <c r="W1328">
        <f>Cancer_doubles_final2[[#This Row],[mlp_params]]</f>
        <v>57479</v>
      </c>
      <c r="X1328">
        <f>Cancer_doubles_final2[[#This Row],[kan_test_acc]]</f>
        <v>0.96270396560430527</v>
      </c>
      <c r="Y1328">
        <f>Cancer_doubles_final2[[#This Row],[mlp_test_acc]]</f>
        <v>0.92336829836829837</v>
      </c>
      <c r="Z1328">
        <f>Cancer_doubles_final2[[#This Row],[mlp_test_acc2]]</f>
        <v>0.9184149184149184</v>
      </c>
    </row>
    <row r="1329" spans="1:26" x14ac:dyDescent="0.25">
      <c r="A1329" t="s">
        <v>19</v>
      </c>
      <c r="B1329">
        <v>3</v>
      </c>
      <c r="C1329">
        <v>5</v>
      </c>
      <c r="D1329">
        <v>0</v>
      </c>
      <c r="E1329" t="s">
        <v>597</v>
      </c>
      <c r="F1329">
        <v>35512</v>
      </c>
      <c r="G1329">
        <v>50104059.916666664</v>
      </c>
      <c r="H1329">
        <v>0.98018648475408554</v>
      </c>
      <c r="I1329">
        <v>0.94930069930069927</v>
      </c>
      <c r="J1329">
        <v>10376133.833333332</v>
      </c>
      <c r="K1329">
        <v>70349</v>
      </c>
      <c r="L1329">
        <v>2</v>
      </c>
      <c r="M1329">
        <v>179</v>
      </c>
      <c r="N1329">
        <v>0.94289044289044299</v>
      </c>
      <c r="O1329">
        <v>10363427.666666668</v>
      </c>
      <c r="P1329">
        <v>71102</v>
      </c>
      <c r="Q1329">
        <v>2</v>
      </c>
      <c r="R1329">
        <v>180</v>
      </c>
      <c r="S1329" t="s">
        <v>1019</v>
      </c>
      <c r="W1329">
        <f>Cancer_doubles_final2[[#This Row],[mlp_params]]</f>
        <v>70349</v>
      </c>
      <c r="X1329">
        <f>Cancer_doubles_final2[[#This Row],[kan_test_acc]]</f>
        <v>0.98018648475408554</v>
      </c>
      <c r="Y1329">
        <f>Cancer_doubles_final2[[#This Row],[mlp_test_acc]]</f>
        <v>0.94930069930069927</v>
      </c>
      <c r="Z1329">
        <f>Cancer_doubles_final2[[#This Row],[mlp_test_acc2]]</f>
        <v>0.94289044289044299</v>
      </c>
    </row>
    <row r="1330" spans="1:26" hidden="1" x14ac:dyDescent="0.25">
      <c r="A1330" t="s">
        <v>19</v>
      </c>
      <c r="B1330">
        <v>5</v>
      </c>
      <c r="C1330">
        <v>3</v>
      </c>
      <c r="D1330">
        <v>0</v>
      </c>
      <c r="E1330" t="s">
        <v>597</v>
      </c>
      <c r="F1330">
        <v>35512</v>
      </c>
      <c r="G1330">
        <v>53460582.791666664</v>
      </c>
      <c r="H1330">
        <v>0.96853146205345797</v>
      </c>
      <c r="I1330">
        <v>0.94230769230769229</v>
      </c>
      <c r="J1330">
        <v>10124756.666666666</v>
      </c>
      <c r="K1330">
        <v>57479</v>
      </c>
      <c r="L1330">
        <v>2</v>
      </c>
      <c r="M1330">
        <v>161</v>
      </c>
      <c r="N1330">
        <v>0.94055944055944063</v>
      </c>
      <c r="O1330">
        <v>10138318.708333332</v>
      </c>
      <c r="P1330">
        <v>58160</v>
      </c>
      <c r="Q1330">
        <v>2</v>
      </c>
      <c r="R1330">
        <v>162</v>
      </c>
      <c r="S1330" t="s">
        <v>1018</v>
      </c>
      <c r="W1330">
        <f>Cancer_doubles_final2[[#This Row],[mlp_params]]</f>
        <v>57479</v>
      </c>
      <c r="X1330">
        <f>Cancer_doubles_final2[[#This Row],[kan_test_acc]]</f>
        <v>0.96853146205345797</v>
      </c>
      <c r="Y1330">
        <f>Cancer_doubles_final2[[#This Row],[mlp_test_acc]]</f>
        <v>0.94230769230769229</v>
      </c>
      <c r="Z1330">
        <f>Cancer_doubles_final2[[#This Row],[mlp_test_acc2]]</f>
        <v>0.94055944055944063</v>
      </c>
    </row>
    <row r="1331" spans="1:26" x14ac:dyDescent="0.25">
      <c r="A1331" t="s">
        <v>19</v>
      </c>
      <c r="B1331">
        <v>3</v>
      </c>
      <c r="C1331">
        <v>5</v>
      </c>
      <c r="D1331">
        <v>0</v>
      </c>
      <c r="E1331" t="s">
        <v>597</v>
      </c>
      <c r="F1331">
        <v>35512</v>
      </c>
      <c r="G1331">
        <v>56403720.583333328</v>
      </c>
      <c r="H1331">
        <v>0.96474358439445496</v>
      </c>
      <c r="I1331">
        <v>0.93939393939393945</v>
      </c>
      <c r="J1331">
        <v>10785856.333333334</v>
      </c>
      <c r="K1331">
        <v>70349</v>
      </c>
      <c r="L1331">
        <v>2</v>
      </c>
      <c r="M1331">
        <v>179</v>
      </c>
      <c r="N1331">
        <v>0.9417249417249417</v>
      </c>
      <c r="O1331">
        <v>11790998.583333332</v>
      </c>
      <c r="P1331">
        <v>71102</v>
      </c>
      <c r="Q1331">
        <v>2</v>
      </c>
      <c r="R1331">
        <v>180</v>
      </c>
      <c r="S1331" t="s">
        <v>1019</v>
      </c>
      <c r="W1331">
        <f>Cancer_doubles_final2[[#This Row],[mlp_params]]</f>
        <v>70349</v>
      </c>
      <c r="X1331">
        <f>Cancer_doubles_final2[[#This Row],[kan_test_acc]]</f>
        <v>0.96474358439445496</v>
      </c>
      <c r="Y1331">
        <f>Cancer_doubles_final2[[#This Row],[mlp_test_acc]]</f>
        <v>0.93939393939393945</v>
      </c>
      <c r="Z1331">
        <f>Cancer_doubles_final2[[#This Row],[mlp_test_acc2]]</f>
        <v>0.9417249417249417</v>
      </c>
    </row>
    <row r="1332" spans="1:26" hidden="1" x14ac:dyDescent="0.25">
      <c r="A1332" t="s">
        <v>19</v>
      </c>
      <c r="B1332">
        <v>5</v>
      </c>
      <c r="C1332">
        <v>3</v>
      </c>
      <c r="D1332">
        <v>0</v>
      </c>
      <c r="E1332" t="s">
        <v>597</v>
      </c>
      <c r="F1332">
        <v>35512</v>
      </c>
      <c r="G1332">
        <v>49614877.083333328</v>
      </c>
      <c r="H1332">
        <v>0.95279719928900397</v>
      </c>
      <c r="I1332">
        <v>0.92307692307692313</v>
      </c>
      <c r="J1332">
        <v>10759359.5</v>
      </c>
      <c r="K1332">
        <v>57479</v>
      </c>
      <c r="L1332">
        <v>2</v>
      </c>
      <c r="M1332">
        <v>161</v>
      </c>
      <c r="N1332">
        <v>0.92074592074592077</v>
      </c>
      <c r="O1332">
        <v>11416391.125</v>
      </c>
      <c r="P1332">
        <v>58160</v>
      </c>
      <c r="Q1332">
        <v>2</v>
      </c>
      <c r="R1332">
        <v>162</v>
      </c>
      <c r="S1332" t="s">
        <v>1018</v>
      </c>
      <c r="W1332">
        <f>Cancer_doubles_final2[[#This Row],[mlp_params]]</f>
        <v>57479</v>
      </c>
      <c r="X1332">
        <f>Cancer_doubles_final2[[#This Row],[kan_test_acc]]</f>
        <v>0.95279719928900397</v>
      </c>
      <c r="Y1332">
        <f>Cancer_doubles_final2[[#This Row],[mlp_test_acc]]</f>
        <v>0.92307692307692313</v>
      </c>
      <c r="Z1332">
        <f>Cancer_doubles_final2[[#This Row],[mlp_test_acc2]]</f>
        <v>0.92074592074592077</v>
      </c>
    </row>
    <row r="1333" spans="1:26" hidden="1" x14ac:dyDescent="0.25">
      <c r="A1333" t="s">
        <v>19</v>
      </c>
      <c r="B1333">
        <v>9</v>
      </c>
      <c r="C1333">
        <v>2</v>
      </c>
      <c r="D1333">
        <v>0</v>
      </c>
      <c r="E1333" t="s">
        <v>321</v>
      </c>
      <c r="F1333">
        <v>35526</v>
      </c>
      <c r="G1333">
        <v>30678204.25</v>
      </c>
      <c r="H1333">
        <v>0.93939393262068427</v>
      </c>
      <c r="I1333">
        <v>0.90879953379953382</v>
      </c>
      <c r="J1333">
        <v>9864104.375</v>
      </c>
      <c r="K1333">
        <v>47744</v>
      </c>
      <c r="L1333">
        <v>2</v>
      </c>
      <c r="M1333">
        <v>146</v>
      </c>
      <c r="N1333">
        <v>0.9093822843822843</v>
      </c>
      <c r="O1333">
        <v>9324539.375</v>
      </c>
      <c r="P1333">
        <v>48365</v>
      </c>
      <c r="Q1333">
        <v>2</v>
      </c>
      <c r="R1333">
        <v>147</v>
      </c>
      <c r="S1333" t="s">
        <v>1020</v>
      </c>
      <c r="W1333">
        <f>Cancer_doubles_final2[[#This Row],[mlp_params]]</f>
        <v>47744</v>
      </c>
      <c r="X1333">
        <f>Cancer_doubles_final2[[#This Row],[kan_test_acc]]</f>
        <v>0.93939393262068427</v>
      </c>
      <c r="Y1333">
        <f>Cancer_doubles_final2[[#This Row],[mlp_test_acc]]</f>
        <v>0.90879953379953382</v>
      </c>
      <c r="Z1333">
        <f>Cancer_doubles_final2[[#This Row],[mlp_test_acc2]]</f>
        <v>0.9093822843822843</v>
      </c>
    </row>
    <row r="1334" spans="1:26" hidden="1" x14ac:dyDescent="0.25">
      <c r="A1334" t="s">
        <v>19</v>
      </c>
      <c r="B1334">
        <v>5</v>
      </c>
      <c r="C1334">
        <v>5</v>
      </c>
      <c r="D1334">
        <v>0</v>
      </c>
      <c r="E1334" t="s">
        <v>393</v>
      </c>
      <c r="F1334">
        <v>35550</v>
      </c>
      <c r="G1334">
        <v>31147633.166666668</v>
      </c>
      <c r="H1334">
        <v>0.93142967919508624</v>
      </c>
      <c r="I1334">
        <v>0.91744366744366745</v>
      </c>
      <c r="J1334">
        <v>9558772.1111111119</v>
      </c>
      <c r="K1334">
        <v>65190</v>
      </c>
      <c r="L1334">
        <v>2</v>
      </c>
      <c r="M1334">
        <v>172</v>
      </c>
      <c r="N1334">
        <v>0.91860916860916864</v>
      </c>
      <c r="O1334">
        <v>9341370.555555556</v>
      </c>
      <c r="P1334">
        <v>65915</v>
      </c>
      <c r="Q1334">
        <v>2</v>
      </c>
      <c r="R1334">
        <v>173</v>
      </c>
      <c r="S1334" t="s">
        <v>1021</v>
      </c>
      <c r="W1334">
        <f>Cancer_doubles_final2[[#This Row],[mlp_params]]</f>
        <v>65190</v>
      </c>
      <c r="X1334">
        <f>Cancer_doubles_final2[[#This Row],[kan_test_acc]]</f>
        <v>0.93142967919508624</v>
      </c>
      <c r="Y1334">
        <f>Cancer_doubles_final2[[#This Row],[mlp_test_acc]]</f>
        <v>0.91744366744366745</v>
      </c>
      <c r="Z1334">
        <f>Cancer_doubles_final2[[#This Row],[mlp_test_acc2]]</f>
        <v>0.91860916860916864</v>
      </c>
    </row>
    <row r="1335" spans="1:26" hidden="1" x14ac:dyDescent="0.25">
      <c r="A1335" t="s">
        <v>19</v>
      </c>
      <c r="B1335">
        <v>9</v>
      </c>
      <c r="C1335">
        <v>4</v>
      </c>
      <c r="D1335">
        <v>0</v>
      </c>
      <c r="E1335" t="s">
        <v>225</v>
      </c>
      <c r="F1335">
        <v>35588</v>
      </c>
      <c r="G1335">
        <v>46913844.05555556</v>
      </c>
      <c r="H1335">
        <v>0.92832167446613312</v>
      </c>
      <c r="I1335">
        <v>0.94522144522144524</v>
      </c>
      <c r="J1335">
        <v>11028626.472222222</v>
      </c>
      <c r="K1335">
        <v>55460</v>
      </c>
      <c r="L1335">
        <v>2</v>
      </c>
      <c r="M1335">
        <v>158</v>
      </c>
      <c r="N1335">
        <v>0.94580419580419584</v>
      </c>
      <c r="O1335">
        <v>10965858.888888888</v>
      </c>
      <c r="P1335">
        <v>56129</v>
      </c>
      <c r="Q1335">
        <v>2</v>
      </c>
      <c r="R1335">
        <v>159</v>
      </c>
      <c r="S1335" t="s">
        <v>1022</v>
      </c>
      <c r="W1335">
        <f>Cancer_doubles_final2[[#This Row],[mlp_params]]</f>
        <v>55460</v>
      </c>
      <c r="X1335">
        <f>Cancer_doubles_final2[[#This Row],[kan_test_acc]]</f>
        <v>0.92832167446613312</v>
      </c>
      <c r="Y1335">
        <f>Cancer_doubles_final2[[#This Row],[mlp_test_acc]]</f>
        <v>0.94522144522144524</v>
      </c>
      <c r="Z1335">
        <f>Cancer_doubles_final2[[#This Row],[mlp_test_acc2]]</f>
        <v>0.94580419580419584</v>
      </c>
    </row>
    <row r="1336" spans="1:26" hidden="1" x14ac:dyDescent="0.25">
      <c r="A1336" t="s">
        <v>19</v>
      </c>
      <c r="B1336">
        <v>9</v>
      </c>
      <c r="C1336">
        <v>3</v>
      </c>
      <c r="D1336">
        <v>0</v>
      </c>
      <c r="E1336" t="s">
        <v>264</v>
      </c>
      <c r="F1336">
        <v>35652</v>
      </c>
      <c r="G1336">
        <v>40538482.416666672</v>
      </c>
      <c r="H1336">
        <v>0.94289043794075655</v>
      </c>
      <c r="I1336">
        <v>0.95949883449883444</v>
      </c>
      <c r="J1336">
        <v>11365233.833333332</v>
      </c>
      <c r="K1336">
        <v>52175</v>
      </c>
      <c r="L1336">
        <v>2</v>
      </c>
      <c r="M1336">
        <v>153</v>
      </c>
      <c r="N1336">
        <v>0.96008158508158503</v>
      </c>
      <c r="O1336">
        <v>11541519.541666668</v>
      </c>
      <c r="P1336">
        <v>52824</v>
      </c>
      <c r="Q1336">
        <v>2</v>
      </c>
      <c r="R1336">
        <v>154</v>
      </c>
      <c r="S1336" t="s">
        <v>1023</v>
      </c>
      <c r="W1336">
        <f>Cancer_doubles_final2[[#This Row],[mlp_params]]</f>
        <v>52175</v>
      </c>
      <c r="X1336">
        <f>Cancer_doubles_final2[[#This Row],[kan_test_acc]]</f>
        <v>0.94289043794075655</v>
      </c>
      <c r="Y1336">
        <f>Cancer_doubles_final2[[#This Row],[mlp_test_acc]]</f>
        <v>0.95949883449883444</v>
      </c>
      <c r="Z1336">
        <f>Cancer_doubles_final2[[#This Row],[mlp_test_acc2]]</f>
        <v>0.96008158508158503</v>
      </c>
    </row>
    <row r="1337" spans="1:26" hidden="1" x14ac:dyDescent="0.25">
      <c r="A1337" t="s">
        <v>19</v>
      </c>
      <c r="B1337">
        <v>5</v>
      </c>
      <c r="C1337">
        <v>4</v>
      </c>
      <c r="D1337">
        <v>0</v>
      </c>
      <c r="E1337" t="s">
        <v>487</v>
      </c>
      <c r="F1337">
        <v>35658</v>
      </c>
      <c r="G1337">
        <v>33764824.083333328</v>
      </c>
      <c r="H1337">
        <v>0.95134032269318902</v>
      </c>
      <c r="I1337">
        <v>0.94726107226107237</v>
      </c>
      <c r="J1337">
        <v>9374324.5</v>
      </c>
      <c r="K1337">
        <v>62330</v>
      </c>
      <c r="L1337">
        <v>2</v>
      </c>
      <c r="M1337">
        <v>168</v>
      </c>
      <c r="N1337">
        <v>0.94755244755244761</v>
      </c>
      <c r="O1337">
        <v>9310370.875</v>
      </c>
      <c r="P1337">
        <v>63039</v>
      </c>
      <c r="Q1337">
        <v>2</v>
      </c>
      <c r="R1337">
        <v>169</v>
      </c>
      <c r="S1337" t="s">
        <v>1024</v>
      </c>
      <c r="W1337">
        <f>Cancer_doubles_final2[[#This Row],[mlp_params]]</f>
        <v>62330</v>
      </c>
      <c r="X1337">
        <f>Cancer_doubles_final2[[#This Row],[kan_test_acc]]</f>
        <v>0.95134032269318902</v>
      </c>
      <c r="Y1337">
        <f>Cancer_doubles_final2[[#This Row],[mlp_test_acc]]</f>
        <v>0.94726107226107237</v>
      </c>
      <c r="Z1337">
        <f>Cancer_doubles_final2[[#This Row],[mlp_test_acc2]]</f>
        <v>0.94755244755244761</v>
      </c>
    </row>
    <row r="1338" spans="1:26" hidden="1" x14ac:dyDescent="0.25">
      <c r="A1338" t="s">
        <v>19</v>
      </c>
      <c r="B1338">
        <v>9</v>
      </c>
      <c r="C1338">
        <v>3</v>
      </c>
      <c r="D1338">
        <v>0</v>
      </c>
      <c r="E1338" t="s">
        <v>266</v>
      </c>
      <c r="F1338">
        <v>35658</v>
      </c>
      <c r="G1338">
        <v>36774051.583333328</v>
      </c>
      <c r="H1338">
        <v>0.9449300616979599</v>
      </c>
      <c r="I1338">
        <v>0.94172494172494181</v>
      </c>
      <c r="J1338">
        <v>9145634.7083333321</v>
      </c>
      <c r="K1338">
        <v>52175</v>
      </c>
      <c r="L1338">
        <v>2</v>
      </c>
      <c r="M1338">
        <v>153</v>
      </c>
      <c r="N1338">
        <v>0.94085081585081587</v>
      </c>
      <c r="O1338">
        <v>9413183.7083333321</v>
      </c>
      <c r="P1338">
        <v>52824</v>
      </c>
      <c r="Q1338">
        <v>2</v>
      </c>
      <c r="R1338">
        <v>154</v>
      </c>
      <c r="S1338" t="s">
        <v>1025</v>
      </c>
      <c r="W1338">
        <f>Cancer_doubles_final2[[#This Row],[mlp_params]]</f>
        <v>52175</v>
      </c>
      <c r="X1338">
        <f>Cancer_doubles_final2[[#This Row],[kan_test_acc]]</f>
        <v>0.9449300616979599</v>
      </c>
      <c r="Y1338">
        <f>Cancer_doubles_final2[[#This Row],[mlp_test_acc]]</f>
        <v>0.94172494172494181</v>
      </c>
      <c r="Z1338">
        <f>Cancer_doubles_final2[[#This Row],[mlp_test_acc2]]</f>
        <v>0.94085081585081587</v>
      </c>
    </row>
    <row r="1339" spans="1:26" hidden="1" x14ac:dyDescent="0.25">
      <c r="A1339" t="s">
        <v>19</v>
      </c>
      <c r="B1339">
        <v>5</v>
      </c>
      <c r="C1339">
        <v>4</v>
      </c>
      <c r="D1339">
        <v>0</v>
      </c>
      <c r="E1339" t="s">
        <v>487</v>
      </c>
      <c r="F1339">
        <v>35658</v>
      </c>
      <c r="G1339">
        <v>38829619.416666672</v>
      </c>
      <c r="H1339">
        <v>0.93764568368593859</v>
      </c>
      <c r="I1339">
        <v>0.94959207459207462</v>
      </c>
      <c r="J1339">
        <v>8725214.4166666679</v>
      </c>
      <c r="K1339">
        <v>62330</v>
      </c>
      <c r="L1339">
        <v>2</v>
      </c>
      <c r="M1339">
        <v>168</v>
      </c>
      <c r="N1339">
        <v>0.9527972027972027</v>
      </c>
      <c r="O1339">
        <v>9898350.7083333321</v>
      </c>
      <c r="P1339">
        <v>63039</v>
      </c>
      <c r="Q1339">
        <v>2</v>
      </c>
      <c r="R1339">
        <v>169</v>
      </c>
      <c r="S1339" t="s">
        <v>1024</v>
      </c>
      <c r="W1339">
        <f>Cancer_doubles_final2[[#This Row],[mlp_params]]</f>
        <v>62330</v>
      </c>
      <c r="X1339">
        <f>Cancer_doubles_final2[[#This Row],[kan_test_acc]]</f>
        <v>0.93764568368593859</v>
      </c>
      <c r="Y1339">
        <f>Cancer_doubles_final2[[#This Row],[mlp_test_acc]]</f>
        <v>0.94959207459207462</v>
      </c>
      <c r="Z1339">
        <f>Cancer_doubles_final2[[#This Row],[mlp_test_acc2]]</f>
        <v>0.9527972027972027</v>
      </c>
    </row>
    <row r="1340" spans="1:26" hidden="1" x14ac:dyDescent="0.25">
      <c r="A1340" t="s">
        <v>19</v>
      </c>
      <c r="B1340">
        <v>9</v>
      </c>
      <c r="C1340">
        <v>3</v>
      </c>
      <c r="D1340">
        <v>0</v>
      </c>
      <c r="E1340" t="s">
        <v>266</v>
      </c>
      <c r="F1340">
        <v>35658</v>
      </c>
      <c r="G1340">
        <v>42346031.75</v>
      </c>
      <c r="H1340">
        <v>0.92074592163165414</v>
      </c>
      <c r="I1340">
        <v>0.92832167832167833</v>
      </c>
      <c r="J1340">
        <v>9938359.291666666</v>
      </c>
      <c r="K1340">
        <v>52175</v>
      </c>
      <c r="L1340">
        <v>2</v>
      </c>
      <c r="M1340">
        <v>153</v>
      </c>
      <c r="N1340">
        <v>0.93094405594405583</v>
      </c>
      <c r="O1340">
        <v>9982303.8333333321</v>
      </c>
      <c r="P1340">
        <v>52824</v>
      </c>
      <c r="Q1340">
        <v>2</v>
      </c>
      <c r="R1340">
        <v>154</v>
      </c>
      <c r="S1340" t="s">
        <v>1025</v>
      </c>
      <c r="W1340">
        <f>Cancer_doubles_final2[[#This Row],[mlp_params]]</f>
        <v>52175</v>
      </c>
      <c r="X1340">
        <f>Cancer_doubles_final2[[#This Row],[kan_test_acc]]</f>
        <v>0.92074592163165414</v>
      </c>
      <c r="Y1340">
        <f>Cancer_doubles_final2[[#This Row],[mlp_test_acc]]</f>
        <v>0.92832167832167833</v>
      </c>
      <c r="Z1340">
        <f>Cancer_doubles_final2[[#This Row],[mlp_test_acc2]]</f>
        <v>0.93094405594405583</v>
      </c>
    </row>
    <row r="1341" spans="1:26" hidden="1" x14ac:dyDescent="0.25">
      <c r="A1341" t="s">
        <v>19</v>
      </c>
      <c r="B1341">
        <v>5</v>
      </c>
      <c r="C1341">
        <v>5</v>
      </c>
      <c r="D1341">
        <v>0</v>
      </c>
      <c r="E1341" t="s">
        <v>399</v>
      </c>
      <c r="F1341">
        <v>35700</v>
      </c>
      <c r="G1341">
        <v>50916651.625</v>
      </c>
      <c r="H1341">
        <v>0.89510489255189896</v>
      </c>
      <c r="I1341">
        <v>0.91346153846153844</v>
      </c>
      <c r="J1341">
        <v>10247795.5</v>
      </c>
      <c r="K1341">
        <v>65190</v>
      </c>
      <c r="L1341">
        <v>2</v>
      </c>
      <c r="M1341">
        <v>172</v>
      </c>
      <c r="N1341">
        <v>0.91404428904428903</v>
      </c>
      <c r="O1341">
        <v>10023401.958333332</v>
      </c>
      <c r="P1341">
        <v>65915</v>
      </c>
      <c r="Q1341">
        <v>2</v>
      </c>
      <c r="R1341">
        <v>173</v>
      </c>
      <c r="S1341" t="s">
        <v>1026</v>
      </c>
      <c r="W1341">
        <f>Cancer_doubles_final2[[#This Row],[mlp_params]]</f>
        <v>65190</v>
      </c>
      <c r="X1341">
        <f>Cancer_doubles_final2[[#This Row],[kan_test_acc]]</f>
        <v>0.89510489255189896</v>
      </c>
      <c r="Y1341">
        <f>Cancer_doubles_final2[[#This Row],[mlp_test_acc]]</f>
        <v>0.91346153846153844</v>
      </c>
      <c r="Z1341">
        <f>Cancer_doubles_final2[[#This Row],[mlp_test_acc2]]</f>
        <v>0.91404428904428903</v>
      </c>
    </row>
    <row r="1342" spans="1:26" hidden="1" x14ac:dyDescent="0.25">
      <c r="A1342" t="s">
        <v>19</v>
      </c>
      <c r="B1342">
        <v>9</v>
      </c>
      <c r="C1342">
        <v>5</v>
      </c>
      <c r="D1342">
        <v>0</v>
      </c>
      <c r="E1342" t="s">
        <v>198</v>
      </c>
      <c r="F1342">
        <v>35766</v>
      </c>
      <c r="G1342">
        <v>55018184.944444448</v>
      </c>
      <c r="H1342">
        <v>0.88383838534355164</v>
      </c>
      <c r="I1342">
        <v>0.92696192696192692</v>
      </c>
      <c r="J1342">
        <v>12040483.63888889</v>
      </c>
      <c r="K1342">
        <v>58845</v>
      </c>
      <c r="L1342">
        <v>2</v>
      </c>
      <c r="M1342">
        <v>163</v>
      </c>
      <c r="N1342">
        <v>0.92521367521367526</v>
      </c>
      <c r="O1342">
        <v>12296883.13888889</v>
      </c>
      <c r="P1342">
        <v>59534</v>
      </c>
      <c r="Q1342">
        <v>2</v>
      </c>
      <c r="R1342">
        <v>164</v>
      </c>
      <c r="S1342" t="s">
        <v>1027</v>
      </c>
      <c r="W1342">
        <f>Cancer_doubles_final2[[#This Row],[mlp_params]]</f>
        <v>58845</v>
      </c>
      <c r="X1342">
        <f>Cancer_doubles_final2[[#This Row],[kan_test_acc]]</f>
        <v>0.88383838534355164</v>
      </c>
      <c r="Y1342">
        <f>Cancer_doubles_final2[[#This Row],[mlp_test_acc]]</f>
        <v>0.92696192696192692</v>
      </c>
      <c r="Z1342">
        <f>Cancer_doubles_final2[[#This Row],[mlp_test_acc2]]</f>
        <v>0.92521367521367526</v>
      </c>
    </row>
    <row r="1343" spans="1:26" hidden="1" x14ac:dyDescent="0.25">
      <c r="A1343" t="s">
        <v>19</v>
      </c>
      <c r="B1343">
        <v>5</v>
      </c>
      <c r="C1343">
        <v>5</v>
      </c>
      <c r="D1343">
        <v>0</v>
      </c>
      <c r="E1343" t="s">
        <v>402</v>
      </c>
      <c r="F1343">
        <v>35808</v>
      </c>
      <c r="G1343">
        <v>57584593.416666672</v>
      </c>
      <c r="H1343">
        <v>0.90093240141868591</v>
      </c>
      <c r="I1343">
        <v>0.94055944055944063</v>
      </c>
      <c r="J1343">
        <v>12485058.875</v>
      </c>
      <c r="K1343">
        <v>65915</v>
      </c>
      <c r="L1343">
        <v>2</v>
      </c>
      <c r="M1343">
        <v>173</v>
      </c>
      <c r="N1343">
        <v>0.93997668997669004</v>
      </c>
      <c r="O1343">
        <v>13084541.708333334</v>
      </c>
      <c r="P1343">
        <v>66644</v>
      </c>
      <c r="Q1343">
        <v>2</v>
      </c>
      <c r="R1343">
        <v>174</v>
      </c>
      <c r="S1343" t="s">
        <v>1028</v>
      </c>
      <c r="W1343">
        <f>Cancer_doubles_final2[[#This Row],[mlp_params]]</f>
        <v>65915</v>
      </c>
      <c r="X1343">
        <f>Cancer_doubles_final2[[#This Row],[kan_test_acc]]</f>
        <v>0.90093240141868591</v>
      </c>
      <c r="Y1343">
        <f>Cancer_doubles_final2[[#This Row],[mlp_test_acc]]</f>
        <v>0.94055944055944063</v>
      </c>
      <c r="Z1343">
        <f>Cancer_doubles_final2[[#This Row],[mlp_test_acc2]]</f>
        <v>0.93997668997669004</v>
      </c>
    </row>
    <row r="1344" spans="1:26" hidden="1" x14ac:dyDescent="0.25">
      <c r="A1344" t="s">
        <v>19</v>
      </c>
      <c r="B1344">
        <v>5</v>
      </c>
      <c r="C1344">
        <v>4</v>
      </c>
      <c r="D1344">
        <v>0</v>
      </c>
      <c r="E1344" t="s">
        <v>492</v>
      </c>
      <c r="F1344">
        <v>35846</v>
      </c>
      <c r="G1344">
        <v>46242514.583333336</v>
      </c>
      <c r="H1344">
        <v>0.90540014704068505</v>
      </c>
      <c r="I1344">
        <v>0.93900543900543909</v>
      </c>
      <c r="J1344">
        <v>9338965.8611111101</v>
      </c>
      <c r="K1344">
        <v>62330</v>
      </c>
      <c r="L1344">
        <v>2</v>
      </c>
      <c r="M1344">
        <v>168</v>
      </c>
      <c r="N1344">
        <v>0.93414918414918413</v>
      </c>
      <c r="O1344">
        <v>9969176.8611111119</v>
      </c>
      <c r="P1344">
        <v>63039</v>
      </c>
      <c r="Q1344">
        <v>2</v>
      </c>
      <c r="R1344">
        <v>169</v>
      </c>
      <c r="S1344" t="s">
        <v>1029</v>
      </c>
      <c r="W1344">
        <f>Cancer_doubles_final2[[#This Row],[mlp_params]]</f>
        <v>62330</v>
      </c>
      <c r="X1344">
        <f>Cancer_doubles_final2[[#This Row],[kan_test_acc]]</f>
        <v>0.90540014704068505</v>
      </c>
      <c r="Y1344">
        <f>Cancer_doubles_final2[[#This Row],[mlp_test_acc]]</f>
        <v>0.93900543900543909</v>
      </c>
      <c r="Z1344">
        <f>Cancer_doubles_final2[[#This Row],[mlp_test_acc2]]</f>
        <v>0.93414918414918413</v>
      </c>
    </row>
    <row r="1345" spans="1:26" hidden="1" x14ac:dyDescent="0.25">
      <c r="A1345" t="s">
        <v>19</v>
      </c>
      <c r="B1345">
        <v>5</v>
      </c>
      <c r="C1345">
        <v>4</v>
      </c>
      <c r="D1345">
        <v>0</v>
      </c>
      <c r="E1345" t="s">
        <v>494</v>
      </c>
      <c r="F1345">
        <v>35848</v>
      </c>
      <c r="G1345">
        <v>37838747.555555552</v>
      </c>
      <c r="H1345">
        <v>0.93317793309688568</v>
      </c>
      <c r="I1345">
        <v>0.93764568764568768</v>
      </c>
      <c r="J1345">
        <v>9593109.694444444</v>
      </c>
      <c r="K1345">
        <v>62330</v>
      </c>
      <c r="L1345">
        <v>2</v>
      </c>
      <c r="M1345">
        <v>168</v>
      </c>
      <c r="N1345">
        <v>0.93609168609168614</v>
      </c>
      <c r="O1345">
        <v>9663726.333333334</v>
      </c>
      <c r="P1345">
        <v>63039</v>
      </c>
      <c r="Q1345">
        <v>2</v>
      </c>
      <c r="R1345">
        <v>169</v>
      </c>
      <c r="S1345" t="s">
        <v>1030</v>
      </c>
      <c r="W1345">
        <f>Cancer_doubles_final2[[#This Row],[mlp_params]]</f>
        <v>62330</v>
      </c>
      <c r="X1345">
        <f>Cancer_doubles_final2[[#This Row],[kan_test_acc]]</f>
        <v>0.93317793309688568</v>
      </c>
      <c r="Y1345">
        <f>Cancer_doubles_final2[[#This Row],[mlp_test_acc]]</f>
        <v>0.93764568764568768</v>
      </c>
      <c r="Z1345">
        <f>Cancer_doubles_final2[[#This Row],[mlp_test_acc2]]</f>
        <v>0.93609168609168614</v>
      </c>
    </row>
    <row r="1346" spans="1:26" hidden="1" x14ac:dyDescent="0.25">
      <c r="A1346" t="s">
        <v>19</v>
      </c>
      <c r="B1346">
        <v>5</v>
      </c>
      <c r="C1346">
        <v>5</v>
      </c>
      <c r="D1346">
        <v>0</v>
      </c>
      <c r="E1346" t="s">
        <v>404</v>
      </c>
      <c r="F1346">
        <v>35858</v>
      </c>
      <c r="G1346">
        <v>41179000.05555556</v>
      </c>
      <c r="H1346">
        <v>0.93240093522601664</v>
      </c>
      <c r="I1346">
        <v>0.93259518259518259</v>
      </c>
      <c r="J1346">
        <v>9919471.8611111119</v>
      </c>
      <c r="K1346">
        <v>65915</v>
      </c>
      <c r="L1346">
        <v>2</v>
      </c>
      <c r="M1346">
        <v>173</v>
      </c>
      <c r="N1346">
        <v>0.932012432012432</v>
      </c>
      <c r="O1346">
        <v>9268033.972222222</v>
      </c>
      <c r="P1346">
        <v>66644</v>
      </c>
      <c r="Q1346">
        <v>2</v>
      </c>
      <c r="R1346">
        <v>174</v>
      </c>
      <c r="S1346" t="s">
        <v>1031</v>
      </c>
      <c r="W1346">
        <f>Cancer_doubles_final2[[#This Row],[mlp_params]]</f>
        <v>65915</v>
      </c>
      <c r="X1346">
        <f>Cancer_doubles_final2[[#This Row],[kan_test_acc]]</f>
        <v>0.93240093522601664</v>
      </c>
      <c r="Y1346">
        <f>Cancer_doubles_final2[[#This Row],[mlp_test_acc]]</f>
        <v>0.93259518259518259</v>
      </c>
      <c r="Z1346">
        <f>Cancer_doubles_final2[[#This Row],[mlp_test_acc2]]</f>
        <v>0.932012432012432</v>
      </c>
    </row>
    <row r="1347" spans="1:26" hidden="1" x14ac:dyDescent="0.25">
      <c r="A1347" t="s">
        <v>19</v>
      </c>
      <c r="B1347">
        <v>9</v>
      </c>
      <c r="C1347">
        <v>3</v>
      </c>
      <c r="D1347">
        <v>0</v>
      </c>
      <c r="E1347" t="s">
        <v>272</v>
      </c>
      <c r="F1347">
        <v>35894</v>
      </c>
      <c r="G1347">
        <v>44654591.861111112</v>
      </c>
      <c r="H1347">
        <v>0.89937839905420947</v>
      </c>
      <c r="I1347">
        <v>0.93220668220668212</v>
      </c>
      <c r="J1347">
        <v>9727948.722222222</v>
      </c>
      <c r="K1347">
        <v>52175</v>
      </c>
      <c r="L1347">
        <v>2</v>
      </c>
      <c r="M1347">
        <v>153</v>
      </c>
      <c r="N1347">
        <v>0.93084693084693082</v>
      </c>
      <c r="O1347">
        <v>10091811.361111112</v>
      </c>
      <c r="P1347">
        <v>52824</v>
      </c>
      <c r="Q1347">
        <v>2</v>
      </c>
      <c r="R1347">
        <v>154</v>
      </c>
      <c r="S1347" t="s">
        <v>1032</v>
      </c>
      <c r="W1347">
        <f>Cancer_doubles_final2[[#This Row],[mlp_params]]</f>
        <v>52175</v>
      </c>
      <c r="X1347">
        <f>Cancer_doubles_final2[[#This Row],[kan_test_acc]]</f>
        <v>0.89937839905420947</v>
      </c>
      <c r="Y1347">
        <f>Cancer_doubles_final2[[#This Row],[mlp_test_acc]]</f>
        <v>0.93220668220668212</v>
      </c>
      <c r="Z1347">
        <f>Cancer_doubles_final2[[#This Row],[mlp_test_acc2]]</f>
        <v>0.93084693084693082</v>
      </c>
    </row>
    <row r="1348" spans="1:26" hidden="1" x14ac:dyDescent="0.25">
      <c r="A1348" t="s">
        <v>19</v>
      </c>
      <c r="B1348">
        <v>9</v>
      </c>
      <c r="C1348">
        <v>3</v>
      </c>
      <c r="D1348">
        <v>0</v>
      </c>
      <c r="E1348" t="s">
        <v>274</v>
      </c>
      <c r="F1348">
        <v>35896</v>
      </c>
      <c r="G1348">
        <v>39146200.166666664</v>
      </c>
      <c r="H1348">
        <v>0.93939393510421121</v>
      </c>
      <c r="I1348">
        <v>0.97086247086247091</v>
      </c>
      <c r="J1348">
        <v>9449510.625</v>
      </c>
      <c r="K1348">
        <v>52175</v>
      </c>
      <c r="L1348">
        <v>2</v>
      </c>
      <c r="M1348">
        <v>153</v>
      </c>
      <c r="N1348">
        <v>0.9702797202797202</v>
      </c>
      <c r="O1348">
        <v>9261324.458333334</v>
      </c>
      <c r="P1348">
        <v>52824</v>
      </c>
      <c r="Q1348">
        <v>2</v>
      </c>
      <c r="R1348">
        <v>154</v>
      </c>
      <c r="S1348" t="s">
        <v>1033</v>
      </c>
      <c r="W1348">
        <f>Cancer_doubles_final2[[#This Row],[mlp_params]]</f>
        <v>52175</v>
      </c>
      <c r="X1348">
        <f>Cancer_doubles_final2[[#This Row],[kan_test_acc]]</f>
        <v>0.93939393510421121</v>
      </c>
      <c r="Y1348">
        <f>Cancer_doubles_final2[[#This Row],[mlp_test_acc]]</f>
        <v>0.97086247086247091</v>
      </c>
      <c r="Z1348">
        <f>Cancer_doubles_final2[[#This Row],[mlp_test_acc2]]</f>
        <v>0.9702797202797202</v>
      </c>
    </row>
    <row r="1349" spans="1:26" hidden="1" x14ac:dyDescent="0.25">
      <c r="A1349" t="s">
        <v>19</v>
      </c>
      <c r="B1349">
        <v>5</v>
      </c>
      <c r="C1349">
        <v>5</v>
      </c>
      <c r="D1349">
        <v>0</v>
      </c>
      <c r="E1349" t="s">
        <v>408</v>
      </c>
      <c r="F1349">
        <v>35918</v>
      </c>
      <c r="G1349">
        <v>46502773.833333328</v>
      </c>
      <c r="H1349">
        <v>0.92628204822540283</v>
      </c>
      <c r="I1349">
        <v>0.94609557109557119</v>
      </c>
      <c r="J1349">
        <v>9292166.208333334</v>
      </c>
      <c r="K1349">
        <v>65915</v>
      </c>
      <c r="L1349">
        <v>2</v>
      </c>
      <c r="M1349">
        <v>173</v>
      </c>
      <c r="N1349">
        <v>0.95134032634032639</v>
      </c>
      <c r="O1349">
        <v>9487759.333333334</v>
      </c>
      <c r="P1349">
        <v>66644</v>
      </c>
      <c r="Q1349">
        <v>2</v>
      </c>
      <c r="R1349">
        <v>174</v>
      </c>
      <c r="S1349" t="s">
        <v>1034</v>
      </c>
      <c r="W1349">
        <f>Cancer_doubles_final2[[#This Row],[mlp_params]]</f>
        <v>65915</v>
      </c>
      <c r="X1349">
        <f>Cancer_doubles_final2[[#This Row],[kan_test_acc]]</f>
        <v>0.92628204822540283</v>
      </c>
      <c r="Y1349">
        <f>Cancer_doubles_final2[[#This Row],[mlp_test_acc]]</f>
        <v>0.94609557109557119</v>
      </c>
      <c r="Z1349">
        <f>Cancer_doubles_final2[[#This Row],[mlp_test_acc2]]</f>
        <v>0.95134032634032639</v>
      </c>
    </row>
    <row r="1350" spans="1:26" hidden="1" x14ac:dyDescent="0.25">
      <c r="A1350" t="s">
        <v>19</v>
      </c>
      <c r="B1350">
        <v>9</v>
      </c>
      <c r="C1350">
        <v>4</v>
      </c>
      <c r="D1350">
        <v>0</v>
      </c>
      <c r="E1350" t="s">
        <v>233</v>
      </c>
      <c r="F1350">
        <v>35974</v>
      </c>
      <c r="G1350">
        <v>45806659.027777776</v>
      </c>
      <c r="H1350">
        <v>0.9232711709207958</v>
      </c>
      <c r="I1350">
        <v>0.94211344211344217</v>
      </c>
      <c r="J1350">
        <v>9659413.444444444</v>
      </c>
      <c r="K1350">
        <v>56129</v>
      </c>
      <c r="L1350">
        <v>2</v>
      </c>
      <c r="M1350">
        <v>159</v>
      </c>
      <c r="N1350">
        <v>0.94269619269619265</v>
      </c>
      <c r="O1350">
        <v>10126834.61111111</v>
      </c>
      <c r="P1350">
        <v>56802</v>
      </c>
      <c r="Q1350">
        <v>2</v>
      </c>
      <c r="R1350">
        <v>160</v>
      </c>
      <c r="S1350" t="s">
        <v>1035</v>
      </c>
      <c r="W1350">
        <f>Cancer_doubles_final2[[#This Row],[mlp_params]]</f>
        <v>56129</v>
      </c>
      <c r="X1350">
        <f>Cancer_doubles_final2[[#This Row],[kan_test_acc]]</f>
        <v>0.9232711709207958</v>
      </c>
      <c r="Y1350">
        <f>Cancer_doubles_final2[[#This Row],[mlp_test_acc]]</f>
        <v>0.94211344211344217</v>
      </c>
      <c r="Z1350">
        <f>Cancer_doubles_final2[[#This Row],[mlp_test_acc2]]</f>
        <v>0.94269619269619265</v>
      </c>
    </row>
    <row r="1351" spans="1:26" hidden="1" x14ac:dyDescent="0.25">
      <c r="A1351" t="s">
        <v>19</v>
      </c>
      <c r="B1351">
        <v>9</v>
      </c>
      <c r="C1351">
        <v>4</v>
      </c>
      <c r="D1351">
        <v>0</v>
      </c>
      <c r="E1351" t="s">
        <v>235</v>
      </c>
      <c r="F1351">
        <v>35978</v>
      </c>
      <c r="G1351">
        <v>34571425.958333336</v>
      </c>
      <c r="H1351">
        <v>0.92832167446613312</v>
      </c>
      <c r="I1351">
        <v>0.9592074592074592</v>
      </c>
      <c r="J1351">
        <v>9025532.791666666</v>
      </c>
      <c r="K1351">
        <v>56129</v>
      </c>
      <c r="L1351">
        <v>2</v>
      </c>
      <c r="M1351">
        <v>159</v>
      </c>
      <c r="N1351">
        <v>0.95600233100233101</v>
      </c>
      <c r="O1351">
        <v>10448784.833333332</v>
      </c>
      <c r="P1351">
        <v>56802</v>
      </c>
      <c r="Q1351">
        <v>2</v>
      </c>
      <c r="R1351">
        <v>160</v>
      </c>
      <c r="S1351" t="s">
        <v>1036</v>
      </c>
      <c r="W1351">
        <f>Cancer_doubles_final2[[#This Row],[mlp_params]]</f>
        <v>56129</v>
      </c>
      <c r="X1351">
        <f>Cancer_doubles_final2[[#This Row],[kan_test_acc]]</f>
        <v>0.92832167446613312</v>
      </c>
      <c r="Y1351">
        <f>Cancer_doubles_final2[[#This Row],[mlp_test_acc]]</f>
        <v>0.9592074592074592</v>
      </c>
      <c r="Z1351">
        <f>Cancer_doubles_final2[[#This Row],[mlp_test_acc2]]</f>
        <v>0.95600233100233101</v>
      </c>
    </row>
    <row r="1352" spans="1:26" hidden="1" x14ac:dyDescent="0.25">
      <c r="A1352" t="s">
        <v>19</v>
      </c>
      <c r="B1352">
        <v>9</v>
      </c>
      <c r="C1352">
        <v>2</v>
      </c>
      <c r="D1352">
        <v>0</v>
      </c>
      <c r="E1352" t="s">
        <v>333</v>
      </c>
      <c r="F1352">
        <v>35980</v>
      </c>
      <c r="G1352">
        <v>32960866.166666668</v>
      </c>
      <c r="H1352">
        <v>0.93327504893143964</v>
      </c>
      <c r="I1352">
        <v>0.94201631701631694</v>
      </c>
      <c r="J1352">
        <v>8617886.291666666</v>
      </c>
      <c r="K1352">
        <v>48365</v>
      </c>
      <c r="L1352">
        <v>2</v>
      </c>
      <c r="M1352">
        <v>147</v>
      </c>
      <c r="N1352">
        <v>0.94114219114219111</v>
      </c>
      <c r="O1352">
        <v>9727314</v>
      </c>
      <c r="P1352">
        <v>48990</v>
      </c>
      <c r="Q1352">
        <v>2</v>
      </c>
      <c r="R1352">
        <v>148</v>
      </c>
      <c r="S1352" t="s">
        <v>1037</v>
      </c>
      <c r="W1352">
        <f>Cancer_doubles_final2[[#This Row],[mlp_params]]</f>
        <v>48365</v>
      </c>
      <c r="X1352">
        <f>Cancer_doubles_final2[[#This Row],[kan_test_acc]]</f>
        <v>0.93327504893143964</v>
      </c>
      <c r="Y1352">
        <f>Cancer_doubles_final2[[#This Row],[mlp_test_acc]]</f>
        <v>0.94201631701631694</v>
      </c>
      <c r="Z1352">
        <f>Cancer_doubles_final2[[#This Row],[mlp_test_acc2]]</f>
        <v>0.94114219114219111</v>
      </c>
    </row>
    <row r="1353" spans="1:26" hidden="1" x14ac:dyDescent="0.25">
      <c r="A1353" t="s">
        <v>19</v>
      </c>
      <c r="B1353">
        <v>9</v>
      </c>
      <c r="C1353">
        <v>5</v>
      </c>
      <c r="D1353">
        <v>0</v>
      </c>
      <c r="E1353" t="s">
        <v>203</v>
      </c>
      <c r="F1353">
        <v>36040</v>
      </c>
      <c r="G1353">
        <v>32748828.222222224</v>
      </c>
      <c r="H1353">
        <v>0.90714840425385368</v>
      </c>
      <c r="I1353">
        <v>0.9242424242424242</v>
      </c>
      <c r="J1353">
        <v>9434900.25</v>
      </c>
      <c r="K1353">
        <v>58845</v>
      </c>
      <c r="L1353">
        <v>2</v>
      </c>
      <c r="M1353">
        <v>163</v>
      </c>
      <c r="N1353">
        <v>0.92288267288267289</v>
      </c>
      <c r="O1353">
        <v>9597961.8888888899</v>
      </c>
      <c r="P1353">
        <v>59534</v>
      </c>
      <c r="Q1353">
        <v>2</v>
      </c>
      <c r="R1353">
        <v>164</v>
      </c>
      <c r="S1353" t="s">
        <v>1038</v>
      </c>
      <c r="W1353">
        <f>Cancer_doubles_final2[[#This Row],[mlp_params]]</f>
        <v>58845</v>
      </c>
      <c r="X1353">
        <f>Cancer_doubles_final2[[#This Row],[kan_test_acc]]</f>
        <v>0.90714840425385368</v>
      </c>
      <c r="Y1353">
        <f>Cancer_doubles_final2[[#This Row],[mlp_test_acc]]</f>
        <v>0.9242424242424242</v>
      </c>
      <c r="Z1353">
        <f>Cancer_doubles_final2[[#This Row],[mlp_test_acc2]]</f>
        <v>0.92288267288267289</v>
      </c>
    </row>
    <row r="1354" spans="1:26" hidden="1" x14ac:dyDescent="0.25">
      <c r="A1354" t="s">
        <v>19</v>
      </c>
      <c r="B1354">
        <v>9</v>
      </c>
      <c r="C1354">
        <v>5</v>
      </c>
      <c r="D1354">
        <v>0</v>
      </c>
      <c r="E1354" t="s">
        <v>205</v>
      </c>
      <c r="F1354">
        <v>36042</v>
      </c>
      <c r="G1354">
        <v>39724289.208333336</v>
      </c>
      <c r="H1354">
        <v>0.84615384787321091</v>
      </c>
      <c r="I1354">
        <v>0.95017482517482521</v>
      </c>
      <c r="J1354">
        <v>10872352.375</v>
      </c>
      <c r="K1354">
        <v>58845</v>
      </c>
      <c r="L1354">
        <v>2</v>
      </c>
      <c r="M1354">
        <v>163</v>
      </c>
      <c r="N1354">
        <v>0.95046620046620045</v>
      </c>
      <c r="O1354">
        <v>11355205.291666668</v>
      </c>
      <c r="P1354">
        <v>59534</v>
      </c>
      <c r="Q1354">
        <v>2</v>
      </c>
      <c r="R1354">
        <v>164</v>
      </c>
      <c r="S1354" t="s">
        <v>1039</v>
      </c>
      <c r="W1354">
        <f>Cancer_doubles_final2[[#This Row],[mlp_params]]</f>
        <v>58845</v>
      </c>
      <c r="X1354">
        <f>Cancer_doubles_final2[[#This Row],[kan_test_acc]]</f>
        <v>0.84615384787321091</v>
      </c>
      <c r="Y1354">
        <f>Cancer_doubles_final2[[#This Row],[mlp_test_acc]]</f>
        <v>0.95017482517482521</v>
      </c>
      <c r="Z1354">
        <f>Cancer_doubles_final2[[#This Row],[mlp_test_acc2]]</f>
        <v>0.95046620046620045</v>
      </c>
    </row>
    <row r="1355" spans="1:26" hidden="1" x14ac:dyDescent="0.25">
      <c r="A1355" t="s">
        <v>19</v>
      </c>
      <c r="B1355">
        <v>5</v>
      </c>
      <c r="C1355">
        <v>4</v>
      </c>
      <c r="D1355">
        <v>0</v>
      </c>
      <c r="E1355" t="s">
        <v>508</v>
      </c>
      <c r="F1355">
        <v>36094</v>
      </c>
      <c r="G1355">
        <v>45245055.916666672</v>
      </c>
      <c r="H1355">
        <v>0.88607225815455126</v>
      </c>
      <c r="I1355">
        <v>0.94988344988344986</v>
      </c>
      <c r="J1355">
        <v>11791240.208333332</v>
      </c>
      <c r="K1355">
        <v>63039</v>
      </c>
      <c r="L1355">
        <v>2</v>
      </c>
      <c r="M1355">
        <v>169</v>
      </c>
      <c r="N1355">
        <v>0.95104895104895104</v>
      </c>
      <c r="O1355">
        <v>12222532.333333332</v>
      </c>
      <c r="P1355">
        <v>63752</v>
      </c>
      <c r="Q1355">
        <v>2</v>
      </c>
      <c r="R1355">
        <v>170</v>
      </c>
      <c r="S1355" t="s">
        <v>1040</v>
      </c>
      <c r="W1355">
        <f>Cancer_doubles_final2[[#This Row],[mlp_params]]</f>
        <v>63039</v>
      </c>
      <c r="X1355">
        <f>Cancer_doubles_final2[[#This Row],[kan_test_acc]]</f>
        <v>0.88607225815455126</v>
      </c>
      <c r="Y1355">
        <f>Cancer_doubles_final2[[#This Row],[mlp_test_acc]]</f>
        <v>0.94988344988344986</v>
      </c>
      <c r="Z1355">
        <f>Cancer_doubles_final2[[#This Row],[mlp_test_acc2]]</f>
        <v>0.95104895104895104</v>
      </c>
    </row>
    <row r="1356" spans="1:26" hidden="1" x14ac:dyDescent="0.25">
      <c r="A1356" t="s">
        <v>19</v>
      </c>
      <c r="B1356">
        <v>9</v>
      </c>
      <c r="C1356">
        <v>4</v>
      </c>
      <c r="D1356">
        <v>0</v>
      </c>
      <c r="E1356" t="s">
        <v>237</v>
      </c>
      <c r="F1356">
        <v>36104</v>
      </c>
      <c r="G1356">
        <v>43160202.25</v>
      </c>
      <c r="H1356">
        <v>0.94012237340211868</v>
      </c>
      <c r="I1356">
        <v>0.94696969696969702</v>
      </c>
      <c r="J1356">
        <v>10322808.291666666</v>
      </c>
      <c r="K1356">
        <v>56129</v>
      </c>
      <c r="L1356">
        <v>2</v>
      </c>
      <c r="M1356">
        <v>159</v>
      </c>
      <c r="N1356">
        <v>0.94682400932400934</v>
      </c>
      <c r="O1356">
        <v>10809926.645833334</v>
      </c>
      <c r="P1356">
        <v>56802</v>
      </c>
      <c r="Q1356">
        <v>2</v>
      </c>
      <c r="R1356">
        <v>160</v>
      </c>
      <c r="S1356" t="s">
        <v>1041</v>
      </c>
      <c r="W1356">
        <f>Cancer_doubles_final2[[#This Row],[mlp_params]]</f>
        <v>56129</v>
      </c>
      <c r="X1356">
        <f>Cancer_doubles_final2[[#This Row],[kan_test_acc]]</f>
        <v>0.94012237340211868</v>
      </c>
      <c r="Y1356">
        <f>Cancer_doubles_final2[[#This Row],[mlp_test_acc]]</f>
        <v>0.94696969696969702</v>
      </c>
      <c r="Z1356">
        <f>Cancer_doubles_final2[[#This Row],[mlp_test_acc2]]</f>
        <v>0.94682400932400934</v>
      </c>
    </row>
    <row r="1357" spans="1:26" hidden="1" x14ac:dyDescent="0.25">
      <c r="A1357" t="s">
        <v>19</v>
      </c>
      <c r="B1357">
        <v>9</v>
      </c>
      <c r="C1357">
        <v>2</v>
      </c>
      <c r="D1357">
        <v>0</v>
      </c>
      <c r="E1357" t="s">
        <v>337</v>
      </c>
      <c r="F1357">
        <v>36196</v>
      </c>
      <c r="G1357">
        <v>31967578.333333332</v>
      </c>
      <c r="H1357">
        <v>0.93240092694759369</v>
      </c>
      <c r="I1357">
        <v>0.93648018648018649</v>
      </c>
      <c r="J1357">
        <v>9691725.7083333321</v>
      </c>
      <c r="K1357">
        <v>48990</v>
      </c>
      <c r="L1357">
        <v>2</v>
      </c>
      <c r="M1357">
        <v>148</v>
      </c>
      <c r="N1357">
        <v>0.93648018648018638</v>
      </c>
      <c r="O1357">
        <v>9927916.083333334</v>
      </c>
      <c r="P1357">
        <v>49619</v>
      </c>
      <c r="Q1357">
        <v>2</v>
      </c>
      <c r="R1357">
        <v>149</v>
      </c>
      <c r="S1357" t="s">
        <v>1042</v>
      </c>
      <c r="W1357">
        <f>Cancer_doubles_final2[[#This Row],[mlp_params]]</f>
        <v>48990</v>
      </c>
      <c r="X1357">
        <f>Cancer_doubles_final2[[#This Row],[kan_test_acc]]</f>
        <v>0.93240092694759369</v>
      </c>
      <c r="Y1357">
        <f>Cancer_doubles_final2[[#This Row],[mlp_test_acc]]</f>
        <v>0.93648018648018649</v>
      </c>
      <c r="Z1357">
        <f>Cancer_doubles_final2[[#This Row],[mlp_test_acc2]]</f>
        <v>0.93648018648018638</v>
      </c>
    </row>
    <row r="1358" spans="1:26" x14ac:dyDescent="0.25">
      <c r="A1358" t="s">
        <v>19</v>
      </c>
      <c r="B1358">
        <v>3</v>
      </c>
      <c r="C1358">
        <v>5</v>
      </c>
      <c r="D1358">
        <v>0</v>
      </c>
      <c r="E1358" t="s">
        <v>630</v>
      </c>
      <c r="F1358">
        <v>36220</v>
      </c>
      <c r="G1358">
        <v>40601664.111111104</v>
      </c>
      <c r="H1358">
        <v>0.93745143711566925</v>
      </c>
      <c r="I1358">
        <v>0.91958041958041958</v>
      </c>
      <c r="J1358">
        <v>9405657.3888888899</v>
      </c>
      <c r="K1358">
        <v>71859</v>
      </c>
      <c r="L1358">
        <v>2</v>
      </c>
      <c r="M1358">
        <v>181</v>
      </c>
      <c r="N1358">
        <v>0.92074592074592077</v>
      </c>
      <c r="O1358">
        <v>9352853.583333334</v>
      </c>
      <c r="P1358">
        <v>72620</v>
      </c>
      <c r="Q1358">
        <v>2</v>
      </c>
      <c r="R1358">
        <v>182</v>
      </c>
      <c r="S1358" t="s">
        <v>1043</v>
      </c>
      <c r="W1358">
        <f>Cancer_doubles_final2[[#This Row],[mlp_params]]</f>
        <v>71859</v>
      </c>
      <c r="X1358">
        <f>Cancer_doubles_final2[[#This Row],[kan_test_acc]]</f>
        <v>0.93745143711566925</v>
      </c>
      <c r="Y1358">
        <f>Cancer_doubles_final2[[#This Row],[mlp_test_acc]]</f>
        <v>0.91958041958041958</v>
      </c>
      <c r="Z1358">
        <f>Cancer_doubles_final2[[#This Row],[mlp_test_acc2]]</f>
        <v>0.92074592074592077</v>
      </c>
    </row>
    <row r="1359" spans="1:26" hidden="1" x14ac:dyDescent="0.25">
      <c r="A1359" t="s">
        <v>19</v>
      </c>
      <c r="B1359">
        <v>5</v>
      </c>
      <c r="C1359">
        <v>3</v>
      </c>
      <c r="D1359">
        <v>0</v>
      </c>
      <c r="E1359" t="s">
        <v>630</v>
      </c>
      <c r="F1359">
        <v>36220</v>
      </c>
      <c r="G1359">
        <v>58401906.5</v>
      </c>
      <c r="H1359">
        <v>0.96794870744148886</v>
      </c>
      <c r="I1359">
        <v>0.9396853146853148</v>
      </c>
      <c r="J1359">
        <v>9975111.6666666679</v>
      </c>
      <c r="K1359">
        <v>58845</v>
      </c>
      <c r="L1359">
        <v>2</v>
      </c>
      <c r="M1359">
        <v>163</v>
      </c>
      <c r="N1359">
        <v>0.94055944055944052</v>
      </c>
      <c r="O1359">
        <v>9772437.25</v>
      </c>
      <c r="P1359">
        <v>59534</v>
      </c>
      <c r="Q1359">
        <v>2</v>
      </c>
      <c r="R1359">
        <v>164</v>
      </c>
      <c r="S1359" t="s">
        <v>1044</v>
      </c>
      <c r="W1359">
        <f>Cancer_doubles_final2[[#This Row],[mlp_params]]</f>
        <v>58845</v>
      </c>
      <c r="X1359">
        <f>Cancer_doubles_final2[[#This Row],[kan_test_acc]]</f>
        <v>0.96794870744148886</v>
      </c>
      <c r="Y1359">
        <f>Cancer_doubles_final2[[#This Row],[mlp_test_acc]]</f>
        <v>0.9396853146853148</v>
      </c>
      <c r="Z1359">
        <f>Cancer_doubles_final2[[#This Row],[mlp_test_acc2]]</f>
        <v>0.94055944055944052</v>
      </c>
    </row>
    <row r="1360" spans="1:26" x14ac:dyDescent="0.25">
      <c r="A1360" t="s">
        <v>19</v>
      </c>
      <c r="B1360">
        <v>3</v>
      </c>
      <c r="C1360">
        <v>5</v>
      </c>
      <c r="D1360">
        <v>0</v>
      </c>
      <c r="E1360" t="s">
        <v>630</v>
      </c>
      <c r="F1360">
        <v>36220</v>
      </c>
      <c r="G1360">
        <v>59695120.208333328</v>
      </c>
      <c r="H1360">
        <v>0.96212119857470202</v>
      </c>
      <c r="I1360">
        <v>0.94376456876456882</v>
      </c>
      <c r="J1360">
        <v>10752907.833333334</v>
      </c>
      <c r="K1360">
        <v>71859</v>
      </c>
      <c r="L1360">
        <v>2</v>
      </c>
      <c r="M1360">
        <v>181</v>
      </c>
      <c r="N1360">
        <v>0.93881118881118875</v>
      </c>
      <c r="O1360">
        <v>11490224.458333332</v>
      </c>
      <c r="P1360">
        <v>72620</v>
      </c>
      <c r="Q1360">
        <v>2</v>
      </c>
      <c r="R1360">
        <v>182</v>
      </c>
      <c r="S1360" t="s">
        <v>1043</v>
      </c>
      <c r="W1360">
        <f>Cancer_doubles_final2[[#This Row],[mlp_params]]</f>
        <v>71859</v>
      </c>
      <c r="X1360">
        <f>Cancer_doubles_final2[[#This Row],[kan_test_acc]]</f>
        <v>0.96212119857470202</v>
      </c>
      <c r="Y1360">
        <f>Cancer_doubles_final2[[#This Row],[mlp_test_acc]]</f>
        <v>0.94376456876456882</v>
      </c>
      <c r="Z1360">
        <f>Cancer_doubles_final2[[#This Row],[mlp_test_acc2]]</f>
        <v>0.93881118881118875</v>
      </c>
    </row>
    <row r="1361" spans="1:26" hidden="1" x14ac:dyDescent="0.25">
      <c r="A1361" t="s">
        <v>19</v>
      </c>
      <c r="B1361">
        <v>5</v>
      </c>
      <c r="C1361">
        <v>3</v>
      </c>
      <c r="D1361">
        <v>0</v>
      </c>
      <c r="E1361" t="s">
        <v>630</v>
      </c>
      <c r="F1361">
        <v>36220</v>
      </c>
      <c r="G1361">
        <v>57156283.208333328</v>
      </c>
      <c r="H1361">
        <v>0.95571094999710726</v>
      </c>
      <c r="I1361">
        <v>0.9216200466200466</v>
      </c>
      <c r="J1361">
        <v>10553390.208333332</v>
      </c>
      <c r="K1361">
        <v>58845</v>
      </c>
      <c r="L1361">
        <v>2</v>
      </c>
      <c r="M1361">
        <v>163</v>
      </c>
      <c r="N1361">
        <v>0.91812354312354316</v>
      </c>
      <c r="O1361">
        <v>11234014.916666666</v>
      </c>
      <c r="P1361">
        <v>59534</v>
      </c>
      <c r="Q1361">
        <v>2</v>
      </c>
      <c r="R1361">
        <v>164</v>
      </c>
      <c r="S1361" t="s">
        <v>1044</v>
      </c>
      <c r="W1361">
        <f>Cancer_doubles_final2[[#This Row],[mlp_params]]</f>
        <v>58845</v>
      </c>
      <c r="X1361">
        <f>Cancer_doubles_final2[[#This Row],[kan_test_acc]]</f>
        <v>0.95571094999710726</v>
      </c>
      <c r="Y1361">
        <f>Cancer_doubles_final2[[#This Row],[mlp_test_acc]]</f>
        <v>0.9216200466200466</v>
      </c>
      <c r="Z1361">
        <f>Cancer_doubles_final2[[#This Row],[mlp_test_acc2]]</f>
        <v>0.91812354312354316</v>
      </c>
    </row>
    <row r="1362" spans="1:26" hidden="1" x14ac:dyDescent="0.25">
      <c r="A1362" t="s">
        <v>19</v>
      </c>
      <c r="B1362">
        <v>9</v>
      </c>
      <c r="C1362">
        <v>2</v>
      </c>
      <c r="D1362">
        <v>0</v>
      </c>
      <c r="E1362" t="s">
        <v>341</v>
      </c>
      <c r="F1362">
        <v>36370</v>
      </c>
      <c r="G1362">
        <v>34792719.666666664</v>
      </c>
      <c r="H1362">
        <v>0.94522144397099817</v>
      </c>
      <c r="I1362">
        <v>0.90792540792540799</v>
      </c>
      <c r="J1362">
        <v>8795863.7083333321</v>
      </c>
      <c r="K1362">
        <v>48990</v>
      </c>
      <c r="L1362">
        <v>2</v>
      </c>
      <c r="M1362">
        <v>148</v>
      </c>
      <c r="N1362">
        <v>0.909965034965035</v>
      </c>
      <c r="O1362">
        <v>10592076.291666666</v>
      </c>
      <c r="P1362">
        <v>49619</v>
      </c>
      <c r="Q1362">
        <v>2</v>
      </c>
      <c r="R1362">
        <v>149</v>
      </c>
      <c r="S1362" t="s">
        <v>1045</v>
      </c>
      <c r="W1362">
        <f>Cancer_doubles_final2[[#This Row],[mlp_params]]</f>
        <v>48990</v>
      </c>
      <c r="X1362">
        <f>Cancer_doubles_final2[[#This Row],[kan_test_acc]]</f>
        <v>0.94522144397099817</v>
      </c>
      <c r="Y1362">
        <f>Cancer_doubles_final2[[#This Row],[mlp_test_acc]]</f>
        <v>0.90792540792540799</v>
      </c>
      <c r="Z1362">
        <f>Cancer_doubles_final2[[#This Row],[mlp_test_acc2]]</f>
        <v>0.909965034965035</v>
      </c>
    </row>
    <row r="1363" spans="1:26" hidden="1" x14ac:dyDescent="0.25">
      <c r="A1363" t="s">
        <v>19</v>
      </c>
      <c r="B1363">
        <v>9</v>
      </c>
      <c r="C1363">
        <v>3</v>
      </c>
      <c r="D1363">
        <v>0</v>
      </c>
      <c r="E1363" t="s">
        <v>283</v>
      </c>
      <c r="F1363">
        <v>36372</v>
      </c>
      <c r="G1363">
        <v>32505720.750000004</v>
      </c>
      <c r="H1363">
        <v>0.93065268960264003</v>
      </c>
      <c r="I1363">
        <v>0.93278943278943272</v>
      </c>
      <c r="J1363">
        <v>9562989.083333334</v>
      </c>
      <c r="K1363">
        <v>52824</v>
      </c>
      <c r="L1363">
        <v>2</v>
      </c>
      <c r="M1363">
        <v>154</v>
      </c>
      <c r="N1363">
        <v>0.93259518259518248</v>
      </c>
      <c r="O1363">
        <v>10445780.305555556</v>
      </c>
      <c r="P1363">
        <v>53477</v>
      </c>
      <c r="Q1363">
        <v>2</v>
      </c>
      <c r="R1363">
        <v>155</v>
      </c>
      <c r="S1363" t="s">
        <v>1046</v>
      </c>
      <c r="W1363">
        <f>Cancer_doubles_final2[[#This Row],[mlp_params]]</f>
        <v>52824</v>
      </c>
      <c r="X1363">
        <f>Cancer_doubles_final2[[#This Row],[kan_test_acc]]</f>
        <v>0.93065268960264003</v>
      </c>
      <c r="Y1363">
        <f>Cancer_doubles_final2[[#This Row],[mlp_test_acc]]</f>
        <v>0.93278943278943272</v>
      </c>
      <c r="Z1363">
        <f>Cancer_doubles_final2[[#This Row],[mlp_test_acc2]]</f>
        <v>0.93259518259518248</v>
      </c>
    </row>
    <row r="1364" spans="1:26" hidden="1" x14ac:dyDescent="0.25">
      <c r="A1364" t="s">
        <v>19</v>
      </c>
      <c r="B1364">
        <v>5</v>
      </c>
      <c r="C1364">
        <v>3</v>
      </c>
      <c r="D1364">
        <v>0</v>
      </c>
      <c r="E1364" t="s">
        <v>633</v>
      </c>
      <c r="F1364">
        <v>36394</v>
      </c>
      <c r="G1364">
        <v>43996875</v>
      </c>
      <c r="H1364">
        <v>0.96940559893846512</v>
      </c>
      <c r="I1364">
        <v>0.95687645687645684</v>
      </c>
      <c r="J1364">
        <v>10096731.291666668</v>
      </c>
      <c r="K1364">
        <v>58845</v>
      </c>
      <c r="L1364">
        <v>2</v>
      </c>
      <c r="M1364">
        <v>163</v>
      </c>
      <c r="N1364">
        <v>0.95891608391608385</v>
      </c>
      <c r="O1364">
        <v>11070140.083333334</v>
      </c>
      <c r="P1364">
        <v>59534</v>
      </c>
      <c r="Q1364">
        <v>2</v>
      </c>
      <c r="R1364">
        <v>164</v>
      </c>
      <c r="S1364" t="s">
        <v>1047</v>
      </c>
      <c r="W1364">
        <f>Cancer_doubles_final2[[#This Row],[mlp_params]]</f>
        <v>58845</v>
      </c>
      <c r="X1364">
        <f>Cancer_doubles_final2[[#This Row],[kan_test_acc]]</f>
        <v>0.96940559893846512</v>
      </c>
      <c r="Y1364">
        <f>Cancer_doubles_final2[[#This Row],[mlp_test_acc]]</f>
        <v>0.95687645687645684</v>
      </c>
      <c r="Z1364">
        <f>Cancer_doubles_final2[[#This Row],[mlp_test_acc2]]</f>
        <v>0.95891608391608385</v>
      </c>
    </row>
    <row r="1365" spans="1:26" x14ac:dyDescent="0.25">
      <c r="A1365" t="s">
        <v>19</v>
      </c>
      <c r="B1365">
        <v>3</v>
      </c>
      <c r="C1365">
        <v>5</v>
      </c>
      <c r="D1365">
        <v>0</v>
      </c>
      <c r="E1365" t="s">
        <v>633</v>
      </c>
      <c r="F1365">
        <v>36394</v>
      </c>
      <c r="G1365">
        <v>50491053.875</v>
      </c>
      <c r="H1365">
        <v>0.98222610851128889</v>
      </c>
      <c r="I1365">
        <v>0.94405594405594406</v>
      </c>
      <c r="J1365">
        <v>10495436.541666668</v>
      </c>
      <c r="K1365">
        <v>72620</v>
      </c>
      <c r="L1365">
        <v>2</v>
      </c>
      <c r="M1365">
        <v>182</v>
      </c>
      <c r="N1365">
        <v>0.94522144522144524</v>
      </c>
      <c r="O1365">
        <v>10900732.208333332</v>
      </c>
      <c r="P1365">
        <v>73385</v>
      </c>
      <c r="Q1365">
        <v>2</v>
      </c>
      <c r="R1365">
        <v>183</v>
      </c>
      <c r="S1365" t="s">
        <v>1048</v>
      </c>
      <c r="W1365">
        <f>Cancer_doubles_final2[[#This Row],[mlp_params]]</f>
        <v>72620</v>
      </c>
      <c r="X1365">
        <f>Cancer_doubles_final2[[#This Row],[kan_test_acc]]</f>
        <v>0.98222610851128889</v>
      </c>
      <c r="Y1365">
        <f>Cancer_doubles_final2[[#This Row],[mlp_test_acc]]</f>
        <v>0.94405594405594406</v>
      </c>
      <c r="Z1365">
        <f>Cancer_doubles_final2[[#This Row],[mlp_test_acc2]]</f>
        <v>0.94522144522144524</v>
      </c>
    </row>
    <row r="1366" spans="1:26" hidden="1" x14ac:dyDescent="0.25">
      <c r="A1366" t="s">
        <v>19</v>
      </c>
      <c r="B1366">
        <v>5</v>
      </c>
      <c r="C1366">
        <v>3</v>
      </c>
      <c r="D1366">
        <v>0</v>
      </c>
      <c r="E1366" t="s">
        <v>633</v>
      </c>
      <c r="F1366">
        <v>36394</v>
      </c>
      <c r="G1366">
        <v>53119525.833333336</v>
      </c>
      <c r="H1366">
        <v>0.97435896843671799</v>
      </c>
      <c r="I1366">
        <v>0.94405594405594406</v>
      </c>
      <c r="J1366">
        <v>10249466.166666668</v>
      </c>
      <c r="K1366">
        <v>58845</v>
      </c>
      <c r="L1366">
        <v>2</v>
      </c>
      <c r="M1366">
        <v>163</v>
      </c>
      <c r="N1366">
        <v>0.93997668997669004</v>
      </c>
      <c r="O1366">
        <v>10615831.958333332</v>
      </c>
      <c r="P1366">
        <v>59534</v>
      </c>
      <c r="Q1366">
        <v>2</v>
      </c>
      <c r="R1366">
        <v>164</v>
      </c>
      <c r="S1366" t="s">
        <v>1047</v>
      </c>
      <c r="W1366">
        <f>Cancer_doubles_final2[[#This Row],[mlp_params]]</f>
        <v>58845</v>
      </c>
      <c r="X1366">
        <f>Cancer_doubles_final2[[#This Row],[kan_test_acc]]</f>
        <v>0.97435896843671799</v>
      </c>
      <c r="Y1366">
        <f>Cancer_doubles_final2[[#This Row],[mlp_test_acc]]</f>
        <v>0.94405594405594406</v>
      </c>
      <c r="Z1366">
        <f>Cancer_doubles_final2[[#This Row],[mlp_test_acc2]]</f>
        <v>0.93997668997669004</v>
      </c>
    </row>
    <row r="1367" spans="1:26" x14ac:dyDescent="0.25">
      <c r="A1367" t="s">
        <v>19</v>
      </c>
      <c r="B1367">
        <v>3</v>
      </c>
      <c r="C1367">
        <v>5</v>
      </c>
      <c r="D1367">
        <v>0</v>
      </c>
      <c r="E1367" t="s">
        <v>633</v>
      </c>
      <c r="F1367">
        <v>36394</v>
      </c>
      <c r="G1367">
        <v>55435312.541666664</v>
      </c>
      <c r="H1367">
        <v>0.96561771382888162</v>
      </c>
      <c r="I1367">
        <v>0.94405594405594406</v>
      </c>
      <c r="J1367">
        <v>10764088.083333334</v>
      </c>
      <c r="K1367">
        <v>72620</v>
      </c>
      <c r="L1367">
        <v>2</v>
      </c>
      <c r="M1367">
        <v>182</v>
      </c>
      <c r="N1367">
        <v>0.93822843822843827</v>
      </c>
      <c r="O1367">
        <v>12162854.75</v>
      </c>
      <c r="P1367">
        <v>73385</v>
      </c>
      <c r="Q1367">
        <v>2</v>
      </c>
      <c r="R1367">
        <v>183</v>
      </c>
      <c r="S1367" t="s">
        <v>1048</v>
      </c>
      <c r="W1367">
        <f>Cancer_doubles_final2[[#This Row],[mlp_params]]</f>
        <v>72620</v>
      </c>
      <c r="X1367">
        <f>Cancer_doubles_final2[[#This Row],[kan_test_acc]]</f>
        <v>0.96561771382888162</v>
      </c>
      <c r="Y1367">
        <f>Cancer_doubles_final2[[#This Row],[mlp_test_acc]]</f>
        <v>0.94405594405594406</v>
      </c>
      <c r="Z1367">
        <f>Cancer_doubles_final2[[#This Row],[mlp_test_acc2]]</f>
        <v>0.93822843822843827</v>
      </c>
    </row>
    <row r="1368" spans="1:26" hidden="1" x14ac:dyDescent="0.25">
      <c r="A1368" t="s">
        <v>19</v>
      </c>
      <c r="B1368">
        <v>5</v>
      </c>
      <c r="C1368">
        <v>3</v>
      </c>
      <c r="D1368">
        <v>0</v>
      </c>
      <c r="E1368" t="s">
        <v>633</v>
      </c>
      <c r="F1368">
        <v>36394</v>
      </c>
      <c r="G1368">
        <v>52701716.25</v>
      </c>
      <c r="H1368">
        <v>0.95221445212761557</v>
      </c>
      <c r="I1368">
        <v>0.92045454545454541</v>
      </c>
      <c r="J1368">
        <v>10823132.791666666</v>
      </c>
      <c r="K1368">
        <v>58845</v>
      </c>
      <c r="L1368">
        <v>2</v>
      </c>
      <c r="M1368">
        <v>163</v>
      </c>
      <c r="N1368">
        <v>0.91928904428904423</v>
      </c>
      <c r="O1368">
        <v>12050943</v>
      </c>
      <c r="P1368">
        <v>59534</v>
      </c>
      <c r="Q1368">
        <v>2</v>
      </c>
      <c r="R1368">
        <v>164</v>
      </c>
      <c r="S1368" t="s">
        <v>1047</v>
      </c>
      <c r="W1368">
        <f>Cancer_doubles_final2[[#This Row],[mlp_params]]</f>
        <v>58845</v>
      </c>
      <c r="X1368">
        <f>Cancer_doubles_final2[[#This Row],[kan_test_acc]]</f>
        <v>0.95221445212761557</v>
      </c>
      <c r="Y1368">
        <f>Cancer_doubles_final2[[#This Row],[mlp_test_acc]]</f>
        <v>0.92045454545454541</v>
      </c>
      <c r="Z1368">
        <f>Cancer_doubles_final2[[#This Row],[mlp_test_acc2]]</f>
        <v>0.91928904428904423</v>
      </c>
    </row>
    <row r="1369" spans="1:26" hidden="1" x14ac:dyDescent="0.25">
      <c r="A1369" t="s">
        <v>19</v>
      </c>
      <c r="B1369">
        <v>5</v>
      </c>
      <c r="C1369">
        <v>5</v>
      </c>
      <c r="D1369">
        <v>0</v>
      </c>
      <c r="E1369" t="s">
        <v>417</v>
      </c>
      <c r="F1369">
        <v>36436</v>
      </c>
      <c r="G1369">
        <v>44597336.75</v>
      </c>
      <c r="H1369">
        <v>0.9391025652488072</v>
      </c>
      <c r="I1369">
        <v>0.91346153846153855</v>
      </c>
      <c r="J1369">
        <v>8954830.3333333321</v>
      </c>
      <c r="K1369">
        <v>66644</v>
      </c>
      <c r="L1369">
        <v>2</v>
      </c>
      <c r="M1369">
        <v>174</v>
      </c>
      <c r="N1369">
        <v>0.91812354312354305</v>
      </c>
      <c r="O1369">
        <v>9843146.25</v>
      </c>
      <c r="P1369">
        <v>67377</v>
      </c>
      <c r="Q1369">
        <v>2</v>
      </c>
      <c r="R1369">
        <v>175</v>
      </c>
      <c r="S1369" t="s">
        <v>1049</v>
      </c>
      <c r="W1369">
        <f>Cancer_doubles_final2[[#This Row],[mlp_params]]</f>
        <v>66644</v>
      </c>
      <c r="X1369">
        <f>Cancer_doubles_final2[[#This Row],[kan_test_acc]]</f>
        <v>0.9391025652488072</v>
      </c>
      <c r="Y1369">
        <f>Cancer_doubles_final2[[#This Row],[mlp_test_acc]]</f>
        <v>0.91346153846153855</v>
      </c>
      <c r="Z1369">
        <f>Cancer_doubles_final2[[#This Row],[mlp_test_acc2]]</f>
        <v>0.91812354312354305</v>
      </c>
    </row>
    <row r="1370" spans="1:26" hidden="1" x14ac:dyDescent="0.25">
      <c r="A1370" t="s">
        <v>19</v>
      </c>
      <c r="B1370">
        <v>9</v>
      </c>
      <c r="C1370">
        <v>2</v>
      </c>
      <c r="D1370">
        <v>0</v>
      </c>
      <c r="E1370" t="s">
        <v>345</v>
      </c>
      <c r="F1370">
        <v>36478</v>
      </c>
      <c r="G1370">
        <v>40707377.277777776</v>
      </c>
      <c r="H1370">
        <v>0.92288267281320369</v>
      </c>
      <c r="I1370">
        <v>0.93181818181818188</v>
      </c>
      <c r="J1370">
        <v>9179759.472222222</v>
      </c>
      <c r="K1370">
        <v>48990</v>
      </c>
      <c r="L1370">
        <v>2</v>
      </c>
      <c r="M1370">
        <v>148</v>
      </c>
      <c r="N1370">
        <v>0.9345376845376846</v>
      </c>
      <c r="O1370">
        <v>9580874.083333334</v>
      </c>
      <c r="P1370">
        <v>49619</v>
      </c>
      <c r="Q1370">
        <v>2</v>
      </c>
      <c r="R1370">
        <v>149</v>
      </c>
      <c r="S1370" t="s">
        <v>1050</v>
      </c>
      <c r="W1370">
        <f>Cancer_doubles_final2[[#This Row],[mlp_params]]</f>
        <v>48990</v>
      </c>
      <c r="X1370">
        <f>Cancer_doubles_final2[[#This Row],[kan_test_acc]]</f>
        <v>0.92288267281320369</v>
      </c>
      <c r="Y1370">
        <f>Cancer_doubles_final2[[#This Row],[mlp_test_acc]]</f>
        <v>0.93181818181818188</v>
      </c>
      <c r="Z1370">
        <f>Cancer_doubles_final2[[#This Row],[mlp_test_acc2]]</f>
        <v>0.9345376845376846</v>
      </c>
    </row>
    <row r="1371" spans="1:26" hidden="1" x14ac:dyDescent="0.25">
      <c r="A1371" t="s">
        <v>19</v>
      </c>
      <c r="B1371">
        <v>5</v>
      </c>
      <c r="C1371">
        <v>4</v>
      </c>
      <c r="D1371">
        <v>0</v>
      </c>
      <c r="E1371" t="s">
        <v>520</v>
      </c>
      <c r="F1371">
        <v>36524</v>
      </c>
      <c r="G1371">
        <v>31169188.083333336</v>
      </c>
      <c r="H1371">
        <v>0.93317793640825486</v>
      </c>
      <c r="I1371">
        <v>0.92016317016317017</v>
      </c>
      <c r="J1371">
        <v>9092506.333333334</v>
      </c>
      <c r="K1371">
        <v>63752</v>
      </c>
      <c r="L1371">
        <v>2</v>
      </c>
      <c r="M1371">
        <v>170</v>
      </c>
      <c r="N1371">
        <v>0.91763791763791769</v>
      </c>
      <c r="O1371">
        <v>9033116.1111111119</v>
      </c>
      <c r="P1371">
        <v>64469</v>
      </c>
      <c r="Q1371">
        <v>2</v>
      </c>
      <c r="R1371">
        <v>171</v>
      </c>
      <c r="S1371" t="s">
        <v>1051</v>
      </c>
      <c r="W1371">
        <f>Cancer_doubles_final2[[#This Row],[mlp_params]]</f>
        <v>63752</v>
      </c>
      <c r="X1371">
        <f>Cancer_doubles_final2[[#This Row],[kan_test_acc]]</f>
        <v>0.93317793640825486</v>
      </c>
      <c r="Y1371">
        <f>Cancer_doubles_final2[[#This Row],[mlp_test_acc]]</f>
        <v>0.92016317016317017</v>
      </c>
      <c r="Z1371">
        <f>Cancer_doubles_final2[[#This Row],[mlp_test_acc2]]</f>
        <v>0.91763791763791769</v>
      </c>
    </row>
    <row r="1372" spans="1:26" hidden="1" x14ac:dyDescent="0.25">
      <c r="A1372" t="s">
        <v>19</v>
      </c>
      <c r="B1372">
        <v>9</v>
      </c>
      <c r="C1372">
        <v>2</v>
      </c>
      <c r="D1372">
        <v>0</v>
      </c>
      <c r="E1372" t="s">
        <v>347</v>
      </c>
      <c r="F1372">
        <v>36536</v>
      </c>
      <c r="G1372">
        <v>34240132.277777776</v>
      </c>
      <c r="H1372">
        <v>0.94988344609737407</v>
      </c>
      <c r="I1372">
        <v>0.93356643356643354</v>
      </c>
      <c r="J1372">
        <v>10013236.38888889</v>
      </c>
      <c r="K1372">
        <v>48990</v>
      </c>
      <c r="L1372">
        <v>2</v>
      </c>
      <c r="M1372">
        <v>148</v>
      </c>
      <c r="N1372">
        <v>0.93220668220668224</v>
      </c>
      <c r="O1372">
        <v>9082484.4166666679</v>
      </c>
      <c r="P1372">
        <v>49619</v>
      </c>
      <c r="Q1372">
        <v>2</v>
      </c>
      <c r="R1372">
        <v>149</v>
      </c>
      <c r="S1372" t="s">
        <v>1052</v>
      </c>
      <c r="W1372">
        <f>Cancer_doubles_final2[[#This Row],[mlp_params]]</f>
        <v>48990</v>
      </c>
      <c r="X1372">
        <f>Cancer_doubles_final2[[#This Row],[kan_test_acc]]</f>
        <v>0.94988344609737407</v>
      </c>
      <c r="Y1372">
        <f>Cancer_doubles_final2[[#This Row],[mlp_test_acc]]</f>
        <v>0.93356643356643354</v>
      </c>
      <c r="Z1372">
        <f>Cancer_doubles_final2[[#This Row],[mlp_test_acc2]]</f>
        <v>0.93220668220668224</v>
      </c>
    </row>
    <row r="1373" spans="1:26" hidden="1" x14ac:dyDescent="0.25">
      <c r="A1373" t="s">
        <v>19</v>
      </c>
      <c r="B1373">
        <v>9</v>
      </c>
      <c r="C1373">
        <v>3</v>
      </c>
      <c r="D1373">
        <v>0</v>
      </c>
      <c r="E1373" t="s">
        <v>286</v>
      </c>
      <c r="F1373">
        <v>36620</v>
      </c>
      <c r="G1373">
        <v>29037413.444444444</v>
      </c>
      <c r="H1373">
        <v>0.93648017942905426</v>
      </c>
      <c r="I1373">
        <v>0.932012432012432</v>
      </c>
      <c r="J1373">
        <v>9290381.027777778</v>
      </c>
      <c r="K1373">
        <v>53477</v>
      </c>
      <c r="L1373">
        <v>2</v>
      </c>
      <c r="M1373">
        <v>155</v>
      </c>
      <c r="N1373">
        <v>0.93220668220668212</v>
      </c>
      <c r="O1373">
        <v>9450878.3611111101</v>
      </c>
      <c r="P1373">
        <v>54134</v>
      </c>
      <c r="Q1373">
        <v>2</v>
      </c>
      <c r="R1373">
        <v>156</v>
      </c>
      <c r="S1373" t="s">
        <v>1053</v>
      </c>
      <c r="W1373">
        <f>Cancer_doubles_final2[[#This Row],[mlp_params]]</f>
        <v>53477</v>
      </c>
      <c r="X1373">
        <f>Cancer_doubles_final2[[#This Row],[kan_test_acc]]</f>
        <v>0.93648017942905426</v>
      </c>
      <c r="Y1373">
        <f>Cancer_doubles_final2[[#This Row],[mlp_test_acc]]</f>
        <v>0.932012432012432</v>
      </c>
      <c r="Z1373">
        <f>Cancer_doubles_final2[[#This Row],[mlp_test_acc2]]</f>
        <v>0.93220668220668212</v>
      </c>
    </row>
    <row r="1374" spans="1:26" hidden="1" x14ac:dyDescent="0.25">
      <c r="A1374" t="s">
        <v>19</v>
      </c>
      <c r="B1374">
        <v>5</v>
      </c>
      <c r="C1374">
        <v>5</v>
      </c>
      <c r="D1374">
        <v>0</v>
      </c>
      <c r="E1374" t="s">
        <v>433</v>
      </c>
      <c r="F1374">
        <v>36742</v>
      </c>
      <c r="G1374">
        <v>42917949.638888888</v>
      </c>
      <c r="H1374">
        <v>0.91278165744410622</v>
      </c>
      <c r="I1374">
        <v>0.93123543123543118</v>
      </c>
      <c r="J1374">
        <v>9478061.694444444</v>
      </c>
      <c r="K1374">
        <v>67377</v>
      </c>
      <c r="L1374">
        <v>2</v>
      </c>
      <c r="M1374">
        <v>175</v>
      </c>
      <c r="N1374">
        <v>0.93104118104118105</v>
      </c>
      <c r="O1374">
        <v>9903641.4999999981</v>
      </c>
      <c r="P1374">
        <v>68114</v>
      </c>
      <c r="Q1374">
        <v>2</v>
      </c>
      <c r="R1374">
        <v>176</v>
      </c>
      <c r="S1374" t="s">
        <v>1054</v>
      </c>
      <c r="W1374">
        <f>Cancer_doubles_final2[[#This Row],[mlp_params]]</f>
        <v>67377</v>
      </c>
      <c r="X1374">
        <f>Cancer_doubles_final2[[#This Row],[kan_test_acc]]</f>
        <v>0.91278165744410622</v>
      </c>
      <c r="Y1374">
        <f>Cancer_doubles_final2[[#This Row],[mlp_test_acc]]</f>
        <v>0.93123543123543118</v>
      </c>
      <c r="Z1374">
        <f>Cancer_doubles_final2[[#This Row],[mlp_test_acc2]]</f>
        <v>0.93104118104118105</v>
      </c>
    </row>
    <row r="1375" spans="1:26" hidden="1" x14ac:dyDescent="0.25">
      <c r="A1375" t="s">
        <v>19</v>
      </c>
      <c r="B1375">
        <v>5</v>
      </c>
      <c r="C1375">
        <v>5</v>
      </c>
      <c r="D1375">
        <v>0</v>
      </c>
      <c r="E1375" t="s">
        <v>435</v>
      </c>
      <c r="F1375">
        <v>36746</v>
      </c>
      <c r="G1375">
        <v>50200890.638888888</v>
      </c>
      <c r="H1375">
        <v>0.89102564089828074</v>
      </c>
      <c r="I1375">
        <v>0.91627816627816627</v>
      </c>
      <c r="J1375">
        <v>9450762.8055555541</v>
      </c>
      <c r="K1375">
        <v>67377</v>
      </c>
      <c r="L1375">
        <v>2</v>
      </c>
      <c r="M1375">
        <v>175</v>
      </c>
      <c r="N1375">
        <v>0.91355866355866355</v>
      </c>
      <c r="O1375">
        <v>9712733.027777778</v>
      </c>
      <c r="P1375">
        <v>68114</v>
      </c>
      <c r="Q1375">
        <v>2</v>
      </c>
      <c r="R1375">
        <v>176</v>
      </c>
      <c r="S1375" t="s">
        <v>1055</v>
      </c>
      <c r="W1375">
        <f>Cancer_doubles_final2[[#This Row],[mlp_params]]</f>
        <v>67377</v>
      </c>
      <c r="X1375">
        <f>Cancer_doubles_final2[[#This Row],[kan_test_acc]]</f>
        <v>0.89102564089828074</v>
      </c>
      <c r="Y1375">
        <f>Cancer_doubles_final2[[#This Row],[mlp_test_acc]]</f>
        <v>0.91627816627816627</v>
      </c>
      <c r="Z1375">
        <f>Cancer_doubles_final2[[#This Row],[mlp_test_acc2]]</f>
        <v>0.91355866355866355</v>
      </c>
    </row>
    <row r="1376" spans="1:26" hidden="1" x14ac:dyDescent="0.25">
      <c r="A1376" t="s">
        <v>19</v>
      </c>
      <c r="B1376">
        <v>5</v>
      </c>
      <c r="C1376">
        <v>5</v>
      </c>
      <c r="D1376">
        <v>0</v>
      </c>
      <c r="E1376" t="s">
        <v>437</v>
      </c>
      <c r="F1376">
        <v>36752</v>
      </c>
      <c r="G1376">
        <v>49400456.805555552</v>
      </c>
      <c r="H1376">
        <v>0.89860139456060195</v>
      </c>
      <c r="I1376">
        <v>0.93473193473193472</v>
      </c>
      <c r="J1376">
        <v>9256733.3611111101</v>
      </c>
      <c r="K1376">
        <v>67377</v>
      </c>
      <c r="L1376">
        <v>2</v>
      </c>
      <c r="M1376">
        <v>175</v>
      </c>
      <c r="N1376">
        <v>0.93492618492618496</v>
      </c>
      <c r="O1376">
        <v>9977054.472222222</v>
      </c>
      <c r="P1376">
        <v>68114</v>
      </c>
      <c r="Q1376">
        <v>2</v>
      </c>
      <c r="R1376">
        <v>176</v>
      </c>
      <c r="S1376" t="s">
        <v>1056</v>
      </c>
      <c r="W1376">
        <f>Cancer_doubles_final2[[#This Row],[mlp_params]]</f>
        <v>67377</v>
      </c>
      <c r="X1376">
        <f>Cancer_doubles_final2[[#This Row],[kan_test_acc]]</f>
        <v>0.89860139456060195</v>
      </c>
      <c r="Y1376">
        <f>Cancer_doubles_final2[[#This Row],[mlp_test_acc]]</f>
        <v>0.93473193473193472</v>
      </c>
      <c r="Z1376">
        <f>Cancer_doubles_final2[[#This Row],[mlp_test_acc2]]</f>
        <v>0.93492618492618496</v>
      </c>
    </row>
    <row r="1377" spans="1:26" hidden="1" x14ac:dyDescent="0.25">
      <c r="A1377" t="s">
        <v>19</v>
      </c>
      <c r="B1377">
        <v>5</v>
      </c>
      <c r="C1377">
        <v>4</v>
      </c>
      <c r="D1377">
        <v>0</v>
      </c>
      <c r="E1377" t="s">
        <v>526</v>
      </c>
      <c r="F1377">
        <v>36762</v>
      </c>
      <c r="G1377">
        <v>46374190.25</v>
      </c>
      <c r="H1377">
        <v>0.92735042671362555</v>
      </c>
      <c r="I1377">
        <v>0.9358974358974359</v>
      </c>
      <c r="J1377">
        <v>9469553.055555556</v>
      </c>
      <c r="K1377">
        <v>63752</v>
      </c>
      <c r="L1377">
        <v>2</v>
      </c>
      <c r="M1377">
        <v>170</v>
      </c>
      <c r="N1377">
        <v>0.93803418803418803</v>
      </c>
      <c r="O1377">
        <v>9998967.0000000019</v>
      </c>
      <c r="P1377">
        <v>64469</v>
      </c>
      <c r="Q1377">
        <v>2</v>
      </c>
      <c r="R1377">
        <v>171</v>
      </c>
      <c r="S1377" t="s">
        <v>1057</v>
      </c>
      <c r="W1377">
        <f>Cancer_doubles_final2[[#This Row],[mlp_params]]</f>
        <v>63752</v>
      </c>
      <c r="X1377">
        <f>Cancer_doubles_final2[[#This Row],[kan_test_acc]]</f>
        <v>0.92735042671362555</v>
      </c>
      <c r="Y1377">
        <f>Cancer_doubles_final2[[#This Row],[mlp_test_acc]]</f>
        <v>0.9358974358974359</v>
      </c>
      <c r="Z1377">
        <f>Cancer_doubles_final2[[#This Row],[mlp_test_acc2]]</f>
        <v>0.93803418803418803</v>
      </c>
    </row>
    <row r="1378" spans="1:26" hidden="1" x14ac:dyDescent="0.25">
      <c r="A1378" t="s">
        <v>19</v>
      </c>
      <c r="B1378">
        <v>9</v>
      </c>
      <c r="C1378">
        <v>3</v>
      </c>
      <c r="D1378">
        <v>0</v>
      </c>
      <c r="E1378" t="s">
        <v>290</v>
      </c>
      <c r="F1378">
        <v>36794</v>
      </c>
      <c r="G1378">
        <v>38971843.05555556</v>
      </c>
      <c r="H1378">
        <v>0.94794094893667435</v>
      </c>
      <c r="I1378">
        <v>0.9494949494949495</v>
      </c>
      <c r="J1378">
        <v>9482512</v>
      </c>
      <c r="K1378">
        <v>53477</v>
      </c>
      <c r="L1378">
        <v>2</v>
      </c>
      <c r="M1378">
        <v>155</v>
      </c>
      <c r="N1378">
        <v>0.94813519813519809</v>
      </c>
      <c r="O1378">
        <v>9581187.833333334</v>
      </c>
      <c r="P1378">
        <v>54134</v>
      </c>
      <c r="Q1378">
        <v>2</v>
      </c>
      <c r="R1378">
        <v>156</v>
      </c>
      <c r="S1378" t="s">
        <v>1058</v>
      </c>
      <c r="W1378">
        <f>Cancer_doubles_final2[[#This Row],[mlp_params]]</f>
        <v>53477</v>
      </c>
      <c r="X1378">
        <f>Cancer_doubles_final2[[#This Row],[kan_test_acc]]</f>
        <v>0.94794094893667435</v>
      </c>
      <c r="Y1378">
        <f>Cancer_doubles_final2[[#This Row],[mlp_test_acc]]</f>
        <v>0.9494949494949495</v>
      </c>
      <c r="Z1378">
        <f>Cancer_doubles_final2[[#This Row],[mlp_test_acc2]]</f>
        <v>0.94813519813519809</v>
      </c>
    </row>
    <row r="1379" spans="1:26" hidden="1" x14ac:dyDescent="0.25">
      <c r="A1379" t="s">
        <v>19</v>
      </c>
      <c r="B1379">
        <v>9</v>
      </c>
      <c r="C1379">
        <v>4</v>
      </c>
      <c r="D1379">
        <v>0</v>
      </c>
      <c r="E1379" t="s">
        <v>243</v>
      </c>
      <c r="F1379">
        <v>36806</v>
      </c>
      <c r="G1379">
        <v>42670883.75</v>
      </c>
      <c r="H1379">
        <v>0.92890442411104834</v>
      </c>
      <c r="I1379">
        <v>0.96212121212121215</v>
      </c>
      <c r="J1379">
        <v>10727933.041666666</v>
      </c>
      <c r="K1379">
        <v>56802</v>
      </c>
      <c r="L1379">
        <v>2</v>
      </c>
      <c r="M1379">
        <v>160</v>
      </c>
      <c r="N1379">
        <v>0.95804195804195802</v>
      </c>
      <c r="O1379">
        <v>10701519.125</v>
      </c>
      <c r="P1379">
        <v>57479</v>
      </c>
      <c r="Q1379">
        <v>2</v>
      </c>
      <c r="R1379">
        <v>161</v>
      </c>
      <c r="S1379" t="s">
        <v>1059</v>
      </c>
      <c r="W1379">
        <f>Cancer_doubles_final2[[#This Row],[mlp_params]]</f>
        <v>56802</v>
      </c>
      <c r="X1379">
        <f>Cancer_doubles_final2[[#This Row],[kan_test_acc]]</f>
        <v>0.92890442411104834</v>
      </c>
      <c r="Y1379">
        <f>Cancer_doubles_final2[[#This Row],[mlp_test_acc]]</f>
        <v>0.96212121212121215</v>
      </c>
      <c r="Z1379">
        <f>Cancer_doubles_final2[[#This Row],[mlp_test_acc2]]</f>
        <v>0.95804195804195802</v>
      </c>
    </row>
    <row r="1380" spans="1:26" hidden="1" x14ac:dyDescent="0.25">
      <c r="A1380" t="s">
        <v>19</v>
      </c>
      <c r="B1380">
        <v>5</v>
      </c>
      <c r="C1380">
        <v>4</v>
      </c>
      <c r="D1380">
        <v>0</v>
      </c>
      <c r="E1380" t="s">
        <v>530</v>
      </c>
      <c r="F1380">
        <v>36808</v>
      </c>
      <c r="G1380">
        <v>42379450.958333328</v>
      </c>
      <c r="H1380">
        <v>0.92890442162752151</v>
      </c>
      <c r="I1380">
        <v>0.9443473193473193</v>
      </c>
      <c r="J1380">
        <v>10768220.916666666</v>
      </c>
      <c r="K1380">
        <v>63752</v>
      </c>
      <c r="L1380">
        <v>2</v>
      </c>
      <c r="M1380">
        <v>170</v>
      </c>
      <c r="N1380">
        <v>0.94026806526806528</v>
      </c>
      <c r="O1380">
        <v>11022110.208333332</v>
      </c>
      <c r="P1380">
        <v>64469</v>
      </c>
      <c r="Q1380">
        <v>2</v>
      </c>
      <c r="R1380">
        <v>171</v>
      </c>
      <c r="S1380" t="s">
        <v>1060</v>
      </c>
      <c r="W1380">
        <f>Cancer_doubles_final2[[#This Row],[mlp_params]]</f>
        <v>63752</v>
      </c>
      <c r="X1380">
        <f>Cancer_doubles_final2[[#This Row],[kan_test_acc]]</f>
        <v>0.92890442162752151</v>
      </c>
      <c r="Y1380">
        <f>Cancer_doubles_final2[[#This Row],[mlp_test_acc]]</f>
        <v>0.9443473193473193</v>
      </c>
      <c r="Z1380">
        <f>Cancer_doubles_final2[[#This Row],[mlp_test_acc2]]</f>
        <v>0.94026806526806528</v>
      </c>
    </row>
    <row r="1381" spans="1:26" hidden="1" x14ac:dyDescent="0.25">
      <c r="A1381" t="s">
        <v>19</v>
      </c>
      <c r="B1381">
        <v>5</v>
      </c>
      <c r="C1381">
        <v>5</v>
      </c>
      <c r="D1381">
        <v>0</v>
      </c>
      <c r="E1381" t="s">
        <v>439</v>
      </c>
      <c r="F1381">
        <v>36848</v>
      </c>
      <c r="G1381">
        <v>41491329.75</v>
      </c>
      <c r="H1381">
        <v>0.91647241512934363</v>
      </c>
      <c r="I1381">
        <v>0.93376068376068377</v>
      </c>
      <c r="J1381">
        <v>9693371.305555556</v>
      </c>
      <c r="K1381">
        <v>67377</v>
      </c>
      <c r="L1381">
        <v>2</v>
      </c>
      <c r="M1381">
        <v>175</v>
      </c>
      <c r="N1381">
        <v>0.93414918414918413</v>
      </c>
      <c r="O1381">
        <v>9540136.5555555541</v>
      </c>
      <c r="P1381">
        <v>68114</v>
      </c>
      <c r="Q1381">
        <v>2</v>
      </c>
      <c r="R1381">
        <v>176</v>
      </c>
      <c r="S1381" t="s">
        <v>1061</v>
      </c>
      <c r="W1381">
        <f>Cancer_doubles_final2[[#This Row],[mlp_params]]</f>
        <v>67377</v>
      </c>
      <c r="X1381">
        <f>Cancer_doubles_final2[[#This Row],[kan_test_acc]]</f>
        <v>0.91647241512934363</v>
      </c>
      <c r="Y1381">
        <f>Cancer_doubles_final2[[#This Row],[mlp_test_acc]]</f>
        <v>0.93376068376068377</v>
      </c>
      <c r="Z1381">
        <f>Cancer_doubles_final2[[#This Row],[mlp_test_acc2]]</f>
        <v>0.93414918414918413</v>
      </c>
    </row>
    <row r="1382" spans="1:26" hidden="1" x14ac:dyDescent="0.25">
      <c r="A1382" t="s">
        <v>19</v>
      </c>
      <c r="B1382">
        <v>9</v>
      </c>
      <c r="C1382">
        <v>2</v>
      </c>
      <c r="D1382">
        <v>0</v>
      </c>
      <c r="E1382" t="s">
        <v>353</v>
      </c>
      <c r="F1382">
        <v>36878</v>
      </c>
      <c r="G1382">
        <v>42169693.888888888</v>
      </c>
      <c r="H1382">
        <v>0.90967365602652228</v>
      </c>
      <c r="I1382">
        <v>0.91472416472416473</v>
      </c>
      <c r="J1382">
        <v>10341474.944444444</v>
      </c>
      <c r="K1382">
        <v>49619</v>
      </c>
      <c r="L1382">
        <v>2</v>
      </c>
      <c r="M1382">
        <v>149</v>
      </c>
      <c r="N1382">
        <v>0.9145299145299145</v>
      </c>
      <c r="O1382">
        <v>9448534.027777778</v>
      </c>
      <c r="P1382">
        <v>50252</v>
      </c>
      <c r="Q1382">
        <v>2</v>
      </c>
      <c r="R1382">
        <v>150</v>
      </c>
      <c r="S1382" t="s">
        <v>1062</v>
      </c>
      <c r="W1382">
        <f>Cancer_doubles_final2[[#This Row],[mlp_params]]</f>
        <v>49619</v>
      </c>
      <c r="X1382">
        <f>Cancer_doubles_final2[[#This Row],[kan_test_acc]]</f>
        <v>0.90967365602652228</v>
      </c>
      <c r="Y1382">
        <f>Cancer_doubles_final2[[#This Row],[mlp_test_acc]]</f>
        <v>0.91472416472416473</v>
      </c>
      <c r="Z1382">
        <f>Cancer_doubles_final2[[#This Row],[mlp_test_acc2]]</f>
        <v>0.9145299145299145</v>
      </c>
    </row>
    <row r="1383" spans="1:26" hidden="1" x14ac:dyDescent="0.25">
      <c r="A1383" t="s">
        <v>19</v>
      </c>
      <c r="B1383">
        <v>9</v>
      </c>
      <c r="C1383">
        <v>3</v>
      </c>
      <c r="D1383">
        <v>0</v>
      </c>
      <c r="E1383" t="s">
        <v>293</v>
      </c>
      <c r="F1383">
        <v>36918</v>
      </c>
      <c r="G1383">
        <v>33749041.305555552</v>
      </c>
      <c r="H1383">
        <v>0.93337217966715491</v>
      </c>
      <c r="I1383">
        <v>0.93026418026418023</v>
      </c>
      <c r="J1383">
        <v>9746227.5</v>
      </c>
      <c r="K1383">
        <v>53477</v>
      </c>
      <c r="L1383">
        <v>2</v>
      </c>
      <c r="M1383">
        <v>155</v>
      </c>
      <c r="N1383">
        <v>0.93142968142968141</v>
      </c>
      <c r="O1383">
        <v>9078951.25</v>
      </c>
      <c r="P1383">
        <v>54134</v>
      </c>
      <c r="Q1383">
        <v>2</v>
      </c>
      <c r="R1383">
        <v>156</v>
      </c>
      <c r="S1383" t="s">
        <v>1063</v>
      </c>
      <c r="W1383">
        <f>Cancer_doubles_final2[[#This Row],[mlp_params]]</f>
        <v>53477</v>
      </c>
      <c r="X1383">
        <f>Cancer_doubles_final2[[#This Row],[kan_test_acc]]</f>
        <v>0.93337217966715491</v>
      </c>
      <c r="Y1383">
        <f>Cancer_doubles_final2[[#This Row],[mlp_test_acc]]</f>
        <v>0.93026418026418023</v>
      </c>
      <c r="Z1383">
        <f>Cancer_doubles_final2[[#This Row],[mlp_test_acc2]]</f>
        <v>0.93142968142968141</v>
      </c>
    </row>
    <row r="1384" spans="1:26" hidden="1" x14ac:dyDescent="0.25">
      <c r="A1384" t="s">
        <v>19</v>
      </c>
      <c r="B1384">
        <v>9</v>
      </c>
      <c r="C1384">
        <v>3</v>
      </c>
      <c r="D1384">
        <v>0</v>
      </c>
      <c r="E1384" t="s">
        <v>296</v>
      </c>
      <c r="F1384">
        <v>36976</v>
      </c>
      <c r="G1384">
        <v>43438716</v>
      </c>
      <c r="H1384">
        <v>0.94289044539133704</v>
      </c>
      <c r="I1384">
        <v>0.96882284382284389</v>
      </c>
      <c r="J1384">
        <v>9901366.916666666</v>
      </c>
      <c r="K1384">
        <v>54134</v>
      </c>
      <c r="L1384">
        <v>2</v>
      </c>
      <c r="M1384">
        <v>156</v>
      </c>
      <c r="N1384">
        <v>0.96969696969696961</v>
      </c>
      <c r="O1384">
        <v>9455289.833333334</v>
      </c>
      <c r="P1384">
        <v>54795</v>
      </c>
      <c r="Q1384">
        <v>2</v>
      </c>
      <c r="R1384">
        <v>157</v>
      </c>
      <c r="S1384" t="s">
        <v>1064</v>
      </c>
      <c r="W1384">
        <f>Cancer_doubles_final2[[#This Row],[mlp_params]]</f>
        <v>54134</v>
      </c>
      <c r="X1384">
        <f>Cancer_doubles_final2[[#This Row],[kan_test_acc]]</f>
        <v>0.94289044539133704</v>
      </c>
      <c r="Y1384">
        <f>Cancer_doubles_final2[[#This Row],[mlp_test_acc]]</f>
        <v>0.96882284382284389</v>
      </c>
      <c r="Z1384">
        <f>Cancer_doubles_final2[[#This Row],[mlp_test_acc2]]</f>
        <v>0.96969696969696961</v>
      </c>
    </row>
    <row r="1385" spans="1:26" hidden="1" x14ac:dyDescent="0.25">
      <c r="A1385" t="s">
        <v>19</v>
      </c>
      <c r="B1385">
        <v>9</v>
      </c>
      <c r="C1385">
        <v>5</v>
      </c>
      <c r="D1385">
        <v>0</v>
      </c>
      <c r="E1385" t="s">
        <v>214</v>
      </c>
      <c r="F1385">
        <v>36992</v>
      </c>
      <c r="G1385">
        <v>47420936.125</v>
      </c>
      <c r="H1385">
        <v>0.89102564752101898</v>
      </c>
      <c r="I1385">
        <v>0.96212121212121215</v>
      </c>
      <c r="J1385">
        <v>11774750.166666666</v>
      </c>
      <c r="K1385">
        <v>60227</v>
      </c>
      <c r="L1385">
        <v>2</v>
      </c>
      <c r="M1385">
        <v>165</v>
      </c>
      <c r="N1385">
        <v>0.96095571095571097</v>
      </c>
      <c r="O1385">
        <v>11100329</v>
      </c>
      <c r="P1385">
        <v>60924</v>
      </c>
      <c r="Q1385">
        <v>2</v>
      </c>
      <c r="R1385">
        <v>166</v>
      </c>
      <c r="S1385" t="s">
        <v>1065</v>
      </c>
      <c r="W1385">
        <f>Cancer_doubles_final2[[#This Row],[mlp_params]]</f>
        <v>60227</v>
      </c>
      <c r="X1385">
        <f>Cancer_doubles_final2[[#This Row],[kan_test_acc]]</f>
        <v>0.89102564752101898</v>
      </c>
      <c r="Y1385">
        <f>Cancer_doubles_final2[[#This Row],[mlp_test_acc]]</f>
        <v>0.96212121212121215</v>
      </c>
      <c r="Z1385">
        <f>Cancer_doubles_final2[[#This Row],[mlp_test_acc2]]</f>
        <v>0.96095571095571097</v>
      </c>
    </row>
    <row r="1386" spans="1:26" hidden="1" x14ac:dyDescent="0.25">
      <c r="A1386" t="s">
        <v>19</v>
      </c>
      <c r="B1386">
        <v>9</v>
      </c>
      <c r="C1386">
        <v>4</v>
      </c>
      <c r="D1386">
        <v>0</v>
      </c>
      <c r="E1386" t="s">
        <v>250</v>
      </c>
      <c r="F1386">
        <v>37004</v>
      </c>
      <c r="G1386">
        <v>45376391.916666672</v>
      </c>
      <c r="H1386">
        <v>0.8837412570913632</v>
      </c>
      <c r="I1386">
        <v>0.95891608391608396</v>
      </c>
      <c r="J1386">
        <v>10901237.958333334</v>
      </c>
      <c r="K1386">
        <v>57479</v>
      </c>
      <c r="L1386">
        <v>2</v>
      </c>
      <c r="M1386">
        <v>161</v>
      </c>
      <c r="N1386">
        <v>0.96124708624708621</v>
      </c>
      <c r="O1386">
        <v>11286889.541666668</v>
      </c>
      <c r="P1386">
        <v>58160</v>
      </c>
      <c r="Q1386">
        <v>2</v>
      </c>
      <c r="R1386">
        <v>162</v>
      </c>
      <c r="S1386" t="s">
        <v>1066</v>
      </c>
      <c r="W1386">
        <f>Cancer_doubles_final2[[#This Row],[mlp_params]]</f>
        <v>57479</v>
      </c>
      <c r="X1386">
        <f>Cancer_doubles_final2[[#This Row],[kan_test_acc]]</f>
        <v>0.8837412570913632</v>
      </c>
      <c r="Y1386">
        <f>Cancer_doubles_final2[[#This Row],[mlp_test_acc]]</f>
        <v>0.95891608391608396</v>
      </c>
      <c r="Z1386">
        <f>Cancer_doubles_final2[[#This Row],[mlp_test_acc2]]</f>
        <v>0.96124708624708621</v>
      </c>
    </row>
    <row r="1387" spans="1:26" x14ac:dyDescent="0.25">
      <c r="A1387" t="s">
        <v>19</v>
      </c>
      <c r="B1387">
        <v>3</v>
      </c>
      <c r="C1387">
        <v>5</v>
      </c>
      <c r="D1387">
        <v>0</v>
      </c>
      <c r="E1387" t="s">
        <v>656</v>
      </c>
      <c r="F1387">
        <v>37058</v>
      </c>
      <c r="G1387">
        <v>53126454.833333328</v>
      </c>
      <c r="H1387">
        <v>0.94667831808328629</v>
      </c>
      <c r="I1387">
        <v>0.95134032634032639</v>
      </c>
      <c r="J1387">
        <v>9752802.458333334</v>
      </c>
      <c r="K1387">
        <v>73385</v>
      </c>
      <c r="L1387">
        <v>2</v>
      </c>
      <c r="M1387">
        <v>183</v>
      </c>
      <c r="N1387">
        <v>0.9560023310023309</v>
      </c>
      <c r="O1387">
        <v>10364886.625</v>
      </c>
      <c r="P1387">
        <v>74154</v>
      </c>
      <c r="Q1387">
        <v>2</v>
      </c>
      <c r="R1387">
        <v>184</v>
      </c>
      <c r="S1387" t="s">
        <v>1067</v>
      </c>
      <c r="W1387">
        <f>Cancer_doubles_final2[[#This Row],[mlp_params]]</f>
        <v>73385</v>
      </c>
      <c r="X1387">
        <f>Cancer_doubles_final2[[#This Row],[kan_test_acc]]</f>
        <v>0.94667831808328629</v>
      </c>
      <c r="Y1387">
        <f>Cancer_doubles_final2[[#This Row],[mlp_test_acc]]</f>
        <v>0.95134032634032639</v>
      </c>
      <c r="Z1387">
        <f>Cancer_doubles_final2[[#This Row],[mlp_test_acc2]]</f>
        <v>0.9560023310023309</v>
      </c>
    </row>
    <row r="1388" spans="1:26" hidden="1" x14ac:dyDescent="0.25">
      <c r="A1388" t="s">
        <v>19</v>
      </c>
      <c r="B1388">
        <v>5</v>
      </c>
      <c r="C1388">
        <v>3</v>
      </c>
      <c r="D1388">
        <v>0</v>
      </c>
      <c r="E1388" t="s">
        <v>656</v>
      </c>
      <c r="F1388">
        <v>37058</v>
      </c>
      <c r="G1388">
        <v>59189001.958333328</v>
      </c>
      <c r="H1388">
        <v>0.97086246063311887</v>
      </c>
      <c r="I1388">
        <v>0.93851981351981362</v>
      </c>
      <c r="J1388">
        <v>9943600.708333334</v>
      </c>
      <c r="K1388">
        <v>60227</v>
      </c>
      <c r="L1388">
        <v>2</v>
      </c>
      <c r="M1388">
        <v>165</v>
      </c>
      <c r="N1388">
        <v>0.93822843822843827</v>
      </c>
      <c r="O1388">
        <v>10633323.75</v>
      </c>
      <c r="P1388">
        <v>60924</v>
      </c>
      <c r="Q1388">
        <v>2</v>
      </c>
      <c r="R1388">
        <v>166</v>
      </c>
      <c r="S1388" t="s">
        <v>1068</v>
      </c>
      <c r="W1388">
        <f>Cancer_doubles_final2[[#This Row],[mlp_params]]</f>
        <v>60227</v>
      </c>
      <c r="X1388">
        <f>Cancer_doubles_final2[[#This Row],[kan_test_acc]]</f>
        <v>0.97086246063311887</v>
      </c>
      <c r="Y1388">
        <f>Cancer_doubles_final2[[#This Row],[mlp_test_acc]]</f>
        <v>0.93851981351981362</v>
      </c>
      <c r="Z1388">
        <f>Cancer_doubles_final2[[#This Row],[mlp_test_acc2]]</f>
        <v>0.93822843822843827</v>
      </c>
    </row>
    <row r="1389" spans="1:26" x14ac:dyDescent="0.25">
      <c r="A1389" t="s">
        <v>19</v>
      </c>
      <c r="B1389">
        <v>3</v>
      </c>
      <c r="C1389">
        <v>5</v>
      </c>
      <c r="D1389">
        <v>0</v>
      </c>
      <c r="E1389" t="s">
        <v>656</v>
      </c>
      <c r="F1389">
        <v>37058</v>
      </c>
      <c r="G1389">
        <v>62038505.958333336</v>
      </c>
      <c r="H1389">
        <v>0.9629953230420748</v>
      </c>
      <c r="I1389">
        <v>0.94318181818181812</v>
      </c>
      <c r="J1389">
        <v>10878993.875</v>
      </c>
      <c r="K1389">
        <v>73385</v>
      </c>
      <c r="L1389">
        <v>2</v>
      </c>
      <c r="M1389">
        <v>183</v>
      </c>
      <c r="N1389">
        <v>0.93618881118881125</v>
      </c>
      <c r="O1389">
        <v>12066001.791666666</v>
      </c>
      <c r="P1389">
        <v>74154</v>
      </c>
      <c r="Q1389">
        <v>2</v>
      </c>
      <c r="R1389">
        <v>184</v>
      </c>
      <c r="S1389" t="s">
        <v>1067</v>
      </c>
      <c r="W1389">
        <f>Cancer_doubles_final2[[#This Row],[mlp_params]]</f>
        <v>73385</v>
      </c>
      <c r="X1389">
        <f>Cancer_doubles_final2[[#This Row],[kan_test_acc]]</f>
        <v>0.9629953230420748</v>
      </c>
      <c r="Y1389">
        <f>Cancer_doubles_final2[[#This Row],[mlp_test_acc]]</f>
        <v>0.94318181818181812</v>
      </c>
      <c r="Z1389">
        <f>Cancer_doubles_final2[[#This Row],[mlp_test_acc2]]</f>
        <v>0.93618881118881125</v>
      </c>
    </row>
    <row r="1390" spans="1:26" hidden="1" x14ac:dyDescent="0.25">
      <c r="A1390" t="s">
        <v>19</v>
      </c>
      <c r="B1390">
        <v>5</v>
      </c>
      <c r="C1390">
        <v>3</v>
      </c>
      <c r="D1390">
        <v>0</v>
      </c>
      <c r="E1390" t="s">
        <v>656</v>
      </c>
      <c r="F1390">
        <v>37058</v>
      </c>
      <c r="G1390">
        <v>59290716.833333336</v>
      </c>
      <c r="H1390">
        <v>0.95367132375637698</v>
      </c>
      <c r="I1390">
        <v>0.92132867132867124</v>
      </c>
      <c r="J1390">
        <v>11451150.333333332</v>
      </c>
      <c r="K1390">
        <v>60227</v>
      </c>
      <c r="L1390">
        <v>2</v>
      </c>
      <c r="M1390">
        <v>165</v>
      </c>
      <c r="N1390">
        <v>0.91491841491841497</v>
      </c>
      <c r="O1390">
        <v>11475268.916666666</v>
      </c>
      <c r="P1390">
        <v>60924</v>
      </c>
      <c r="Q1390">
        <v>2</v>
      </c>
      <c r="R1390">
        <v>166</v>
      </c>
      <c r="S1390" t="s">
        <v>1068</v>
      </c>
      <c r="W1390">
        <f>Cancer_doubles_final2[[#This Row],[mlp_params]]</f>
        <v>60227</v>
      </c>
      <c r="X1390">
        <f>Cancer_doubles_final2[[#This Row],[kan_test_acc]]</f>
        <v>0.95367132375637698</v>
      </c>
      <c r="Y1390">
        <f>Cancer_doubles_final2[[#This Row],[mlp_test_acc]]</f>
        <v>0.92132867132867124</v>
      </c>
      <c r="Z1390">
        <f>Cancer_doubles_final2[[#This Row],[mlp_test_acc2]]</f>
        <v>0.91491841491841497</v>
      </c>
    </row>
    <row r="1391" spans="1:26" hidden="1" x14ac:dyDescent="0.25">
      <c r="A1391" t="s">
        <v>19</v>
      </c>
      <c r="B1391">
        <v>9</v>
      </c>
      <c r="C1391">
        <v>4</v>
      </c>
      <c r="D1391">
        <v>0</v>
      </c>
      <c r="E1391" t="s">
        <v>252</v>
      </c>
      <c r="F1391">
        <v>37128</v>
      </c>
      <c r="G1391">
        <v>40800200.958333328</v>
      </c>
      <c r="H1391">
        <v>0.94522144148747134</v>
      </c>
      <c r="I1391">
        <v>0.92540792540792549</v>
      </c>
      <c r="J1391">
        <v>9812107</v>
      </c>
      <c r="K1391">
        <v>57479</v>
      </c>
      <c r="L1391">
        <v>2</v>
      </c>
      <c r="M1391">
        <v>161</v>
      </c>
      <c r="N1391">
        <v>0.92365967365967372</v>
      </c>
      <c r="O1391">
        <v>10402002.958333332</v>
      </c>
      <c r="P1391">
        <v>58160</v>
      </c>
      <c r="Q1391">
        <v>2</v>
      </c>
      <c r="R1391">
        <v>162</v>
      </c>
      <c r="S1391" t="s">
        <v>1069</v>
      </c>
      <c r="W1391">
        <f>Cancer_doubles_final2[[#This Row],[mlp_params]]</f>
        <v>57479</v>
      </c>
      <c r="X1391">
        <f>Cancer_doubles_final2[[#This Row],[kan_test_acc]]</f>
        <v>0.94522144148747134</v>
      </c>
      <c r="Y1391">
        <f>Cancer_doubles_final2[[#This Row],[mlp_test_acc]]</f>
        <v>0.92540792540792549</v>
      </c>
      <c r="Z1391">
        <f>Cancer_doubles_final2[[#This Row],[mlp_test_acc2]]</f>
        <v>0.92365967365967372</v>
      </c>
    </row>
    <row r="1392" spans="1:26" hidden="1" x14ac:dyDescent="0.25">
      <c r="A1392" t="s">
        <v>19</v>
      </c>
      <c r="B1392">
        <v>9</v>
      </c>
      <c r="C1392">
        <v>5</v>
      </c>
      <c r="D1392">
        <v>0</v>
      </c>
      <c r="E1392" t="s">
        <v>217</v>
      </c>
      <c r="F1392">
        <v>37132</v>
      </c>
      <c r="G1392">
        <v>34126091.708333336</v>
      </c>
      <c r="H1392">
        <v>0.89219114184379578</v>
      </c>
      <c r="I1392">
        <v>0.95571095571095577</v>
      </c>
      <c r="J1392">
        <v>10679254.291666668</v>
      </c>
      <c r="K1392">
        <v>60924</v>
      </c>
      <c r="L1392">
        <v>2</v>
      </c>
      <c r="M1392">
        <v>166</v>
      </c>
      <c r="N1392">
        <v>0.95512820512820518</v>
      </c>
      <c r="O1392">
        <v>11124060.708333332</v>
      </c>
      <c r="P1392">
        <v>61625</v>
      </c>
      <c r="Q1392">
        <v>2</v>
      </c>
      <c r="R1392">
        <v>167</v>
      </c>
      <c r="S1392" t="s">
        <v>1070</v>
      </c>
      <c r="W1392">
        <f>Cancer_doubles_final2[[#This Row],[mlp_params]]</f>
        <v>60924</v>
      </c>
      <c r="X1392">
        <f>Cancer_doubles_final2[[#This Row],[kan_test_acc]]</f>
        <v>0.89219114184379578</v>
      </c>
      <c r="Y1392">
        <f>Cancer_doubles_final2[[#This Row],[mlp_test_acc]]</f>
        <v>0.95571095571095577</v>
      </c>
      <c r="Z1392">
        <f>Cancer_doubles_final2[[#This Row],[mlp_test_acc2]]</f>
        <v>0.95512820512820518</v>
      </c>
    </row>
    <row r="1393" spans="1:26" hidden="1" x14ac:dyDescent="0.25">
      <c r="A1393" t="s">
        <v>19</v>
      </c>
      <c r="B1393">
        <v>9</v>
      </c>
      <c r="C1393">
        <v>4</v>
      </c>
      <c r="D1393">
        <v>0</v>
      </c>
      <c r="E1393" t="s">
        <v>256</v>
      </c>
      <c r="F1393">
        <v>37194</v>
      </c>
      <c r="G1393">
        <v>33235700.5</v>
      </c>
      <c r="H1393">
        <v>0.89044289290904999</v>
      </c>
      <c r="I1393">
        <v>0.95600233100233101</v>
      </c>
      <c r="J1393">
        <v>10989824.833333334</v>
      </c>
      <c r="K1393">
        <v>57479</v>
      </c>
      <c r="L1393">
        <v>2</v>
      </c>
      <c r="M1393">
        <v>161</v>
      </c>
      <c r="N1393">
        <v>0.95425407925407923</v>
      </c>
      <c r="O1393">
        <v>10860912.75</v>
      </c>
      <c r="P1393">
        <v>58160</v>
      </c>
      <c r="Q1393">
        <v>2</v>
      </c>
      <c r="R1393">
        <v>162</v>
      </c>
      <c r="S1393" t="s">
        <v>1071</v>
      </c>
      <c r="W1393">
        <f>Cancer_doubles_final2[[#This Row],[mlp_params]]</f>
        <v>57479</v>
      </c>
      <c r="X1393">
        <f>Cancer_doubles_final2[[#This Row],[kan_test_acc]]</f>
        <v>0.89044289290904999</v>
      </c>
      <c r="Y1393">
        <f>Cancer_doubles_final2[[#This Row],[mlp_test_acc]]</f>
        <v>0.95600233100233101</v>
      </c>
      <c r="Z1393">
        <f>Cancer_doubles_final2[[#This Row],[mlp_test_acc2]]</f>
        <v>0.95425407925407923</v>
      </c>
    </row>
    <row r="1394" spans="1:26" hidden="1" x14ac:dyDescent="0.25">
      <c r="A1394" t="s">
        <v>19</v>
      </c>
      <c r="B1394">
        <v>9</v>
      </c>
      <c r="C1394">
        <v>5</v>
      </c>
      <c r="D1394">
        <v>0</v>
      </c>
      <c r="E1394" t="s">
        <v>220</v>
      </c>
      <c r="F1394">
        <v>37198</v>
      </c>
      <c r="G1394">
        <v>39055976.083333336</v>
      </c>
      <c r="H1394">
        <v>0.90005827198425925</v>
      </c>
      <c r="I1394">
        <v>0.95483682983682983</v>
      </c>
      <c r="J1394">
        <v>10780260.083333334</v>
      </c>
      <c r="K1394">
        <v>60924</v>
      </c>
      <c r="L1394">
        <v>2</v>
      </c>
      <c r="M1394">
        <v>166</v>
      </c>
      <c r="N1394">
        <v>0.95192307692307687</v>
      </c>
      <c r="O1394">
        <v>10588655.75</v>
      </c>
      <c r="P1394">
        <v>61625</v>
      </c>
      <c r="Q1394">
        <v>2</v>
      </c>
      <c r="R1394">
        <v>167</v>
      </c>
      <c r="S1394" t="s">
        <v>1072</v>
      </c>
      <c r="W1394">
        <f>Cancer_doubles_final2[[#This Row],[mlp_params]]</f>
        <v>60924</v>
      </c>
      <c r="X1394">
        <f>Cancer_doubles_final2[[#This Row],[kan_test_acc]]</f>
        <v>0.90005827198425925</v>
      </c>
      <c r="Y1394">
        <f>Cancer_doubles_final2[[#This Row],[mlp_test_acc]]</f>
        <v>0.95483682983682983</v>
      </c>
      <c r="Z1394">
        <f>Cancer_doubles_final2[[#This Row],[mlp_test_acc2]]</f>
        <v>0.95192307692307687</v>
      </c>
    </row>
    <row r="1395" spans="1:26" hidden="1" x14ac:dyDescent="0.25">
      <c r="A1395" t="s">
        <v>19</v>
      </c>
      <c r="B1395">
        <v>5</v>
      </c>
      <c r="C1395">
        <v>3</v>
      </c>
      <c r="D1395">
        <v>0</v>
      </c>
      <c r="E1395" t="s">
        <v>669</v>
      </c>
      <c r="F1395">
        <v>37276</v>
      </c>
      <c r="G1395">
        <v>45310655.375</v>
      </c>
      <c r="H1395">
        <v>0.92773892730474472</v>
      </c>
      <c r="I1395">
        <v>0.94784382284382285</v>
      </c>
      <c r="J1395">
        <v>11000093.666666668</v>
      </c>
      <c r="K1395">
        <v>60924</v>
      </c>
      <c r="L1395">
        <v>2</v>
      </c>
      <c r="M1395">
        <v>166</v>
      </c>
      <c r="N1395">
        <v>0.95192307692307687</v>
      </c>
      <c r="O1395">
        <v>11162024.25</v>
      </c>
      <c r="P1395">
        <v>61625</v>
      </c>
      <c r="Q1395">
        <v>2</v>
      </c>
      <c r="R1395">
        <v>167</v>
      </c>
      <c r="S1395" t="s">
        <v>1073</v>
      </c>
      <c r="W1395">
        <f>Cancer_doubles_final2[[#This Row],[mlp_params]]</f>
        <v>60924</v>
      </c>
      <c r="X1395">
        <f>Cancer_doubles_final2[[#This Row],[kan_test_acc]]</f>
        <v>0.92773892730474472</v>
      </c>
      <c r="Y1395">
        <f>Cancer_doubles_final2[[#This Row],[mlp_test_acc]]</f>
        <v>0.94784382284382285</v>
      </c>
      <c r="Z1395">
        <f>Cancer_doubles_final2[[#This Row],[mlp_test_acc2]]</f>
        <v>0.95192307692307687</v>
      </c>
    </row>
    <row r="1396" spans="1:26" x14ac:dyDescent="0.25">
      <c r="A1396" t="s">
        <v>19</v>
      </c>
      <c r="B1396">
        <v>3</v>
      </c>
      <c r="C1396">
        <v>5</v>
      </c>
      <c r="D1396">
        <v>0</v>
      </c>
      <c r="E1396" t="s">
        <v>669</v>
      </c>
      <c r="F1396">
        <v>37276</v>
      </c>
      <c r="G1396">
        <v>47978689.083333336</v>
      </c>
      <c r="H1396">
        <v>0.98251748333374667</v>
      </c>
      <c r="I1396">
        <v>0.9391025641025641</v>
      </c>
      <c r="J1396">
        <v>11501679.375</v>
      </c>
      <c r="K1396">
        <v>74154</v>
      </c>
      <c r="L1396">
        <v>2</v>
      </c>
      <c r="M1396">
        <v>184</v>
      </c>
      <c r="N1396">
        <v>0.94667832167832167</v>
      </c>
      <c r="O1396">
        <v>11981894.291666666</v>
      </c>
      <c r="P1396">
        <v>74927</v>
      </c>
      <c r="Q1396">
        <v>2</v>
      </c>
      <c r="R1396">
        <v>185</v>
      </c>
      <c r="S1396" t="s">
        <v>1074</v>
      </c>
      <c r="W1396">
        <f>Cancer_doubles_final2[[#This Row],[mlp_params]]</f>
        <v>74154</v>
      </c>
      <c r="X1396">
        <f>Cancer_doubles_final2[[#This Row],[kan_test_acc]]</f>
        <v>0.98251748333374667</v>
      </c>
      <c r="Y1396">
        <f>Cancer_doubles_final2[[#This Row],[mlp_test_acc]]</f>
        <v>0.9391025641025641</v>
      </c>
      <c r="Z1396">
        <f>Cancer_doubles_final2[[#This Row],[mlp_test_acc2]]</f>
        <v>0.94667832167832167</v>
      </c>
    </row>
    <row r="1397" spans="1:26" hidden="1" x14ac:dyDescent="0.25">
      <c r="A1397" t="s">
        <v>19</v>
      </c>
      <c r="B1397">
        <v>5</v>
      </c>
      <c r="C1397">
        <v>3</v>
      </c>
      <c r="D1397">
        <v>0</v>
      </c>
      <c r="E1397" t="s">
        <v>669</v>
      </c>
      <c r="F1397">
        <v>37276</v>
      </c>
      <c r="G1397">
        <v>49554579.833333336</v>
      </c>
      <c r="H1397">
        <v>0.97377621879180276</v>
      </c>
      <c r="I1397">
        <v>0.93677156177156173</v>
      </c>
      <c r="J1397">
        <v>10255400.541666668</v>
      </c>
      <c r="K1397">
        <v>60924</v>
      </c>
      <c r="L1397">
        <v>2</v>
      </c>
      <c r="M1397">
        <v>166</v>
      </c>
      <c r="N1397">
        <v>0.9391025641025641</v>
      </c>
      <c r="O1397">
        <v>11475834.708333332</v>
      </c>
      <c r="P1397">
        <v>61625</v>
      </c>
      <c r="Q1397">
        <v>2</v>
      </c>
      <c r="R1397">
        <v>167</v>
      </c>
      <c r="S1397" t="s">
        <v>1073</v>
      </c>
      <c r="W1397">
        <f>Cancer_doubles_final2[[#This Row],[mlp_params]]</f>
        <v>60924</v>
      </c>
      <c r="X1397">
        <f>Cancer_doubles_final2[[#This Row],[kan_test_acc]]</f>
        <v>0.97377621879180276</v>
      </c>
      <c r="Y1397">
        <f>Cancer_doubles_final2[[#This Row],[mlp_test_acc]]</f>
        <v>0.93677156177156173</v>
      </c>
      <c r="Z1397">
        <f>Cancer_doubles_final2[[#This Row],[mlp_test_acc2]]</f>
        <v>0.9391025641025641</v>
      </c>
    </row>
    <row r="1398" spans="1:26" x14ac:dyDescent="0.25">
      <c r="A1398" t="s">
        <v>19</v>
      </c>
      <c r="B1398">
        <v>3</v>
      </c>
      <c r="C1398">
        <v>5</v>
      </c>
      <c r="D1398">
        <v>0</v>
      </c>
      <c r="E1398" t="s">
        <v>669</v>
      </c>
      <c r="F1398">
        <v>37276</v>
      </c>
      <c r="G1398">
        <v>55082332.958333328</v>
      </c>
      <c r="H1398">
        <v>0.96416083971659339</v>
      </c>
      <c r="I1398">
        <v>0.94172494172494181</v>
      </c>
      <c r="J1398">
        <v>11022299.833333332</v>
      </c>
      <c r="K1398">
        <v>74154</v>
      </c>
      <c r="L1398">
        <v>2</v>
      </c>
      <c r="M1398">
        <v>184</v>
      </c>
      <c r="N1398">
        <v>0.93822843822843827</v>
      </c>
      <c r="O1398">
        <v>12795848.041666668</v>
      </c>
      <c r="P1398">
        <v>74927</v>
      </c>
      <c r="Q1398">
        <v>2</v>
      </c>
      <c r="R1398">
        <v>185</v>
      </c>
      <c r="S1398" t="s">
        <v>1074</v>
      </c>
      <c r="W1398">
        <f>Cancer_doubles_final2[[#This Row],[mlp_params]]</f>
        <v>74154</v>
      </c>
      <c r="X1398">
        <f>Cancer_doubles_final2[[#This Row],[kan_test_acc]]</f>
        <v>0.96416083971659339</v>
      </c>
      <c r="Y1398">
        <f>Cancer_doubles_final2[[#This Row],[mlp_test_acc]]</f>
        <v>0.94172494172494181</v>
      </c>
      <c r="Z1398">
        <f>Cancer_doubles_final2[[#This Row],[mlp_test_acc2]]</f>
        <v>0.93822843822843827</v>
      </c>
    </row>
    <row r="1399" spans="1:26" hidden="1" x14ac:dyDescent="0.25">
      <c r="A1399" t="s">
        <v>19</v>
      </c>
      <c r="B1399">
        <v>5</v>
      </c>
      <c r="C1399">
        <v>3</v>
      </c>
      <c r="D1399">
        <v>0</v>
      </c>
      <c r="E1399" t="s">
        <v>669</v>
      </c>
      <c r="F1399">
        <v>37276</v>
      </c>
      <c r="G1399">
        <v>55190000.208333328</v>
      </c>
      <c r="H1399">
        <v>0.95454545815785719</v>
      </c>
      <c r="I1399">
        <v>0.92103729603729612</v>
      </c>
      <c r="J1399">
        <v>11597316.791666666</v>
      </c>
      <c r="K1399">
        <v>60924</v>
      </c>
      <c r="L1399">
        <v>2</v>
      </c>
      <c r="M1399">
        <v>166</v>
      </c>
      <c r="N1399">
        <v>0.91754079254079246</v>
      </c>
      <c r="O1399">
        <v>12327212.125</v>
      </c>
      <c r="P1399">
        <v>61625</v>
      </c>
      <c r="Q1399">
        <v>2</v>
      </c>
      <c r="R1399">
        <v>167</v>
      </c>
      <c r="S1399" t="s">
        <v>1073</v>
      </c>
      <c r="W1399">
        <f>Cancer_doubles_final2[[#This Row],[mlp_params]]</f>
        <v>60924</v>
      </c>
      <c r="X1399">
        <f>Cancer_doubles_final2[[#This Row],[kan_test_acc]]</f>
        <v>0.95454545815785719</v>
      </c>
      <c r="Y1399">
        <f>Cancer_doubles_final2[[#This Row],[mlp_test_acc]]</f>
        <v>0.92103729603729612</v>
      </c>
      <c r="Z1399">
        <f>Cancer_doubles_final2[[#This Row],[mlp_test_acc2]]</f>
        <v>0.91754079254079246</v>
      </c>
    </row>
    <row r="1400" spans="1:26" hidden="1" x14ac:dyDescent="0.25">
      <c r="A1400" t="s">
        <v>19</v>
      </c>
      <c r="B1400">
        <v>9</v>
      </c>
      <c r="C1400">
        <v>2</v>
      </c>
      <c r="D1400">
        <v>0</v>
      </c>
      <c r="E1400" t="s">
        <v>365</v>
      </c>
      <c r="F1400">
        <v>37318</v>
      </c>
      <c r="G1400">
        <v>37383751.875</v>
      </c>
      <c r="H1400">
        <v>0.94201631347338355</v>
      </c>
      <c r="I1400">
        <v>0.90617715617715611</v>
      </c>
      <c r="J1400">
        <v>9083040.8333333321</v>
      </c>
      <c r="K1400">
        <v>50252</v>
      </c>
      <c r="L1400">
        <v>2</v>
      </c>
      <c r="M1400">
        <v>150</v>
      </c>
      <c r="N1400">
        <v>0.90734265734265729</v>
      </c>
      <c r="O1400">
        <v>9822835.2916666679</v>
      </c>
      <c r="P1400">
        <v>50889</v>
      </c>
      <c r="Q1400">
        <v>2</v>
      </c>
      <c r="R1400">
        <v>151</v>
      </c>
      <c r="S1400" t="s">
        <v>1075</v>
      </c>
      <c r="W1400">
        <f>Cancer_doubles_final2[[#This Row],[mlp_params]]</f>
        <v>50252</v>
      </c>
      <c r="X1400">
        <f>Cancer_doubles_final2[[#This Row],[kan_test_acc]]</f>
        <v>0.94201631347338355</v>
      </c>
      <c r="Y1400">
        <f>Cancer_doubles_final2[[#This Row],[mlp_test_acc]]</f>
        <v>0.90617715617715611</v>
      </c>
      <c r="Z1400">
        <f>Cancer_doubles_final2[[#This Row],[mlp_test_acc2]]</f>
        <v>0.90734265734265729</v>
      </c>
    </row>
    <row r="1401" spans="1:26" hidden="1" x14ac:dyDescent="0.25">
      <c r="A1401" t="s">
        <v>19</v>
      </c>
      <c r="B1401">
        <v>5</v>
      </c>
      <c r="C1401">
        <v>5</v>
      </c>
      <c r="D1401">
        <v>0</v>
      </c>
      <c r="E1401" t="s">
        <v>445</v>
      </c>
      <c r="F1401">
        <v>37322</v>
      </c>
      <c r="G1401">
        <v>33993056.444444448</v>
      </c>
      <c r="H1401">
        <v>0.91958042482535041</v>
      </c>
      <c r="I1401">
        <v>0.91958041958041958</v>
      </c>
      <c r="J1401">
        <v>8335911.111111111</v>
      </c>
      <c r="K1401">
        <v>68114</v>
      </c>
      <c r="L1401">
        <v>2</v>
      </c>
      <c r="M1401">
        <v>176</v>
      </c>
      <c r="N1401">
        <v>0.91899766899766899</v>
      </c>
      <c r="O1401">
        <v>10383676.083333334</v>
      </c>
      <c r="P1401">
        <v>68855</v>
      </c>
      <c r="Q1401">
        <v>2</v>
      </c>
      <c r="R1401">
        <v>177</v>
      </c>
      <c r="S1401" t="s">
        <v>1076</v>
      </c>
      <c r="W1401">
        <f>Cancer_doubles_final2[[#This Row],[mlp_params]]</f>
        <v>68114</v>
      </c>
      <c r="X1401">
        <f>Cancer_doubles_final2[[#This Row],[kan_test_acc]]</f>
        <v>0.91958042482535041</v>
      </c>
      <c r="Y1401">
        <f>Cancer_doubles_final2[[#This Row],[mlp_test_acc]]</f>
        <v>0.91958041958041958</v>
      </c>
      <c r="Z1401">
        <f>Cancer_doubles_final2[[#This Row],[mlp_test_acc2]]</f>
        <v>0.91899766899766899</v>
      </c>
    </row>
    <row r="1402" spans="1:26" hidden="1" x14ac:dyDescent="0.25">
      <c r="A1402" t="s">
        <v>19</v>
      </c>
      <c r="B1402">
        <v>9</v>
      </c>
      <c r="C1402">
        <v>2</v>
      </c>
      <c r="D1402">
        <v>0</v>
      </c>
      <c r="E1402" t="s">
        <v>367</v>
      </c>
      <c r="F1402">
        <v>37324</v>
      </c>
      <c r="G1402">
        <v>41468630.166666672</v>
      </c>
      <c r="H1402">
        <v>0.92599067423078751</v>
      </c>
      <c r="I1402">
        <v>0.9306526806526807</v>
      </c>
      <c r="J1402">
        <v>8981804.6111111119</v>
      </c>
      <c r="K1402">
        <v>50252</v>
      </c>
      <c r="L1402">
        <v>2</v>
      </c>
      <c r="M1402">
        <v>150</v>
      </c>
      <c r="N1402">
        <v>0.93473193473193472</v>
      </c>
      <c r="O1402">
        <v>10479367.861111112</v>
      </c>
      <c r="P1402">
        <v>50889</v>
      </c>
      <c r="Q1402">
        <v>2</v>
      </c>
      <c r="R1402">
        <v>151</v>
      </c>
      <c r="S1402" t="s">
        <v>1077</v>
      </c>
      <c r="W1402">
        <f>Cancer_doubles_final2[[#This Row],[mlp_params]]</f>
        <v>50252</v>
      </c>
      <c r="X1402">
        <f>Cancer_doubles_final2[[#This Row],[kan_test_acc]]</f>
        <v>0.92599067423078751</v>
      </c>
      <c r="Y1402">
        <f>Cancer_doubles_final2[[#This Row],[mlp_test_acc]]</f>
        <v>0.9306526806526807</v>
      </c>
      <c r="Z1402">
        <f>Cancer_doubles_final2[[#This Row],[mlp_test_acc2]]</f>
        <v>0.93473193473193472</v>
      </c>
    </row>
    <row r="1403" spans="1:26" hidden="1" x14ac:dyDescent="0.25">
      <c r="A1403" t="s">
        <v>19</v>
      </c>
      <c r="B1403">
        <v>5</v>
      </c>
      <c r="C1403">
        <v>4</v>
      </c>
      <c r="D1403">
        <v>0</v>
      </c>
      <c r="E1403" t="s">
        <v>550</v>
      </c>
      <c r="F1403">
        <v>37390</v>
      </c>
      <c r="G1403">
        <v>31666456.833333336</v>
      </c>
      <c r="H1403">
        <v>0.93337218960126245</v>
      </c>
      <c r="I1403">
        <v>0.91938616938616935</v>
      </c>
      <c r="J1403">
        <v>9440697.333333334</v>
      </c>
      <c r="K1403">
        <v>65190</v>
      </c>
      <c r="L1403">
        <v>2</v>
      </c>
      <c r="M1403">
        <v>172</v>
      </c>
      <c r="N1403">
        <v>0.91958041958041958</v>
      </c>
      <c r="O1403">
        <v>9542738.055555556</v>
      </c>
      <c r="P1403">
        <v>65915</v>
      </c>
      <c r="Q1403">
        <v>2</v>
      </c>
      <c r="R1403">
        <v>173</v>
      </c>
      <c r="S1403" t="s">
        <v>1078</v>
      </c>
      <c r="W1403">
        <f>Cancer_doubles_final2[[#This Row],[mlp_params]]</f>
        <v>65190</v>
      </c>
      <c r="X1403">
        <f>Cancer_doubles_final2[[#This Row],[kan_test_acc]]</f>
        <v>0.93337218960126245</v>
      </c>
      <c r="Y1403">
        <f>Cancer_doubles_final2[[#This Row],[mlp_test_acc]]</f>
        <v>0.91938616938616935</v>
      </c>
      <c r="Z1403">
        <f>Cancer_doubles_final2[[#This Row],[mlp_test_acc2]]</f>
        <v>0.91958041958041958</v>
      </c>
    </row>
    <row r="1404" spans="1:26" hidden="1" x14ac:dyDescent="0.25">
      <c r="A1404" t="s">
        <v>19</v>
      </c>
      <c r="B1404">
        <v>9</v>
      </c>
      <c r="C1404">
        <v>4</v>
      </c>
      <c r="D1404">
        <v>0</v>
      </c>
      <c r="E1404" t="s">
        <v>260</v>
      </c>
      <c r="F1404">
        <v>37510</v>
      </c>
      <c r="G1404">
        <v>46035814.611111112</v>
      </c>
      <c r="H1404">
        <v>0.95046620070934296</v>
      </c>
      <c r="I1404">
        <v>0.94774669774669773</v>
      </c>
      <c r="J1404">
        <v>11449061.333333334</v>
      </c>
      <c r="K1404">
        <v>58160</v>
      </c>
      <c r="L1404">
        <v>2</v>
      </c>
      <c r="M1404">
        <v>162</v>
      </c>
      <c r="N1404">
        <v>0.94269619269619276</v>
      </c>
      <c r="O1404">
        <v>11660690.777777778</v>
      </c>
      <c r="P1404">
        <v>58845</v>
      </c>
      <c r="Q1404">
        <v>2</v>
      </c>
      <c r="R1404">
        <v>163</v>
      </c>
      <c r="S1404" t="s">
        <v>1079</v>
      </c>
      <c r="W1404">
        <f>Cancer_doubles_final2[[#This Row],[mlp_params]]</f>
        <v>58160</v>
      </c>
      <c r="X1404">
        <f>Cancer_doubles_final2[[#This Row],[kan_test_acc]]</f>
        <v>0.95046620070934296</v>
      </c>
      <c r="Y1404">
        <f>Cancer_doubles_final2[[#This Row],[mlp_test_acc]]</f>
        <v>0.94774669774669773</v>
      </c>
      <c r="Z1404">
        <f>Cancer_doubles_final2[[#This Row],[mlp_test_acc2]]</f>
        <v>0.94269619269619276</v>
      </c>
    </row>
    <row r="1405" spans="1:26" hidden="1" x14ac:dyDescent="0.25">
      <c r="A1405" t="s">
        <v>19</v>
      </c>
      <c r="B1405">
        <v>9</v>
      </c>
      <c r="C1405">
        <v>2</v>
      </c>
      <c r="D1405">
        <v>0</v>
      </c>
      <c r="E1405" t="s">
        <v>371</v>
      </c>
      <c r="F1405">
        <v>37544</v>
      </c>
      <c r="G1405">
        <v>43629084.583333328</v>
      </c>
      <c r="H1405">
        <v>0.93298368155956268</v>
      </c>
      <c r="I1405">
        <v>0.93735431235431232</v>
      </c>
      <c r="J1405">
        <v>12258244.375</v>
      </c>
      <c r="K1405">
        <v>50889</v>
      </c>
      <c r="L1405">
        <v>2</v>
      </c>
      <c r="M1405">
        <v>151</v>
      </c>
      <c r="N1405">
        <v>0.93560606060606055</v>
      </c>
      <c r="O1405">
        <v>12781451.291666666</v>
      </c>
      <c r="P1405">
        <v>51530</v>
      </c>
      <c r="Q1405">
        <v>2</v>
      </c>
      <c r="R1405">
        <v>152</v>
      </c>
      <c r="S1405" t="s">
        <v>1080</v>
      </c>
      <c r="W1405">
        <f>Cancer_doubles_final2[[#This Row],[mlp_params]]</f>
        <v>50889</v>
      </c>
      <c r="X1405">
        <f>Cancer_doubles_final2[[#This Row],[kan_test_acc]]</f>
        <v>0.93298368155956268</v>
      </c>
      <c r="Y1405">
        <f>Cancer_doubles_final2[[#This Row],[mlp_test_acc]]</f>
        <v>0.93735431235431232</v>
      </c>
      <c r="Z1405">
        <f>Cancer_doubles_final2[[#This Row],[mlp_test_acc2]]</f>
        <v>0.93560606060606055</v>
      </c>
    </row>
    <row r="1406" spans="1:26" hidden="1" x14ac:dyDescent="0.25">
      <c r="A1406" t="s">
        <v>19</v>
      </c>
      <c r="B1406">
        <v>9</v>
      </c>
      <c r="C1406">
        <v>2</v>
      </c>
      <c r="D1406">
        <v>0</v>
      </c>
      <c r="E1406" t="s">
        <v>373</v>
      </c>
      <c r="F1406">
        <v>37546</v>
      </c>
      <c r="G1406">
        <v>27948535.666666668</v>
      </c>
      <c r="H1406">
        <v>0.92618492411242592</v>
      </c>
      <c r="I1406">
        <v>0.91258741258741249</v>
      </c>
      <c r="J1406">
        <v>9264170.8611111101</v>
      </c>
      <c r="K1406">
        <v>50889</v>
      </c>
      <c r="L1406">
        <v>2</v>
      </c>
      <c r="M1406">
        <v>151</v>
      </c>
      <c r="N1406">
        <v>0.91530691530691521</v>
      </c>
      <c r="O1406">
        <v>9518179.1388888899</v>
      </c>
      <c r="P1406">
        <v>51530</v>
      </c>
      <c r="Q1406">
        <v>2</v>
      </c>
      <c r="R1406">
        <v>152</v>
      </c>
      <c r="S1406" t="s">
        <v>1081</v>
      </c>
      <c r="W1406">
        <f>Cancer_doubles_final2[[#This Row],[mlp_params]]</f>
        <v>50889</v>
      </c>
      <c r="X1406">
        <f>Cancer_doubles_final2[[#This Row],[kan_test_acc]]</f>
        <v>0.92618492411242592</v>
      </c>
      <c r="Y1406">
        <f>Cancer_doubles_final2[[#This Row],[mlp_test_acc]]</f>
        <v>0.91258741258741249</v>
      </c>
      <c r="Z1406">
        <f>Cancer_doubles_final2[[#This Row],[mlp_test_acc2]]</f>
        <v>0.91530691530691521</v>
      </c>
    </row>
    <row r="1407" spans="1:26" hidden="1" x14ac:dyDescent="0.25">
      <c r="A1407" t="s">
        <v>19</v>
      </c>
      <c r="B1407">
        <v>9</v>
      </c>
      <c r="C1407">
        <v>3</v>
      </c>
      <c r="D1407">
        <v>0</v>
      </c>
      <c r="E1407" t="s">
        <v>310</v>
      </c>
      <c r="F1407">
        <v>37574</v>
      </c>
      <c r="G1407">
        <v>32671388.722222224</v>
      </c>
      <c r="H1407">
        <v>0.93414918084939325</v>
      </c>
      <c r="I1407">
        <v>0.93181818181818177</v>
      </c>
      <c r="J1407">
        <v>9331569.3611111101</v>
      </c>
      <c r="K1407">
        <v>54795</v>
      </c>
      <c r="L1407">
        <v>2</v>
      </c>
      <c r="M1407">
        <v>157</v>
      </c>
      <c r="N1407">
        <v>0.93220668220668212</v>
      </c>
      <c r="O1407">
        <v>9524298.055555556</v>
      </c>
      <c r="P1407">
        <v>55460</v>
      </c>
      <c r="Q1407">
        <v>2</v>
      </c>
      <c r="R1407">
        <v>158</v>
      </c>
      <c r="S1407" t="s">
        <v>1082</v>
      </c>
      <c r="W1407">
        <f>Cancer_doubles_final2[[#This Row],[mlp_params]]</f>
        <v>54795</v>
      </c>
      <c r="X1407">
        <f>Cancer_doubles_final2[[#This Row],[kan_test_acc]]</f>
        <v>0.93414918084939325</v>
      </c>
      <c r="Y1407">
        <f>Cancer_doubles_final2[[#This Row],[mlp_test_acc]]</f>
        <v>0.93181818181818177</v>
      </c>
      <c r="Z1407">
        <f>Cancer_doubles_final2[[#This Row],[mlp_test_acc2]]</f>
        <v>0.93220668220668212</v>
      </c>
    </row>
    <row r="1408" spans="1:26" hidden="1" x14ac:dyDescent="0.25">
      <c r="A1408" t="s">
        <v>19</v>
      </c>
      <c r="B1408">
        <v>9</v>
      </c>
      <c r="C1408">
        <v>3</v>
      </c>
      <c r="D1408">
        <v>0</v>
      </c>
      <c r="E1408" t="s">
        <v>312</v>
      </c>
      <c r="F1408">
        <v>37582</v>
      </c>
      <c r="G1408">
        <v>43065211.791666664</v>
      </c>
      <c r="H1408">
        <v>0.94667832056681311</v>
      </c>
      <c r="I1408">
        <v>0.97086247086247091</v>
      </c>
      <c r="J1408">
        <v>8976510.875</v>
      </c>
      <c r="K1408">
        <v>54795</v>
      </c>
      <c r="L1408">
        <v>2</v>
      </c>
      <c r="M1408">
        <v>157</v>
      </c>
      <c r="N1408">
        <v>0.96649184149184153</v>
      </c>
      <c r="O1408">
        <v>10122981.375</v>
      </c>
      <c r="P1408">
        <v>55460</v>
      </c>
      <c r="Q1408">
        <v>2</v>
      </c>
      <c r="R1408">
        <v>158</v>
      </c>
      <c r="S1408" t="s">
        <v>1083</v>
      </c>
      <c r="W1408">
        <f>Cancer_doubles_final2[[#This Row],[mlp_params]]</f>
        <v>54795</v>
      </c>
      <c r="X1408">
        <f>Cancer_doubles_final2[[#This Row],[kan_test_acc]]</f>
        <v>0.94667832056681311</v>
      </c>
      <c r="Y1408">
        <f>Cancer_doubles_final2[[#This Row],[mlp_test_acc]]</f>
        <v>0.97086247086247091</v>
      </c>
      <c r="Z1408">
        <f>Cancer_doubles_final2[[#This Row],[mlp_test_acc2]]</f>
        <v>0.96649184149184153</v>
      </c>
    </row>
    <row r="1409" spans="1:26" hidden="1" x14ac:dyDescent="0.25">
      <c r="A1409" t="s">
        <v>19</v>
      </c>
      <c r="B1409">
        <v>5</v>
      </c>
      <c r="C1409">
        <v>4</v>
      </c>
      <c r="D1409">
        <v>0</v>
      </c>
      <c r="E1409" t="s">
        <v>561</v>
      </c>
      <c r="F1409">
        <v>37676</v>
      </c>
      <c r="G1409">
        <v>40374977.888888888</v>
      </c>
      <c r="H1409">
        <v>0.92987567683060957</v>
      </c>
      <c r="I1409">
        <v>0.93764568764568756</v>
      </c>
      <c r="J1409">
        <v>9113784.3611111119</v>
      </c>
      <c r="K1409">
        <v>65190</v>
      </c>
      <c r="L1409">
        <v>2</v>
      </c>
      <c r="M1409">
        <v>172</v>
      </c>
      <c r="N1409">
        <v>0.93492618492618484</v>
      </c>
      <c r="O1409">
        <v>9896473.8333333321</v>
      </c>
      <c r="P1409">
        <v>65915</v>
      </c>
      <c r="Q1409">
        <v>2</v>
      </c>
      <c r="R1409">
        <v>173</v>
      </c>
      <c r="S1409" t="s">
        <v>1084</v>
      </c>
      <c r="W1409">
        <f>Cancer_doubles_final2[[#This Row],[mlp_params]]</f>
        <v>65190</v>
      </c>
      <c r="X1409">
        <f>Cancer_doubles_final2[[#This Row],[kan_test_acc]]</f>
        <v>0.92987567683060957</v>
      </c>
      <c r="Y1409">
        <f>Cancer_doubles_final2[[#This Row],[mlp_test_acc]]</f>
        <v>0.93764568764568756</v>
      </c>
      <c r="Z1409">
        <f>Cancer_doubles_final2[[#This Row],[mlp_test_acc2]]</f>
        <v>0.93492618492618484</v>
      </c>
    </row>
    <row r="1410" spans="1:26" hidden="1" x14ac:dyDescent="0.25">
      <c r="A1410" t="s">
        <v>19</v>
      </c>
      <c r="B1410">
        <v>5</v>
      </c>
      <c r="C1410">
        <v>5</v>
      </c>
      <c r="D1410">
        <v>0</v>
      </c>
      <c r="E1410" t="s">
        <v>457</v>
      </c>
      <c r="F1410">
        <v>37684</v>
      </c>
      <c r="G1410">
        <v>43969319.333333328</v>
      </c>
      <c r="H1410">
        <v>0.93628593285878503</v>
      </c>
      <c r="I1410">
        <v>0.9339549339549339</v>
      </c>
      <c r="J1410">
        <v>9693883.777777778</v>
      </c>
      <c r="K1410">
        <v>68855</v>
      </c>
      <c r="L1410">
        <v>2</v>
      </c>
      <c r="M1410">
        <v>177</v>
      </c>
      <c r="N1410">
        <v>0.93162393162393153</v>
      </c>
      <c r="O1410">
        <v>9301168.8888888881</v>
      </c>
      <c r="P1410">
        <v>69600</v>
      </c>
      <c r="Q1410">
        <v>2</v>
      </c>
      <c r="R1410">
        <v>178</v>
      </c>
      <c r="S1410" t="s">
        <v>1085</v>
      </c>
      <c r="W1410">
        <f>Cancer_doubles_final2[[#This Row],[mlp_params]]</f>
        <v>68855</v>
      </c>
      <c r="X1410">
        <f>Cancer_doubles_final2[[#This Row],[kan_test_acc]]</f>
        <v>0.93628593285878503</v>
      </c>
      <c r="Y1410">
        <f>Cancer_doubles_final2[[#This Row],[mlp_test_acc]]</f>
        <v>0.9339549339549339</v>
      </c>
      <c r="Z1410">
        <f>Cancer_doubles_final2[[#This Row],[mlp_test_acc2]]</f>
        <v>0.93162393162393153</v>
      </c>
    </row>
    <row r="1411" spans="1:26" hidden="1" x14ac:dyDescent="0.25">
      <c r="A1411" t="s">
        <v>19</v>
      </c>
      <c r="B1411">
        <v>5</v>
      </c>
      <c r="C1411">
        <v>4</v>
      </c>
      <c r="D1411">
        <v>0</v>
      </c>
      <c r="E1411" t="s">
        <v>563</v>
      </c>
      <c r="F1411">
        <v>37770</v>
      </c>
      <c r="G1411">
        <v>44907708.94444444</v>
      </c>
      <c r="H1411">
        <v>0.92152291370762718</v>
      </c>
      <c r="I1411">
        <v>0.9339549339549339</v>
      </c>
      <c r="J1411">
        <v>9456045.8888888881</v>
      </c>
      <c r="K1411">
        <v>65915</v>
      </c>
      <c r="L1411">
        <v>2</v>
      </c>
      <c r="M1411">
        <v>173</v>
      </c>
      <c r="N1411">
        <v>0.93278943278943272</v>
      </c>
      <c r="O1411">
        <v>9689688.0277777761</v>
      </c>
      <c r="P1411">
        <v>66644</v>
      </c>
      <c r="Q1411">
        <v>2</v>
      </c>
      <c r="R1411">
        <v>174</v>
      </c>
      <c r="S1411" t="s">
        <v>1086</v>
      </c>
      <c r="W1411">
        <f>Cancer_doubles_final2[[#This Row],[mlp_params]]</f>
        <v>65915</v>
      </c>
      <c r="X1411">
        <f>Cancer_doubles_final2[[#This Row],[kan_test_acc]]</f>
        <v>0.92152291370762718</v>
      </c>
      <c r="Y1411">
        <f>Cancer_doubles_final2[[#This Row],[mlp_test_acc]]</f>
        <v>0.9339549339549339</v>
      </c>
      <c r="Z1411">
        <f>Cancer_doubles_final2[[#This Row],[mlp_test_acc2]]</f>
        <v>0.93278943278943272</v>
      </c>
    </row>
    <row r="1412" spans="1:26" hidden="1" x14ac:dyDescent="0.25">
      <c r="A1412" t="s">
        <v>19</v>
      </c>
      <c r="B1412">
        <v>9</v>
      </c>
      <c r="C1412">
        <v>2</v>
      </c>
      <c r="D1412">
        <v>0</v>
      </c>
      <c r="E1412" t="s">
        <v>380</v>
      </c>
      <c r="F1412">
        <v>37776</v>
      </c>
      <c r="G1412">
        <v>38296854.75</v>
      </c>
      <c r="H1412">
        <v>0.92618492411242592</v>
      </c>
      <c r="I1412">
        <v>0.93356643356643354</v>
      </c>
      <c r="J1412">
        <v>9096121.8888888881</v>
      </c>
      <c r="K1412">
        <v>50889</v>
      </c>
      <c r="L1412">
        <v>2</v>
      </c>
      <c r="M1412">
        <v>151</v>
      </c>
      <c r="N1412">
        <v>0.9339549339549339</v>
      </c>
      <c r="O1412">
        <v>9069512.222222222</v>
      </c>
      <c r="P1412">
        <v>51530</v>
      </c>
      <c r="Q1412">
        <v>2</v>
      </c>
      <c r="R1412">
        <v>152</v>
      </c>
      <c r="S1412" t="s">
        <v>1087</v>
      </c>
      <c r="W1412">
        <f>Cancer_doubles_final2[[#This Row],[mlp_params]]</f>
        <v>50889</v>
      </c>
      <c r="X1412">
        <f>Cancer_doubles_final2[[#This Row],[kan_test_acc]]</f>
        <v>0.92618492411242592</v>
      </c>
      <c r="Y1412">
        <f>Cancer_doubles_final2[[#This Row],[mlp_test_acc]]</f>
        <v>0.93356643356643354</v>
      </c>
      <c r="Z1412">
        <f>Cancer_doubles_final2[[#This Row],[mlp_test_acc2]]</f>
        <v>0.9339549339549339</v>
      </c>
    </row>
    <row r="1413" spans="1:26" hidden="1" x14ac:dyDescent="0.25">
      <c r="A1413" t="s">
        <v>19</v>
      </c>
      <c r="B1413">
        <v>5</v>
      </c>
      <c r="C1413">
        <v>5</v>
      </c>
      <c r="D1413">
        <v>0</v>
      </c>
      <c r="E1413" t="s">
        <v>463</v>
      </c>
      <c r="F1413">
        <v>37784</v>
      </c>
      <c r="G1413">
        <v>39551122.44444444</v>
      </c>
      <c r="H1413">
        <v>0.9238539255327648</v>
      </c>
      <c r="I1413">
        <v>0.91375291375291379</v>
      </c>
      <c r="J1413">
        <v>9456756.277777778</v>
      </c>
      <c r="K1413">
        <v>69600</v>
      </c>
      <c r="L1413">
        <v>2</v>
      </c>
      <c r="M1413">
        <v>178</v>
      </c>
      <c r="N1413">
        <v>0.91375291375291368</v>
      </c>
      <c r="O1413">
        <v>9098863.3888888899</v>
      </c>
      <c r="P1413">
        <v>70349</v>
      </c>
      <c r="Q1413">
        <v>2</v>
      </c>
      <c r="R1413">
        <v>179</v>
      </c>
      <c r="S1413" t="s">
        <v>1088</v>
      </c>
      <c r="W1413">
        <f>Cancer_doubles_final2[[#This Row],[mlp_params]]</f>
        <v>69600</v>
      </c>
      <c r="X1413">
        <f>Cancer_doubles_final2[[#This Row],[kan_test_acc]]</f>
        <v>0.9238539255327648</v>
      </c>
      <c r="Y1413">
        <f>Cancer_doubles_final2[[#This Row],[mlp_test_acc]]</f>
        <v>0.91375291375291379</v>
      </c>
      <c r="Z1413">
        <f>Cancer_doubles_final2[[#This Row],[mlp_test_acc2]]</f>
        <v>0.91375291375291368</v>
      </c>
    </row>
    <row r="1414" spans="1:26" hidden="1" x14ac:dyDescent="0.25">
      <c r="A1414" t="s">
        <v>19</v>
      </c>
      <c r="B1414">
        <v>9</v>
      </c>
      <c r="C1414">
        <v>5</v>
      </c>
      <c r="D1414">
        <v>0</v>
      </c>
      <c r="E1414" t="s">
        <v>225</v>
      </c>
      <c r="F1414">
        <v>37808</v>
      </c>
      <c r="G1414">
        <v>53350345.888888888</v>
      </c>
      <c r="H1414">
        <v>0.89005438652303481</v>
      </c>
      <c r="I1414">
        <v>0.91627816627816627</v>
      </c>
      <c r="J1414">
        <v>11447795.305555556</v>
      </c>
      <c r="K1414">
        <v>61625</v>
      </c>
      <c r="L1414">
        <v>2</v>
      </c>
      <c r="M1414">
        <v>167</v>
      </c>
      <c r="N1414">
        <v>0.91161616161616155</v>
      </c>
      <c r="O1414">
        <v>11189725.305555556</v>
      </c>
      <c r="P1414">
        <v>62330</v>
      </c>
      <c r="Q1414">
        <v>2</v>
      </c>
      <c r="R1414">
        <v>168</v>
      </c>
      <c r="S1414" t="s">
        <v>1089</v>
      </c>
      <c r="W1414">
        <f>Cancer_doubles_final2[[#This Row],[mlp_params]]</f>
        <v>61625</v>
      </c>
      <c r="X1414">
        <f>Cancer_doubles_final2[[#This Row],[kan_test_acc]]</f>
        <v>0.89005438652303481</v>
      </c>
      <c r="Y1414">
        <f>Cancer_doubles_final2[[#This Row],[mlp_test_acc]]</f>
        <v>0.91627816627816627</v>
      </c>
      <c r="Z1414">
        <f>Cancer_doubles_final2[[#This Row],[mlp_test_acc2]]</f>
        <v>0.91161616161616155</v>
      </c>
    </row>
    <row r="1415" spans="1:26" hidden="1" x14ac:dyDescent="0.25">
      <c r="A1415" t="s">
        <v>19</v>
      </c>
      <c r="B1415">
        <v>5</v>
      </c>
      <c r="C1415">
        <v>5</v>
      </c>
      <c r="D1415">
        <v>0</v>
      </c>
      <c r="E1415" t="s">
        <v>466</v>
      </c>
      <c r="F1415">
        <v>37838</v>
      </c>
      <c r="G1415">
        <v>52463156.333333328</v>
      </c>
      <c r="H1415">
        <v>0.87995337943236029</v>
      </c>
      <c r="I1415">
        <v>0.9222027972027973</v>
      </c>
      <c r="J1415">
        <v>13066475.958333334</v>
      </c>
      <c r="K1415">
        <v>69600</v>
      </c>
      <c r="L1415">
        <v>2</v>
      </c>
      <c r="M1415">
        <v>178</v>
      </c>
      <c r="N1415">
        <v>0.91812354312354305</v>
      </c>
      <c r="O1415">
        <v>12688361.583333332</v>
      </c>
      <c r="P1415">
        <v>70349</v>
      </c>
      <c r="Q1415">
        <v>2</v>
      </c>
      <c r="R1415">
        <v>179</v>
      </c>
      <c r="S1415" t="s">
        <v>1090</v>
      </c>
      <c r="W1415">
        <f>Cancer_doubles_final2[[#This Row],[mlp_params]]</f>
        <v>69600</v>
      </c>
      <c r="X1415">
        <f>Cancer_doubles_final2[[#This Row],[kan_test_acc]]</f>
        <v>0.87995337943236029</v>
      </c>
      <c r="Y1415">
        <f>Cancer_doubles_final2[[#This Row],[mlp_test_acc]]</f>
        <v>0.9222027972027973</v>
      </c>
      <c r="Z1415">
        <f>Cancer_doubles_final2[[#This Row],[mlp_test_acc2]]</f>
        <v>0.91812354312354305</v>
      </c>
    </row>
    <row r="1416" spans="1:26" hidden="1" x14ac:dyDescent="0.25">
      <c r="A1416" t="s">
        <v>19</v>
      </c>
      <c r="B1416">
        <v>9</v>
      </c>
      <c r="C1416">
        <v>3</v>
      </c>
      <c r="D1416">
        <v>0</v>
      </c>
      <c r="E1416" t="s">
        <v>316</v>
      </c>
      <c r="F1416">
        <v>37936</v>
      </c>
      <c r="G1416">
        <v>45520894.027777776</v>
      </c>
      <c r="H1416">
        <v>0.9168609231710434</v>
      </c>
      <c r="I1416">
        <v>0.932012432012432</v>
      </c>
      <c r="J1416">
        <v>10097065.38888889</v>
      </c>
      <c r="K1416">
        <v>55460</v>
      </c>
      <c r="L1416">
        <v>2</v>
      </c>
      <c r="M1416">
        <v>158</v>
      </c>
      <c r="N1416">
        <v>0.92987567987567987</v>
      </c>
      <c r="O1416">
        <v>9828223.472222222</v>
      </c>
      <c r="P1416">
        <v>56129</v>
      </c>
      <c r="Q1416">
        <v>2</v>
      </c>
      <c r="R1416">
        <v>159</v>
      </c>
      <c r="S1416" t="s">
        <v>1091</v>
      </c>
      <c r="W1416">
        <f>Cancer_doubles_final2[[#This Row],[mlp_params]]</f>
        <v>55460</v>
      </c>
      <c r="X1416">
        <f>Cancer_doubles_final2[[#This Row],[kan_test_acc]]</f>
        <v>0.9168609231710434</v>
      </c>
      <c r="Y1416">
        <f>Cancer_doubles_final2[[#This Row],[mlp_test_acc]]</f>
        <v>0.932012432012432</v>
      </c>
      <c r="Z1416">
        <f>Cancer_doubles_final2[[#This Row],[mlp_test_acc2]]</f>
        <v>0.92987567987567987</v>
      </c>
    </row>
    <row r="1417" spans="1:26" hidden="1" x14ac:dyDescent="0.25">
      <c r="A1417" t="s">
        <v>19</v>
      </c>
      <c r="B1417">
        <v>9</v>
      </c>
      <c r="C1417">
        <v>3</v>
      </c>
      <c r="D1417">
        <v>0</v>
      </c>
      <c r="E1417" t="s">
        <v>319</v>
      </c>
      <c r="F1417">
        <v>37940</v>
      </c>
      <c r="G1417">
        <v>36201415.958333336</v>
      </c>
      <c r="H1417">
        <v>0.94988345354795456</v>
      </c>
      <c r="I1417">
        <v>0.96794871794871795</v>
      </c>
      <c r="J1417">
        <v>9129057.5</v>
      </c>
      <c r="K1417">
        <v>55460</v>
      </c>
      <c r="L1417">
        <v>2</v>
      </c>
      <c r="M1417">
        <v>158</v>
      </c>
      <c r="N1417">
        <v>0.96824009324009319</v>
      </c>
      <c r="O1417">
        <v>9870825.9583333321</v>
      </c>
      <c r="P1417">
        <v>56129</v>
      </c>
      <c r="Q1417">
        <v>2</v>
      </c>
      <c r="R1417">
        <v>159</v>
      </c>
      <c r="S1417" t="s">
        <v>1092</v>
      </c>
      <c r="W1417">
        <f>Cancer_doubles_final2[[#This Row],[mlp_params]]</f>
        <v>55460</v>
      </c>
      <c r="X1417">
        <f>Cancer_doubles_final2[[#This Row],[kan_test_acc]]</f>
        <v>0.94988345354795456</v>
      </c>
      <c r="Y1417">
        <f>Cancer_doubles_final2[[#This Row],[mlp_test_acc]]</f>
        <v>0.96794871794871795</v>
      </c>
      <c r="Z1417">
        <f>Cancer_doubles_final2[[#This Row],[mlp_test_acc2]]</f>
        <v>0.96824009324009319</v>
      </c>
    </row>
    <row r="1418" spans="1:26" hidden="1" x14ac:dyDescent="0.25">
      <c r="A1418" t="s">
        <v>19</v>
      </c>
      <c r="B1418">
        <v>9</v>
      </c>
      <c r="C1418">
        <v>4</v>
      </c>
      <c r="D1418">
        <v>0</v>
      </c>
      <c r="E1418" t="s">
        <v>264</v>
      </c>
      <c r="F1418">
        <v>38024</v>
      </c>
      <c r="G1418">
        <v>39873686.083333336</v>
      </c>
      <c r="H1418">
        <v>0.92628205070892977</v>
      </c>
      <c r="I1418">
        <v>0.96037296037296038</v>
      </c>
      <c r="J1418">
        <v>10311790.333333332</v>
      </c>
      <c r="K1418">
        <v>58845</v>
      </c>
      <c r="L1418">
        <v>2</v>
      </c>
      <c r="M1418">
        <v>163</v>
      </c>
      <c r="N1418">
        <v>0.96008158508158503</v>
      </c>
      <c r="O1418">
        <v>9222986.4583333321</v>
      </c>
      <c r="P1418">
        <v>59534</v>
      </c>
      <c r="Q1418">
        <v>2</v>
      </c>
      <c r="R1418">
        <v>164</v>
      </c>
      <c r="S1418" t="s">
        <v>1093</v>
      </c>
      <c r="W1418">
        <f>Cancer_doubles_final2[[#This Row],[mlp_params]]</f>
        <v>58845</v>
      </c>
      <c r="X1418">
        <f>Cancer_doubles_final2[[#This Row],[kan_test_acc]]</f>
        <v>0.92628205070892977</v>
      </c>
      <c r="Y1418">
        <f>Cancer_doubles_final2[[#This Row],[mlp_test_acc]]</f>
        <v>0.96037296037296038</v>
      </c>
      <c r="Z1418">
        <f>Cancer_doubles_final2[[#This Row],[mlp_test_acc2]]</f>
        <v>0.96008158508158503</v>
      </c>
    </row>
    <row r="1419" spans="1:26" hidden="1" x14ac:dyDescent="0.25">
      <c r="A1419" t="s">
        <v>19</v>
      </c>
      <c r="B1419">
        <v>9</v>
      </c>
      <c r="C1419">
        <v>4</v>
      </c>
      <c r="D1419">
        <v>0</v>
      </c>
      <c r="E1419" t="s">
        <v>266</v>
      </c>
      <c r="F1419">
        <v>38030</v>
      </c>
      <c r="G1419">
        <v>40220681.25</v>
      </c>
      <c r="H1419">
        <v>0.90967365851004911</v>
      </c>
      <c r="I1419">
        <v>0.95949883449883444</v>
      </c>
      <c r="J1419">
        <v>10314918.666666666</v>
      </c>
      <c r="K1419">
        <v>58845</v>
      </c>
      <c r="L1419">
        <v>2</v>
      </c>
      <c r="M1419">
        <v>163</v>
      </c>
      <c r="N1419">
        <v>0.96008158508158514</v>
      </c>
      <c r="O1419">
        <v>9556589.7916666679</v>
      </c>
      <c r="P1419">
        <v>59534</v>
      </c>
      <c r="Q1419">
        <v>2</v>
      </c>
      <c r="R1419">
        <v>164</v>
      </c>
      <c r="S1419" t="s">
        <v>1094</v>
      </c>
      <c r="W1419">
        <f>Cancer_doubles_final2[[#This Row],[mlp_params]]</f>
        <v>58845</v>
      </c>
      <c r="X1419">
        <f>Cancer_doubles_final2[[#This Row],[kan_test_acc]]</f>
        <v>0.90967365851004911</v>
      </c>
      <c r="Y1419">
        <f>Cancer_doubles_final2[[#This Row],[mlp_test_acc]]</f>
        <v>0.95949883449883444</v>
      </c>
      <c r="Z1419">
        <f>Cancer_doubles_final2[[#This Row],[mlp_test_acc2]]</f>
        <v>0.96008158508158514</v>
      </c>
    </row>
    <row r="1420" spans="1:26" hidden="1" x14ac:dyDescent="0.25">
      <c r="A1420" t="s">
        <v>19</v>
      </c>
      <c r="B1420">
        <v>9</v>
      </c>
      <c r="C1420">
        <v>3</v>
      </c>
      <c r="D1420">
        <v>0</v>
      </c>
      <c r="E1420" t="s">
        <v>321</v>
      </c>
      <c r="F1420">
        <v>38058</v>
      </c>
      <c r="G1420">
        <v>40395961.833333336</v>
      </c>
      <c r="H1420">
        <v>0.93502331276734663</v>
      </c>
      <c r="I1420">
        <v>0.96678321678321666</v>
      </c>
      <c r="J1420">
        <v>9708976.8333333321</v>
      </c>
      <c r="K1420">
        <v>55460</v>
      </c>
      <c r="L1420">
        <v>2</v>
      </c>
      <c r="M1420">
        <v>158</v>
      </c>
      <c r="N1420">
        <v>0.96911421911421913</v>
      </c>
      <c r="O1420">
        <v>9620197.8333333321</v>
      </c>
      <c r="P1420">
        <v>56129</v>
      </c>
      <c r="Q1420">
        <v>2</v>
      </c>
      <c r="R1420">
        <v>159</v>
      </c>
      <c r="S1420" t="s">
        <v>1095</v>
      </c>
      <c r="W1420">
        <f>Cancer_doubles_final2[[#This Row],[mlp_params]]</f>
        <v>55460</v>
      </c>
      <c r="X1420">
        <f>Cancer_doubles_final2[[#This Row],[kan_test_acc]]</f>
        <v>0.93502331276734663</v>
      </c>
      <c r="Y1420">
        <f>Cancer_doubles_final2[[#This Row],[mlp_test_acc]]</f>
        <v>0.96678321678321666</v>
      </c>
      <c r="Z1420">
        <f>Cancer_doubles_final2[[#This Row],[mlp_test_acc2]]</f>
        <v>0.96911421911421913</v>
      </c>
    </row>
    <row r="1421" spans="1:26" hidden="1" x14ac:dyDescent="0.25">
      <c r="A1421" t="s">
        <v>19</v>
      </c>
      <c r="B1421">
        <v>5</v>
      </c>
      <c r="C1421">
        <v>3</v>
      </c>
      <c r="D1421">
        <v>0</v>
      </c>
      <c r="E1421" t="s">
        <v>697</v>
      </c>
      <c r="F1421">
        <v>38158</v>
      </c>
      <c r="G1421">
        <v>41656707.583333336</v>
      </c>
      <c r="H1421">
        <v>0.97348485141992569</v>
      </c>
      <c r="I1421">
        <v>0.95658508158508149</v>
      </c>
      <c r="J1421">
        <v>11523919.916666666</v>
      </c>
      <c r="K1421">
        <v>62330</v>
      </c>
      <c r="L1421">
        <v>2</v>
      </c>
      <c r="M1421">
        <v>168</v>
      </c>
      <c r="N1421">
        <v>0.95804195804195802</v>
      </c>
      <c r="O1421">
        <v>10565044.375</v>
      </c>
      <c r="P1421">
        <v>63039</v>
      </c>
      <c r="Q1421">
        <v>2</v>
      </c>
      <c r="R1421">
        <v>169</v>
      </c>
      <c r="S1421" t="s">
        <v>1096</v>
      </c>
      <c r="W1421">
        <f>Cancer_doubles_final2[[#This Row],[mlp_params]]</f>
        <v>62330</v>
      </c>
      <c r="X1421">
        <f>Cancer_doubles_final2[[#This Row],[kan_test_acc]]</f>
        <v>0.97348485141992569</v>
      </c>
      <c r="Y1421">
        <f>Cancer_doubles_final2[[#This Row],[mlp_test_acc]]</f>
        <v>0.95658508158508149</v>
      </c>
      <c r="Z1421">
        <f>Cancer_doubles_final2[[#This Row],[mlp_test_acc2]]</f>
        <v>0.95804195804195802</v>
      </c>
    </row>
    <row r="1422" spans="1:26" x14ac:dyDescent="0.25">
      <c r="A1422" t="s">
        <v>19</v>
      </c>
      <c r="B1422">
        <v>3</v>
      </c>
      <c r="C1422">
        <v>5</v>
      </c>
      <c r="D1422">
        <v>0</v>
      </c>
      <c r="E1422" t="s">
        <v>697</v>
      </c>
      <c r="F1422">
        <v>38158</v>
      </c>
      <c r="G1422">
        <v>49449951.75</v>
      </c>
      <c r="H1422">
        <v>0.98397435496250796</v>
      </c>
      <c r="I1422">
        <v>0.94114219114219111</v>
      </c>
      <c r="J1422">
        <v>12123018.458333332</v>
      </c>
      <c r="K1422">
        <v>75704</v>
      </c>
      <c r="L1422">
        <v>2</v>
      </c>
      <c r="M1422">
        <v>186</v>
      </c>
      <c r="N1422">
        <v>0.94318181818181812</v>
      </c>
      <c r="O1422">
        <v>11919061.125</v>
      </c>
      <c r="P1422">
        <v>76485</v>
      </c>
      <c r="Q1422">
        <v>2</v>
      </c>
      <c r="R1422">
        <v>187</v>
      </c>
      <c r="S1422" t="s">
        <v>1097</v>
      </c>
      <c r="W1422">
        <f>Cancer_doubles_final2[[#This Row],[mlp_params]]</f>
        <v>75704</v>
      </c>
      <c r="X1422">
        <f>Cancer_doubles_final2[[#This Row],[kan_test_acc]]</f>
        <v>0.98397435496250796</v>
      </c>
      <c r="Y1422">
        <f>Cancer_doubles_final2[[#This Row],[mlp_test_acc]]</f>
        <v>0.94114219114219111</v>
      </c>
      <c r="Z1422">
        <f>Cancer_doubles_final2[[#This Row],[mlp_test_acc2]]</f>
        <v>0.94318181818181812</v>
      </c>
    </row>
    <row r="1423" spans="1:26" hidden="1" x14ac:dyDescent="0.25">
      <c r="A1423" t="s">
        <v>19</v>
      </c>
      <c r="B1423">
        <v>5</v>
      </c>
      <c r="C1423">
        <v>3</v>
      </c>
      <c r="D1423">
        <v>0</v>
      </c>
      <c r="E1423" t="s">
        <v>697</v>
      </c>
      <c r="F1423">
        <v>38158</v>
      </c>
      <c r="G1423">
        <v>52740747.291666672</v>
      </c>
      <c r="H1423">
        <v>0.97348483900229132</v>
      </c>
      <c r="I1423">
        <v>0.93298368298368306</v>
      </c>
      <c r="J1423">
        <v>10220103.208333334</v>
      </c>
      <c r="K1423">
        <v>62330</v>
      </c>
      <c r="L1423">
        <v>2</v>
      </c>
      <c r="M1423">
        <v>168</v>
      </c>
      <c r="N1423">
        <v>0.93822843822843827</v>
      </c>
      <c r="O1423">
        <v>11989678.5</v>
      </c>
      <c r="P1423">
        <v>63039</v>
      </c>
      <c r="Q1423">
        <v>2</v>
      </c>
      <c r="R1423">
        <v>169</v>
      </c>
      <c r="S1423" t="s">
        <v>1096</v>
      </c>
      <c r="W1423">
        <f>Cancer_doubles_final2[[#This Row],[mlp_params]]</f>
        <v>62330</v>
      </c>
      <c r="X1423">
        <f>Cancer_doubles_final2[[#This Row],[kan_test_acc]]</f>
        <v>0.97348483900229132</v>
      </c>
      <c r="Y1423">
        <f>Cancer_doubles_final2[[#This Row],[mlp_test_acc]]</f>
        <v>0.93298368298368306</v>
      </c>
      <c r="Z1423">
        <f>Cancer_doubles_final2[[#This Row],[mlp_test_acc2]]</f>
        <v>0.93822843822843827</v>
      </c>
    </row>
    <row r="1424" spans="1:26" x14ac:dyDescent="0.25">
      <c r="A1424" t="s">
        <v>19</v>
      </c>
      <c r="B1424">
        <v>3</v>
      </c>
      <c r="C1424">
        <v>5</v>
      </c>
      <c r="D1424">
        <v>0</v>
      </c>
      <c r="E1424" t="s">
        <v>697</v>
      </c>
      <c r="F1424">
        <v>38158</v>
      </c>
      <c r="G1424">
        <v>58900761.25</v>
      </c>
      <c r="H1424">
        <v>0.96124708404143644</v>
      </c>
      <c r="I1424">
        <v>0.93677156177156173</v>
      </c>
      <c r="J1424">
        <v>11793270.875</v>
      </c>
      <c r="K1424">
        <v>75704</v>
      </c>
      <c r="L1424">
        <v>2</v>
      </c>
      <c r="M1424">
        <v>186</v>
      </c>
      <c r="N1424">
        <v>0.93939393939393945</v>
      </c>
      <c r="O1424">
        <v>13474495.333333334</v>
      </c>
      <c r="P1424">
        <v>76485</v>
      </c>
      <c r="Q1424">
        <v>2</v>
      </c>
      <c r="R1424">
        <v>187</v>
      </c>
      <c r="S1424" t="s">
        <v>1097</v>
      </c>
      <c r="W1424">
        <f>Cancer_doubles_final2[[#This Row],[mlp_params]]</f>
        <v>75704</v>
      </c>
      <c r="X1424">
        <f>Cancer_doubles_final2[[#This Row],[kan_test_acc]]</f>
        <v>0.96124708404143644</v>
      </c>
      <c r="Y1424">
        <f>Cancer_doubles_final2[[#This Row],[mlp_test_acc]]</f>
        <v>0.93677156177156173</v>
      </c>
      <c r="Z1424">
        <f>Cancer_doubles_final2[[#This Row],[mlp_test_acc2]]</f>
        <v>0.93939393939393945</v>
      </c>
    </row>
    <row r="1425" spans="1:26" hidden="1" x14ac:dyDescent="0.25">
      <c r="A1425" t="s">
        <v>19</v>
      </c>
      <c r="B1425">
        <v>5</v>
      </c>
      <c r="C1425">
        <v>3</v>
      </c>
      <c r="D1425">
        <v>0</v>
      </c>
      <c r="E1425" t="s">
        <v>697</v>
      </c>
      <c r="F1425">
        <v>38158</v>
      </c>
      <c r="G1425">
        <v>57231438.083333336</v>
      </c>
      <c r="H1425">
        <v>0.94493007411559415</v>
      </c>
      <c r="I1425">
        <v>0.91870629370629375</v>
      </c>
      <c r="J1425">
        <v>12080624.791666666</v>
      </c>
      <c r="K1425">
        <v>62330</v>
      </c>
      <c r="L1425">
        <v>2</v>
      </c>
      <c r="M1425">
        <v>168</v>
      </c>
      <c r="N1425">
        <v>0.91870629370629364</v>
      </c>
      <c r="O1425">
        <v>12459249.958333332</v>
      </c>
      <c r="P1425">
        <v>63039</v>
      </c>
      <c r="Q1425">
        <v>2</v>
      </c>
      <c r="R1425">
        <v>169</v>
      </c>
      <c r="S1425" t="s">
        <v>1096</v>
      </c>
      <c r="W1425">
        <f>Cancer_doubles_final2[[#This Row],[mlp_params]]</f>
        <v>62330</v>
      </c>
      <c r="X1425">
        <f>Cancer_doubles_final2[[#This Row],[kan_test_acc]]</f>
        <v>0.94493007411559415</v>
      </c>
      <c r="Y1425">
        <f>Cancer_doubles_final2[[#This Row],[mlp_test_acc]]</f>
        <v>0.91870629370629375</v>
      </c>
      <c r="Z1425">
        <f>Cancer_doubles_final2[[#This Row],[mlp_test_acc2]]</f>
        <v>0.91870629370629364</v>
      </c>
    </row>
    <row r="1426" spans="1:26" hidden="1" x14ac:dyDescent="0.25">
      <c r="A1426" t="s">
        <v>19</v>
      </c>
      <c r="B1426">
        <v>5</v>
      </c>
      <c r="C1426">
        <v>5</v>
      </c>
      <c r="D1426">
        <v>0</v>
      </c>
      <c r="E1426" t="s">
        <v>479</v>
      </c>
      <c r="F1426">
        <v>38208</v>
      </c>
      <c r="G1426">
        <v>46925427.041666672</v>
      </c>
      <c r="H1426">
        <v>0.90850816170374549</v>
      </c>
      <c r="I1426">
        <v>0.91171328671328677</v>
      </c>
      <c r="J1426">
        <v>9377163</v>
      </c>
      <c r="K1426">
        <v>70349</v>
      </c>
      <c r="L1426">
        <v>2</v>
      </c>
      <c r="M1426">
        <v>179</v>
      </c>
      <c r="N1426">
        <v>0.91346153846153844</v>
      </c>
      <c r="O1426">
        <v>10408586.083333332</v>
      </c>
      <c r="P1426">
        <v>71102</v>
      </c>
      <c r="Q1426">
        <v>2</v>
      </c>
      <c r="R1426">
        <v>180</v>
      </c>
      <c r="S1426" t="s">
        <v>1098</v>
      </c>
      <c r="W1426">
        <f>Cancer_doubles_final2[[#This Row],[mlp_params]]</f>
        <v>70349</v>
      </c>
      <c r="X1426">
        <f>Cancer_doubles_final2[[#This Row],[kan_test_acc]]</f>
        <v>0.90850816170374549</v>
      </c>
      <c r="Y1426">
        <f>Cancer_doubles_final2[[#This Row],[mlp_test_acc]]</f>
        <v>0.91171328671328677</v>
      </c>
      <c r="Z1426">
        <f>Cancer_doubles_final2[[#This Row],[mlp_test_acc2]]</f>
        <v>0.91346153846153844</v>
      </c>
    </row>
    <row r="1427" spans="1:26" hidden="1" x14ac:dyDescent="0.25">
      <c r="A1427" t="s">
        <v>19</v>
      </c>
      <c r="B1427">
        <v>9</v>
      </c>
      <c r="C1427">
        <v>5</v>
      </c>
      <c r="D1427">
        <v>0</v>
      </c>
      <c r="E1427" t="s">
        <v>233</v>
      </c>
      <c r="F1427">
        <v>38218</v>
      </c>
      <c r="G1427">
        <v>44043235.611111112</v>
      </c>
      <c r="H1427">
        <v>0.87839938037925291</v>
      </c>
      <c r="I1427">
        <v>0.9436674436674436</v>
      </c>
      <c r="J1427">
        <v>10121987.666666666</v>
      </c>
      <c r="K1427">
        <v>62330</v>
      </c>
      <c r="L1427">
        <v>2</v>
      </c>
      <c r="M1427">
        <v>168</v>
      </c>
      <c r="N1427">
        <v>0.94463869463869465</v>
      </c>
      <c r="O1427">
        <v>10277418.055555556</v>
      </c>
      <c r="P1427">
        <v>63039</v>
      </c>
      <c r="Q1427">
        <v>2</v>
      </c>
      <c r="R1427">
        <v>169</v>
      </c>
      <c r="S1427" t="s">
        <v>1099</v>
      </c>
      <c r="W1427">
        <f>Cancer_doubles_final2[[#This Row],[mlp_params]]</f>
        <v>62330</v>
      </c>
      <c r="X1427">
        <f>Cancer_doubles_final2[[#This Row],[kan_test_acc]]</f>
        <v>0.87839938037925291</v>
      </c>
      <c r="Y1427">
        <f>Cancer_doubles_final2[[#This Row],[mlp_test_acc]]</f>
        <v>0.9436674436674436</v>
      </c>
      <c r="Z1427">
        <f>Cancer_doubles_final2[[#This Row],[mlp_test_acc2]]</f>
        <v>0.94463869463869465</v>
      </c>
    </row>
    <row r="1428" spans="1:26" hidden="1" x14ac:dyDescent="0.25">
      <c r="A1428" t="s">
        <v>19</v>
      </c>
      <c r="B1428">
        <v>9</v>
      </c>
      <c r="C1428">
        <v>5</v>
      </c>
      <c r="D1428">
        <v>0</v>
      </c>
      <c r="E1428" t="s">
        <v>235</v>
      </c>
      <c r="F1428">
        <v>38222</v>
      </c>
      <c r="G1428">
        <v>36951678.166666672</v>
      </c>
      <c r="H1428">
        <v>0.85285547872384393</v>
      </c>
      <c r="I1428">
        <v>0.95396270396270388</v>
      </c>
      <c r="J1428">
        <v>11816889.875</v>
      </c>
      <c r="K1428">
        <v>62330</v>
      </c>
      <c r="L1428">
        <v>2</v>
      </c>
      <c r="M1428">
        <v>168</v>
      </c>
      <c r="N1428">
        <v>0.95308857808857805</v>
      </c>
      <c r="O1428">
        <v>10974043.583333334</v>
      </c>
      <c r="P1428">
        <v>63039</v>
      </c>
      <c r="Q1428">
        <v>2</v>
      </c>
      <c r="R1428">
        <v>169</v>
      </c>
      <c r="S1428" t="s">
        <v>1100</v>
      </c>
      <c r="W1428">
        <f>Cancer_doubles_final2[[#This Row],[mlp_params]]</f>
        <v>62330</v>
      </c>
      <c r="X1428">
        <f>Cancer_doubles_final2[[#This Row],[kan_test_acc]]</f>
        <v>0.85285547872384393</v>
      </c>
      <c r="Y1428">
        <f>Cancer_doubles_final2[[#This Row],[mlp_test_acc]]</f>
        <v>0.95396270396270388</v>
      </c>
      <c r="Z1428">
        <f>Cancer_doubles_final2[[#This Row],[mlp_test_acc2]]</f>
        <v>0.95308857808857805</v>
      </c>
    </row>
    <row r="1429" spans="1:26" hidden="1" x14ac:dyDescent="0.25">
      <c r="A1429" t="s">
        <v>19</v>
      </c>
      <c r="B1429">
        <v>5</v>
      </c>
      <c r="C1429">
        <v>4</v>
      </c>
      <c r="D1429">
        <v>0</v>
      </c>
      <c r="E1429" t="s">
        <v>582</v>
      </c>
      <c r="F1429">
        <v>38256</v>
      </c>
      <c r="G1429">
        <v>39166003.166666672</v>
      </c>
      <c r="H1429">
        <v>0.91462704042593646</v>
      </c>
      <c r="I1429">
        <v>0.94201631701631694</v>
      </c>
      <c r="J1429">
        <v>10647219.958333334</v>
      </c>
      <c r="K1429">
        <v>66644</v>
      </c>
      <c r="L1429">
        <v>2</v>
      </c>
      <c r="M1429">
        <v>174</v>
      </c>
      <c r="N1429">
        <v>0.94376456876456882</v>
      </c>
      <c r="O1429">
        <v>10004582.333333334</v>
      </c>
      <c r="P1429">
        <v>67377</v>
      </c>
      <c r="Q1429">
        <v>2</v>
      </c>
      <c r="R1429">
        <v>175</v>
      </c>
      <c r="S1429" t="s">
        <v>1101</v>
      </c>
      <c r="W1429">
        <f>Cancer_doubles_final2[[#This Row],[mlp_params]]</f>
        <v>66644</v>
      </c>
      <c r="X1429">
        <f>Cancer_doubles_final2[[#This Row],[kan_test_acc]]</f>
        <v>0.91462704042593646</v>
      </c>
      <c r="Y1429">
        <f>Cancer_doubles_final2[[#This Row],[mlp_test_acc]]</f>
        <v>0.94201631701631694</v>
      </c>
      <c r="Z1429">
        <f>Cancer_doubles_final2[[#This Row],[mlp_test_acc2]]</f>
        <v>0.94376456876456882</v>
      </c>
    </row>
    <row r="1430" spans="1:26" hidden="1" x14ac:dyDescent="0.25">
      <c r="A1430" t="s">
        <v>19</v>
      </c>
      <c r="B1430">
        <v>9</v>
      </c>
      <c r="C1430">
        <v>2</v>
      </c>
      <c r="D1430">
        <v>0</v>
      </c>
      <c r="E1430" t="s">
        <v>393</v>
      </c>
      <c r="F1430">
        <v>38278</v>
      </c>
      <c r="G1430">
        <v>37491254.777777784</v>
      </c>
      <c r="H1430">
        <v>0.94289043545722961</v>
      </c>
      <c r="I1430">
        <v>0.93240093240093236</v>
      </c>
      <c r="J1430">
        <v>9441703.944444444</v>
      </c>
      <c r="K1430">
        <v>51530</v>
      </c>
      <c r="L1430">
        <v>2</v>
      </c>
      <c r="M1430">
        <v>152</v>
      </c>
      <c r="N1430">
        <v>0.93220668220668224</v>
      </c>
      <c r="O1430">
        <v>9543256.6388888881</v>
      </c>
      <c r="P1430">
        <v>52175</v>
      </c>
      <c r="Q1430">
        <v>2</v>
      </c>
      <c r="R1430">
        <v>153</v>
      </c>
      <c r="S1430" t="s">
        <v>1102</v>
      </c>
      <c r="W1430">
        <f>Cancer_doubles_final2[[#This Row],[mlp_params]]</f>
        <v>51530</v>
      </c>
      <c r="X1430">
        <f>Cancer_doubles_final2[[#This Row],[kan_test_acc]]</f>
        <v>0.94289043545722961</v>
      </c>
      <c r="Y1430">
        <f>Cancer_doubles_final2[[#This Row],[mlp_test_acc]]</f>
        <v>0.93240093240093236</v>
      </c>
      <c r="Z1430">
        <f>Cancer_doubles_final2[[#This Row],[mlp_test_acc2]]</f>
        <v>0.93220668220668224</v>
      </c>
    </row>
    <row r="1431" spans="1:26" hidden="1" x14ac:dyDescent="0.25">
      <c r="A1431" t="s">
        <v>19</v>
      </c>
      <c r="B1431">
        <v>9</v>
      </c>
      <c r="C1431">
        <v>4</v>
      </c>
      <c r="D1431">
        <v>0</v>
      </c>
      <c r="E1431" t="s">
        <v>272</v>
      </c>
      <c r="F1431">
        <v>38282</v>
      </c>
      <c r="G1431">
        <v>33992641.75</v>
      </c>
      <c r="H1431">
        <v>0.93531468179490829</v>
      </c>
      <c r="I1431">
        <v>0.92404817404817408</v>
      </c>
      <c r="J1431">
        <v>9461668.6388888899</v>
      </c>
      <c r="K1431">
        <v>59534</v>
      </c>
      <c r="L1431">
        <v>2</v>
      </c>
      <c r="M1431">
        <v>164</v>
      </c>
      <c r="N1431">
        <v>0.92599067599067597</v>
      </c>
      <c r="O1431">
        <v>10507129.277777778</v>
      </c>
      <c r="P1431">
        <v>60227</v>
      </c>
      <c r="Q1431">
        <v>2</v>
      </c>
      <c r="R1431">
        <v>165</v>
      </c>
      <c r="S1431" t="s">
        <v>1103</v>
      </c>
      <c r="W1431">
        <f>Cancer_doubles_final2[[#This Row],[mlp_params]]</f>
        <v>59534</v>
      </c>
      <c r="X1431">
        <f>Cancer_doubles_final2[[#This Row],[kan_test_acc]]</f>
        <v>0.93531468179490829</v>
      </c>
      <c r="Y1431">
        <f>Cancer_doubles_final2[[#This Row],[mlp_test_acc]]</f>
        <v>0.92404817404817408</v>
      </c>
      <c r="Z1431">
        <f>Cancer_doubles_final2[[#This Row],[mlp_test_acc2]]</f>
        <v>0.92599067599067597</v>
      </c>
    </row>
    <row r="1432" spans="1:26" hidden="1" x14ac:dyDescent="0.25">
      <c r="A1432" t="s">
        <v>19</v>
      </c>
      <c r="B1432">
        <v>9</v>
      </c>
      <c r="C1432">
        <v>4</v>
      </c>
      <c r="D1432">
        <v>0</v>
      </c>
      <c r="E1432" t="s">
        <v>274</v>
      </c>
      <c r="F1432">
        <v>38284</v>
      </c>
      <c r="G1432">
        <v>37700943.958333336</v>
      </c>
      <c r="H1432">
        <v>0.94580419361591339</v>
      </c>
      <c r="I1432">
        <v>0.95279720279720281</v>
      </c>
      <c r="J1432">
        <v>10362951.333333334</v>
      </c>
      <c r="K1432">
        <v>59534</v>
      </c>
      <c r="L1432">
        <v>2</v>
      </c>
      <c r="M1432">
        <v>164</v>
      </c>
      <c r="N1432">
        <v>0.95367132867132864</v>
      </c>
      <c r="O1432">
        <v>10704552.583333332</v>
      </c>
      <c r="P1432">
        <v>60227</v>
      </c>
      <c r="Q1432">
        <v>2</v>
      </c>
      <c r="R1432">
        <v>165</v>
      </c>
      <c r="S1432" t="s">
        <v>1104</v>
      </c>
      <c r="W1432">
        <f>Cancer_doubles_final2[[#This Row],[mlp_params]]</f>
        <v>59534</v>
      </c>
      <c r="X1432">
        <f>Cancer_doubles_final2[[#This Row],[kan_test_acc]]</f>
        <v>0.94580419361591339</v>
      </c>
      <c r="Y1432">
        <f>Cancer_doubles_final2[[#This Row],[mlp_test_acc]]</f>
        <v>0.95279720279720281</v>
      </c>
      <c r="Z1432">
        <f>Cancer_doubles_final2[[#This Row],[mlp_test_acc2]]</f>
        <v>0.95367132867132864</v>
      </c>
    </row>
    <row r="1433" spans="1:26" hidden="1" x14ac:dyDescent="0.25">
      <c r="A1433" t="s">
        <v>19</v>
      </c>
      <c r="B1433">
        <v>9</v>
      </c>
      <c r="C1433">
        <v>5</v>
      </c>
      <c r="D1433">
        <v>0</v>
      </c>
      <c r="E1433" t="s">
        <v>237</v>
      </c>
      <c r="F1433">
        <v>38356</v>
      </c>
      <c r="G1433">
        <v>39296427.5</v>
      </c>
      <c r="H1433">
        <v>0.90734265496333433</v>
      </c>
      <c r="I1433">
        <v>0.95541958041958042</v>
      </c>
      <c r="J1433">
        <v>10721508.333333334</v>
      </c>
      <c r="K1433">
        <v>63039</v>
      </c>
      <c r="L1433">
        <v>2</v>
      </c>
      <c r="M1433">
        <v>169</v>
      </c>
      <c r="N1433">
        <v>0.95279720279720281</v>
      </c>
      <c r="O1433">
        <v>10856904.041666666</v>
      </c>
      <c r="P1433">
        <v>63752</v>
      </c>
      <c r="Q1433">
        <v>2</v>
      </c>
      <c r="R1433">
        <v>170</v>
      </c>
      <c r="S1433" t="s">
        <v>1105</v>
      </c>
      <c r="W1433">
        <f>Cancer_doubles_final2[[#This Row],[mlp_params]]</f>
        <v>63039</v>
      </c>
      <c r="X1433">
        <f>Cancer_doubles_final2[[#This Row],[kan_test_acc]]</f>
        <v>0.90734265496333433</v>
      </c>
      <c r="Y1433">
        <f>Cancer_doubles_final2[[#This Row],[mlp_test_acc]]</f>
        <v>0.95541958041958042</v>
      </c>
      <c r="Z1433">
        <f>Cancer_doubles_final2[[#This Row],[mlp_test_acc2]]</f>
        <v>0.95279720279720281</v>
      </c>
    </row>
    <row r="1434" spans="1:26" hidden="1" x14ac:dyDescent="0.25">
      <c r="A1434" t="s">
        <v>19</v>
      </c>
      <c r="B1434">
        <v>9</v>
      </c>
      <c r="C1434">
        <v>2</v>
      </c>
      <c r="D1434">
        <v>0</v>
      </c>
      <c r="E1434" t="s">
        <v>399</v>
      </c>
      <c r="F1434">
        <v>38440</v>
      </c>
      <c r="G1434">
        <v>34867758.625</v>
      </c>
      <c r="H1434">
        <v>0.89889277269442869</v>
      </c>
      <c r="I1434">
        <v>0.93560606060606055</v>
      </c>
      <c r="J1434">
        <v>10328508.625</v>
      </c>
      <c r="K1434">
        <v>51530</v>
      </c>
      <c r="L1434">
        <v>2</v>
      </c>
      <c r="M1434">
        <v>152</v>
      </c>
      <c r="N1434">
        <v>0.93618881118881125</v>
      </c>
      <c r="O1434">
        <v>10712143.375</v>
      </c>
      <c r="P1434">
        <v>52175</v>
      </c>
      <c r="Q1434">
        <v>2</v>
      </c>
      <c r="R1434">
        <v>153</v>
      </c>
      <c r="S1434" t="s">
        <v>1106</v>
      </c>
      <c r="W1434">
        <f>Cancer_doubles_final2[[#This Row],[mlp_params]]</f>
        <v>51530</v>
      </c>
      <c r="X1434">
        <f>Cancer_doubles_final2[[#This Row],[kan_test_acc]]</f>
        <v>0.89889277269442869</v>
      </c>
      <c r="Y1434">
        <f>Cancer_doubles_final2[[#This Row],[mlp_test_acc]]</f>
        <v>0.93560606060606055</v>
      </c>
      <c r="Z1434">
        <f>Cancer_doubles_final2[[#This Row],[mlp_test_acc2]]</f>
        <v>0.93618881118881125</v>
      </c>
    </row>
    <row r="1435" spans="1:26" hidden="1" x14ac:dyDescent="0.25">
      <c r="A1435" t="s">
        <v>19</v>
      </c>
      <c r="B1435">
        <v>9</v>
      </c>
      <c r="C1435">
        <v>3</v>
      </c>
      <c r="D1435">
        <v>0</v>
      </c>
      <c r="E1435" t="s">
        <v>333</v>
      </c>
      <c r="F1435">
        <v>38544</v>
      </c>
      <c r="G1435">
        <v>31577554.666666668</v>
      </c>
      <c r="H1435">
        <v>0.92424243026309538</v>
      </c>
      <c r="I1435">
        <v>0.932012432012432</v>
      </c>
      <c r="J1435">
        <v>8946590.8888888899</v>
      </c>
      <c r="K1435">
        <v>56129</v>
      </c>
      <c r="L1435">
        <v>2</v>
      </c>
      <c r="M1435">
        <v>159</v>
      </c>
      <c r="N1435">
        <v>0.93181818181818177</v>
      </c>
      <c r="O1435">
        <v>9702366.027777778</v>
      </c>
      <c r="P1435">
        <v>56802</v>
      </c>
      <c r="Q1435">
        <v>2</v>
      </c>
      <c r="R1435">
        <v>160</v>
      </c>
      <c r="S1435" t="s">
        <v>1107</v>
      </c>
      <c r="W1435">
        <f>Cancer_doubles_final2[[#This Row],[mlp_params]]</f>
        <v>56129</v>
      </c>
      <c r="X1435">
        <f>Cancer_doubles_final2[[#This Row],[kan_test_acc]]</f>
        <v>0.92424243026309538</v>
      </c>
      <c r="Y1435">
        <f>Cancer_doubles_final2[[#This Row],[mlp_test_acc]]</f>
        <v>0.932012432012432</v>
      </c>
      <c r="Z1435">
        <f>Cancer_doubles_final2[[#This Row],[mlp_test_acc2]]</f>
        <v>0.93181818181818177</v>
      </c>
    </row>
    <row r="1436" spans="1:26" hidden="1" x14ac:dyDescent="0.25">
      <c r="A1436" t="s">
        <v>19</v>
      </c>
      <c r="B1436">
        <v>9</v>
      </c>
      <c r="C1436">
        <v>2</v>
      </c>
      <c r="D1436">
        <v>0</v>
      </c>
      <c r="E1436" t="s">
        <v>402</v>
      </c>
      <c r="F1436">
        <v>38556</v>
      </c>
      <c r="G1436">
        <v>39356795.94444444</v>
      </c>
      <c r="H1436">
        <v>0.92735042671362555</v>
      </c>
      <c r="I1436">
        <v>0.93104118104118105</v>
      </c>
      <c r="J1436">
        <v>9082533.777777778</v>
      </c>
      <c r="K1436">
        <v>52175</v>
      </c>
      <c r="L1436">
        <v>2</v>
      </c>
      <c r="M1436">
        <v>153</v>
      </c>
      <c r="N1436">
        <v>0.92987567987567987</v>
      </c>
      <c r="O1436">
        <v>9672077.944444444</v>
      </c>
      <c r="P1436">
        <v>52824</v>
      </c>
      <c r="Q1436">
        <v>2</v>
      </c>
      <c r="R1436">
        <v>154</v>
      </c>
      <c r="S1436" t="s">
        <v>1108</v>
      </c>
      <c r="W1436">
        <f>Cancer_doubles_final2[[#This Row],[mlp_params]]</f>
        <v>52175</v>
      </c>
      <c r="X1436">
        <f>Cancer_doubles_final2[[#This Row],[kan_test_acc]]</f>
        <v>0.92735042671362555</v>
      </c>
      <c r="Y1436">
        <f>Cancer_doubles_final2[[#This Row],[mlp_test_acc]]</f>
        <v>0.93104118104118105</v>
      </c>
      <c r="Z1436">
        <f>Cancer_doubles_final2[[#This Row],[mlp_test_acc2]]</f>
        <v>0.92987567987567987</v>
      </c>
    </row>
    <row r="1437" spans="1:26" hidden="1" x14ac:dyDescent="0.25">
      <c r="A1437" t="s">
        <v>19</v>
      </c>
      <c r="B1437">
        <v>5</v>
      </c>
      <c r="C1437">
        <v>4</v>
      </c>
      <c r="D1437">
        <v>0</v>
      </c>
      <c r="E1437" t="s">
        <v>592</v>
      </c>
      <c r="F1437">
        <v>38590</v>
      </c>
      <c r="G1437">
        <v>34327807.611111112</v>
      </c>
      <c r="H1437">
        <v>0.93104117777612472</v>
      </c>
      <c r="I1437">
        <v>0.91724941724941722</v>
      </c>
      <c r="J1437">
        <v>9149410.4166666679</v>
      </c>
      <c r="K1437">
        <v>67377</v>
      </c>
      <c r="L1437">
        <v>2</v>
      </c>
      <c r="M1437">
        <v>175</v>
      </c>
      <c r="N1437">
        <v>0.91802641802641805</v>
      </c>
      <c r="O1437">
        <v>9546552.25</v>
      </c>
      <c r="P1437">
        <v>68114</v>
      </c>
      <c r="Q1437">
        <v>2</v>
      </c>
      <c r="R1437">
        <v>176</v>
      </c>
      <c r="S1437" t="s">
        <v>1109</v>
      </c>
      <c r="W1437">
        <f>Cancer_doubles_final2[[#This Row],[mlp_params]]</f>
        <v>67377</v>
      </c>
      <c r="X1437">
        <f>Cancer_doubles_final2[[#This Row],[kan_test_acc]]</f>
        <v>0.93104117777612472</v>
      </c>
      <c r="Y1437">
        <f>Cancer_doubles_final2[[#This Row],[mlp_test_acc]]</f>
        <v>0.91724941724941722</v>
      </c>
      <c r="Z1437">
        <f>Cancer_doubles_final2[[#This Row],[mlp_test_acc2]]</f>
        <v>0.91802641802641805</v>
      </c>
    </row>
    <row r="1438" spans="1:26" hidden="1" x14ac:dyDescent="0.25">
      <c r="A1438" t="s">
        <v>19</v>
      </c>
      <c r="B1438">
        <v>9</v>
      </c>
      <c r="C1438">
        <v>2</v>
      </c>
      <c r="D1438">
        <v>0</v>
      </c>
      <c r="E1438" t="s">
        <v>404</v>
      </c>
      <c r="F1438">
        <v>38610</v>
      </c>
      <c r="G1438">
        <v>39050854.388888888</v>
      </c>
      <c r="H1438">
        <v>0.94308469196160638</v>
      </c>
      <c r="I1438">
        <v>0.93317793317793318</v>
      </c>
      <c r="J1438">
        <v>9128375.8888888899</v>
      </c>
      <c r="K1438">
        <v>52175</v>
      </c>
      <c r="L1438">
        <v>2</v>
      </c>
      <c r="M1438">
        <v>153</v>
      </c>
      <c r="N1438">
        <v>0.93317793317793318</v>
      </c>
      <c r="O1438">
        <v>9623528.8611111119</v>
      </c>
      <c r="P1438">
        <v>52824</v>
      </c>
      <c r="Q1438">
        <v>2</v>
      </c>
      <c r="R1438">
        <v>154</v>
      </c>
      <c r="S1438" t="s">
        <v>1110</v>
      </c>
      <c r="W1438">
        <f>Cancer_doubles_final2[[#This Row],[mlp_params]]</f>
        <v>52175</v>
      </c>
      <c r="X1438">
        <f>Cancer_doubles_final2[[#This Row],[kan_test_acc]]</f>
        <v>0.94308469196160638</v>
      </c>
      <c r="Y1438">
        <f>Cancer_doubles_final2[[#This Row],[mlp_test_acc]]</f>
        <v>0.93317793317793318</v>
      </c>
      <c r="Z1438">
        <f>Cancer_doubles_final2[[#This Row],[mlp_test_acc2]]</f>
        <v>0.93317793317793318</v>
      </c>
    </row>
    <row r="1439" spans="1:26" hidden="1" x14ac:dyDescent="0.25">
      <c r="A1439" t="s">
        <v>19</v>
      </c>
      <c r="B1439">
        <v>5</v>
      </c>
      <c r="C1439">
        <v>5</v>
      </c>
      <c r="D1439">
        <v>0</v>
      </c>
      <c r="E1439" t="s">
        <v>487</v>
      </c>
      <c r="F1439">
        <v>38622</v>
      </c>
      <c r="G1439">
        <v>37339318.388888888</v>
      </c>
      <c r="H1439">
        <v>0.91647241512934363</v>
      </c>
      <c r="I1439">
        <v>0.91375291375291368</v>
      </c>
      <c r="J1439">
        <v>9440761.944444444</v>
      </c>
      <c r="K1439">
        <v>71102</v>
      </c>
      <c r="L1439">
        <v>2</v>
      </c>
      <c r="M1439">
        <v>180</v>
      </c>
      <c r="N1439">
        <v>0.91239316239316237</v>
      </c>
      <c r="O1439">
        <v>9861786</v>
      </c>
      <c r="P1439">
        <v>71859</v>
      </c>
      <c r="Q1439">
        <v>2</v>
      </c>
      <c r="R1439">
        <v>181</v>
      </c>
      <c r="S1439" t="s">
        <v>1111</v>
      </c>
      <c r="W1439">
        <f>Cancer_doubles_final2[[#This Row],[mlp_params]]</f>
        <v>71102</v>
      </c>
      <c r="X1439">
        <f>Cancer_doubles_final2[[#This Row],[kan_test_acc]]</f>
        <v>0.91647241512934363</v>
      </c>
      <c r="Y1439">
        <f>Cancer_doubles_final2[[#This Row],[mlp_test_acc]]</f>
        <v>0.91375291375291368</v>
      </c>
      <c r="Z1439">
        <f>Cancer_doubles_final2[[#This Row],[mlp_test_acc2]]</f>
        <v>0.91239316239316237</v>
      </c>
    </row>
    <row r="1440" spans="1:26" hidden="1" x14ac:dyDescent="0.25">
      <c r="A1440" t="s">
        <v>19</v>
      </c>
      <c r="B1440">
        <v>9</v>
      </c>
      <c r="C1440">
        <v>2</v>
      </c>
      <c r="D1440">
        <v>0</v>
      </c>
      <c r="E1440" t="s">
        <v>408</v>
      </c>
      <c r="F1440">
        <v>38674</v>
      </c>
      <c r="G1440">
        <v>43112942.666666672</v>
      </c>
      <c r="H1440">
        <v>0.92715617352061797</v>
      </c>
      <c r="I1440">
        <v>0.9281274281274281</v>
      </c>
      <c r="J1440">
        <v>9610560.194444444</v>
      </c>
      <c r="K1440">
        <v>52175</v>
      </c>
      <c r="L1440">
        <v>2</v>
      </c>
      <c r="M1440">
        <v>153</v>
      </c>
      <c r="N1440">
        <v>0.92832167832167833</v>
      </c>
      <c r="O1440">
        <v>9955119.916666666</v>
      </c>
      <c r="P1440">
        <v>52824</v>
      </c>
      <c r="Q1440">
        <v>2</v>
      </c>
      <c r="R1440">
        <v>154</v>
      </c>
      <c r="S1440" t="s">
        <v>1112</v>
      </c>
      <c r="W1440">
        <f>Cancer_doubles_final2[[#This Row],[mlp_params]]</f>
        <v>52175</v>
      </c>
      <c r="X1440">
        <f>Cancer_doubles_final2[[#This Row],[kan_test_acc]]</f>
        <v>0.92715617352061797</v>
      </c>
      <c r="Y1440">
        <f>Cancer_doubles_final2[[#This Row],[mlp_test_acc]]</f>
        <v>0.9281274281274281</v>
      </c>
      <c r="Z1440">
        <f>Cancer_doubles_final2[[#This Row],[mlp_test_acc2]]</f>
        <v>0.92832167832167833</v>
      </c>
    </row>
    <row r="1441" spans="1:26" hidden="1" x14ac:dyDescent="0.25">
      <c r="A1441" t="s">
        <v>19</v>
      </c>
      <c r="B1441">
        <v>5</v>
      </c>
      <c r="C1441">
        <v>4</v>
      </c>
      <c r="D1441">
        <v>0</v>
      </c>
      <c r="E1441" t="s">
        <v>597</v>
      </c>
      <c r="F1441">
        <v>38732</v>
      </c>
      <c r="G1441">
        <v>32043525.222222224</v>
      </c>
      <c r="H1441">
        <v>0.92016317115889656</v>
      </c>
      <c r="I1441">
        <v>0.91744366744366745</v>
      </c>
      <c r="J1441">
        <v>8501943.6388888899</v>
      </c>
      <c r="K1441">
        <v>67377</v>
      </c>
      <c r="L1441">
        <v>2</v>
      </c>
      <c r="M1441">
        <v>175</v>
      </c>
      <c r="N1441">
        <v>0.91822066822066817</v>
      </c>
      <c r="O1441">
        <v>9646545.3888888899</v>
      </c>
      <c r="P1441">
        <v>68114</v>
      </c>
      <c r="Q1441">
        <v>2</v>
      </c>
      <c r="R1441">
        <v>176</v>
      </c>
      <c r="S1441" t="s">
        <v>1113</v>
      </c>
      <c r="W1441">
        <f>Cancer_doubles_final2[[#This Row],[mlp_params]]</f>
        <v>67377</v>
      </c>
      <c r="X1441">
        <f>Cancer_doubles_final2[[#This Row],[kan_test_acc]]</f>
        <v>0.92016317115889656</v>
      </c>
      <c r="Y1441">
        <f>Cancer_doubles_final2[[#This Row],[mlp_test_acc]]</f>
        <v>0.91744366744366745</v>
      </c>
      <c r="Z1441">
        <f>Cancer_doubles_final2[[#This Row],[mlp_test_acc2]]</f>
        <v>0.91822066822066817</v>
      </c>
    </row>
    <row r="1442" spans="1:26" hidden="1" x14ac:dyDescent="0.25">
      <c r="A1442" t="s">
        <v>19</v>
      </c>
      <c r="B1442">
        <v>9</v>
      </c>
      <c r="C1442">
        <v>3</v>
      </c>
      <c r="D1442">
        <v>0</v>
      </c>
      <c r="E1442" t="s">
        <v>337</v>
      </c>
      <c r="F1442">
        <v>38776</v>
      </c>
      <c r="G1442">
        <v>44633501.44444444</v>
      </c>
      <c r="H1442">
        <v>0.92890442907810211</v>
      </c>
      <c r="I1442">
        <v>0.95007770007770009</v>
      </c>
      <c r="J1442">
        <v>9095938.305555556</v>
      </c>
      <c r="K1442">
        <v>56802</v>
      </c>
      <c r="L1442">
        <v>2</v>
      </c>
      <c r="M1442">
        <v>160</v>
      </c>
      <c r="N1442">
        <v>0.94930069930069927</v>
      </c>
      <c r="O1442">
        <v>9051577.694444444</v>
      </c>
      <c r="P1442">
        <v>57479</v>
      </c>
      <c r="Q1442">
        <v>2</v>
      </c>
      <c r="R1442">
        <v>161</v>
      </c>
      <c r="S1442" t="s">
        <v>1114</v>
      </c>
      <c r="W1442">
        <f>Cancer_doubles_final2[[#This Row],[mlp_params]]</f>
        <v>56802</v>
      </c>
      <c r="X1442">
        <f>Cancer_doubles_final2[[#This Row],[kan_test_acc]]</f>
        <v>0.92890442907810211</v>
      </c>
      <c r="Y1442">
        <f>Cancer_doubles_final2[[#This Row],[mlp_test_acc]]</f>
        <v>0.95007770007770009</v>
      </c>
      <c r="Z1442">
        <f>Cancer_doubles_final2[[#This Row],[mlp_test_acc2]]</f>
        <v>0.94930069930069927</v>
      </c>
    </row>
    <row r="1443" spans="1:26" hidden="1" x14ac:dyDescent="0.25">
      <c r="A1443" t="s">
        <v>19</v>
      </c>
      <c r="B1443">
        <v>9</v>
      </c>
      <c r="C1443">
        <v>4</v>
      </c>
      <c r="D1443">
        <v>0</v>
      </c>
      <c r="E1443" t="s">
        <v>283</v>
      </c>
      <c r="F1443">
        <v>38792</v>
      </c>
      <c r="G1443">
        <v>45593366.083333328</v>
      </c>
      <c r="H1443">
        <v>0.9256992985804875</v>
      </c>
      <c r="I1443">
        <v>0.96124708624708621</v>
      </c>
      <c r="J1443">
        <v>11097832.583333334</v>
      </c>
      <c r="K1443">
        <v>60227</v>
      </c>
      <c r="L1443">
        <v>2</v>
      </c>
      <c r="M1443">
        <v>165</v>
      </c>
      <c r="N1443">
        <v>0.96124708624708632</v>
      </c>
      <c r="O1443">
        <v>11203949</v>
      </c>
      <c r="P1443">
        <v>60924</v>
      </c>
      <c r="Q1443">
        <v>2</v>
      </c>
      <c r="R1443">
        <v>166</v>
      </c>
      <c r="S1443" t="s">
        <v>1115</v>
      </c>
      <c r="W1443">
        <f>Cancer_doubles_final2[[#This Row],[mlp_params]]</f>
        <v>60227</v>
      </c>
      <c r="X1443">
        <f>Cancer_doubles_final2[[#This Row],[kan_test_acc]]</f>
        <v>0.9256992985804875</v>
      </c>
      <c r="Y1443">
        <f>Cancer_doubles_final2[[#This Row],[mlp_test_acc]]</f>
        <v>0.96124708624708621</v>
      </c>
      <c r="Z1443">
        <f>Cancer_doubles_final2[[#This Row],[mlp_test_acc2]]</f>
        <v>0.96124708624708632</v>
      </c>
    </row>
    <row r="1444" spans="1:26" hidden="1" x14ac:dyDescent="0.25">
      <c r="A1444" t="s">
        <v>19</v>
      </c>
      <c r="B1444">
        <v>5</v>
      </c>
      <c r="C1444">
        <v>5</v>
      </c>
      <c r="D1444">
        <v>0</v>
      </c>
      <c r="E1444" t="s">
        <v>492</v>
      </c>
      <c r="F1444">
        <v>38826</v>
      </c>
      <c r="G1444">
        <v>52103454</v>
      </c>
      <c r="H1444">
        <v>0.90938227872053778</v>
      </c>
      <c r="I1444">
        <v>0.9358974358974359</v>
      </c>
      <c r="J1444">
        <v>11560930.5</v>
      </c>
      <c r="K1444">
        <v>71102</v>
      </c>
      <c r="L1444">
        <v>2</v>
      </c>
      <c r="M1444">
        <v>180</v>
      </c>
      <c r="N1444">
        <v>0.93618881118881125</v>
      </c>
      <c r="O1444">
        <v>11263392.208333334</v>
      </c>
      <c r="P1444">
        <v>71859</v>
      </c>
      <c r="Q1444">
        <v>2</v>
      </c>
      <c r="R1444">
        <v>181</v>
      </c>
      <c r="S1444" t="s">
        <v>1116</v>
      </c>
      <c r="W1444">
        <f>Cancer_doubles_final2[[#This Row],[mlp_params]]</f>
        <v>71102</v>
      </c>
      <c r="X1444">
        <f>Cancer_doubles_final2[[#This Row],[kan_test_acc]]</f>
        <v>0.90938227872053778</v>
      </c>
      <c r="Y1444">
        <f>Cancer_doubles_final2[[#This Row],[mlp_test_acc]]</f>
        <v>0.9358974358974359</v>
      </c>
      <c r="Z1444">
        <f>Cancer_doubles_final2[[#This Row],[mlp_test_acc2]]</f>
        <v>0.93618881118881125</v>
      </c>
    </row>
    <row r="1445" spans="1:26" hidden="1" x14ac:dyDescent="0.25">
      <c r="A1445" t="s">
        <v>19</v>
      </c>
      <c r="B1445">
        <v>5</v>
      </c>
      <c r="C1445">
        <v>5</v>
      </c>
      <c r="D1445">
        <v>0</v>
      </c>
      <c r="E1445" t="s">
        <v>494</v>
      </c>
      <c r="F1445">
        <v>38828</v>
      </c>
      <c r="G1445">
        <v>54230509.111111112</v>
      </c>
      <c r="H1445">
        <v>0.8954933947987026</v>
      </c>
      <c r="I1445">
        <v>0.91491841491841486</v>
      </c>
      <c r="J1445">
        <v>9701314.305555556</v>
      </c>
      <c r="K1445">
        <v>71102</v>
      </c>
      <c r="L1445">
        <v>2</v>
      </c>
      <c r="M1445">
        <v>180</v>
      </c>
      <c r="N1445">
        <v>0.91142191142191142</v>
      </c>
      <c r="O1445">
        <v>9269890.3888888899</v>
      </c>
      <c r="P1445">
        <v>71859</v>
      </c>
      <c r="Q1445">
        <v>2</v>
      </c>
      <c r="R1445">
        <v>181</v>
      </c>
      <c r="S1445" t="s">
        <v>1117</v>
      </c>
      <c r="W1445">
        <f>Cancer_doubles_final2[[#This Row],[mlp_params]]</f>
        <v>71102</v>
      </c>
      <c r="X1445">
        <f>Cancer_doubles_final2[[#This Row],[kan_test_acc]]</f>
        <v>0.8954933947987026</v>
      </c>
      <c r="Y1445">
        <f>Cancer_doubles_final2[[#This Row],[mlp_test_acc]]</f>
        <v>0.91491841491841486</v>
      </c>
      <c r="Z1445">
        <f>Cancer_doubles_final2[[#This Row],[mlp_test_acc2]]</f>
        <v>0.91142191142191142</v>
      </c>
    </row>
    <row r="1446" spans="1:26" hidden="1" x14ac:dyDescent="0.25">
      <c r="A1446" t="s">
        <v>19</v>
      </c>
      <c r="B1446">
        <v>9</v>
      </c>
      <c r="C1446">
        <v>3</v>
      </c>
      <c r="D1446">
        <v>0</v>
      </c>
      <c r="E1446" t="s">
        <v>341</v>
      </c>
      <c r="F1446">
        <v>38962</v>
      </c>
      <c r="G1446">
        <v>50762094.722222224</v>
      </c>
      <c r="H1446">
        <v>0.90792541205883026</v>
      </c>
      <c r="I1446">
        <v>0.93220668220668212</v>
      </c>
      <c r="J1446">
        <v>9633278.277777778</v>
      </c>
      <c r="K1446">
        <v>56802</v>
      </c>
      <c r="L1446">
        <v>2</v>
      </c>
      <c r="M1446">
        <v>160</v>
      </c>
      <c r="N1446">
        <v>0.93142968142968141</v>
      </c>
      <c r="O1446">
        <v>9323578.222222222</v>
      </c>
      <c r="P1446">
        <v>57479</v>
      </c>
      <c r="Q1446">
        <v>2</v>
      </c>
      <c r="R1446">
        <v>161</v>
      </c>
      <c r="S1446" t="s">
        <v>1118</v>
      </c>
      <c r="W1446">
        <f>Cancer_doubles_final2[[#This Row],[mlp_params]]</f>
        <v>56802</v>
      </c>
      <c r="X1446">
        <f>Cancer_doubles_final2[[#This Row],[kan_test_acc]]</f>
        <v>0.90792541205883026</v>
      </c>
      <c r="Y1446">
        <f>Cancer_doubles_final2[[#This Row],[mlp_test_acc]]</f>
        <v>0.93220668220668212</v>
      </c>
      <c r="Z1446">
        <f>Cancer_doubles_final2[[#This Row],[mlp_test_acc2]]</f>
        <v>0.93142968142968141</v>
      </c>
    </row>
    <row r="1447" spans="1:26" hidden="1" x14ac:dyDescent="0.25">
      <c r="A1447" t="s">
        <v>19</v>
      </c>
      <c r="B1447">
        <v>5</v>
      </c>
      <c r="C1447">
        <v>3</v>
      </c>
      <c r="D1447">
        <v>0</v>
      </c>
      <c r="E1447" t="s">
        <v>731</v>
      </c>
      <c r="F1447">
        <v>39040</v>
      </c>
      <c r="G1447">
        <v>43893082.375</v>
      </c>
      <c r="H1447">
        <v>0.96707459290822351</v>
      </c>
      <c r="I1447">
        <v>0.96445221445221441</v>
      </c>
      <c r="J1447">
        <v>11353457.583333334</v>
      </c>
      <c r="K1447">
        <v>63752</v>
      </c>
      <c r="L1447">
        <v>2</v>
      </c>
      <c r="M1447">
        <v>170</v>
      </c>
      <c r="N1447">
        <v>0.95979020979020979</v>
      </c>
      <c r="O1447">
        <v>10643823.75</v>
      </c>
      <c r="P1447">
        <v>64469</v>
      </c>
      <c r="Q1447">
        <v>2</v>
      </c>
      <c r="R1447">
        <v>171</v>
      </c>
      <c r="S1447" t="s">
        <v>1119</v>
      </c>
      <c r="W1447">
        <f>Cancer_doubles_final2[[#This Row],[mlp_params]]</f>
        <v>63752</v>
      </c>
      <c r="X1447">
        <f>Cancer_doubles_final2[[#This Row],[kan_test_acc]]</f>
        <v>0.96707459290822351</v>
      </c>
      <c r="Y1447">
        <f>Cancer_doubles_final2[[#This Row],[mlp_test_acc]]</f>
        <v>0.96445221445221441</v>
      </c>
      <c r="Z1447">
        <f>Cancer_doubles_final2[[#This Row],[mlp_test_acc2]]</f>
        <v>0.95979020979020979</v>
      </c>
    </row>
    <row r="1448" spans="1:26" x14ac:dyDescent="0.25">
      <c r="A1448" t="s">
        <v>19</v>
      </c>
      <c r="B1448">
        <v>3</v>
      </c>
      <c r="C1448">
        <v>5</v>
      </c>
      <c r="D1448">
        <v>0</v>
      </c>
      <c r="E1448" t="s">
        <v>731</v>
      </c>
      <c r="F1448">
        <v>39040</v>
      </c>
      <c r="G1448">
        <v>56246163</v>
      </c>
      <c r="H1448">
        <v>0.98339160531759262</v>
      </c>
      <c r="I1448">
        <v>0.94900932400932403</v>
      </c>
      <c r="J1448">
        <v>12568602.875</v>
      </c>
      <c r="K1448">
        <v>77270</v>
      </c>
      <c r="L1448">
        <v>2</v>
      </c>
      <c r="M1448">
        <v>188</v>
      </c>
      <c r="N1448">
        <v>0.94580419580419584</v>
      </c>
      <c r="O1448">
        <v>12193786.583333334</v>
      </c>
      <c r="P1448">
        <v>78059</v>
      </c>
      <c r="Q1448">
        <v>2</v>
      </c>
      <c r="R1448">
        <v>189</v>
      </c>
      <c r="S1448" t="s">
        <v>1120</v>
      </c>
      <c r="W1448">
        <f>Cancer_doubles_final2[[#This Row],[mlp_params]]</f>
        <v>77270</v>
      </c>
      <c r="X1448">
        <f>Cancer_doubles_final2[[#This Row],[kan_test_acc]]</f>
        <v>0.98339160531759262</v>
      </c>
      <c r="Y1448">
        <f>Cancer_doubles_final2[[#This Row],[mlp_test_acc]]</f>
        <v>0.94900932400932403</v>
      </c>
      <c r="Z1448">
        <f>Cancer_doubles_final2[[#This Row],[mlp_test_acc2]]</f>
        <v>0.94580419580419584</v>
      </c>
    </row>
    <row r="1449" spans="1:26" hidden="1" x14ac:dyDescent="0.25">
      <c r="A1449" t="s">
        <v>19</v>
      </c>
      <c r="B1449">
        <v>5</v>
      </c>
      <c r="C1449">
        <v>3</v>
      </c>
      <c r="D1449">
        <v>0</v>
      </c>
      <c r="E1449" t="s">
        <v>731</v>
      </c>
      <c r="F1449">
        <v>39040</v>
      </c>
      <c r="G1449">
        <v>58802610.25</v>
      </c>
      <c r="H1449">
        <v>0.97435896595319116</v>
      </c>
      <c r="I1449">
        <v>0.93706293706293708</v>
      </c>
      <c r="J1449">
        <v>10735647.291666668</v>
      </c>
      <c r="K1449">
        <v>63752</v>
      </c>
      <c r="L1449">
        <v>2</v>
      </c>
      <c r="M1449">
        <v>170</v>
      </c>
      <c r="N1449">
        <v>0.93881118881118875</v>
      </c>
      <c r="O1449">
        <v>12183093.583333334</v>
      </c>
      <c r="P1449">
        <v>64469</v>
      </c>
      <c r="Q1449">
        <v>2</v>
      </c>
      <c r="R1449">
        <v>171</v>
      </c>
      <c r="S1449" t="s">
        <v>1119</v>
      </c>
      <c r="W1449">
        <f>Cancer_doubles_final2[[#This Row],[mlp_params]]</f>
        <v>63752</v>
      </c>
      <c r="X1449">
        <f>Cancer_doubles_final2[[#This Row],[kan_test_acc]]</f>
        <v>0.97435896595319116</v>
      </c>
      <c r="Y1449">
        <f>Cancer_doubles_final2[[#This Row],[mlp_test_acc]]</f>
        <v>0.93706293706293708</v>
      </c>
      <c r="Z1449">
        <f>Cancer_doubles_final2[[#This Row],[mlp_test_acc2]]</f>
        <v>0.93881118881118875</v>
      </c>
    </row>
    <row r="1450" spans="1:26" x14ac:dyDescent="0.25">
      <c r="A1450" t="s">
        <v>19</v>
      </c>
      <c r="B1450">
        <v>3</v>
      </c>
      <c r="C1450">
        <v>5</v>
      </c>
      <c r="D1450">
        <v>0</v>
      </c>
      <c r="E1450" t="s">
        <v>731</v>
      </c>
      <c r="F1450">
        <v>39040</v>
      </c>
      <c r="G1450">
        <v>68434478.541666672</v>
      </c>
      <c r="H1450">
        <v>0.95745920389890671</v>
      </c>
      <c r="I1450">
        <v>0.93793706293706292</v>
      </c>
      <c r="J1450">
        <v>12551243.041666668</v>
      </c>
      <c r="K1450">
        <v>77270</v>
      </c>
      <c r="L1450">
        <v>2</v>
      </c>
      <c r="M1450">
        <v>188</v>
      </c>
      <c r="N1450">
        <v>0.93939393939393945</v>
      </c>
      <c r="O1450">
        <v>13671449.333333334</v>
      </c>
      <c r="P1450">
        <v>78059</v>
      </c>
      <c r="Q1450">
        <v>2</v>
      </c>
      <c r="R1450">
        <v>189</v>
      </c>
      <c r="S1450" t="s">
        <v>1120</v>
      </c>
      <c r="W1450">
        <f>Cancer_doubles_final2[[#This Row],[mlp_params]]</f>
        <v>77270</v>
      </c>
      <c r="X1450">
        <f>Cancer_doubles_final2[[#This Row],[kan_test_acc]]</f>
        <v>0.95745920389890671</v>
      </c>
      <c r="Y1450">
        <f>Cancer_doubles_final2[[#This Row],[mlp_test_acc]]</f>
        <v>0.93793706293706292</v>
      </c>
      <c r="Z1450">
        <f>Cancer_doubles_final2[[#This Row],[mlp_test_acc2]]</f>
        <v>0.93939393939393945</v>
      </c>
    </row>
    <row r="1451" spans="1:26" hidden="1" x14ac:dyDescent="0.25">
      <c r="A1451" t="s">
        <v>19</v>
      </c>
      <c r="B1451">
        <v>5</v>
      </c>
      <c r="C1451">
        <v>3</v>
      </c>
      <c r="D1451">
        <v>0</v>
      </c>
      <c r="E1451" t="s">
        <v>731</v>
      </c>
      <c r="F1451">
        <v>39040</v>
      </c>
      <c r="G1451">
        <v>65184333.625</v>
      </c>
      <c r="H1451">
        <v>0.94493006666501356</v>
      </c>
      <c r="I1451">
        <v>0.91783216783216792</v>
      </c>
      <c r="J1451">
        <v>12792815.041666668</v>
      </c>
      <c r="K1451">
        <v>63752</v>
      </c>
      <c r="L1451">
        <v>2</v>
      </c>
      <c r="M1451">
        <v>170</v>
      </c>
      <c r="N1451">
        <v>0.91928904428904423</v>
      </c>
      <c r="O1451">
        <v>12692571.875</v>
      </c>
      <c r="P1451">
        <v>64469</v>
      </c>
      <c r="Q1451">
        <v>2</v>
      </c>
      <c r="R1451">
        <v>171</v>
      </c>
      <c r="S1451" t="s">
        <v>1119</v>
      </c>
      <c r="W1451">
        <f>Cancer_doubles_final2[[#This Row],[mlp_params]]</f>
        <v>63752</v>
      </c>
      <c r="X1451">
        <f>Cancer_doubles_final2[[#This Row],[kan_test_acc]]</f>
        <v>0.94493006666501356</v>
      </c>
      <c r="Y1451">
        <f>Cancer_doubles_final2[[#This Row],[mlp_test_acc]]</f>
        <v>0.91783216783216792</v>
      </c>
      <c r="Z1451">
        <f>Cancer_doubles_final2[[#This Row],[mlp_test_acc2]]</f>
        <v>0.91928904428904423</v>
      </c>
    </row>
    <row r="1452" spans="1:26" hidden="1" x14ac:dyDescent="0.25">
      <c r="A1452" t="s">
        <v>19</v>
      </c>
      <c r="B1452">
        <v>9</v>
      </c>
      <c r="C1452">
        <v>4</v>
      </c>
      <c r="D1452">
        <v>0</v>
      </c>
      <c r="E1452" t="s">
        <v>286</v>
      </c>
      <c r="F1452">
        <v>39056</v>
      </c>
      <c r="G1452">
        <v>42504345.625</v>
      </c>
      <c r="H1452">
        <v>0.92773892233769095</v>
      </c>
      <c r="I1452">
        <v>0.93181818181818188</v>
      </c>
      <c r="J1452">
        <v>10099230.708333332</v>
      </c>
      <c r="K1452">
        <v>60924</v>
      </c>
      <c r="L1452">
        <v>2</v>
      </c>
      <c r="M1452">
        <v>166</v>
      </c>
      <c r="N1452">
        <v>0.93123543123543118</v>
      </c>
      <c r="O1452">
        <v>9695991.666666666</v>
      </c>
      <c r="P1452">
        <v>61625</v>
      </c>
      <c r="Q1452">
        <v>2</v>
      </c>
      <c r="R1452">
        <v>167</v>
      </c>
      <c r="S1452" t="s">
        <v>1121</v>
      </c>
      <c r="W1452">
        <f>Cancer_doubles_final2[[#This Row],[mlp_params]]</f>
        <v>60924</v>
      </c>
      <c r="X1452">
        <f>Cancer_doubles_final2[[#This Row],[kan_test_acc]]</f>
        <v>0.92773892233769095</v>
      </c>
      <c r="Y1452">
        <f>Cancer_doubles_final2[[#This Row],[mlp_test_acc]]</f>
        <v>0.93181818181818188</v>
      </c>
      <c r="Z1452">
        <f>Cancer_doubles_final2[[#This Row],[mlp_test_acc2]]</f>
        <v>0.93123543123543118</v>
      </c>
    </row>
    <row r="1453" spans="1:26" hidden="1" x14ac:dyDescent="0.25">
      <c r="A1453" t="s">
        <v>19</v>
      </c>
      <c r="B1453">
        <v>9</v>
      </c>
      <c r="C1453">
        <v>3</v>
      </c>
      <c r="D1453">
        <v>0</v>
      </c>
      <c r="E1453" t="s">
        <v>345</v>
      </c>
      <c r="F1453">
        <v>39078</v>
      </c>
      <c r="G1453">
        <v>37486713.416666664</v>
      </c>
      <c r="H1453">
        <v>0.92919579893350601</v>
      </c>
      <c r="I1453">
        <v>0.96998834498834496</v>
      </c>
      <c r="J1453">
        <v>9728319.166666666</v>
      </c>
      <c r="K1453">
        <v>56802</v>
      </c>
      <c r="L1453">
        <v>2</v>
      </c>
      <c r="M1453">
        <v>160</v>
      </c>
      <c r="N1453">
        <v>0.96707459207459201</v>
      </c>
      <c r="O1453">
        <v>9679596</v>
      </c>
      <c r="P1453">
        <v>57479</v>
      </c>
      <c r="Q1453">
        <v>2</v>
      </c>
      <c r="R1453">
        <v>161</v>
      </c>
      <c r="S1453" t="s">
        <v>1122</v>
      </c>
      <c r="W1453">
        <f>Cancer_doubles_final2[[#This Row],[mlp_params]]</f>
        <v>56802</v>
      </c>
      <c r="X1453">
        <f>Cancer_doubles_final2[[#This Row],[kan_test_acc]]</f>
        <v>0.92919579893350601</v>
      </c>
      <c r="Y1453">
        <f>Cancer_doubles_final2[[#This Row],[mlp_test_acc]]</f>
        <v>0.96998834498834496</v>
      </c>
      <c r="Z1453">
        <f>Cancer_doubles_final2[[#This Row],[mlp_test_acc2]]</f>
        <v>0.96707459207459201</v>
      </c>
    </row>
    <row r="1454" spans="1:26" hidden="1" x14ac:dyDescent="0.25">
      <c r="A1454" t="s">
        <v>19</v>
      </c>
      <c r="B1454">
        <v>5</v>
      </c>
      <c r="C1454">
        <v>5</v>
      </c>
      <c r="D1454">
        <v>0</v>
      </c>
      <c r="E1454" t="s">
        <v>508</v>
      </c>
      <c r="F1454">
        <v>39094</v>
      </c>
      <c r="G1454">
        <v>42445578.25</v>
      </c>
      <c r="H1454">
        <v>0.89423077056805289</v>
      </c>
      <c r="I1454">
        <v>0.9475524475524475</v>
      </c>
      <c r="J1454">
        <v>9389772.125</v>
      </c>
      <c r="K1454">
        <v>71859</v>
      </c>
      <c r="L1454">
        <v>2</v>
      </c>
      <c r="M1454">
        <v>181</v>
      </c>
      <c r="N1454">
        <v>0.94900932400932403</v>
      </c>
      <c r="O1454">
        <v>10124573.791666668</v>
      </c>
      <c r="P1454">
        <v>72620</v>
      </c>
      <c r="Q1454">
        <v>2</v>
      </c>
      <c r="R1454">
        <v>182</v>
      </c>
      <c r="S1454" t="s">
        <v>1123</v>
      </c>
      <c r="W1454">
        <f>Cancer_doubles_final2[[#This Row],[mlp_params]]</f>
        <v>71859</v>
      </c>
      <c r="X1454">
        <f>Cancer_doubles_final2[[#This Row],[kan_test_acc]]</f>
        <v>0.89423077056805289</v>
      </c>
      <c r="Y1454">
        <f>Cancer_doubles_final2[[#This Row],[mlp_test_acc]]</f>
        <v>0.9475524475524475</v>
      </c>
      <c r="Z1454">
        <f>Cancer_doubles_final2[[#This Row],[mlp_test_acc2]]</f>
        <v>0.94900932400932403</v>
      </c>
    </row>
    <row r="1455" spans="1:26" hidden="1" x14ac:dyDescent="0.25">
      <c r="A1455" t="s">
        <v>19</v>
      </c>
      <c r="B1455">
        <v>9</v>
      </c>
      <c r="C1455">
        <v>5</v>
      </c>
      <c r="D1455">
        <v>0</v>
      </c>
      <c r="E1455" t="s">
        <v>243</v>
      </c>
      <c r="F1455">
        <v>39102</v>
      </c>
      <c r="G1455">
        <v>48144264.583333336</v>
      </c>
      <c r="H1455">
        <v>0.86402486761411024</v>
      </c>
      <c r="I1455">
        <v>0.93220668220668224</v>
      </c>
      <c r="J1455">
        <v>10575287.333333332</v>
      </c>
      <c r="K1455">
        <v>63752</v>
      </c>
      <c r="L1455">
        <v>2</v>
      </c>
      <c r="M1455">
        <v>170</v>
      </c>
      <c r="N1455">
        <v>0.93453768453768449</v>
      </c>
      <c r="O1455">
        <v>10989422.666666666</v>
      </c>
      <c r="P1455">
        <v>64469</v>
      </c>
      <c r="Q1455">
        <v>2</v>
      </c>
      <c r="R1455">
        <v>171</v>
      </c>
      <c r="S1455" t="s">
        <v>1124</v>
      </c>
      <c r="W1455">
        <f>Cancer_doubles_final2[[#This Row],[mlp_params]]</f>
        <v>63752</v>
      </c>
      <c r="X1455">
        <f>Cancer_doubles_final2[[#This Row],[kan_test_acc]]</f>
        <v>0.86402486761411024</v>
      </c>
      <c r="Y1455">
        <f>Cancer_doubles_final2[[#This Row],[mlp_test_acc]]</f>
        <v>0.93220668220668224</v>
      </c>
      <c r="Z1455">
        <f>Cancer_doubles_final2[[#This Row],[mlp_test_acc2]]</f>
        <v>0.93453768453768449</v>
      </c>
    </row>
    <row r="1456" spans="1:26" hidden="1" x14ac:dyDescent="0.25">
      <c r="A1456" t="s">
        <v>19</v>
      </c>
      <c r="B1456">
        <v>9</v>
      </c>
      <c r="C1456">
        <v>3</v>
      </c>
      <c r="D1456">
        <v>0</v>
      </c>
      <c r="E1456" t="s">
        <v>347</v>
      </c>
      <c r="F1456">
        <v>39140</v>
      </c>
      <c r="G1456">
        <v>40392502.083333336</v>
      </c>
      <c r="H1456">
        <v>0.90763403226931882</v>
      </c>
      <c r="I1456">
        <v>0.94667832167832167</v>
      </c>
      <c r="J1456">
        <v>11471852.75</v>
      </c>
      <c r="K1456">
        <v>56802</v>
      </c>
      <c r="L1456">
        <v>2</v>
      </c>
      <c r="M1456">
        <v>160</v>
      </c>
      <c r="N1456">
        <v>0.94347319347319347</v>
      </c>
      <c r="O1456">
        <v>11039723.25</v>
      </c>
      <c r="P1456">
        <v>57479</v>
      </c>
      <c r="Q1456">
        <v>2</v>
      </c>
      <c r="R1456">
        <v>161</v>
      </c>
      <c r="S1456" t="s">
        <v>1125</v>
      </c>
      <c r="W1456">
        <f>Cancer_doubles_final2[[#This Row],[mlp_params]]</f>
        <v>56802</v>
      </c>
      <c r="X1456">
        <f>Cancer_doubles_final2[[#This Row],[kan_test_acc]]</f>
        <v>0.90763403226931882</v>
      </c>
      <c r="Y1456">
        <f>Cancer_doubles_final2[[#This Row],[mlp_test_acc]]</f>
        <v>0.94667832167832167</v>
      </c>
      <c r="Z1456">
        <f>Cancer_doubles_final2[[#This Row],[mlp_test_acc2]]</f>
        <v>0.94347319347319347</v>
      </c>
    </row>
    <row r="1457" spans="1:26" hidden="1" x14ac:dyDescent="0.25">
      <c r="A1457" t="s">
        <v>19</v>
      </c>
      <c r="B1457">
        <v>9</v>
      </c>
      <c r="C1457">
        <v>2</v>
      </c>
      <c r="D1457">
        <v>0</v>
      </c>
      <c r="E1457" t="s">
        <v>417</v>
      </c>
      <c r="F1457">
        <v>39232</v>
      </c>
      <c r="G1457">
        <v>31913852.166666668</v>
      </c>
      <c r="H1457">
        <v>0.94842656205097831</v>
      </c>
      <c r="I1457">
        <v>0.94376456876456871</v>
      </c>
      <c r="J1457">
        <v>9365508.9583333321</v>
      </c>
      <c r="K1457">
        <v>52824</v>
      </c>
      <c r="L1457">
        <v>2</v>
      </c>
      <c r="M1457">
        <v>154</v>
      </c>
      <c r="N1457">
        <v>0.94259906759906764</v>
      </c>
      <c r="O1457">
        <v>9204391.541666666</v>
      </c>
      <c r="P1457">
        <v>53477</v>
      </c>
      <c r="Q1457">
        <v>2</v>
      </c>
      <c r="R1457">
        <v>155</v>
      </c>
      <c r="S1457" t="s">
        <v>1126</v>
      </c>
      <c r="W1457">
        <f>Cancer_doubles_final2[[#This Row],[mlp_params]]</f>
        <v>52824</v>
      </c>
      <c r="X1457">
        <f>Cancer_doubles_final2[[#This Row],[kan_test_acc]]</f>
        <v>0.94842656205097831</v>
      </c>
      <c r="Y1457">
        <f>Cancer_doubles_final2[[#This Row],[mlp_test_acc]]</f>
        <v>0.94376456876456871</v>
      </c>
      <c r="Z1457">
        <f>Cancer_doubles_final2[[#This Row],[mlp_test_acc2]]</f>
        <v>0.94259906759906764</v>
      </c>
    </row>
    <row r="1458" spans="1:26" hidden="1" x14ac:dyDescent="0.25">
      <c r="A1458" t="s">
        <v>19</v>
      </c>
      <c r="B1458">
        <v>9</v>
      </c>
      <c r="C1458">
        <v>4</v>
      </c>
      <c r="D1458">
        <v>0</v>
      </c>
      <c r="E1458" t="s">
        <v>290</v>
      </c>
      <c r="F1458">
        <v>39242</v>
      </c>
      <c r="G1458">
        <v>33891255.333333336</v>
      </c>
      <c r="H1458">
        <v>0.92599066760804916</v>
      </c>
      <c r="I1458">
        <v>0.9222999222999223</v>
      </c>
      <c r="J1458">
        <v>8752723.416666666</v>
      </c>
      <c r="K1458">
        <v>60924</v>
      </c>
      <c r="L1458">
        <v>2</v>
      </c>
      <c r="M1458">
        <v>166</v>
      </c>
      <c r="N1458">
        <v>0.92443667443667443</v>
      </c>
      <c r="O1458">
        <v>10415765.083333334</v>
      </c>
      <c r="P1458">
        <v>61625</v>
      </c>
      <c r="Q1458">
        <v>2</v>
      </c>
      <c r="R1458">
        <v>167</v>
      </c>
      <c r="S1458" t="s">
        <v>1127</v>
      </c>
      <c r="W1458">
        <f>Cancer_doubles_final2[[#This Row],[mlp_params]]</f>
        <v>60924</v>
      </c>
      <c r="X1458">
        <f>Cancer_doubles_final2[[#This Row],[kan_test_acc]]</f>
        <v>0.92599066760804916</v>
      </c>
      <c r="Y1458">
        <f>Cancer_doubles_final2[[#This Row],[mlp_test_acc]]</f>
        <v>0.9222999222999223</v>
      </c>
      <c r="Z1458">
        <f>Cancer_doubles_final2[[#This Row],[mlp_test_acc2]]</f>
        <v>0.92443667443667443</v>
      </c>
    </row>
    <row r="1459" spans="1:26" hidden="1" x14ac:dyDescent="0.25">
      <c r="A1459" t="s">
        <v>19</v>
      </c>
      <c r="B1459">
        <v>9</v>
      </c>
      <c r="C1459">
        <v>5</v>
      </c>
      <c r="D1459">
        <v>0</v>
      </c>
      <c r="E1459" t="s">
        <v>250</v>
      </c>
      <c r="F1459">
        <v>39312</v>
      </c>
      <c r="G1459">
        <v>40004226.666666672</v>
      </c>
      <c r="H1459">
        <v>0.89656177163124084</v>
      </c>
      <c r="I1459">
        <v>0.94988344988344986</v>
      </c>
      <c r="J1459">
        <v>10259305.958333334</v>
      </c>
      <c r="K1459">
        <v>64469</v>
      </c>
      <c r="L1459">
        <v>2</v>
      </c>
      <c r="M1459">
        <v>171</v>
      </c>
      <c r="N1459">
        <v>0.9533799533799534</v>
      </c>
      <c r="O1459">
        <v>11537296.291666668</v>
      </c>
      <c r="P1459">
        <v>65190</v>
      </c>
      <c r="Q1459">
        <v>2</v>
      </c>
      <c r="R1459">
        <v>172</v>
      </c>
      <c r="S1459" t="s">
        <v>1128</v>
      </c>
      <c r="W1459">
        <f>Cancer_doubles_final2[[#This Row],[mlp_params]]</f>
        <v>64469</v>
      </c>
      <c r="X1459">
        <f>Cancer_doubles_final2[[#This Row],[kan_test_acc]]</f>
        <v>0.89656177163124084</v>
      </c>
      <c r="Y1459">
        <f>Cancer_doubles_final2[[#This Row],[mlp_test_acc]]</f>
        <v>0.94988344988344986</v>
      </c>
      <c r="Z1459">
        <f>Cancer_doubles_final2[[#This Row],[mlp_test_acc2]]</f>
        <v>0.9533799533799534</v>
      </c>
    </row>
    <row r="1460" spans="1:26" hidden="1" x14ac:dyDescent="0.25">
      <c r="A1460" t="s">
        <v>19</v>
      </c>
      <c r="B1460">
        <v>9</v>
      </c>
      <c r="C1460">
        <v>4</v>
      </c>
      <c r="D1460">
        <v>0</v>
      </c>
      <c r="E1460" t="s">
        <v>293</v>
      </c>
      <c r="F1460">
        <v>39374</v>
      </c>
      <c r="G1460">
        <v>40137885.083333336</v>
      </c>
      <c r="H1460">
        <v>0.90209790070851636</v>
      </c>
      <c r="I1460">
        <v>0.95192307692307687</v>
      </c>
      <c r="J1460">
        <v>10707966.625</v>
      </c>
      <c r="K1460">
        <v>60924</v>
      </c>
      <c r="L1460">
        <v>2</v>
      </c>
      <c r="M1460">
        <v>166</v>
      </c>
      <c r="N1460">
        <v>0.953962703962704</v>
      </c>
      <c r="O1460">
        <v>11629248.875</v>
      </c>
      <c r="P1460">
        <v>61625</v>
      </c>
      <c r="Q1460">
        <v>2</v>
      </c>
      <c r="R1460">
        <v>167</v>
      </c>
      <c r="S1460" t="s">
        <v>1129</v>
      </c>
      <c r="W1460">
        <f>Cancer_doubles_final2[[#This Row],[mlp_params]]</f>
        <v>60924</v>
      </c>
      <c r="X1460">
        <f>Cancer_doubles_final2[[#This Row],[kan_test_acc]]</f>
        <v>0.90209790070851636</v>
      </c>
      <c r="Y1460">
        <f>Cancer_doubles_final2[[#This Row],[mlp_test_acc]]</f>
        <v>0.95192307692307687</v>
      </c>
      <c r="Z1460">
        <f>Cancer_doubles_final2[[#This Row],[mlp_test_acc2]]</f>
        <v>0.953962703962704</v>
      </c>
    </row>
    <row r="1461" spans="1:26" hidden="1" x14ac:dyDescent="0.25">
      <c r="A1461" t="s">
        <v>19</v>
      </c>
      <c r="B1461">
        <v>9</v>
      </c>
      <c r="C1461">
        <v>4</v>
      </c>
      <c r="D1461">
        <v>0</v>
      </c>
      <c r="E1461" t="s">
        <v>296</v>
      </c>
      <c r="F1461">
        <v>39436</v>
      </c>
      <c r="G1461">
        <v>41517378.208333328</v>
      </c>
      <c r="H1461">
        <v>0.93356643120447791</v>
      </c>
      <c r="I1461">
        <v>0.95192307692307687</v>
      </c>
      <c r="J1461">
        <v>10597298.416666666</v>
      </c>
      <c r="K1461">
        <v>60924</v>
      </c>
      <c r="L1461">
        <v>2</v>
      </c>
      <c r="M1461">
        <v>166</v>
      </c>
      <c r="N1461">
        <v>0.95308857808857805</v>
      </c>
      <c r="O1461">
        <v>10843498.666666666</v>
      </c>
      <c r="P1461">
        <v>61625</v>
      </c>
      <c r="Q1461">
        <v>2</v>
      </c>
      <c r="R1461">
        <v>167</v>
      </c>
      <c r="S1461" t="s">
        <v>1130</v>
      </c>
      <c r="W1461">
        <f>Cancer_doubles_final2[[#This Row],[mlp_params]]</f>
        <v>60924</v>
      </c>
      <c r="X1461">
        <f>Cancer_doubles_final2[[#This Row],[kan_test_acc]]</f>
        <v>0.93356643120447791</v>
      </c>
      <c r="Y1461">
        <f>Cancer_doubles_final2[[#This Row],[mlp_test_acc]]</f>
        <v>0.95192307692307687</v>
      </c>
      <c r="Z1461">
        <f>Cancer_doubles_final2[[#This Row],[mlp_test_acc2]]</f>
        <v>0.95308857808857805</v>
      </c>
    </row>
    <row r="1462" spans="1:26" hidden="1" x14ac:dyDescent="0.25">
      <c r="A1462" t="s">
        <v>19</v>
      </c>
      <c r="B1462">
        <v>9</v>
      </c>
      <c r="C1462">
        <v>5</v>
      </c>
      <c r="D1462">
        <v>0</v>
      </c>
      <c r="E1462" t="s">
        <v>252</v>
      </c>
      <c r="F1462">
        <v>39444</v>
      </c>
      <c r="G1462">
        <v>40073296.041666664</v>
      </c>
      <c r="H1462">
        <v>0.88578088457385706</v>
      </c>
      <c r="I1462">
        <v>0.94959207459207462</v>
      </c>
      <c r="J1462">
        <v>10768957.25</v>
      </c>
      <c r="K1462">
        <v>64469</v>
      </c>
      <c r="L1462">
        <v>2</v>
      </c>
      <c r="M1462">
        <v>171</v>
      </c>
      <c r="N1462">
        <v>0.95104895104895104</v>
      </c>
      <c r="O1462">
        <v>11957518.791666668</v>
      </c>
      <c r="P1462">
        <v>65190</v>
      </c>
      <c r="Q1462">
        <v>2</v>
      </c>
      <c r="R1462">
        <v>172</v>
      </c>
      <c r="S1462" t="s">
        <v>1131</v>
      </c>
      <c r="W1462">
        <f>Cancer_doubles_final2[[#This Row],[mlp_params]]</f>
        <v>64469</v>
      </c>
      <c r="X1462">
        <f>Cancer_doubles_final2[[#This Row],[kan_test_acc]]</f>
        <v>0.88578088457385706</v>
      </c>
      <c r="Y1462">
        <f>Cancer_doubles_final2[[#This Row],[mlp_test_acc]]</f>
        <v>0.94959207459207462</v>
      </c>
      <c r="Z1462">
        <f>Cancer_doubles_final2[[#This Row],[mlp_test_acc2]]</f>
        <v>0.95104895104895104</v>
      </c>
    </row>
    <row r="1463" spans="1:26" hidden="1" x14ac:dyDescent="0.25">
      <c r="A1463" t="s">
        <v>19</v>
      </c>
      <c r="B1463">
        <v>5</v>
      </c>
      <c r="C1463">
        <v>4</v>
      </c>
      <c r="D1463">
        <v>0</v>
      </c>
      <c r="E1463" t="s">
        <v>630</v>
      </c>
      <c r="F1463">
        <v>39504</v>
      </c>
      <c r="G1463">
        <v>38224147.083333328</v>
      </c>
      <c r="H1463">
        <v>0.90268064911166834</v>
      </c>
      <c r="I1463">
        <v>0.93677156177156184</v>
      </c>
      <c r="J1463">
        <v>10173006.333333334</v>
      </c>
      <c r="K1463">
        <v>68855</v>
      </c>
      <c r="L1463">
        <v>2</v>
      </c>
      <c r="M1463">
        <v>177</v>
      </c>
      <c r="N1463">
        <v>0.93939393939393945</v>
      </c>
      <c r="O1463">
        <v>10968641.041666668</v>
      </c>
      <c r="P1463">
        <v>69600</v>
      </c>
      <c r="Q1463">
        <v>2</v>
      </c>
      <c r="R1463">
        <v>178</v>
      </c>
      <c r="S1463" t="s">
        <v>1132</v>
      </c>
      <c r="W1463">
        <f>Cancer_doubles_final2[[#This Row],[mlp_params]]</f>
        <v>68855</v>
      </c>
      <c r="X1463">
        <f>Cancer_doubles_final2[[#This Row],[kan_test_acc]]</f>
        <v>0.90268064911166834</v>
      </c>
      <c r="Y1463">
        <f>Cancer_doubles_final2[[#This Row],[mlp_test_acc]]</f>
        <v>0.93677156177156184</v>
      </c>
      <c r="Z1463">
        <f>Cancer_doubles_final2[[#This Row],[mlp_test_acc2]]</f>
        <v>0.93939393939393945</v>
      </c>
    </row>
    <row r="1464" spans="1:26" hidden="1" x14ac:dyDescent="0.25">
      <c r="A1464" t="s">
        <v>19</v>
      </c>
      <c r="B1464">
        <v>9</v>
      </c>
      <c r="C1464">
        <v>3</v>
      </c>
      <c r="D1464">
        <v>0</v>
      </c>
      <c r="E1464" t="s">
        <v>353</v>
      </c>
      <c r="F1464">
        <v>39506</v>
      </c>
      <c r="G1464">
        <v>41304051.083333336</v>
      </c>
      <c r="H1464">
        <v>0.95726495153374136</v>
      </c>
      <c r="I1464">
        <v>0.94852369852369856</v>
      </c>
      <c r="J1464">
        <v>9279406.944444444</v>
      </c>
      <c r="K1464">
        <v>57479</v>
      </c>
      <c r="L1464">
        <v>2</v>
      </c>
      <c r="M1464">
        <v>161</v>
      </c>
      <c r="N1464">
        <v>0.94968919968919974</v>
      </c>
      <c r="O1464">
        <v>9221558.1111111101</v>
      </c>
      <c r="P1464">
        <v>58160</v>
      </c>
      <c r="Q1464">
        <v>2</v>
      </c>
      <c r="R1464">
        <v>162</v>
      </c>
      <c r="S1464" t="s">
        <v>1133</v>
      </c>
      <c r="W1464">
        <f>Cancer_doubles_final2[[#This Row],[mlp_params]]</f>
        <v>57479</v>
      </c>
      <c r="X1464">
        <f>Cancer_doubles_final2[[#This Row],[kan_test_acc]]</f>
        <v>0.95726495153374136</v>
      </c>
      <c r="Y1464">
        <f>Cancer_doubles_final2[[#This Row],[mlp_test_acc]]</f>
        <v>0.94852369852369856</v>
      </c>
      <c r="Z1464">
        <f>Cancer_doubles_final2[[#This Row],[mlp_test_acc2]]</f>
        <v>0.94968919968919974</v>
      </c>
    </row>
    <row r="1465" spans="1:26" hidden="1" x14ac:dyDescent="0.25">
      <c r="A1465" t="s">
        <v>19</v>
      </c>
      <c r="B1465">
        <v>9</v>
      </c>
      <c r="C1465">
        <v>5</v>
      </c>
      <c r="D1465">
        <v>0</v>
      </c>
      <c r="E1465" t="s">
        <v>256</v>
      </c>
      <c r="F1465">
        <v>39514</v>
      </c>
      <c r="G1465">
        <v>46938758.861111112</v>
      </c>
      <c r="H1465">
        <v>0.90190365082687796</v>
      </c>
      <c r="I1465">
        <v>0.94405594405594406</v>
      </c>
      <c r="J1465">
        <v>9744271.222222222</v>
      </c>
      <c r="K1465">
        <v>64469</v>
      </c>
      <c r="L1465">
        <v>2</v>
      </c>
      <c r="M1465">
        <v>171</v>
      </c>
      <c r="N1465">
        <v>0.94347319347319347</v>
      </c>
      <c r="O1465">
        <v>10229361.25</v>
      </c>
      <c r="P1465">
        <v>65190</v>
      </c>
      <c r="Q1465">
        <v>2</v>
      </c>
      <c r="R1465">
        <v>172</v>
      </c>
      <c r="S1465" t="s">
        <v>1134</v>
      </c>
      <c r="W1465">
        <f>Cancer_doubles_final2[[#This Row],[mlp_params]]</f>
        <v>64469</v>
      </c>
      <c r="X1465">
        <f>Cancer_doubles_final2[[#This Row],[kan_test_acc]]</f>
        <v>0.90190365082687796</v>
      </c>
      <c r="Y1465">
        <f>Cancer_doubles_final2[[#This Row],[mlp_test_acc]]</f>
        <v>0.94405594405594406</v>
      </c>
      <c r="Z1465">
        <f>Cancer_doubles_final2[[#This Row],[mlp_test_acc2]]</f>
        <v>0.94347319347319347</v>
      </c>
    </row>
    <row r="1466" spans="1:26" hidden="1" x14ac:dyDescent="0.25">
      <c r="A1466" t="s">
        <v>19</v>
      </c>
      <c r="B1466">
        <v>5</v>
      </c>
      <c r="C1466">
        <v>5</v>
      </c>
      <c r="D1466">
        <v>0</v>
      </c>
      <c r="E1466" t="s">
        <v>520</v>
      </c>
      <c r="F1466">
        <v>39560</v>
      </c>
      <c r="G1466">
        <v>45770298.458333328</v>
      </c>
      <c r="H1466">
        <v>0.87733100106318784</v>
      </c>
      <c r="I1466">
        <v>0.93677156177156173</v>
      </c>
      <c r="J1466">
        <v>10649842.458333334</v>
      </c>
      <c r="K1466">
        <v>72620</v>
      </c>
      <c r="L1466">
        <v>2</v>
      </c>
      <c r="M1466">
        <v>182</v>
      </c>
      <c r="N1466">
        <v>0.9358974358974359</v>
      </c>
      <c r="O1466">
        <v>11134813.75</v>
      </c>
      <c r="P1466">
        <v>73385</v>
      </c>
      <c r="Q1466">
        <v>2</v>
      </c>
      <c r="R1466">
        <v>183</v>
      </c>
      <c r="S1466" t="s">
        <v>1135</v>
      </c>
      <c r="W1466">
        <f>Cancer_doubles_final2[[#This Row],[mlp_params]]</f>
        <v>72620</v>
      </c>
      <c r="X1466">
        <f>Cancer_doubles_final2[[#This Row],[kan_test_acc]]</f>
        <v>0.87733100106318784</v>
      </c>
      <c r="Y1466">
        <f>Cancer_doubles_final2[[#This Row],[mlp_test_acc]]</f>
        <v>0.93677156177156173</v>
      </c>
      <c r="Z1466">
        <f>Cancer_doubles_final2[[#This Row],[mlp_test_acc2]]</f>
        <v>0.9358974358974359</v>
      </c>
    </row>
    <row r="1467" spans="1:26" hidden="1" x14ac:dyDescent="0.25">
      <c r="A1467" t="s">
        <v>19</v>
      </c>
      <c r="B1467">
        <v>9</v>
      </c>
      <c r="C1467">
        <v>2</v>
      </c>
      <c r="D1467">
        <v>0</v>
      </c>
      <c r="E1467" t="s">
        <v>433</v>
      </c>
      <c r="F1467">
        <v>39562</v>
      </c>
      <c r="G1467">
        <v>42304424.166666672</v>
      </c>
      <c r="H1467">
        <v>0.91355866856045198</v>
      </c>
      <c r="I1467">
        <v>0.92832167832167833</v>
      </c>
      <c r="J1467">
        <v>9959123.472222222</v>
      </c>
      <c r="K1467">
        <v>53477</v>
      </c>
      <c r="L1467">
        <v>2</v>
      </c>
      <c r="M1467">
        <v>155</v>
      </c>
      <c r="N1467">
        <v>0.92871017871017869</v>
      </c>
      <c r="O1467">
        <v>9738105.472222222</v>
      </c>
      <c r="P1467">
        <v>54134</v>
      </c>
      <c r="Q1467">
        <v>2</v>
      </c>
      <c r="R1467">
        <v>156</v>
      </c>
      <c r="S1467" t="s">
        <v>1136</v>
      </c>
      <c r="W1467">
        <f>Cancer_doubles_final2[[#This Row],[mlp_params]]</f>
        <v>53477</v>
      </c>
      <c r="X1467">
        <f>Cancer_doubles_final2[[#This Row],[kan_test_acc]]</f>
        <v>0.91355866856045198</v>
      </c>
      <c r="Y1467">
        <f>Cancer_doubles_final2[[#This Row],[mlp_test_acc]]</f>
        <v>0.92832167832167833</v>
      </c>
      <c r="Z1467">
        <f>Cancer_doubles_final2[[#This Row],[mlp_test_acc2]]</f>
        <v>0.92871017871017869</v>
      </c>
    </row>
    <row r="1468" spans="1:26" hidden="1" x14ac:dyDescent="0.25">
      <c r="A1468" t="s">
        <v>19</v>
      </c>
      <c r="B1468">
        <v>9</v>
      </c>
      <c r="C1468">
        <v>2</v>
      </c>
      <c r="D1468">
        <v>0</v>
      </c>
      <c r="E1468" t="s">
        <v>435</v>
      </c>
      <c r="F1468">
        <v>39566</v>
      </c>
      <c r="G1468">
        <v>29329260.694444444</v>
      </c>
      <c r="H1468">
        <v>0.92307692766189575</v>
      </c>
      <c r="I1468">
        <v>0.91142191142191142</v>
      </c>
      <c r="J1468">
        <v>8837131.055555556</v>
      </c>
      <c r="K1468">
        <v>53477</v>
      </c>
      <c r="L1468">
        <v>2</v>
      </c>
      <c r="M1468">
        <v>155</v>
      </c>
      <c r="N1468">
        <v>0.91491841491841486</v>
      </c>
      <c r="O1468">
        <v>9498709.777777778</v>
      </c>
      <c r="P1468">
        <v>54134</v>
      </c>
      <c r="Q1468">
        <v>2</v>
      </c>
      <c r="R1468">
        <v>156</v>
      </c>
      <c r="S1468" t="s">
        <v>1137</v>
      </c>
      <c r="W1468">
        <f>Cancer_doubles_final2[[#This Row],[mlp_params]]</f>
        <v>53477</v>
      </c>
      <c r="X1468">
        <f>Cancer_doubles_final2[[#This Row],[kan_test_acc]]</f>
        <v>0.92307692766189575</v>
      </c>
      <c r="Y1468">
        <f>Cancer_doubles_final2[[#This Row],[mlp_test_acc]]</f>
        <v>0.91142191142191142</v>
      </c>
      <c r="Z1468">
        <f>Cancer_doubles_final2[[#This Row],[mlp_test_acc2]]</f>
        <v>0.91491841491841486</v>
      </c>
    </row>
    <row r="1469" spans="1:26" hidden="1" x14ac:dyDescent="0.25">
      <c r="A1469" t="s">
        <v>19</v>
      </c>
      <c r="B1469">
        <v>9</v>
      </c>
      <c r="C1469">
        <v>2</v>
      </c>
      <c r="D1469">
        <v>0</v>
      </c>
      <c r="E1469" t="s">
        <v>437</v>
      </c>
      <c r="F1469">
        <v>39572</v>
      </c>
      <c r="G1469">
        <v>29660393.472222224</v>
      </c>
      <c r="H1469">
        <v>0.92152292033036554</v>
      </c>
      <c r="I1469">
        <v>0.91181041181041178</v>
      </c>
      <c r="J1469">
        <v>9515641.277777778</v>
      </c>
      <c r="K1469">
        <v>53477</v>
      </c>
      <c r="L1469">
        <v>2</v>
      </c>
      <c r="M1469">
        <v>155</v>
      </c>
      <c r="N1469">
        <v>0.9145299145299145</v>
      </c>
      <c r="O1469">
        <v>9710688.222222222</v>
      </c>
      <c r="P1469">
        <v>54134</v>
      </c>
      <c r="Q1469">
        <v>2</v>
      </c>
      <c r="R1469">
        <v>156</v>
      </c>
      <c r="S1469" t="s">
        <v>1138</v>
      </c>
      <c r="W1469">
        <f>Cancer_doubles_final2[[#This Row],[mlp_params]]</f>
        <v>53477</v>
      </c>
      <c r="X1469">
        <f>Cancer_doubles_final2[[#This Row],[kan_test_acc]]</f>
        <v>0.92152292033036554</v>
      </c>
      <c r="Y1469">
        <f>Cancer_doubles_final2[[#This Row],[mlp_test_acc]]</f>
        <v>0.91181041181041178</v>
      </c>
      <c r="Z1469">
        <f>Cancer_doubles_final2[[#This Row],[mlp_test_acc2]]</f>
        <v>0.9145299145299145</v>
      </c>
    </row>
    <row r="1470" spans="1:26" hidden="1" x14ac:dyDescent="0.25">
      <c r="A1470" t="s">
        <v>19</v>
      </c>
      <c r="B1470">
        <v>9</v>
      </c>
      <c r="C1470">
        <v>2</v>
      </c>
      <c r="D1470">
        <v>0</v>
      </c>
      <c r="E1470" t="s">
        <v>439</v>
      </c>
      <c r="F1470">
        <v>39676</v>
      </c>
      <c r="G1470">
        <v>30279610.75</v>
      </c>
      <c r="H1470">
        <v>0.92074592080381179</v>
      </c>
      <c r="I1470">
        <v>0.91278166278166284</v>
      </c>
      <c r="J1470">
        <v>9185714.527777778</v>
      </c>
      <c r="K1470">
        <v>53477</v>
      </c>
      <c r="L1470">
        <v>2</v>
      </c>
      <c r="M1470">
        <v>155</v>
      </c>
      <c r="N1470">
        <v>0.91550116550116545</v>
      </c>
      <c r="O1470">
        <v>9846522.694444444</v>
      </c>
      <c r="P1470">
        <v>54134</v>
      </c>
      <c r="Q1470">
        <v>2</v>
      </c>
      <c r="R1470">
        <v>156</v>
      </c>
      <c r="S1470" t="s">
        <v>1139</v>
      </c>
      <c r="W1470">
        <f>Cancer_doubles_final2[[#This Row],[mlp_params]]</f>
        <v>53477</v>
      </c>
      <c r="X1470">
        <f>Cancer_doubles_final2[[#This Row],[kan_test_acc]]</f>
        <v>0.92074592080381179</v>
      </c>
      <c r="Y1470">
        <f>Cancer_doubles_final2[[#This Row],[mlp_test_acc]]</f>
        <v>0.91278166278166284</v>
      </c>
      <c r="Z1470">
        <f>Cancer_doubles_final2[[#This Row],[mlp_test_acc2]]</f>
        <v>0.91550116550116545</v>
      </c>
    </row>
    <row r="1471" spans="1:26" hidden="1" x14ac:dyDescent="0.25">
      <c r="A1471" t="s">
        <v>19</v>
      </c>
      <c r="B1471">
        <v>5</v>
      </c>
      <c r="C1471">
        <v>4</v>
      </c>
      <c r="D1471">
        <v>0</v>
      </c>
      <c r="E1471" t="s">
        <v>633</v>
      </c>
      <c r="F1471">
        <v>39694</v>
      </c>
      <c r="G1471">
        <v>35256193.305555552</v>
      </c>
      <c r="H1471">
        <v>0.92171717186768853</v>
      </c>
      <c r="I1471">
        <v>0.91724941724941722</v>
      </c>
      <c r="J1471">
        <v>8801129.777777778</v>
      </c>
      <c r="K1471">
        <v>68855</v>
      </c>
      <c r="L1471">
        <v>2</v>
      </c>
      <c r="M1471">
        <v>177</v>
      </c>
      <c r="N1471">
        <v>0.91822066822066828</v>
      </c>
      <c r="O1471">
        <v>10129539.277777778</v>
      </c>
      <c r="P1471">
        <v>69600</v>
      </c>
      <c r="Q1471">
        <v>2</v>
      </c>
      <c r="R1471">
        <v>178</v>
      </c>
      <c r="S1471" t="s">
        <v>1140</v>
      </c>
      <c r="W1471">
        <f>Cancer_doubles_final2[[#This Row],[mlp_params]]</f>
        <v>68855</v>
      </c>
      <c r="X1471">
        <f>Cancer_doubles_final2[[#This Row],[kan_test_acc]]</f>
        <v>0.92171717186768853</v>
      </c>
      <c r="Y1471">
        <f>Cancer_doubles_final2[[#This Row],[mlp_test_acc]]</f>
        <v>0.91724941724941722</v>
      </c>
      <c r="Z1471">
        <f>Cancer_doubles_final2[[#This Row],[mlp_test_acc2]]</f>
        <v>0.91822066822066828</v>
      </c>
    </row>
    <row r="1472" spans="1:26" hidden="1" x14ac:dyDescent="0.25">
      <c r="A1472" t="s">
        <v>19</v>
      </c>
      <c r="B1472">
        <v>5</v>
      </c>
      <c r="C1472">
        <v>5</v>
      </c>
      <c r="D1472">
        <v>0</v>
      </c>
      <c r="E1472" t="s">
        <v>526</v>
      </c>
      <c r="F1472">
        <v>39818</v>
      </c>
      <c r="G1472">
        <v>48540915.222222224</v>
      </c>
      <c r="H1472">
        <v>0.9211344222227732</v>
      </c>
      <c r="I1472">
        <v>0.93065268065268059</v>
      </c>
      <c r="J1472">
        <v>9367468.5833333321</v>
      </c>
      <c r="K1472">
        <v>73385</v>
      </c>
      <c r="L1472">
        <v>2</v>
      </c>
      <c r="M1472">
        <v>183</v>
      </c>
      <c r="N1472">
        <v>0.93278943278943283</v>
      </c>
      <c r="O1472">
        <v>9501966.777777778</v>
      </c>
      <c r="P1472">
        <v>74154</v>
      </c>
      <c r="Q1472">
        <v>2</v>
      </c>
      <c r="R1472">
        <v>184</v>
      </c>
      <c r="S1472" t="s">
        <v>1141</v>
      </c>
      <c r="W1472">
        <f>Cancer_doubles_final2[[#This Row],[mlp_params]]</f>
        <v>73385</v>
      </c>
      <c r="X1472">
        <f>Cancer_doubles_final2[[#This Row],[kan_test_acc]]</f>
        <v>0.9211344222227732</v>
      </c>
      <c r="Y1472">
        <f>Cancer_doubles_final2[[#This Row],[mlp_test_acc]]</f>
        <v>0.93065268065268059</v>
      </c>
      <c r="Z1472">
        <f>Cancer_doubles_final2[[#This Row],[mlp_test_acc2]]</f>
        <v>0.93278943278943283</v>
      </c>
    </row>
    <row r="1473" spans="1:26" hidden="1" x14ac:dyDescent="0.25">
      <c r="A1473" t="s">
        <v>19</v>
      </c>
      <c r="B1473">
        <v>9</v>
      </c>
      <c r="C1473">
        <v>5</v>
      </c>
      <c r="D1473">
        <v>0</v>
      </c>
      <c r="E1473" t="s">
        <v>260</v>
      </c>
      <c r="F1473">
        <v>39850</v>
      </c>
      <c r="G1473">
        <v>55591915.583333336</v>
      </c>
      <c r="H1473">
        <v>0.85256410307354402</v>
      </c>
      <c r="I1473">
        <v>0.91627816627816627</v>
      </c>
      <c r="J1473">
        <v>12070363.5</v>
      </c>
      <c r="K1473">
        <v>65190</v>
      </c>
      <c r="L1473">
        <v>2</v>
      </c>
      <c r="M1473">
        <v>172</v>
      </c>
      <c r="N1473">
        <v>0.91899766899766899</v>
      </c>
      <c r="O1473">
        <v>11995099.666666666</v>
      </c>
      <c r="P1473">
        <v>65915</v>
      </c>
      <c r="Q1473">
        <v>2</v>
      </c>
      <c r="R1473">
        <v>173</v>
      </c>
      <c r="S1473" t="s">
        <v>1142</v>
      </c>
      <c r="W1473">
        <f>Cancer_doubles_final2[[#This Row],[mlp_params]]</f>
        <v>65190</v>
      </c>
      <c r="X1473">
        <f>Cancer_doubles_final2[[#This Row],[kan_test_acc]]</f>
        <v>0.85256410307354402</v>
      </c>
      <c r="Y1473">
        <f>Cancer_doubles_final2[[#This Row],[mlp_test_acc]]</f>
        <v>0.91627816627816627</v>
      </c>
      <c r="Z1473">
        <f>Cancer_doubles_final2[[#This Row],[mlp_test_acc2]]</f>
        <v>0.91899766899766899</v>
      </c>
    </row>
    <row r="1474" spans="1:26" hidden="1" x14ac:dyDescent="0.25">
      <c r="A1474" t="s">
        <v>19</v>
      </c>
      <c r="B1474">
        <v>5</v>
      </c>
      <c r="C1474">
        <v>5</v>
      </c>
      <c r="D1474">
        <v>0</v>
      </c>
      <c r="E1474" t="s">
        <v>530</v>
      </c>
      <c r="F1474">
        <v>39868</v>
      </c>
      <c r="G1474">
        <v>56265382.791666672</v>
      </c>
      <c r="H1474">
        <v>0.86159673581520724</v>
      </c>
      <c r="I1474">
        <v>0.92191142191142195</v>
      </c>
      <c r="J1474">
        <v>13035371.5</v>
      </c>
      <c r="K1474">
        <v>73385</v>
      </c>
      <c r="L1474">
        <v>2</v>
      </c>
      <c r="M1474">
        <v>183</v>
      </c>
      <c r="N1474">
        <v>0.9216200466200466</v>
      </c>
      <c r="O1474">
        <v>12434614.083333332</v>
      </c>
      <c r="P1474">
        <v>74154</v>
      </c>
      <c r="Q1474">
        <v>2</v>
      </c>
      <c r="R1474">
        <v>184</v>
      </c>
      <c r="S1474" t="s">
        <v>1143</v>
      </c>
      <c r="W1474">
        <f>Cancer_doubles_final2[[#This Row],[mlp_params]]</f>
        <v>73385</v>
      </c>
      <c r="X1474">
        <f>Cancer_doubles_final2[[#This Row],[kan_test_acc]]</f>
        <v>0.86159673581520724</v>
      </c>
      <c r="Y1474">
        <f>Cancer_doubles_final2[[#This Row],[mlp_test_acc]]</f>
        <v>0.92191142191142195</v>
      </c>
      <c r="Z1474">
        <f>Cancer_doubles_final2[[#This Row],[mlp_test_acc2]]</f>
        <v>0.9216200466200466</v>
      </c>
    </row>
    <row r="1475" spans="1:26" hidden="1" x14ac:dyDescent="0.25">
      <c r="A1475" t="s">
        <v>19</v>
      </c>
      <c r="B1475">
        <v>9</v>
      </c>
      <c r="C1475">
        <v>3</v>
      </c>
      <c r="D1475">
        <v>0</v>
      </c>
      <c r="E1475" t="s">
        <v>365</v>
      </c>
      <c r="F1475">
        <v>39978</v>
      </c>
      <c r="G1475">
        <v>47324516.277777776</v>
      </c>
      <c r="H1475">
        <v>0.9083139085107379</v>
      </c>
      <c r="I1475">
        <v>0.93104118104118105</v>
      </c>
      <c r="J1475">
        <v>10079659.25</v>
      </c>
      <c r="K1475">
        <v>58160</v>
      </c>
      <c r="L1475">
        <v>2</v>
      </c>
      <c r="M1475">
        <v>162</v>
      </c>
      <c r="N1475">
        <v>0.92909867909867905</v>
      </c>
      <c r="O1475">
        <v>9505052.166666666</v>
      </c>
      <c r="P1475">
        <v>58845</v>
      </c>
      <c r="Q1475">
        <v>2</v>
      </c>
      <c r="R1475">
        <v>163</v>
      </c>
      <c r="S1475" t="s">
        <v>1144</v>
      </c>
      <c r="W1475">
        <f>Cancer_doubles_final2[[#This Row],[mlp_params]]</f>
        <v>58160</v>
      </c>
      <c r="X1475">
        <f>Cancer_doubles_final2[[#This Row],[kan_test_acc]]</f>
        <v>0.9083139085107379</v>
      </c>
      <c r="Y1475">
        <f>Cancer_doubles_final2[[#This Row],[mlp_test_acc]]</f>
        <v>0.93104118104118105</v>
      </c>
      <c r="Z1475">
        <f>Cancer_doubles_final2[[#This Row],[mlp_test_acc2]]</f>
        <v>0.92909867909867905</v>
      </c>
    </row>
    <row r="1476" spans="1:26" hidden="1" x14ac:dyDescent="0.25">
      <c r="A1476" t="s">
        <v>19</v>
      </c>
      <c r="B1476">
        <v>9</v>
      </c>
      <c r="C1476">
        <v>3</v>
      </c>
      <c r="D1476">
        <v>0</v>
      </c>
      <c r="E1476" t="s">
        <v>367</v>
      </c>
      <c r="F1476">
        <v>39984</v>
      </c>
      <c r="G1476">
        <v>39955307.291666664</v>
      </c>
      <c r="H1476">
        <v>0.94143356134494138</v>
      </c>
      <c r="I1476">
        <v>0.97173659673659674</v>
      </c>
      <c r="J1476">
        <v>9508210.458333334</v>
      </c>
      <c r="K1476">
        <v>58160</v>
      </c>
      <c r="L1476">
        <v>2</v>
      </c>
      <c r="M1476">
        <v>162</v>
      </c>
      <c r="N1476">
        <v>0.96561771561771559</v>
      </c>
      <c r="O1476">
        <v>9025244.5</v>
      </c>
      <c r="P1476">
        <v>58845</v>
      </c>
      <c r="Q1476">
        <v>2</v>
      </c>
      <c r="R1476">
        <v>163</v>
      </c>
      <c r="S1476" t="s">
        <v>1145</v>
      </c>
      <c r="W1476">
        <f>Cancer_doubles_final2[[#This Row],[mlp_params]]</f>
        <v>58160</v>
      </c>
      <c r="X1476">
        <f>Cancer_doubles_final2[[#This Row],[kan_test_acc]]</f>
        <v>0.94143356134494138</v>
      </c>
      <c r="Y1476">
        <f>Cancer_doubles_final2[[#This Row],[mlp_test_acc]]</f>
        <v>0.97173659673659674</v>
      </c>
      <c r="Z1476">
        <f>Cancer_doubles_final2[[#This Row],[mlp_test_acc2]]</f>
        <v>0.96561771561771559</v>
      </c>
    </row>
    <row r="1477" spans="1:26" hidden="1" x14ac:dyDescent="0.25">
      <c r="A1477" t="s">
        <v>19</v>
      </c>
      <c r="B1477">
        <v>9</v>
      </c>
      <c r="C1477">
        <v>4</v>
      </c>
      <c r="D1477">
        <v>0</v>
      </c>
      <c r="E1477" t="s">
        <v>310</v>
      </c>
      <c r="F1477">
        <v>40074</v>
      </c>
      <c r="G1477">
        <v>41441699</v>
      </c>
      <c r="H1477">
        <v>0.92511654645204544</v>
      </c>
      <c r="I1477">
        <v>0.96299533799533799</v>
      </c>
      <c r="J1477">
        <v>10275342.625</v>
      </c>
      <c r="K1477">
        <v>62330</v>
      </c>
      <c r="L1477">
        <v>2</v>
      </c>
      <c r="M1477">
        <v>168</v>
      </c>
      <c r="N1477">
        <v>0.96095571095571097</v>
      </c>
      <c r="O1477">
        <v>10386733.083333332</v>
      </c>
      <c r="P1477">
        <v>63039</v>
      </c>
      <c r="Q1477">
        <v>2</v>
      </c>
      <c r="R1477">
        <v>169</v>
      </c>
      <c r="S1477" t="s">
        <v>1146</v>
      </c>
      <c r="W1477">
        <f>Cancer_doubles_final2[[#This Row],[mlp_params]]</f>
        <v>62330</v>
      </c>
      <c r="X1477">
        <f>Cancer_doubles_final2[[#This Row],[kan_test_acc]]</f>
        <v>0.92511654645204544</v>
      </c>
      <c r="Y1477">
        <f>Cancer_doubles_final2[[#This Row],[mlp_test_acc]]</f>
        <v>0.96299533799533799</v>
      </c>
      <c r="Z1477">
        <f>Cancer_doubles_final2[[#This Row],[mlp_test_acc2]]</f>
        <v>0.96095571095571097</v>
      </c>
    </row>
    <row r="1478" spans="1:26" hidden="1" x14ac:dyDescent="0.25">
      <c r="A1478" t="s">
        <v>19</v>
      </c>
      <c r="B1478">
        <v>9</v>
      </c>
      <c r="C1478">
        <v>4</v>
      </c>
      <c r="D1478">
        <v>0</v>
      </c>
      <c r="E1478" t="s">
        <v>312</v>
      </c>
      <c r="F1478">
        <v>40082</v>
      </c>
      <c r="G1478">
        <v>41089279.083333336</v>
      </c>
      <c r="H1478">
        <v>0.91258740673462546</v>
      </c>
      <c r="I1478">
        <v>0.96270396270396263</v>
      </c>
      <c r="J1478">
        <v>10491046.833333332</v>
      </c>
      <c r="K1478">
        <v>62330</v>
      </c>
      <c r="L1478">
        <v>2</v>
      </c>
      <c r="M1478">
        <v>168</v>
      </c>
      <c r="N1478">
        <v>0.95979020979020979</v>
      </c>
      <c r="O1478">
        <v>11281641.333333332</v>
      </c>
      <c r="P1478">
        <v>63039</v>
      </c>
      <c r="Q1478">
        <v>2</v>
      </c>
      <c r="R1478">
        <v>169</v>
      </c>
      <c r="S1478" t="s">
        <v>1147</v>
      </c>
      <c r="W1478">
        <f>Cancer_doubles_final2[[#This Row],[mlp_params]]</f>
        <v>62330</v>
      </c>
      <c r="X1478">
        <f>Cancer_doubles_final2[[#This Row],[kan_test_acc]]</f>
        <v>0.91258740673462546</v>
      </c>
      <c r="Y1478">
        <f>Cancer_doubles_final2[[#This Row],[mlp_test_acc]]</f>
        <v>0.96270396270396263</v>
      </c>
      <c r="Z1478">
        <f>Cancer_doubles_final2[[#This Row],[mlp_test_acc2]]</f>
        <v>0.95979020979020979</v>
      </c>
    </row>
    <row r="1479" spans="1:26" hidden="1" x14ac:dyDescent="0.25">
      <c r="A1479" t="s">
        <v>19</v>
      </c>
      <c r="B1479">
        <v>9</v>
      </c>
      <c r="C1479">
        <v>2</v>
      </c>
      <c r="D1479">
        <v>0</v>
      </c>
      <c r="E1479" t="s">
        <v>445</v>
      </c>
      <c r="F1479">
        <v>40186</v>
      </c>
      <c r="G1479">
        <v>33148451.166666672</v>
      </c>
      <c r="H1479">
        <v>0.93036128828922915</v>
      </c>
      <c r="I1479">
        <v>0.94463869463869465</v>
      </c>
      <c r="J1479">
        <v>9584919.291666666</v>
      </c>
      <c r="K1479">
        <v>54134</v>
      </c>
      <c r="L1479">
        <v>2</v>
      </c>
      <c r="M1479">
        <v>156</v>
      </c>
      <c r="N1479">
        <v>0.94114219114219111</v>
      </c>
      <c r="O1479">
        <v>10501548.75</v>
      </c>
      <c r="P1479">
        <v>54795</v>
      </c>
      <c r="Q1479">
        <v>2</v>
      </c>
      <c r="R1479">
        <v>157</v>
      </c>
      <c r="S1479" t="s">
        <v>1148</v>
      </c>
      <c r="W1479">
        <f>Cancer_doubles_final2[[#This Row],[mlp_params]]</f>
        <v>54134</v>
      </c>
      <c r="X1479">
        <f>Cancer_doubles_final2[[#This Row],[kan_test_acc]]</f>
        <v>0.93036128828922915</v>
      </c>
      <c r="Y1479">
        <f>Cancer_doubles_final2[[#This Row],[mlp_test_acc]]</f>
        <v>0.94463869463869465</v>
      </c>
      <c r="Z1479">
        <f>Cancer_doubles_final2[[#This Row],[mlp_test_acc2]]</f>
        <v>0.94114219114219111</v>
      </c>
    </row>
    <row r="1480" spans="1:26" hidden="1" x14ac:dyDescent="0.25">
      <c r="A1480" t="s">
        <v>19</v>
      </c>
      <c r="B1480">
        <v>9</v>
      </c>
      <c r="C1480">
        <v>3</v>
      </c>
      <c r="D1480">
        <v>0</v>
      </c>
      <c r="E1480" t="s">
        <v>371</v>
      </c>
      <c r="F1480">
        <v>40220</v>
      </c>
      <c r="G1480">
        <v>31175001.916666664</v>
      </c>
      <c r="H1480">
        <v>0.93259517186217844</v>
      </c>
      <c r="I1480">
        <v>0.93142968142968141</v>
      </c>
      <c r="J1480">
        <v>8805218.25</v>
      </c>
      <c r="K1480">
        <v>58845</v>
      </c>
      <c r="L1480">
        <v>2</v>
      </c>
      <c r="M1480">
        <v>163</v>
      </c>
      <c r="N1480">
        <v>0.9294871794871794</v>
      </c>
      <c r="O1480">
        <v>9819207.277777778</v>
      </c>
      <c r="P1480">
        <v>59534</v>
      </c>
      <c r="Q1480">
        <v>2</v>
      </c>
      <c r="R1480">
        <v>164</v>
      </c>
      <c r="S1480" t="s">
        <v>1149</v>
      </c>
      <c r="W1480">
        <f>Cancer_doubles_final2[[#This Row],[mlp_params]]</f>
        <v>58845</v>
      </c>
      <c r="X1480">
        <f>Cancer_doubles_final2[[#This Row],[kan_test_acc]]</f>
        <v>0.93259517186217844</v>
      </c>
      <c r="Y1480">
        <f>Cancer_doubles_final2[[#This Row],[mlp_test_acc]]</f>
        <v>0.93142968142968141</v>
      </c>
      <c r="Z1480">
        <f>Cancer_doubles_final2[[#This Row],[mlp_test_acc2]]</f>
        <v>0.9294871794871794</v>
      </c>
    </row>
    <row r="1481" spans="1:26" hidden="1" x14ac:dyDescent="0.25">
      <c r="A1481" t="s">
        <v>19</v>
      </c>
      <c r="B1481">
        <v>9</v>
      </c>
      <c r="C1481">
        <v>3</v>
      </c>
      <c r="D1481">
        <v>0</v>
      </c>
      <c r="E1481" t="s">
        <v>373</v>
      </c>
      <c r="F1481">
        <v>40222</v>
      </c>
      <c r="G1481">
        <v>37414323.791666672</v>
      </c>
      <c r="H1481">
        <v>0.95017482091983163</v>
      </c>
      <c r="I1481">
        <v>0.97173659673659674</v>
      </c>
      <c r="J1481">
        <v>9706375.166666666</v>
      </c>
      <c r="K1481">
        <v>58845</v>
      </c>
      <c r="L1481">
        <v>2</v>
      </c>
      <c r="M1481">
        <v>163</v>
      </c>
      <c r="N1481">
        <v>0.96707459207459201</v>
      </c>
      <c r="O1481">
        <v>9041673.541666666</v>
      </c>
      <c r="P1481">
        <v>59534</v>
      </c>
      <c r="Q1481">
        <v>2</v>
      </c>
      <c r="R1481">
        <v>164</v>
      </c>
      <c r="S1481" t="s">
        <v>1150</v>
      </c>
      <c r="W1481">
        <f>Cancer_doubles_final2[[#This Row],[mlp_params]]</f>
        <v>58845</v>
      </c>
      <c r="X1481">
        <f>Cancer_doubles_final2[[#This Row],[kan_test_acc]]</f>
        <v>0.95017482091983163</v>
      </c>
      <c r="Y1481">
        <f>Cancer_doubles_final2[[#This Row],[mlp_test_acc]]</f>
        <v>0.97173659673659674</v>
      </c>
      <c r="Z1481">
        <f>Cancer_doubles_final2[[#This Row],[mlp_test_acc2]]</f>
        <v>0.96707459207459201</v>
      </c>
    </row>
    <row r="1482" spans="1:26" hidden="1" x14ac:dyDescent="0.25">
      <c r="A1482" t="s">
        <v>19</v>
      </c>
      <c r="B1482">
        <v>9</v>
      </c>
      <c r="C1482">
        <v>5</v>
      </c>
      <c r="D1482">
        <v>0</v>
      </c>
      <c r="E1482" t="s">
        <v>264</v>
      </c>
      <c r="F1482">
        <v>40396</v>
      </c>
      <c r="G1482">
        <v>38597982.166666672</v>
      </c>
      <c r="H1482">
        <v>0.91462704290946328</v>
      </c>
      <c r="I1482">
        <v>0.94726107226107226</v>
      </c>
      <c r="J1482">
        <v>10606227.791666666</v>
      </c>
      <c r="K1482">
        <v>65915</v>
      </c>
      <c r="L1482">
        <v>2</v>
      </c>
      <c r="M1482">
        <v>173</v>
      </c>
      <c r="N1482">
        <v>0.94405594405594406</v>
      </c>
      <c r="O1482">
        <v>10484305.375</v>
      </c>
      <c r="P1482">
        <v>66644</v>
      </c>
      <c r="Q1482">
        <v>2</v>
      </c>
      <c r="R1482">
        <v>174</v>
      </c>
      <c r="S1482" t="s">
        <v>1151</v>
      </c>
      <c r="W1482">
        <f>Cancer_doubles_final2[[#This Row],[mlp_params]]</f>
        <v>65915</v>
      </c>
      <c r="X1482">
        <f>Cancer_doubles_final2[[#This Row],[kan_test_acc]]</f>
        <v>0.91462704290946328</v>
      </c>
      <c r="Y1482">
        <f>Cancer_doubles_final2[[#This Row],[mlp_test_acc]]</f>
        <v>0.94726107226107226</v>
      </c>
      <c r="Z1482">
        <f>Cancer_doubles_final2[[#This Row],[mlp_test_acc2]]</f>
        <v>0.94405594405594406</v>
      </c>
    </row>
    <row r="1483" spans="1:26" hidden="1" x14ac:dyDescent="0.25">
      <c r="A1483" t="s">
        <v>19</v>
      </c>
      <c r="B1483">
        <v>9</v>
      </c>
      <c r="C1483">
        <v>5</v>
      </c>
      <c r="D1483">
        <v>0</v>
      </c>
      <c r="E1483" t="s">
        <v>266</v>
      </c>
      <c r="F1483">
        <v>40402</v>
      </c>
      <c r="G1483">
        <v>42527050.25</v>
      </c>
      <c r="H1483">
        <v>0.87121211985747027</v>
      </c>
      <c r="I1483">
        <v>0.93851981351981362</v>
      </c>
      <c r="J1483">
        <v>11470241.166666666</v>
      </c>
      <c r="K1483">
        <v>65915</v>
      </c>
      <c r="L1483">
        <v>2</v>
      </c>
      <c r="M1483">
        <v>173</v>
      </c>
      <c r="N1483">
        <v>0.93735431235431244</v>
      </c>
      <c r="O1483">
        <v>12600340.416666668</v>
      </c>
      <c r="P1483">
        <v>66644</v>
      </c>
      <c r="Q1483">
        <v>2</v>
      </c>
      <c r="R1483">
        <v>174</v>
      </c>
      <c r="S1483" t="s">
        <v>1152</v>
      </c>
      <c r="W1483">
        <f>Cancer_doubles_final2[[#This Row],[mlp_params]]</f>
        <v>65915</v>
      </c>
      <c r="X1483">
        <f>Cancer_doubles_final2[[#This Row],[kan_test_acc]]</f>
        <v>0.87121211985747027</v>
      </c>
      <c r="Y1483">
        <f>Cancer_doubles_final2[[#This Row],[mlp_test_acc]]</f>
        <v>0.93851981351981362</v>
      </c>
      <c r="Z1483">
        <f>Cancer_doubles_final2[[#This Row],[mlp_test_acc2]]</f>
        <v>0.93735431235431244</v>
      </c>
    </row>
    <row r="1484" spans="1:26" hidden="1" x14ac:dyDescent="0.25">
      <c r="A1484" t="s">
        <v>19</v>
      </c>
      <c r="B1484">
        <v>5</v>
      </c>
      <c r="C1484">
        <v>4</v>
      </c>
      <c r="D1484">
        <v>0</v>
      </c>
      <c r="E1484" t="s">
        <v>656</v>
      </c>
      <c r="F1484">
        <v>40418</v>
      </c>
      <c r="G1484">
        <v>40970851.916666672</v>
      </c>
      <c r="H1484">
        <v>0.91346153120199847</v>
      </c>
      <c r="I1484">
        <v>0.93706293706293708</v>
      </c>
      <c r="J1484">
        <v>9857293.5416666679</v>
      </c>
      <c r="K1484">
        <v>70349</v>
      </c>
      <c r="L1484">
        <v>2</v>
      </c>
      <c r="M1484">
        <v>179</v>
      </c>
      <c r="N1484">
        <v>0.94172494172494181</v>
      </c>
      <c r="O1484">
        <v>11884130.958333334</v>
      </c>
      <c r="P1484">
        <v>71102</v>
      </c>
      <c r="Q1484">
        <v>2</v>
      </c>
      <c r="R1484">
        <v>180</v>
      </c>
      <c r="S1484" t="s">
        <v>1153</v>
      </c>
      <c r="W1484">
        <f>Cancer_doubles_final2[[#This Row],[mlp_params]]</f>
        <v>70349</v>
      </c>
      <c r="X1484">
        <f>Cancer_doubles_final2[[#This Row],[kan_test_acc]]</f>
        <v>0.91346153120199847</v>
      </c>
      <c r="Y1484">
        <f>Cancer_doubles_final2[[#This Row],[mlp_test_acc]]</f>
        <v>0.93706293706293708</v>
      </c>
      <c r="Z1484">
        <f>Cancer_doubles_final2[[#This Row],[mlp_test_acc2]]</f>
        <v>0.94172494172494181</v>
      </c>
    </row>
    <row r="1485" spans="1:26" hidden="1" x14ac:dyDescent="0.25">
      <c r="A1485" t="s">
        <v>19</v>
      </c>
      <c r="B1485">
        <v>9</v>
      </c>
      <c r="C1485">
        <v>4</v>
      </c>
      <c r="D1485">
        <v>0</v>
      </c>
      <c r="E1485" t="s">
        <v>316</v>
      </c>
      <c r="F1485">
        <v>40460</v>
      </c>
      <c r="G1485">
        <v>41457418.583333336</v>
      </c>
      <c r="H1485">
        <v>0.94988344609737396</v>
      </c>
      <c r="I1485">
        <v>0.93958818958818957</v>
      </c>
      <c r="J1485">
        <v>8976812.3888888899</v>
      </c>
      <c r="K1485">
        <v>63039</v>
      </c>
      <c r="L1485">
        <v>2</v>
      </c>
      <c r="M1485">
        <v>169</v>
      </c>
      <c r="N1485">
        <v>0.94580419580419584</v>
      </c>
      <c r="O1485">
        <v>10599444.61111111</v>
      </c>
      <c r="P1485">
        <v>63752</v>
      </c>
      <c r="Q1485">
        <v>2</v>
      </c>
      <c r="R1485">
        <v>170</v>
      </c>
      <c r="S1485" t="s">
        <v>1154</v>
      </c>
      <c r="W1485">
        <f>Cancer_doubles_final2[[#This Row],[mlp_params]]</f>
        <v>63039</v>
      </c>
      <c r="X1485">
        <f>Cancer_doubles_final2[[#This Row],[kan_test_acc]]</f>
        <v>0.94988344609737396</v>
      </c>
      <c r="Y1485">
        <f>Cancer_doubles_final2[[#This Row],[mlp_test_acc]]</f>
        <v>0.93958818958818957</v>
      </c>
      <c r="Z1485">
        <f>Cancer_doubles_final2[[#This Row],[mlp_test_acc2]]</f>
        <v>0.94580419580419584</v>
      </c>
    </row>
    <row r="1486" spans="1:26" hidden="1" x14ac:dyDescent="0.25">
      <c r="A1486" t="s">
        <v>19</v>
      </c>
      <c r="B1486">
        <v>9</v>
      </c>
      <c r="C1486">
        <v>4</v>
      </c>
      <c r="D1486">
        <v>0</v>
      </c>
      <c r="E1486" t="s">
        <v>319</v>
      </c>
      <c r="F1486">
        <v>40464</v>
      </c>
      <c r="G1486">
        <v>41759847.25</v>
      </c>
      <c r="H1486">
        <v>0.93298368404308962</v>
      </c>
      <c r="I1486">
        <v>0.95367132867132876</v>
      </c>
      <c r="J1486">
        <v>10091287.333333334</v>
      </c>
      <c r="K1486">
        <v>63039</v>
      </c>
      <c r="L1486">
        <v>2</v>
      </c>
      <c r="M1486">
        <v>169</v>
      </c>
      <c r="N1486">
        <v>0.95775058275058278</v>
      </c>
      <c r="O1486">
        <v>11711912.75</v>
      </c>
      <c r="P1486">
        <v>63752</v>
      </c>
      <c r="Q1486">
        <v>2</v>
      </c>
      <c r="R1486">
        <v>170</v>
      </c>
      <c r="S1486" t="s">
        <v>1155</v>
      </c>
      <c r="W1486">
        <f>Cancer_doubles_final2[[#This Row],[mlp_params]]</f>
        <v>63039</v>
      </c>
      <c r="X1486">
        <f>Cancer_doubles_final2[[#This Row],[kan_test_acc]]</f>
        <v>0.93298368404308962</v>
      </c>
      <c r="Y1486">
        <f>Cancer_doubles_final2[[#This Row],[mlp_test_acc]]</f>
        <v>0.95367132867132876</v>
      </c>
      <c r="Z1486">
        <f>Cancer_doubles_final2[[#This Row],[mlp_test_acc2]]</f>
        <v>0.95775058275058278</v>
      </c>
    </row>
    <row r="1487" spans="1:26" hidden="1" x14ac:dyDescent="0.25">
      <c r="A1487" t="s">
        <v>19</v>
      </c>
      <c r="B1487">
        <v>9</v>
      </c>
      <c r="C1487">
        <v>3</v>
      </c>
      <c r="D1487">
        <v>0</v>
      </c>
      <c r="E1487" t="s">
        <v>380</v>
      </c>
      <c r="F1487">
        <v>40468</v>
      </c>
      <c r="G1487">
        <v>45513907.541666664</v>
      </c>
      <c r="H1487">
        <v>0.94230769077936816</v>
      </c>
      <c r="I1487">
        <v>0.96212121212121215</v>
      </c>
      <c r="J1487">
        <v>10213675.083333334</v>
      </c>
      <c r="K1487">
        <v>58845</v>
      </c>
      <c r="L1487">
        <v>2</v>
      </c>
      <c r="M1487">
        <v>163</v>
      </c>
      <c r="N1487">
        <v>0.96095571095571097</v>
      </c>
      <c r="O1487">
        <v>10463241.5</v>
      </c>
      <c r="P1487">
        <v>59534</v>
      </c>
      <c r="Q1487">
        <v>2</v>
      </c>
      <c r="R1487">
        <v>164</v>
      </c>
      <c r="S1487" t="s">
        <v>1156</v>
      </c>
      <c r="W1487">
        <f>Cancer_doubles_final2[[#This Row],[mlp_params]]</f>
        <v>58845</v>
      </c>
      <c r="X1487">
        <f>Cancer_doubles_final2[[#This Row],[kan_test_acc]]</f>
        <v>0.94230769077936816</v>
      </c>
      <c r="Y1487">
        <f>Cancer_doubles_final2[[#This Row],[mlp_test_acc]]</f>
        <v>0.96212121212121215</v>
      </c>
      <c r="Z1487">
        <f>Cancer_doubles_final2[[#This Row],[mlp_test_acc2]]</f>
        <v>0.96095571095571097</v>
      </c>
    </row>
    <row r="1488" spans="1:26" hidden="1" x14ac:dyDescent="0.25">
      <c r="A1488" t="s">
        <v>19</v>
      </c>
      <c r="B1488">
        <v>5</v>
      </c>
      <c r="C1488">
        <v>5</v>
      </c>
      <c r="D1488">
        <v>0</v>
      </c>
      <c r="E1488" t="s">
        <v>550</v>
      </c>
      <c r="F1488">
        <v>40498</v>
      </c>
      <c r="G1488">
        <v>54400876.777777776</v>
      </c>
      <c r="H1488">
        <v>0.91006216241253746</v>
      </c>
      <c r="I1488">
        <v>0.932012432012432</v>
      </c>
      <c r="J1488">
        <v>9968400.916666666</v>
      </c>
      <c r="K1488">
        <v>74154</v>
      </c>
      <c r="L1488">
        <v>2</v>
      </c>
      <c r="M1488">
        <v>184</v>
      </c>
      <c r="N1488">
        <v>0.93006993006993011</v>
      </c>
      <c r="O1488">
        <v>9887087.277777778</v>
      </c>
      <c r="P1488">
        <v>74927</v>
      </c>
      <c r="Q1488">
        <v>2</v>
      </c>
      <c r="R1488">
        <v>185</v>
      </c>
      <c r="S1488" t="s">
        <v>1157</v>
      </c>
      <c r="W1488">
        <f>Cancer_doubles_final2[[#This Row],[mlp_params]]</f>
        <v>74154</v>
      </c>
      <c r="X1488">
        <f>Cancer_doubles_final2[[#This Row],[kan_test_acc]]</f>
        <v>0.91006216241253746</v>
      </c>
      <c r="Y1488">
        <f>Cancer_doubles_final2[[#This Row],[mlp_test_acc]]</f>
        <v>0.932012432012432</v>
      </c>
      <c r="Z1488">
        <f>Cancer_doubles_final2[[#This Row],[mlp_test_acc2]]</f>
        <v>0.93006993006993011</v>
      </c>
    </row>
    <row r="1489" spans="1:26" hidden="1" x14ac:dyDescent="0.25">
      <c r="A1489" t="s">
        <v>19</v>
      </c>
      <c r="B1489">
        <v>9</v>
      </c>
      <c r="C1489">
        <v>2</v>
      </c>
      <c r="D1489">
        <v>0</v>
      </c>
      <c r="E1489" t="s">
        <v>457</v>
      </c>
      <c r="F1489">
        <v>40576</v>
      </c>
      <c r="G1489">
        <v>42352801.75</v>
      </c>
      <c r="H1489">
        <v>0.89627039929231012</v>
      </c>
      <c r="I1489">
        <v>0.93084693084693082</v>
      </c>
      <c r="J1489">
        <v>9593556.8333333321</v>
      </c>
      <c r="K1489">
        <v>54795</v>
      </c>
      <c r="L1489">
        <v>2</v>
      </c>
      <c r="M1489">
        <v>157</v>
      </c>
      <c r="N1489">
        <v>0.92987567987567987</v>
      </c>
      <c r="O1489">
        <v>10320544.777777778</v>
      </c>
      <c r="P1489">
        <v>55460</v>
      </c>
      <c r="Q1489">
        <v>2</v>
      </c>
      <c r="R1489">
        <v>158</v>
      </c>
      <c r="S1489" t="s">
        <v>1158</v>
      </c>
      <c r="W1489">
        <f>Cancer_doubles_final2[[#This Row],[mlp_params]]</f>
        <v>54795</v>
      </c>
      <c r="X1489">
        <f>Cancer_doubles_final2[[#This Row],[kan_test_acc]]</f>
        <v>0.89627039929231012</v>
      </c>
      <c r="Y1489">
        <f>Cancer_doubles_final2[[#This Row],[mlp_test_acc]]</f>
        <v>0.93084693084693082</v>
      </c>
      <c r="Z1489">
        <f>Cancer_doubles_final2[[#This Row],[mlp_test_acc2]]</f>
        <v>0.92987567987567987</v>
      </c>
    </row>
    <row r="1490" spans="1:26" hidden="1" x14ac:dyDescent="0.25">
      <c r="A1490" t="s">
        <v>19</v>
      </c>
      <c r="B1490">
        <v>9</v>
      </c>
      <c r="C1490">
        <v>4</v>
      </c>
      <c r="D1490">
        <v>0</v>
      </c>
      <c r="E1490" t="s">
        <v>321</v>
      </c>
      <c r="F1490">
        <v>40590</v>
      </c>
      <c r="G1490">
        <v>32611036.527777776</v>
      </c>
      <c r="H1490">
        <v>0.89957264396879411</v>
      </c>
      <c r="I1490">
        <v>0.92676767676767668</v>
      </c>
      <c r="J1490">
        <v>10180496</v>
      </c>
      <c r="K1490">
        <v>63039</v>
      </c>
      <c r="L1490">
        <v>2</v>
      </c>
      <c r="M1490">
        <v>169</v>
      </c>
      <c r="N1490">
        <v>0.9281274281274281</v>
      </c>
      <c r="O1490">
        <v>9732023.777777778</v>
      </c>
      <c r="P1490">
        <v>63752</v>
      </c>
      <c r="Q1490">
        <v>2</v>
      </c>
      <c r="R1490">
        <v>170</v>
      </c>
      <c r="S1490" t="s">
        <v>1159</v>
      </c>
      <c r="W1490">
        <f>Cancer_doubles_final2[[#This Row],[mlp_params]]</f>
        <v>63039</v>
      </c>
      <c r="X1490">
        <f>Cancer_doubles_final2[[#This Row],[kan_test_acc]]</f>
        <v>0.89957264396879411</v>
      </c>
      <c r="Y1490">
        <f>Cancer_doubles_final2[[#This Row],[mlp_test_acc]]</f>
        <v>0.92676767676767668</v>
      </c>
      <c r="Z1490">
        <f>Cancer_doubles_final2[[#This Row],[mlp_test_acc2]]</f>
        <v>0.9281274281274281</v>
      </c>
    </row>
    <row r="1491" spans="1:26" hidden="1" x14ac:dyDescent="0.25">
      <c r="A1491" t="s">
        <v>19</v>
      </c>
      <c r="B1491">
        <v>5</v>
      </c>
      <c r="C1491">
        <v>4</v>
      </c>
      <c r="D1491">
        <v>0</v>
      </c>
      <c r="E1491" t="s">
        <v>669</v>
      </c>
      <c r="F1491">
        <v>40656</v>
      </c>
      <c r="G1491">
        <v>39593390.333333328</v>
      </c>
      <c r="H1491">
        <v>0.91054778546094894</v>
      </c>
      <c r="I1491">
        <v>0.93706293706293708</v>
      </c>
      <c r="J1491">
        <v>10191459.333333332</v>
      </c>
      <c r="K1491">
        <v>70349</v>
      </c>
      <c r="L1491">
        <v>2</v>
      </c>
      <c r="M1491">
        <v>179</v>
      </c>
      <c r="N1491">
        <v>0.94522144522144524</v>
      </c>
      <c r="O1491">
        <v>10820728.75</v>
      </c>
      <c r="P1491">
        <v>71102</v>
      </c>
      <c r="Q1491">
        <v>2</v>
      </c>
      <c r="R1491">
        <v>180</v>
      </c>
      <c r="S1491" t="s">
        <v>1160</v>
      </c>
      <c r="W1491">
        <f>Cancer_doubles_final2[[#This Row],[mlp_params]]</f>
        <v>70349</v>
      </c>
      <c r="X1491">
        <f>Cancer_doubles_final2[[#This Row],[kan_test_acc]]</f>
        <v>0.91054778546094894</v>
      </c>
      <c r="Y1491">
        <f>Cancer_doubles_final2[[#This Row],[mlp_test_acc]]</f>
        <v>0.93706293706293708</v>
      </c>
      <c r="Z1491">
        <f>Cancer_doubles_final2[[#This Row],[mlp_test_acc2]]</f>
        <v>0.94522144522144524</v>
      </c>
    </row>
    <row r="1492" spans="1:26" hidden="1" x14ac:dyDescent="0.25">
      <c r="A1492" t="s">
        <v>19</v>
      </c>
      <c r="B1492">
        <v>9</v>
      </c>
      <c r="C1492">
        <v>5</v>
      </c>
      <c r="D1492">
        <v>0</v>
      </c>
      <c r="E1492" t="s">
        <v>272</v>
      </c>
      <c r="F1492">
        <v>40670</v>
      </c>
      <c r="G1492">
        <v>42126632.861111112</v>
      </c>
      <c r="H1492">
        <v>0.91530691335598635</v>
      </c>
      <c r="I1492">
        <v>0.94017094017094016</v>
      </c>
      <c r="J1492">
        <v>10041623</v>
      </c>
      <c r="K1492">
        <v>66644</v>
      </c>
      <c r="L1492">
        <v>2</v>
      </c>
      <c r="M1492">
        <v>174</v>
      </c>
      <c r="N1492">
        <v>0.94347319347319347</v>
      </c>
      <c r="O1492">
        <v>10721540.027777778</v>
      </c>
      <c r="P1492">
        <v>67377</v>
      </c>
      <c r="Q1492">
        <v>2</v>
      </c>
      <c r="R1492">
        <v>175</v>
      </c>
      <c r="S1492" t="s">
        <v>1161</v>
      </c>
      <c r="W1492">
        <f>Cancer_doubles_final2[[#This Row],[mlp_params]]</f>
        <v>66644</v>
      </c>
      <c r="X1492">
        <f>Cancer_doubles_final2[[#This Row],[kan_test_acc]]</f>
        <v>0.91530691335598635</v>
      </c>
      <c r="Y1492">
        <f>Cancer_doubles_final2[[#This Row],[mlp_test_acc]]</f>
        <v>0.94017094017094016</v>
      </c>
      <c r="Z1492">
        <f>Cancer_doubles_final2[[#This Row],[mlp_test_acc2]]</f>
        <v>0.94347319347319347</v>
      </c>
    </row>
    <row r="1493" spans="1:26" hidden="1" x14ac:dyDescent="0.25">
      <c r="A1493" t="s">
        <v>19</v>
      </c>
      <c r="B1493">
        <v>9</v>
      </c>
      <c r="C1493">
        <v>5</v>
      </c>
      <c r="D1493">
        <v>0</v>
      </c>
      <c r="E1493" t="s">
        <v>274</v>
      </c>
      <c r="F1493">
        <v>40672</v>
      </c>
      <c r="G1493">
        <v>42305943.416666664</v>
      </c>
      <c r="H1493">
        <v>0.85722610230247187</v>
      </c>
      <c r="I1493">
        <v>0.95192307692307687</v>
      </c>
      <c r="J1493">
        <v>11831896.375</v>
      </c>
      <c r="K1493">
        <v>66644</v>
      </c>
      <c r="L1493">
        <v>2</v>
      </c>
      <c r="M1493">
        <v>174</v>
      </c>
      <c r="N1493">
        <v>0.94900932400932403</v>
      </c>
      <c r="O1493">
        <v>12202355.333333332</v>
      </c>
      <c r="P1493">
        <v>67377</v>
      </c>
      <c r="Q1493">
        <v>2</v>
      </c>
      <c r="R1493">
        <v>175</v>
      </c>
      <c r="S1493" t="s">
        <v>1162</v>
      </c>
      <c r="W1493">
        <f>Cancer_doubles_final2[[#This Row],[mlp_params]]</f>
        <v>66644</v>
      </c>
      <c r="X1493">
        <f>Cancer_doubles_final2[[#This Row],[kan_test_acc]]</f>
        <v>0.85722610230247187</v>
      </c>
      <c r="Y1493">
        <f>Cancer_doubles_final2[[#This Row],[mlp_test_acc]]</f>
        <v>0.95192307692307687</v>
      </c>
      <c r="Z1493">
        <f>Cancer_doubles_final2[[#This Row],[mlp_test_acc2]]</f>
        <v>0.94900932400932403</v>
      </c>
    </row>
    <row r="1494" spans="1:26" hidden="1" x14ac:dyDescent="0.25">
      <c r="A1494" t="s">
        <v>19</v>
      </c>
      <c r="B1494">
        <v>9</v>
      </c>
      <c r="C1494">
        <v>2</v>
      </c>
      <c r="D1494">
        <v>0</v>
      </c>
      <c r="E1494" t="s">
        <v>463</v>
      </c>
      <c r="F1494">
        <v>40684</v>
      </c>
      <c r="G1494">
        <v>35822305.041666664</v>
      </c>
      <c r="H1494">
        <v>0.89976689467827486</v>
      </c>
      <c r="I1494">
        <v>0.93531468531468531</v>
      </c>
      <c r="J1494">
        <v>10446234.166666668</v>
      </c>
      <c r="K1494">
        <v>54795</v>
      </c>
      <c r="L1494">
        <v>2</v>
      </c>
      <c r="M1494">
        <v>157</v>
      </c>
      <c r="N1494">
        <v>0.93473193473193472</v>
      </c>
      <c r="O1494">
        <v>10772095.833333332</v>
      </c>
      <c r="P1494">
        <v>55460</v>
      </c>
      <c r="Q1494">
        <v>2</v>
      </c>
      <c r="R1494">
        <v>158</v>
      </c>
      <c r="S1494" t="s">
        <v>1163</v>
      </c>
      <c r="W1494">
        <f>Cancer_doubles_final2[[#This Row],[mlp_params]]</f>
        <v>54795</v>
      </c>
      <c r="X1494">
        <f>Cancer_doubles_final2[[#This Row],[kan_test_acc]]</f>
        <v>0.89976689467827486</v>
      </c>
      <c r="Y1494">
        <f>Cancer_doubles_final2[[#This Row],[mlp_test_acc]]</f>
        <v>0.93531468531468531</v>
      </c>
      <c r="Z1494">
        <f>Cancer_doubles_final2[[#This Row],[mlp_test_acc2]]</f>
        <v>0.93473193473193472</v>
      </c>
    </row>
    <row r="1495" spans="1:26" hidden="1" x14ac:dyDescent="0.25">
      <c r="A1495" t="s">
        <v>19</v>
      </c>
      <c r="B1495">
        <v>9</v>
      </c>
      <c r="C1495">
        <v>2</v>
      </c>
      <c r="D1495">
        <v>0</v>
      </c>
      <c r="E1495" t="s">
        <v>466</v>
      </c>
      <c r="F1495">
        <v>40742</v>
      </c>
      <c r="G1495">
        <v>31366292.111111112</v>
      </c>
      <c r="H1495">
        <v>0.92754467659526396</v>
      </c>
      <c r="I1495">
        <v>0.91511266511266509</v>
      </c>
      <c r="J1495">
        <v>9164874.75</v>
      </c>
      <c r="K1495">
        <v>54795</v>
      </c>
      <c r="L1495">
        <v>2</v>
      </c>
      <c r="M1495">
        <v>157</v>
      </c>
      <c r="N1495">
        <v>0.91550116550116545</v>
      </c>
      <c r="O1495">
        <v>10035076.249999998</v>
      </c>
      <c r="P1495">
        <v>55460</v>
      </c>
      <c r="Q1495">
        <v>2</v>
      </c>
      <c r="R1495">
        <v>158</v>
      </c>
      <c r="S1495" t="s">
        <v>1164</v>
      </c>
      <c r="W1495">
        <f>Cancer_doubles_final2[[#This Row],[mlp_params]]</f>
        <v>54795</v>
      </c>
      <c r="X1495">
        <f>Cancer_doubles_final2[[#This Row],[kan_test_acc]]</f>
        <v>0.92754467659526396</v>
      </c>
      <c r="Y1495">
        <f>Cancer_doubles_final2[[#This Row],[mlp_test_acc]]</f>
        <v>0.91511266511266509</v>
      </c>
      <c r="Z1495">
        <f>Cancer_doubles_final2[[#This Row],[mlp_test_acc2]]</f>
        <v>0.91550116550116545</v>
      </c>
    </row>
    <row r="1496" spans="1:26" hidden="1" x14ac:dyDescent="0.25">
      <c r="A1496" t="s">
        <v>19</v>
      </c>
      <c r="B1496">
        <v>5</v>
      </c>
      <c r="C1496">
        <v>5</v>
      </c>
      <c r="D1496">
        <v>0</v>
      </c>
      <c r="E1496" t="s">
        <v>561</v>
      </c>
      <c r="F1496">
        <v>40808</v>
      </c>
      <c r="G1496">
        <v>37862087.777777776</v>
      </c>
      <c r="H1496">
        <v>0.90753690898418427</v>
      </c>
      <c r="I1496">
        <v>0.9145299145299145</v>
      </c>
      <c r="J1496">
        <v>9242511.444444444</v>
      </c>
      <c r="K1496">
        <v>74927</v>
      </c>
      <c r="L1496">
        <v>2</v>
      </c>
      <c r="M1496">
        <v>185</v>
      </c>
      <c r="N1496">
        <v>0.91161616161616155</v>
      </c>
      <c r="O1496">
        <v>10045249.38888889</v>
      </c>
      <c r="P1496">
        <v>75704</v>
      </c>
      <c r="Q1496">
        <v>2</v>
      </c>
      <c r="R1496">
        <v>186</v>
      </c>
      <c r="S1496" t="s">
        <v>1165</v>
      </c>
      <c r="W1496">
        <f>Cancer_doubles_final2[[#This Row],[mlp_params]]</f>
        <v>74927</v>
      </c>
      <c r="X1496">
        <f>Cancer_doubles_final2[[#This Row],[kan_test_acc]]</f>
        <v>0.90753690898418427</v>
      </c>
      <c r="Y1496">
        <f>Cancer_doubles_final2[[#This Row],[mlp_test_acc]]</f>
        <v>0.9145299145299145</v>
      </c>
      <c r="Z1496">
        <f>Cancer_doubles_final2[[#This Row],[mlp_test_acc2]]</f>
        <v>0.91161616161616155</v>
      </c>
    </row>
    <row r="1497" spans="1:26" hidden="1" x14ac:dyDescent="0.25">
      <c r="A1497" t="s">
        <v>19</v>
      </c>
      <c r="B1497">
        <v>5</v>
      </c>
      <c r="C1497">
        <v>5</v>
      </c>
      <c r="D1497">
        <v>0</v>
      </c>
      <c r="E1497" t="s">
        <v>563</v>
      </c>
      <c r="F1497">
        <v>40910</v>
      </c>
      <c r="G1497">
        <v>53611497.472222224</v>
      </c>
      <c r="H1497">
        <v>0.88092463215192163</v>
      </c>
      <c r="I1497">
        <v>0.91278166278166273</v>
      </c>
      <c r="J1497">
        <v>10392244.833333332</v>
      </c>
      <c r="K1497">
        <v>74927</v>
      </c>
      <c r="L1497">
        <v>2</v>
      </c>
      <c r="M1497">
        <v>185</v>
      </c>
      <c r="N1497">
        <v>0.91278166278166273</v>
      </c>
      <c r="O1497">
        <v>10539499.833333334</v>
      </c>
      <c r="P1497">
        <v>75704</v>
      </c>
      <c r="Q1497">
        <v>2</v>
      </c>
      <c r="R1497">
        <v>186</v>
      </c>
      <c r="S1497" t="s">
        <v>1166</v>
      </c>
      <c r="W1497">
        <f>Cancer_doubles_final2[[#This Row],[mlp_params]]</f>
        <v>74927</v>
      </c>
      <c r="X1497">
        <f>Cancer_doubles_final2[[#This Row],[kan_test_acc]]</f>
        <v>0.88092463215192163</v>
      </c>
      <c r="Y1497">
        <f>Cancer_doubles_final2[[#This Row],[mlp_test_acc]]</f>
        <v>0.91278166278166273</v>
      </c>
      <c r="Z1497">
        <f>Cancer_doubles_final2[[#This Row],[mlp_test_acc2]]</f>
        <v>0.91278166278166273</v>
      </c>
    </row>
    <row r="1498" spans="1:26" hidden="1" x14ac:dyDescent="0.25">
      <c r="A1498" t="s">
        <v>19</v>
      </c>
      <c r="B1498">
        <v>9</v>
      </c>
      <c r="C1498">
        <v>3</v>
      </c>
      <c r="D1498">
        <v>0</v>
      </c>
      <c r="E1498" t="s">
        <v>393</v>
      </c>
      <c r="F1498">
        <v>41006</v>
      </c>
      <c r="G1498">
        <v>46893931.44444444</v>
      </c>
      <c r="H1498">
        <v>0.90170939928955496</v>
      </c>
      <c r="I1498">
        <v>0.932012432012432</v>
      </c>
      <c r="J1498">
        <v>10205804.36111111</v>
      </c>
      <c r="K1498">
        <v>59534</v>
      </c>
      <c r="L1498">
        <v>2</v>
      </c>
      <c r="M1498">
        <v>164</v>
      </c>
      <c r="N1498">
        <v>0.93006993006993011</v>
      </c>
      <c r="O1498">
        <v>9979232.194444444</v>
      </c>
      <c r="P1498">
        <v>60227</v>
      </c>
      <c r="Q1498">
        <v>2</v>
      </c>
      <c r="R1498">
        <v>165</v>
      </c>
      <c r="S1498" t="s">
        <v>1167</v>
      </c>
      <c r="W1498">
        <f>Cancer_doubles_final2[[#This Row],[mlp_params]]</f>
        <v>59534</v>
      </c>
      <c r="X1498">
        <f>Cancer_doubles_final2[[#This Row],[kan_test_acc]]</f>
        <v>0.90170939928955496</v>
      </c>
      <c r="Y1498">
        <f>Cancer_doubles_final2[[#This Row],[mlp_test_acc]]</f>
        <v>0.932012432012432</v>
      </c>
      <c r="Z1498">
        <f>Cancer_doubles_final2[[#This Row],[mlp_test_acc2]]</f>
        <v>0.93006993006993011</v>
      </c>
    </row>
    <row r="1499" spans="1:26" hidden="1" x14ac:dyDescent="0.25">
      <c r="A1499" t="s">
        <v>19</v>
      </c>
      <c r="B1499">
        <v>9</v>
      </c>
      <c r="C1499">
        <v>4</v>
      </c>
      <c r="D1499">
        <v>0</v>
      </c>
      <c r="E1499" t="s">
        <v>333</v>
      </c>
      <c r="F1499">
        <v>41108</v>
      </c>
      <c r="G1499">
        <v>39463407.166666672</v>
      </c>
      <c r="H1499">
        <v>0.94172493368387222</v>
      </c>
      <c r="I1499">
        <v>0.97173659673659674</v>
      </c>
      <c r="J1499">
        <v>9540703.375</v>
      </c>
      <c r="K1499">
        <v>63752</v>
      </c>
      <c r="L1499">
        <v>2</v>
      </c>
      <c r="M1499">
        <v>170</v>
      </c>
      <c r="N1499">
        <v>0.96678321678321677</v>
      </c>
      <c r="O1499">
        <v>10467023.416666666</v>
      </c>
      <c r="P1499">
        <v>64469</v>
      </c>
      <c r="Q1499">
        <v>2</v>
      </c>
      <c r="R1499">
        <v>171</v>
      </c>
      <c r="S1499" t="s">
        <v>1168</v>
      </c>
      <c r="W1499">
        <f>Cancer_doubles_final2[[#This Row],[mlp_params]]</f>
        <v>63752</v>
      </c>
      <c r="X1499">
        <f>Cancer_doubles_final2[[#This Row],[kan_test_acc]]</f>
        <v>0.94172493368387222</v>
      </c>
      <c r="Y1499">
        <f>Cancer_doubles_final2[[#This Row],[mlp_test_acc]]</f>
        <v>0.97173659673659674</v>
      </c>
      <c r="Z1499">
        <f>Cancer_doubles_final2[[#This Row],[mlp_test_acc2]]</f>
        <v>0.96678321678321677</v>
      </c>
    </row>
    <row r="1500" spans="1:26" hidden="1" x14ac:dyDescent="0.25">
      <c r="A1500" t="s">
        <v>19</v>
      </c>
      <c r="B1500">
        <v>9</v>
      </c>
      <c r="C1500">
        <v>2</v>
      </c>
      <c r="D1500">
        <v>0</v>
      </c>
      <c r="E1500" t="s">
        <v>479</v>
      </c>
      <c r="F1500">
        <v>41140</v>
      </c>
      <c r="G1500">
        <v>33741965.625</v>
      </c>
      <c r="H1500">
        <v>0.93648017446200049</v>
      </c>
      <c r="I1500">
        <v>0.9443473193473193</v>
      </c>
      <c r="J1500">
        <v>9648759.166666666</v>
      </c>
      <c r="K1500">
        <v>55460</v>
      </c>
      <c r="L1500">
        <v>2</v>
      </c>
      <c r="M1500">
        <v>158</v>
      </c>
      <c r="N1500">
        <v>0.94259906759906764</v>
      </c>
      <c r="O1500">
        <v>11022605.166666668</v>
      </c>
      <c r="P1500">
        <v>56129</v>
      </c>
      <c r="Q1500">
        <v>2</v>
      </c>
      <c r="R1500">
        <v>159</v>
      </c>
      <c r="S1500" t="s">
        <v>1169</v>
      </c>
      <c r="W1500">
        <f>Cancer_doubles_final2[[#This Row],[mlp_params]]</f>
        <v>55460</v>
      </c>
      <c r="X1500">
        <f>Cancer_doubles_final2[[#This Row],[kan_test_acc]]</f>
        <v>0.93648017446200049</v>
      </c>
      <c r="Y1500">
        <f>Cancer_doubles_final2[[#This Row],[mlp_test_acc]]</f>
        <v>0.9443473193473193</v>
      </c>
      <c r="Z1500">
        <f>Cancer_doubles_final2[[#This Row],[mlp_test_acc2]]</f>
        <v>0.94259906759906764</v>
      </c>
    </row>
    <row r="1501" spans="1:26" hidden="1" x14ac:dyDescent="0.25">
      <c r="A1501" t="s">
        <v>19</v>
      </c>
      <c r="B1501">
        <v>9</v>
      </c>
      <c r="C1501">
        <v>3</v>
      </c>
      <c r="D1501">
        <v>0</v>
      </c>
      <c r="E1501" t="s">
        <v>399</v>
      </c>
      <c r="F1501">
        <v>41180</v>
      </c>
      <c r="G1501">
        <v>31695200.861111116</v>
      </c>
      <c r="H1501">
        <v>0.92948717210027898</v>
      </c>
      <c r="I1501">
        <v>0.93298368298368295</v>
      </c>
      <c r="J1501">
        <v>9091287.777777778</v>
      </c>
      <c r="K1501">
        <v>60227</v>
      </c>
      <c r="L1501">
        <v>2</v>
      </c>
      <c r="M1501">
        <v>165</v>
      </c>
      <c r="N1501">
        <v>0.92754467754467751</v>
      </c>
      <c r="O1501">
        <v>9779019.027777778</v>
      </c>
      <c r="P1501">
        <v>60924</v>
      </c>
      <c r="Q1501">
        <v>2</v>
      </c>
      <c r="R1501">
        <v>166</v>
      </c>
      <c r="S1501" t="s">
        <v>1170</v>
      </c>
      <c r="W1501">
        <f>Cancer_doubles_final2[[#This Row],[mlp_params]]</f>
        <v>60227</v>
      </c>
      <c r="X1501">
        <f>Cancer_doubles_final2[[#This Row],[kan_test_acc]]</f>
        <v>0.92948717210027898</v>
      </c>
      <c r="Y1501">
        <f>Cancer_doubles_final2[[#This Row],[mlp_test_acc]]</f>
        <v>0.93298368298368295</v>
      </c>
      <c r="Z1501">
        <f>Cancer_doubles_final2[[#This Row],[mlp_test_acc2]]</f>
        <v>0.92754467754467751</v>
      </c>
    </row>
    <row r="1502" spans="1:26" hidden="1" x14ac:dyDescent="0.25">
      <c r="A1502" t="s">
        <v>19</v>
      </c>
      <c r="B1502">
        <v>9</v>
      </c>
      <c r="C1502">
        <v>5</v>
      </c>
      <c r="D1502">
        <v>0</v>
      </c>
      <c r="E1502" t="s">
        <v>283</v>
      </c>
      <c r="F1502">
        <v>41212</v>
      </c>
      <c r="G1502">
        <v>48759406.875</v>
      </c>
      <c r="H1502">
        <v>0.88927738616863883</v>
      </c>
      <c r="I1502">
        <v>0.94871794871794868</v>
      </c>
      <c r="J1502">
        <v>11516814.208333332</v>
      </c>
      <c r="K1502">
        <v>67377</v>
      </c>
      <c r="L1502">
        <v>2</v>
      </c>
      <c r="M1502">
        <v>175</v>
      </c>
      <c r="N1502">
        <v>0.94405594405594406</v>
      </c>
      <c r="O1502">
        <v>11482797</v>
      </c>
      <c r="P1502">
        <v>68114</v>
      </c>
      <c r="Q1502">
        <v>2</v>
      </c>
      <c r="R1502">
        <v>176</v>
      </c>
      <c r="S1502" t="s">
        <v>1171</v>
      </c>
      <c r="W1502">
        <f>Cancer_doubles_final2[[#This Row],[mlp_params]]</f>
        <v>67377</v>
      </c>
      <c r="X1502">
        <f>Cancer_doubles_final2[[#This Row],[kan_test_acc]]</f>
        <v>0.88927738616863883</v>
      </c>
      <c r="Y1502">
        <f>Cancer_doubles_final2[[#This Row],[mlp_test_acc]]</f>
        <v>0.94871794871794868</v>
      </c>
      <c r="Z1502">
        <f>Cancer_doubles_final2[[#This Row],[mlp_test_acc2]]</f>
        <v>0.94405594405594406</v>
      </c>
    </row>
    <row r="1503" spans="1:26" hidden="1" x14ac:dyDescent="0.25">
      <c r="A1503" t="s">
        <v>19</v>
      </c>
      <c r="B1503">
        <v>9</v>
      </c>
      <c r="C1503">
        <v>3</v>
      </c>
      <c r="D1503">
        <v>0</v>
      </c>
      <c r="E1503" t="s">
        <v>402</v>
      </c>
      <c r="F1503">
        <v>41304</v>
      </c>
      <c r="G1503">
        <v>48433072.458333328</v>
      </c>
      <c r="H1503">
        <v>0.88811189184586214</v>
      </c>
      <c r="I1503">
        <v>0.9475524475524475</v>
      </c>
      <c r="J1503">
        <v>11527526.458333334</v>
      </c>
      <c r="K1503">
        <v>60227</v>
      </c>
      <c r="L1503">
        <v>2</v>
      </c>
      <c r="M1503">
        <v>165</v>
      </c>
      <c r="N1503">
        <v>0.94609557109557108</v>
      </c>
      <c r="O1503">
        <v>11639647.916666666</v>
      </c>
      <c r="P1503">
        <v>60924</v>
      </c>
      <c r="Q1503">
        <v>2</v>
      </c>
      <c r="R1503">
        <v>166</v>
      </c>
      <c r="S1503" t="s">
        <v>1172</v>
      </c>
      <c r="W1503">
        <f>Cancer_doubles_final2[[#This Row],[mlp_params]]</f>
        <v>60227</v>
      </c>
      <c r="X1503">
        <f>Cancer_doubles_final2[[#This Row],[kan_test_acc]]</f>
        <v>0.88811189184586214</v>
      </c>
      <c r="Y1503">
        <f>Cancer_doubles_final2[[#This Row],[mlp_test_acc]]</f>
        <v>0.9475524475524475</v>
      </c>
      <c r="Z1503">
        <f>Cancer_doubles_final2[[#This Row],[mlp_test_acc2]]</f>
        <v>0.94609557109557108</v>
      </c>
    </row>
    <row r="1504" spans="1:26" hidden="1" x14ac:dyDescent="0.25">
      <c r="A1504" t="s">
        <v>19</v>
      </c>
      <c r="B1504">
        <v>9</v>
      </c>
      <c r="C1504">
        <v>4</v>
      </c>
      <c r="D1504">
        <v>0</v>
      </c>
      <c r="E1504" t="s">
        <v>337</v>
      </c>
      <c r="F1504">
        <v>41356</v>
      </c>
      <c r="G1504">
        <v>40674048.708333328</v>
      </c>
      <c r="H1504">
        <v>0.92657343049844099</v>
      </c>
      <c r="I1504">
        <v>0.95862470862470861</v>
      </c>
      <c r="J1504">
        <v>10886759.791666668</v>
      </c>
      <c r="K1504">
        <v>64469</v>
      </c>
      <c r="L1504">
        <v>2</v>
      </c>
      <c r="M1504">
        <v>171</v>
      </c>
      <c r="N1504">
        <v>0.95862470862470861</v>
      </c>
      <c r="O1504">
        <v>11407424.166666666</v>
      </c>
      <c r="P1504">
        <v>65190</v>
      </c>
      <c r="Q1504">
        <v>2</v>
      </c>
      <c r="R1504">
        <v>172</v>
      </c>
      <c r="S1504" t="s">
        <v>1173</v>
      </c>
      <c r="W1504">
        <f>Cancer_doubles_final2[[#This Row],[mlp_params]]</f>
        <v>64469</v>
      </c>
      <c r="X1504">
        <f>Cancer_doubles_final2[[#This Row],[kan_test_acc]]</f>
        <v>0.92657343049844099</v>
      </c>
      <c r="Y1504">
        <f>Cancer_doubles_final2[[#This Row],[mlp_test_acc]]</f>
        <v>0.95862470862470861</v>
      </c>
      <c r="Z1504">
        <f>Cancer_doubles_final2[[#This Row],[mlp_test_acc2]]</f>
        <v>0.95862470862470861</v>
      </c>
    </row>
    <row r="1505" spans="1:26" hidden="1" x14ac:dyDescent="0.25">
      <c r="A1505" t="s">
        <v>19</v>
      </c>
      <c r="B1505">
        <v>9</v>
      </c>
      <c r="C1505">
        <v>3</v>
      </c>
      <c r="D1505">
        <v>0</v>
      </c>
      <c r="E1505" t="s">
        <v>404</v>
      </c>
      <c r="F1505">
        <v>41362</v>
      </c>
      <c r="G1505">
        <v>40548531.25</v>
      </c>
      <c r="H1505">
        <v>0.93006992836793256</v>
      </c>
      <c r="I1505">
        <v>0.96066433566433562</v>
      </c>
      <c r="J1505">
        <v>10750331</v>
      </c>
      <c r="K1505">
        <v>60227</v>
      </c>
      <c r="L1505">
        <v>2</v>
      </c>
      <c r="M1505">
        <v>165</v>
      </c>
      <c r="N1505">
        <v>0.95891608391608396</v>
      </c>
      <c r="O1505">
        <v>11444385.333333332</v>
      </c>
      <c r="P1505">
        <v>60924</v>
      </c>
      <c r="Q1505">
        <v>2</v>
      </c>
      <c r="R1505">
        <v>166</v>
      </c>
      <c r="S1505" t="s">
        <v>1174</v>
      </c>
      <c r="W1505">
        <f>Cancer_doubles_final2[[#This Row],[mlp_params]]</f>
        <v>60227</v>
      </c>
      <c r="X1505">
        <f>Cancer_doubles_final2[[#This Row],[kan_test_acc]]</f>
        <v>0.93006992836793256</v>
      </c>
      <c r="Y1505">
        <f>Cancer_doubles_final2[[#This Row],[mlp_test_acc]]</f>
        <v>0.96066433566433562</v>
      </c>
      <c r="Z1505">
        <f>Cancer_doubles_final2[[#This Row],[mlp_test_acc2]]</f>
        <v>0.95891608391608396</v>
      </c>
    </row>
    <row r="1506" spans="1:26" hidden="1" x14ac:dyDescent="0.25">
      <c r="A1506" t="s">
        <v>19</v>
      </c>
      <c r="B1506">
        <v>9</v>
      </c>
      <c r="C1506">
        <v>3</v>
      </c>
      <c r="D1506">
        <v>0</v>
      </c>
      <c r="E1506" t="s">
        <v>408</v>
      </c>
      <c r="F1506">
        <v>41430</v>
      </c>
      <c r="G1506">
        <v>41446239.416666664</v>
      </c>
      <c r="H1506">
        <v>0.95221444964408875</v>
      </c>
      <c r="I1506">
        <v>0.96940559440559437</v>
      </c>
      <c r="J1506">
        <v>9273248.375</v>
      </c>
      <c r="K1506">
        <v>60227</v>
      </c>
      <c r="L1506">
        <v>2</v>
      </c>
      <c r="M1506">
        <v>165</v>
      </c>
      <c r="N1506">
        <v>0.96445221445221441</v>
      </c>
      <c r="O1506">
        <v>9795507.7083333321</v>
      </c>
      <c r="P1506">
        <v>60924</v>
      </c>
      <c r="Q1506">
        <v>2</v>
      </c>
      <c r="R1506">
        <v>166</v>
      </c>
      <c r="S1506" t="s">
        <v>1175</v>
      </c>
      <c r="W1506">
        <f>Cancer_doubles_final2[[#This Row],[mlp_params]]</f>
        <v>60227</v>
      </c>
      <c r="X1506">
        <f>Cancer_doubles_final2[[#This Row],[kan_test_acc]]</f>
        <v>0.95221444964408875</v>
      </c>
      <c r="Y1506">
        <f>Cancer_doubles_final2[[#This Row],[mlp_test_acc]]</f>
        <v>0.96940559440559437</v>
      </c>
      <c r="Z1506">
        <f>Cancer_doubles_final2[[#This Row],[mlp_test_acc2]]</f>
        <v>0.96445221445221441</v>
      </c>
    </row>
    <row r="1507" spans="1:26" hidden="1" x14ac:dyDescent="0.25">
      <c r="A1507" t="s">
        <v>19</v>
      </c>
      <c r="B1507">
        <v>5</v>
      </c>
      <c r="C1507">
        <v>5</v>
      </c>
      <c r="D1507">
        <v>0</v>
      </c>
      <c r="E1507" t="s">
        <v>582</v>
      </c>
      <c r="F1507">
        <v>41436</v>
      </c>
      <c r="G1507">
        <v>49728856.791666672</v>
      </c>
      <c r="H1507">
        <v>0.89947552730639768</v>
      </c>
      <c r="I1507">
        <v>0.94026806526806528</v>
      </c>
      <c r="J1507">
        <v>9358949.875</v>
      </c>
      <c r="K1507">
        <v>75704</v>
      </c>
      <c r="L1507">
        <v>2</v>
      </c>
      <c r="M1507">
        <v>186</v>
      </c>
      <c r="N1507">
        <v>0.93997668997668993</v>
      </c>
      <c r="O1507">
        <v>10281804.541666666</v>
      </c>
      <c r="P1507">
        <v>76485</v>
      </c>
      <c r="Q1507">
        <v>2</v>
      </c>
      <c r="R1507">
        <v>187</v>
      </c>
      <c r="S1507" t="s">
        <v>1176</v>
      </c>
      <c r="W1507">
        <f>Cancer_doubles_final2[[#This Row],[mlp_params]]</f>
        <v>75704</v>
      </c>
      <c r="X1507">
        <f>Cancer_doubles_final2[[#This Row],[kan_test_acc]]</f>
        <v>0.89947552730639768</v>
      </c>
      <c r="Y1507">
        <f>Cancer_doubles_final2[[#This Row],[mlp_test_acc]]</f>
        <v>0.94026806526806528</v>
      </c>
      <c r="Z1507">
        <f>Cancer_doubles_final2[[#This Row],[mlp_test_acc2]]</f>
        <v>0.93997668997668993</v>
      </c>
    </row>
    <row r="1508" spans="1:26" hidden="1" x14ac:dyDescent="0.25">
      <c r="A1508" t="s">
        <v>19</v>
      </c>
      <c r="B1508">
        <v>9</v>
      </c>
      <c r="C1508">
        <v>5</v>
      </c>
      <c r="D1508">
        <v>0</v>
      </c>
      <c r="E1508" t="s">
        <v>286</v>
      </c>
      <c r="F1508">
        <v>41492</v>
      </c>
      <c r="G1508">
        <v>51703962.277777784</v>
      </c>
      <c r="H1508">
        <v>0.87626262836986113</v>
      </c>
      <c r="I1508">
        <v>0.93997668997668993</v>
      </c>
      <c r="J1508">
        <v>10532360.527777778</v>
      </c>
      <c r="K1508">
        <v>68114</v>
      </c>
      <c r="L1508">
        <v>2</v>
      </c>
      <c r="M1508">
        <v>176</v>
      </c>
      <c r="N1508">
        <v>0.94114219114219111</v>
      </c>
      <c r="O1508">
        <v>11798409.5</v>
      </c>
      <c r="P1508">
        <v>68855</v>
      </c>
      <c r="Q1508">
        <v>2</v>
      </c>
      <c r="R1508">
        <v>177</v>
      </c>
      <c r="S1508" t="s">
        <v>1177</v>
      </c>
      <c r="W1508">
        <f>Cancer_doubles_final2[[#This Row],[mlp_params]]</f>
        <v>68114</v>
      </c>
      <c r="X1508">
        <f>Cancer_doubles_final2[[#This Row],[kan_test_acc]]</f>
        <v>0.87626262836986113</v>
      </c>
      <c r="Y1508">
        <f>Cancer_doubles_final2[[#This Row],[mlp_test_acc]]</f>
        <v>0.93997668997668993</v>
      </c>
      <c r="Z1508">
        <f>Cancer_doubles_final2[[#This Row],[mlp_test_acc2]]</f>
        <v>0.94114219114219111</v>
      </c>
    </row>
    <row r="1509" spans="1:26" hidden="1" x14ac:dyDescent="0.25">
      <c r="A1509" t="s">
        <v>19</v>
      </c>
      <c r="B1509">
        <v>9</v>
      </c>
      <c r="C1509">
        <v>4</v>
      </c>
      <c r="D1509">
        <v>0</v>
      </c>
      <c r="E1509" t="s">
        <v>341</v>
      </c>
      <c r="F1509">
        <v>41554</v>
      </c>
      <c r="G1509">
        <v>47798241.291666672</v>
      </c>
      <c r="H1509">
        <v>0.91812354077895486</v>
      </c>
      <c r="I1509">
        <v>0.9533799533799534</v>
      </c>
      <c r="J1509">
        <v>11843303.666666668</v>
      </c>
      <c r="K1509">
        <v>64469</v>
      </c>
      <c r="L1509">
        <v>2</v>
      </c>
      <c r="M1509">
        <v>171</v>
      </c>
      <c r="N1509">
        <v>0.95804195804195813</v>
      </c>
      <c r="O1509">
        <v>12653261.708333334</v>
      </c>
      <c r="P1509">
        <v>65190</v>
      </c>
      <c r="Q1509">
        <v>2</v>
      </c>
      <c r="R1509">
        <v>172</v>
      </c>
      <c r="S1509" t="s">
        <v>1178</v>
      </c>
      <c r="W1509">
        <f>Cancer_doubles_final2[[#This Row],[mlp_params]]</f>
        <v>64469</v>
      </c>
      <c r="X1509">
        <f>Cancer_doubles_final2[[#This Row],[kan_test_acc]]</f>
        <v>0.91812354077895486</v>
      </c>
      <c r="Y1509">
        <f>Cancer_doubles_final2[[#This Row],[mlp_test_acc]]</f>
        <v>0.9533799533799534</v>
      </c>
      <c r="Z1509">
        <f>Cancer_doubles_final2[[#This Row],[mlp_test_acc2]]</f>
        <v>0.95804195804195813</v>
      </c>
    </row>
    <row r="1510" spans="1:26" hidden="1" x14ac:dyDescent="0.25">
      <c r="A1510" t="s">
        <v>19</v>
      </c>
      <c r="B1510">
        <v>9</v>
      </c>
      <c r="C1510">
        <v>2</v>
      </c>
      <c r="D1510">
        <v>0</v>
      </c>
      <c r="E1510" t="s">
        <v>487</v>
      </c>
      <c r="F1510">
        <v>41586</v>
      </c>
      <c r="G1510">
        <v>38348813.583333328</v>
      </c>
      <c r="H1510">
        <v>0.93881118049224221</v>
      </c>
      <c r="I1510">
        <v>0.93793706293706292</v>
      </c>
      <c r="J1510">
        <v>10059229.375</v>
      </c>
      <c r="K1510">
        <v>56129</v>
      </c>
      <c r="L1510">
        <v>2</v>
      </c>
      <c r="M1510">
        <v>159</v>
      </c>
      <c r="N1510">
        <v>0.94085081585081587</v>
      </c>
      <c r="O1510">
        <v>11283958.708333334</v>
      </c>
      <c r="P1510">
        <v>56802</v>
      </c>
      <c r="Q1510">
        <v>2</v>
      </c>
      <c r="R1510">
        <v>160</v>
      </c>
      <c r="S1510" t="s">
        <v>1179</v>
      </c>
      <c r="W1510">
        <f>Cancer_doubles_final2[[#This Row],[mlp_params]]</f>
        <v>56129</v>
      </c>
      <c r="X1510">
        <f>Cancer_doubles_final2[[#This Row],[kan_test_acc]]</f>
        <v>0.93881118049224221</v>
      </c>
      <c r="Y1510">
        <f>Cancer_doubles_final2[[#This Row],[mlp_test_acc]]</f>
        <v>0.93793706293706292</v>
      </c>
      <c r="Z1510">
        <f>Cancer_doubles_final2[[#This Row],[mlp_test_acc2]]</f>
        <v>0.94085081585081587</v>
      </c>
    </row>
    <row r="1511" spans="1:26" hidden="1" x14ac:dyDescent="0.25">
      <c r="A1511" t="s">
        <v>19</v>
      </c>
      <c r="B1511">
        <v>5</v>
      </c>
      <c r="C1511">
        <v>4</v>
      </c>
      <c r="D1511">
        <v>0</v>
      </c>
      <c r="E1511" t="s">
        <v>697</v>
      </c>
      <c r="F1511">
        <v>41618</v>
      </c>
      <c r="G1511">
        <v>35202451.277777776</v>
      </c>
      <c r="H1511">
        <v>0.93512042694621611</v>
      </c>
      <c r="I1511">
        <v>0.91763791763791769</v>
      </c>
      <c r="J1511">
        <v>9493934.194444444</v>
      </c>
      <c r="K1511">
        <v>72620</v>
      </c>
      <c r="L1511">
        <v>2</v>
      </c>
      <c r="M1511">
        <v>182</v>
      </c>
      <c r="N1511">
        <v>0.91550116550116556</v>
      </c>
      <c r="O1511">
        <v>9102871.305555556</v>
      </c>
      <c r="P1511">
        <v>73385</v>
      </c>
      <c r="Q1511">
        <v>2</v>
      </c>
      <c r="R1511">
        <v>183</v>
      </c>
      <c r="S1511" t="s">
        <v>1180</v>
      </c>
      <c r="W1511">
        <f>Cancer_doubles_final2[[#This Row],[mlp_params]]</f>
        <v>72620</v>
      </c>
      <c r="X1511">
        <f>Cancer_doubles_final2[[#This Row],[kan_test_acc]]</f>
        <v>0.93512042694621611</v>
      </c>
      <c r="Y1511">
        <f>Cancer_doubles_final2[[#This Row],[mlp_test_acc]]</f>
        <v>0.91763791763791769</v>
      </c>
      <c r="Z1511">
        <f>Cancer_doubles_final2[[#This Row],[mlp_test_acc2]]</f>
        <v>0.91550116550116556</v>
      </c>
    </row>
    <row r="1512" spans="1:26" hidden="1" x14ac:dyDescent="0.25">
      <c r="A1512" t="s">
        <v>19</v>
      </c>
      <c r="B1512">
        <v>9</v>
      </c>
      <c r="C1512">
        <v>4</v>
      </c>
      <c r="D1512">
        <v>0</v>
      </c>
      <c r="E1512" t="s">
        <v>345</v>
      </c>
      <c r="F1512">
        <v>41678</v>
      </c>
      <c r="G1512">
        <v>43376648.222222224</v>
      </c>
      <c r="H1512">
        <v>0.93162392742103994</v>
      </c>
      <c r="I1512">
        <v>0.94502719502719501</v>
      </c>
      <c r="J1512">
        <v>9816009.3888888881</v>
      </c>
      <c r="K1512">
        <v>64469</v>
      </c>
      <c r="L1512">
        <v>2</v>
      </c>
      <c r="M1512">
        <v>171</v>
      </c>
      <c r="N1512">
        <v>0.94405594405594406</v>
      </c>
      <c r="O1512">
        <v>10543212.527777778</v>
      </c>
      <c r="P1512">
        <v>65190</v>
      </c>
      <c r="Q1512">
        <v>2</v>
      </c>
      <c r="R1512">
        <v>172</v>
      </c>
      <c r="S1512" t="s">
        <v>1181</v>
      </c>
      <c r="W1512">
        <f>Cancer_doubles_final2[[#This Row],[mlp_params]]</f>
        <v>64469</v>
      </c>
      <c r="X1512">
        <f>Cancer_doubles_final2[[#This Row],[kan_test_acc]]</f>
        <v>0.93162392742103994</v>
      </c>
      <c r="Y1512">
        <f>Cancer_doubles_final2[[#This Row],[mlp_test_acc]]</f>
        <v>0.94502719502719501</v>
      </c>
      <c r="Z1512">
        <f>Cancer_doubles_final2[[#This Row],[mlp_test_acc2]]</f>
        <v>0.94405594405594406</v>
      </c>
    </row>
    <row r="1513" spans="1:26" hidden="1" x14ac:dyDescent="0.25">
      <c r="A1513" t="s">
        <v>19</v>
      </c>
      <c r="B1513">
        <v>9</v>
      </c>
      <c r="C1513">
        <v>5</v>
      </c>
      <c r="D1513">
        <v>0</v>
      </c>
      <c r="E1513" t="s">
        <v>290</v>
      </c>
      <c r="F1513">
        <v>41690</v>
      </c>
      <c r="G1513">
        <v>39149619.291666672</v>
      </c>
      <c r="H1513">
        <v>0.89306526631116867</v>
      </c>
      <c r="I1513">
        <v>0.94376456876456882</v>
      </c>
      <c r="J1513">
        <v>11554684.5</v>
      </c>
      <c r="K1513">
        <v>68114</v>
      </c>
      <c r="L1513">
        <v>2</v>
      </c>
      <c r="M1513">
        <v>176</v>
      </c>
      <c r="N1513">
        <v>0.93851981351981351</v>
      </c>
      <c r="O1513">
        <v>12266510.5</v>
      </c>
      <c r="P1513">
        <v>68855</v>
      </c>
      <c r="Q1513">
        <v>2</v>
      </c>
      <c r="R1513">
        <v>177</v>
      </c>
      <c r="S1513" t="s">
        <v>1182</v>
      </c>
      <c r="W1513">
        <f>Cancer_doubles_final2[[#This Row],[mlp_params]]</f>
        <v>68114</v>
      </c>
      <c r="X1513">
        <f>Cancer_doubles_final2[[#This Row],[kan_test_acc]]</f>
        <v>0.89306526631116867</v>
      </c>
      <c r="Y1513">
        <f>Cancer_doubles_final2[[#This Row],[mlp_test_acc]]</f>
        <v>0.94376456876456882</v>
      </c>
      <c r="Z1513">
        <f>Cancer_doubles_final2[[#This Row],[mlp_test_acc2]]</f>
        <v>0.93851981351981351</v>
      </c>
    </row>
    <row r="1514" spans="1:26" hidden="1" x14ac:dyDescent="0.25">
      <c r="A1514" t="s">
        <v>19</v>
      </c>
      <c r="B1514">
        <v>9</v>
      </c>
      <c r="C1514">
        <v>4</v>
      </c>
      <c r="D1514">
        <v>0</v>
      </c>
      <c r="E1514" t="s">
        <v>347</v>
      </c>
      <c r="F1514">
        <v>41744</v>
      </c>
      <c r="G1514">
        <v>42687550.041666664</v>
      </c>
      <c r="H1514">
        <v>0.87004661808411277</v>
      </c>
      <c r="I1514">
        <v>0.94026806526806528</v>
      </c>
      <c r="J1514">
        <v>11706170</v>
      </c>
      <c r="K1514">
        <v>64469</v>
      </c>
      <c r="L1514">
        <v>2</v>
      </c>
      <c r="M1514">
        <v>171</v>
      </c>
      <c r="N1514">
        <v>0.94201631701631694</v>
      </c>
      <c r="O1514">
        <v>12586792.833333334</v>
      </c>
      <c r="P1514">
        <v>65190</v>
      </c>
      <c r="Q1514">
        <v>2</v>
      </c>
      <c r="R1514">
        <v>172</v>
      </c>
      <c r="S1514" t="s">
        <v>1183</v>
      </c>
      <c r="W1514">
        <f>Cancer_doubles_final2[[#This Row],[mlp_params]]</f>
        <v>64469</v>
      </c>
      <c r="X1514">
        <f>Cancer_doubles_final2[[#This Row],[kan_test_acc]]</f>
        <v>0.87004661808411277</v>
      </c>
      <c r="Y1514">
        <f>Cancer_doubles_final2[[#This Row],[mlp_test_acc]]</f>
        <v>0.94026806526806528</v>
      </c>
      <c r="Z1514">
        <f>Cancer_doubles_final2[[#This Row],[mlp_test_acc2]]</f>
        <v>0.94201631701631694</v>
      </c>
    </row>
    <row r="1515" spans="1:26" hidden="1" x14ac:dyDescent="0.25">
      <c r="A1515" t="s">
        <v>19</v>
      </c>
      <c r="B1515">
        <v>5</v>
      </c>
      <c r="C1515">
        <v>5</v>
      </c>
      <c r="D1515">
        <v>0</v>
      </c>
      <c r="E1515" t="s">
        <v>592</v>
      </c>
      <c r="F1515">
        <v>41798</v>
      </c>
      <c r="G1515">
        <v>47893396.625</v>
      </c>
      <c r="H1515">
        <v>0.88315851241350174</v>
      </c>
      <c r="I1515">
        <v>0.93444055944055937</v>
      </c>
      <c r="J1515">
        <v>10177513.416666668</v>
      </c>
      <c r="K1515">
        <v>76485</v>
      </c>
      <c r="L1515">
        <v>2</v>
      </c>
      <c r="M1515">
        <v>187</v>
      </c>
      <c r="N1515">
        <v>0.9391025641025641</v>
      </c>
      <c r="O1515">
        <v>12198337.083333334</v>
      </c>
      <c r="P1515">
        <v>77270</v>
      </c>
      <c r="Q1515">
        <v>2</v>
      </c>
      <c r="R1515">
        <v>188</v>
      </c>
      <c r="S1515" t="s">
        <v>1184</v>
      </c>
      <c r="W1515">
        <f>Cancer_doubles_final2[[#This Row],[mlp_params]]</f>
        <v>76485</v>
      </c>
      <c r="X1515">
        <f>Cancer_doubles_final2[[#This Row],[kan_test_acc]]</f>
        <v>0.88315851241350174</v>
      </c>
      <c r="Y1515">
        <f>Cancer_doubles_final2[[#This Row],[mlp_test_acc]]</f>
        <v>0.93444055944055937</v>
      </c>
      <c r="Z1515">
        <f>Cancer_doubles_final2[[#This Row],[mlp_test_acc2]]</f>
        <v>0.9391025641025641</v>
      </c>
    </row>
    <row r="1516" spans="1:26" hidden="1" x14ac:dyDescent="0.25">
      <c r="A1516" t="s">
        <v>19</v>
      </c>
      <c r="B1516">
        <v>9</v>
      </c>
      <c r="C1516">
        <v>2</v>
      </c>
      <c r="D1516">
        <v>0</v>
      </c>
      <c r="E1516" t="s">
        <v>492</v>
      </c>
      <c r="F1516">
        <v>41806</v>
      </c>
      <c r="G1516">
        <v>45750017.944444448</v>
      </c>
      <c r="H1516">
        <v>0.90520590709315407</v>
      </c>
      <c r="I1516">
        <v>0.91336441336441332</v>
      </c>
      <c r="J1516">
        <v>9758946.694444444</v>
      </c>
      <c r="K1516">
        <v>56129</v>
      </c>
      <c r="L1516">
        <v>2</v>
      </c>
      <c r="M1516">
        <v>159</v>
      </c>
      <c r="N1516">
        <v>0.91219891219891214</v>
      </c>
      <c r="O1516">
        <v>11264926.583333334</v>
      </c>
      <c r="P1516">
        <v>56802</v>
      </c>
      <c r="Q1516">
        <v>2</v>
      </c>
      <c r="R1516">
        <v>160</v>
      </c>
      <c r="S1516" t="s">
        <v>1185</v>
      </c>
      <c r="W1516">
        <f>Cancer_doubles_final2[[#This Row],[mlp_params]]</f>
        <v>56129</v>
      </c>
      <c r="X1516">
        <f>Cancer_doubles_final2[[#This Row],[kan_test_acc]]</f>
        <v>0.90520590709315407</v>
      </c>
      <c r="Y1516">
        <f>Cancer_doubles_final2[[#This Row],[mlp_test_acc]]</f>
        <v>0.91336441336441332</v>
      </c>
      <c r="Z1516">
        <f>Cancer_doubles_final2[[#This Row],[mlp_test_acc2]]</f>
        <v>0.91219891219891214</v>
      </c>
    </row>
    <row r="1517" spans="1:26" hidden="1" x14ac:dyDescent="0.25">
      <c r="A1517" t="s">
        <v>19</v>
      </c>
      <c r="B1517">
        <v>9</v>
      </c>
      <c r="C1517">
        <v>2</v>
      </c>
      <c r="D1517">
        <v>0</v>
      </c>
      <c r="E1517" t="s">
        <v>494</v>
      </c>
      <c r="F1517">
        <v>41808</v>
      </c>
      <c r="G1517">
        <v>29475447.583333332</v>
      </c>
      <c r="H1517">
        <v>0.92307692931758034</v>
      </c>
      <c r="I1517">
        <v>0.91608391608391604</v>
      </c>
      <c r="J1517">
        <v>9075914.805555556</v>
      </c>
      <c r="K1517">
        <v>56129</v>
      </c>
      <c r="L1517">
        <v>2</v>
      </c>
      <c r="M1517">
        <v>159</v>
      </c>
      <c r="N1517">
        <v>0.91433566433566427</v>
      </c>
      <c r="O1517">
        <v>10399710.583333334</v>
      </c>
      <c r="P1517">
        <v>56802</v>
      </c>
      <c r="Q1517">
        <v>2</v>
      </c>
      <c r="R1517">
        <v>160</v>
      </c>
      <c r="S1517" t="s">
        <v>1186</v>
      </c>
      <c r="W1517">
        <f>Cancer_doubles_final2[[#This Row],[mlp_params]]</f>
        <v>56129</v>
      </c>
      <c r="X1517">
        <f>Cancer_doubles_final2[[#This Row],[kan_test_acc]]</f>
        <v>0.92307692931758034</v>
      </c>
      <c r="Y1517">
        <f>Cancer_doubles_final2[[#This Row],[mlp_test_acc]]</f>
        <v>0.91608391608391604</v>
      </c>
      <c r="Z1517">
        <f>Cancer_doubles_final2[[#This Row],[mlp_test_acc2]]</f>
        <v>0.91433566433566427</v>
      </c>
    </row>
    <row r="1518" spans="1:26" hidden="1" x14ac:dyDescent="0.25">
      <c r="A1518" t="s">
        <v>19</v>
      </c>
      <c r="B1518">
        <v>9</v>
      </c>
      <c r="C1518">
        <v>5</v>
      </c>
      <c r="D1518">
        <v>0</v>
      </c>
      <c r="E1518" t="s">
        <v>293</v>
      </c>
      <c r="F1518">
        <v>41830</v>
      </c>
      <c r="G1518">
        <v>34322080.222222224</v>
      </c>
      <c r="H1518">
        <v>0.91258741087383688</v>
      </c>
      <c r="I1518">
        <v>0.9267676767676768</v>
      </c>
      <c r="J1518">
        <v>10307511.916666668</v>
      </c>
      <c r="K1518">
        <v>68114</v>
      </c>
      <c r="L1518">
        <v>2</v>
      </c>
      <c r="M1518">
        <v>176</v>
      </c>
      <c r="N1518">
        <v>0.92307692307692313</v>
      </c>
      <c r="O1518">
        <v>11007646.555555556</v>
      </c>
      <c r="P1518">
        <v>68855</v>
      </c>
      <c r="Q1518">
        <v>2</v>
      </c>
      <c r="R1518">
        <v>177</v>
      </c>
      <c r="S1518" t="s">
        <v>1187</v>
      </c>
      <c r="W1518">
        <f>Cancer_doubles_final2[[#This Row],[mlp_params]]</f>
        <v>68114</v>
      </c>
      <c r="X1518">
        <f>Cancer_doubles_final2[[#This Row],[kan_test_acc]]</f>
        <v>0.91258741087383688</v>
      </c>
      <c r="Y1518">
        <f>Cancer_doubles_final2[[#This Row],[mlp_test_acc]]</f>
        <v>0.9267676767676768</v>
      </c>
      <c r="Z1518">
        <f>Cancer_doubles_final2[[#This Row],[mlp_test_acc2]]</f>
        <v>0.92307692307692313</v>
      </c>
    </row>
    <row r="1519" spans="1:26" hidden="1" x14ac:dyDescent="0.25">
      <c r="A1519" t="s">
        <v>19</v>
      </c>
      <c r="B1519">
        <v>9</v>
      </c>
      <c r="C1519">
        <v>5</v>
      </c>
      <c r="D1519">
        <v>0</v>
      </c>
      <c r="E1519" t="s">
        <v>296</v>
      </c>
      <c r="F1519">
        <v>41896</v>
      </c>
      <c r="G1519">
        <v>43997037.666666672</v>
      </c>
      <c r="H1519">
        <v>0.87062936276197433</v>
      </c>
      <c r="I1519">
        <v>0.94988344988344986</v>
      </c>
      <c r="J1519">
        <v>13089316.166666666</v>
      </c>
      <c r="K1519">
        <v>68855</v>
      </c>
      <c r="L1519">
        <v>2</v>
      </c>
      <c r="M1519">
        <v>177</v>
      </c>
      <c r="N1519">
        <v>0.94930069930069938</v>
      </c>
      <c r="O1519">
        <v>12327948.333333334</v>
      </c>
      <c r="P1519">
        <v>69600</v>
      </c>
      <c r="Q1519">
        <v>2</v>
      </c>
      <c r="R1519">
        <v>178</v>
      </c>
      <c r="S1519" t="s">
        <v>1188</v>
      </c>
      <c r="W1519">
        <f>Cancer_doubles_final2[[#This Row],[mlp_params]]</f>
        <v>68855</v>
      </c>
      <c r="X1519">
        <f>Cancer_doubles_final2[[#This Row],[kan_test_acc]]</f>
        <v>0.87062936276197433</v>
      </c>
      <c r="Y1519">
        <f>Cancer_doubles_final2[[#This Row],[mlp_test_acc]]</f>
        <v>0.94988344988344986</v>
      </c>
      <c r="Z1519">
        <f>Cancer_doubles_final2[[#This Row],[mlp_test_acc2]]</f>
        <v>0.94930069930069938</v>
      </c>
    </row>
    <row r="1520" spans="1:26" hidden="1" x14ac:dyDescent="0.25">
      <c r="A1520" t="s">
        <v>19</v>
      </c>
      <c r="B1520">
        <v>5</v>
      </c>
      <c r="C1520">
        <v>5</v>
      </c>
      <c r="D1520">
        <v>0</v>
      </c>
      <c r="E1520" t="s">
        <v>597</v>
      </c>
      <c r="F1520">
        <v>41952</v>
      </c>
      <c r="G1520">
        <v>51392139.166666672</v>
      </c>
      <c r="H1520">
        <v>0.86596736063559854</v>
      </c>
      <c r="I1520">
        <v>0.93269230769230771</v>
      </c>
      <c r="J1520">
        <v>12590008.375</v>
      </c>
      <c r="K1520">
        <v>77270</v>
      </c>
      <c r="L1520">
        <v>2</v>
      </c>
      <c r="M1520">
        <v>188</v>
      </c>
      <c r="N1520">
        <v>0.93298368298368295</v>
      </c>
      <c r="O1520">
        <v>11236746.375</v>
      </c>
      <c r="P1520">
        <v>78059</v>
      </c>
      <c r="Q1520">
        <v>2</v>
      </c>
      <c r="R1520">
        <v>189</v>
      </c>
      <c r="S1520" t="s">
        <v>1189</v>
      </c>
      <c r="W1520">
        <f>Cancer_doubles_final2[[#This Row],[mlp_params]]</f>
        <v>77270</v>
      </c>
      <c r="X1520">
        <f>Cancer_doubles_final2[[#This Row],[kan_test_acc]]</f>
        <v>0.86596736063559854</v>
      </c>
      <c r="Y1520">
        <f>Cancer_doubles_final2[[#This Row],[mlp_test_acc]]</f>
        <v>0.93269230769230771</v>
      </c>
      <c r="Z1520">
        <f>Cancer_doubles_final2[[#This Row],[mlp_test_acc2]]</f>
        <v>0.93298368298368295</v>
      </c>
    </row>
    <row r="1521" spans="1:26" hidden="1" x14ac:dyDescent="0.25">
      <c r="A1521" t="s">
        <v>19</v>
      </c>
      <c r="B1521">
        <v>9</v>
      </c>
      <c r="C1521">
        <v>3</v>
      </c>
      <c r="D1521">
        <v>0</v>
      </c>
      <c r="E1521" t="s">
        <v>417</v>
      </c>
      <c r="F1521">
        <v>42028</v>
      </c>
      <c r="G1521">
        <v>49163111.722222224</v>
      </c>
      <c r="H1521">
        <v>0.90656564964188469</v>
      </c>
      <c r="I1521">
        <v>0.93181818181818177</v>
      </c>
      <c r="J1521">
        <v>10579526.5</v>
      </c>
      <c r="K1521">
        <v>60924</v>
      </c>
      <c r="L1521">
        <v>2</v>
      </c>
      <c r="M1521">
        <v>166</v>
      </c>
      <c r="N1521">
        <v>0.93104118104118094</v>
      </c>
      <c r="O1521">
        <v>11168355.805555556</v>
      </c>
      <c r="P1521">
        <v>61625</v>
      </c>
      <c r="Q1521">
        <v>2</v>
      </c>
      <c r="R1521">
        <v>167</v>
      </c>
      <c r="S1521" t="s">
        <v>1190</v>
      </c>
      <c r="W1521">
        <f>Cancer_doubles_final2[[#This Row],[mlp_params]]</f>
        <v>60924</v>
      </c>
      <c r="X1521">
        <f>Cancer_doubles_final2[[#This Row],[kan_test_acc]]</f>
        <v>0.90656564964188469</v>
      </c>
      <c r="Y1521">
        <f>Cancer_doubles_final2[[#This Row],[mlp_test_acc]]</f>
        <v>0.93181818181818177</v>
      </c>
      <c r="Z1521">
        <f>Cancer_doubles_final2[[#This Row],[mlp_test_acc2]]</f>
        <v>0.93104118104118094</v>
      </c>
    </row>
    <row r="1522" spans="1:26" hidden="1" x14ac:dyDescent="0.25">
      <c r="A1522" t="s">
        <v>19</v>
      </c>
      <c r="B1522">
        <v>9</v>
      </c>
      <c r="C1522">
        <v>2</v>
      </c>
      <c r="D1522">
        <v>0</v>
      </c>
      <c r="E1522" t="s">
        <v>508</v>
      </c>
      <c r="F1522">
        <v>42094</v>
      </c>
      <c r="G1522">
        <v>32627749.833333332</v>
      </c>
      <c r="H1522">
        <v>0.93414917588233948</v>
      </c>
      <c r="I1522">
        <v>0.94376456876456871</v>
      </c>
      <c r="J1522">
        <v>8223246.291666667</v>
      </c>
      <c r="K1522">
        <v>56802</v>
      </c>
      <c r="L1522">
        <v>2</v>
      </c>
      <c r="M1522">
        <v>160</v>
      </c>
      <c r="N1522">
        <v>0.94347319347319347</v>
      </c>
      <c r="O1522">
        <v>10778644.75</v>
      </c>
      <c r="P1522">
        <v>57479</v>
      </c>
      <c r="Q1522">
        <v>2</v>
      </c>
      <c r="R1522">
        <v>161</v>
      </c>
      <c r="S1522" t="s">
        <v>1191</v>
      </c>
      <c r="W1522">
        <f>Cancer_doubles_final2[[#This Row],[mlp_params]]</f>
        <v>56802</v>
      </c>
      <c r="X1522">
        <f>Cancer_doubles_final2[[#This Row],[kan_test_acc]]</f>
        <v>0.93414917588233948</v>
      </c>
      <c r="Y1522">
        <f>Cancer_doubles_final2[[#This Row],[mlp_test_acc]]</f>
        <v>0.94376456876456871</v>
      </c>
      <c r="Z1522">
        <f>Cancer_doubles_final2[[#This Row],[mlp_test_acc2]]</f>
        <v>0.94347319347319347</v>
      </c>
    </row>
    <row r="1523" spans="1:26" hidden="1" x14ac:dyDescent="0.25">
      <c r="A1523" t="s">
        <v>19</v>
      </c>
      <c r="B1523">
        <v>9</v>
      </c>
      <c r="C1523">
        <v>4</v>
      </c>
      <c r="D1523">
        <v>0</v>
      </c>
      <c r="E1523" t="s">
        <v>353</v>
      </c>
      <c r="F1523">
        <v>42134</v>
      </c>
      <c r="G1523">
        <v>34951169</v>
      </c>
      <c r="H1523">
        <v>0.91977466642856598</v>
      </c>
      <c r="I1523">
        <v>0.93045843045843035</v>
      </c>
      <c r="J1523">
        <v>9042118</v>
      </c>
      <c r="K1523">
        <v>65190</v>
      </c>
      <c r="L1523">
        <v>2</v>
      </c>
      <c r="M1523">
        <v>172</v>
      </c>
      <c r="N1523">
        <v>0.92890442890442892</v>
      </c>
      <c r="O1523">
        <v>10448894.694444444</v>
      </c>
      <c r="P1523">
        <v>65915</v>
      </c>
      <c r="Q1523">
        <v>2</v>
      </c>
      <c r="R1523">
        <v>173</v>
      </c>
      <c r="S1523" t="s">
        <v>1192</v>
      </c>
      <c r="W1523">
        <f>Cancer_doubles_final2[[#This Row],[mlp_params]]</f>
        <v>65190</v>
      </c>
      <c r="X1523">
        <f>Cancer_doubles_final2[[#This Row],[kan_test_acc]]</f>
        <v>0.91977466642856598</v>
      </c>
      <c r="Y1523">
        <f>Cancer_doubles_final2[[#This Row],[mlp_test_acc]]</f>
        <v>0.93045843045843035</v>
      </c>
      <c r="Z1523">
        <f>Cancer_doubles_final2[[#This Row],[mlp_test_acc2]]</f>
        <v>0.92890442890442892</v>
      </c>
    </row>
    <row r="1524" spans="1:26" hidden="1" x14ac:dyDescent="0.25">
      <c r="A1524" t="s">
        <v>19</v>
      </c>
      <c r="B1524">
        <v>9</v>
      </c>
      <c r="C1524">
        <v>3</v>
      </c>
      <c r="D1524">
        <v>0</v>
      </c>
      <c r="E1524" t="s">
        <v>433</v>
      </c>
      <c r="F1524">
        <v>42382</v>
      </c>
      <c r="G1524">
        <v>40612945</v>
      </c>
      <c r="H1524">
        <v>0.93123542765776324</v>
      </c>
      <c r="I1524">
        <v>0.96969696969696961</v>
      </c>
      <c r="J1524">
        <v>10264105.5</v>
      </c>
      <c r="K1524">
        <v>61625</v>
      </c>
      <c r="L1524">
        <v>2</v>
      </c>
      <c r="M1524">
        <v>167</v>
      </c>
      <c r="N1524">
        <v>0.96736596736596736</v>
      </c>
      <c r="O1524">
        <v>10962326.25</v>
      </c>
      <c r="P1524">
        <v>62330</v>
      </c>
      <c r="Q1524">
        <v>2</v>
      </c>
      <c r="R1524">
        <v>168</v>
      </c>
      <c r="S1524" t="s">
        <v>1193</v>
      </c>
      <c r="W1524">
        <f>Cancer_doubles_final2[[#This Row],[mlp_params]]</f>
        <v>61625</v>
      </c>
      <c r="X1524">
        <f>Cancer_doubles_final2[[#This Row],[kan_test_acc]]</f>
        <v>0.93123542765776324</v>
      </c>
      <c r="Y1524">
        <f>Cancer_doubles_final2[[#This Row],[mlp_test_acc]]</f>
        <v>0.96969696969696961</v>
      </c>
      <c r="Z1524">
        <f>Cancer_doubles_final2[[#This Row],[mlp_test_acc2]]</f>
        <v>0.96736596736596736</v>
      </c>
    </row>
    <row r="1525" spans="1:26" hidden="1" x14ac:dyDescent="0.25">
      <c r="A1525" t="s">
        <v>19</v>
      </c>
      <c r="B1525">
        <v>9</v>
      </c>
      <c r="C1525">
        <v>3</v>
      </c>
      <c r="D1525">
        <v>0</v>
      </c>
      <c r="E1525" t="s">
        <v>435</v>
      </c>
      <c r="F1525">
        <v>42386</v>
      </c>
      <c r="G1525">
        <v>38597223.25</v>
      </c>
      <c r="H1525">
        <v>0.94376456737518311</v>
      </c>
      <c r="I1525">
        <v>0.97115384615384615</v>
      </c>
      <c r="J1525">
        <v>10405640.333333334</v>
      </c>
      <c r="K1525">
        <v>61625</v>
      </c>
      <c r="L1525">
        <v>2</v>
      </c>
      <c r="M1525">
        <v>167</v>
      </c>
      <c r="N1525">
        <v>0.96678321678321677</v>
      </c>
      <c r="O1525">
        <v>10068618.125</v>
      </c>
      <c r="P1525">
        <v>62330</v>
      </c>
      <c r="Q1525">
        <v>2</v>
      </c>
      <c r="R1525">
        <v>168</v>
      </c>
      <c r="S1525" t="s">
        <v>1194</v>
      </c>
      <c r="W1525">
        <f>Cancer_doubles_final2[[#This Row],[mlp_params]]</f>
        <v>61625</v>
      </c>
      <c r="X1525">
        <f>Cancer_doubles_final2[[#This Row],[kan_test_acc]]</f>
        <v>0.94376456737518311</v>
      </c>
      <c r="Y1525">
        <f>Cancer_doubles_final2[[#This Row],[mlp_test_acc]]</f>
        <v>0.97115384615384615</v>
      </c>
      <c r="Z1525">
        <f>Cancer_doubles_final2[[#This Row],[mlp_test_acc2]]</f>
        <v>0.96678321678321677</v>
      </c>
    </row>
    <row r="1526" spans="1:26" hidden="1" x14ac:dyDescent="0.25">
      <c r="A1526" t="s">
        <v>19</v>
      </c>
      <c r="B1526">
        <v>9</v>
      </c>
      <c r="C1526">
        <v>3</v>
      </c>
      <c r="D1526">
        <v>0</v>
      </c>
      <c r="E1526" t="s">
        <v>437</v>
      </c>
      <c r="F1526">
        <v>42392</v>
      </c>
      <c r="G1526">
        <v>37868251.708333328</v>
      </c>
      <c r="H1526">
        <v>0.95075757553180051</v>
      </c>
      <c r="I1526">
        <v>0.97057109557109555</v>
      </c>
      <c r="J1526">
        <v>10040599.458333334</v>
      </c>
      <c r="K1526">
        <v>61625</v>
      </c>
      <c r="L1526">
        <v>2</v>
      </c>
      <c r="M1526">
        <v>167</v>
      </c>
      <c r="N1526">
        <v>0.96445221445221441</v>
      </c>
      <c r="O1526">
        <v>9673006.75</v>
      </c>
      <c r="P1526">
        <v>62330</v>
      </c>
      <c r="Q1526">
        <v>2</v>
      </c>
      <c r="R1526">
        <v>168</v>
      </c>
      <c r="S1526" t="s">
        <v>1195</v>
      </c>
      <c r="W1526">
        <f>Cancer_doubles_final2[[#This Row],[mlp_params]]</f>
        <v>61625</v>
      </c>
      <c r="X1526">
        <f>Cancer_doubles_final2[[#This Row],[kan_test_acc]]</f>
        <v>0.95075757553180051</v>
      </c>
      <c r="Y1526">
        <f>Cancer_doubles_final2[[#This Row],[mlp_test_acc]]</f>
        <v>0.97057109557109555</v>
      </c>
      <c r="Z1526">
        <f>Cancer_doubles_final2[[#This Row],[mlp_test_acc2]]</f>
        <v>0.96445221445221441</v>
      </c>
    </row>
    <row r="1527" spans="1:26" hidden="1" x14ac:dyDescent="0.25">
      <c r="A1527" t="s">
        <v>19</v>
      </c>
      <c r="B1527">
        <v>9</v>
      </c>
      <c r="C1527">
        <v>3</v>
      </c>
      <c r="D1527">
        <v>0</v>
      </c>
      <c r="E1527" t="s">
        <v>439</v>
      </c>
      <c r="F1527">
        <v>42504</v>
      </c>
      <c r="G1527">
        <v>37817374.875</v>
      </c>
      <c r="H1527">
        <v>0.95512819786866499</v>
      </c>
      <c r="I1527">
        <v>0.97202797202797198</v>
      </c>
      <c r="J1527">
        <v>10193638.041666668</v>
      </c>
      <c r="K1527">
        <v>61625</v>
      </c>
      <c r="L1527">
        <v>2</v>
      </c>
      <c r="M1527">
        <v>167</v>
      </c>
      <c r="N1527">
        <v>0.96561771561771559</v>
      </c>
      <c r="O1527">
        <v>9733255.416666666</v>
      </c>
      <c r="P1527">
        <v>62330</v>
      </c>
      <c r="Q1527">
        <v>2</v>
      </c>
      <c r="R1527">
        <v>168</v>
      </c>
      <c r="S1527" t="s">
        <v>1196</v>
      </c>
      <c r="W1527">
        <f>Cancer_doubles_final2[[#This Row],[mlp_params]]</f>
        <v>61625</v>
      </c>
      <c r="X1527">
        <f>Cancer_doubles_final2[[#This Row],[kan_test_acc]]</f>
        <v>0.95512819786866499</v>
      </c>
      <c r="Y1527">
        <f>Cancer_doubles_final2[[#This Row],[mlp_test_acc]]</f>
        <v>0.97202797202797198</v>
      </c>
      <c r="Z1527">
        <f>Cancer_doubles_final2[[#This Row],[mlp_test_acc2]]</f>
        <v>0.96561771561771559</v>
      </c>
    </row>
    <row r="1528" spans="1:26" hidden="1" x14ac:dyDescent="0.25">
      <c r="A1528" t="s">
        <v>19</v>
      </c>
      <c r="B1528">
        <v>9</v>
      </c>
      <c r="C1528">
        <v>5</v>
      </c>
      <c r="D1528">
        <v>0</v>
      </c>
      <c r="E1528" t="s">
        <v>310</v>
      </c>
      <c r="F1528">
        <v>42574</v>
      </c>
      <c r="G1528">
        <v>44157382.833333336</v>
      </c>
      <c r="H1528">
        <v>0.89219113687674201</v>
      </c>
      <c r="I1528">
        <v>0.94784382284382285</v>
      </c>
      <c r="J1528">
        <v>11041754.625</v>
      </c>
      <c r="K1528">
        <v>69600</v>
      </c>
      <c r="L1528">
        <v>2</v>
      </c>
      <c r="M1528">
        <v>178</v>
      </c>
      <c r="N1528">
        <v>0.94696969696969702</v>
      </c>
      <c r="O1528">
        <v>11055916.958333332</v>
      </c>
      <c r="P1528">
        <v>70349</v>
      </c>
      <c r="Q1528">
        <v>2</v>
      </c>
      <c r="R1528">
        <v>179</v>
      </c>
      <c r="S1528" t="s">
        <v>1197</v>
      </c>
      <c r="W1528">
        <f>Cancer_doubles_final2[[#This Row],[mlp_params]]</f>
        <v>69600</v>
      </c>
      <c r="X1528">
        <f>Cancer_doubles_final2[[#This Row],[kan_test_acc]]</f>
        <v>0.89219113687674201</v>
      </c>
      <c r="Y1528">
        <f>Cancer_doubles_final2[[#This Row],[mlp_test_acc]]</f>
        <v>0.94784382284382285</v>
      </c>
      <c r="Z1528">
        <f>Cancer_doubles_final2[[#This Row],[mlp_test_acc2]]</f>
        <v>0.94696969696969702</v>
      </c>
    </row>
    <row r="1529" spans="1:26" hidden="1" x14ac:dyDescent="0.25">
      <c r="A1529" t="s">
        <v>19</v>
      </c>
      <c r="B1529">
        <v>5</v>
      </c>
      <c r="C1529">
        <v>4</v>
      </c>
      <c r="D1529">
        <v>0</v>
      </c>
      <c r="E1529" t="s">
        <v>731</v>
      </c>
      <c r="F1529">
        <v>42580</v>
      </c>
      <c r="G1529">
        <v>48266290.875</v>
      </c>
      <c r="H1529">
        <v>0.89160838723182678</v>
      </c>
      <c r="I1529">
        <v>0.92511655011655014</v>
      </c>
      <c r="J1529">
        <v>10451863.583333334</v>
      </c>
      <c r="K1529">
        <v>74154</v>
      </c>
      <c r="L1529">
        <v>2</v>
      </c>
      <c r="M1529">
        <v>184</v>
      </c>
      <c r="N1529">
        <v>0.9248251748251749</v>
      </c>
      <c r="O1529">
        <v>11173407.166666666</v>
      </c>
      <c r="P1529">
        <v>74927</v>
      </c>
      <c r="Q1529">
        <v>2</v>
      </c>
      <c r="R1529">
        <v>185</v>
      </c>
      <c r="S1529" t="s">
        <v>1198</v>
      </c>
      <c r="W1529">
        <f>Cancer_doubles_final2[[#This Row],[mlp_params]]</f>
        <v>74154</v>
      </c>
      <c r="X1529">
        <f>Cancer_doubles_final2[[#This Row],[kan_test_acc]]</f>
        <v>0.89160838723182678</v>
      </c>
      <c r="Y1529">
        <f>Cancer_doubles_final2[[#This Row],[mlp_test_acc]]</f>
        <v>0.92511655011655014</v>
      </c>
      <c r="Z1529">
        <f>Cancer_doubles_final2[[#This Row],[mlp_test_acc2]]</f>
        <v>0.9248251748251749</v>
      </c>
    </row>
    <row r="1530" spans="1:26" hidden="1" x14ac:dyDescent="0.25">
      <c r="A1530" t="s">
        <v>19</v>
      </c>
      <c r="B1530">
        <v>9</v>
      </c>
      <c r="C1530">
        <v>5</v>
      </c>
      <c r="D1530">
        <v>0</v>
      </c>
      <c r="E1530" t="s">
        <v>312</v>
      </c>
      <c r="F1530">
        <v>42582</v>
      </c>
      <c r="G1530">
        <v>49905358.916666672</v>
      </c>
      <c r="H1530">
        <v>0.91996891631020439</v>
      </c>
      <c r="I1530">
        <v>0.94269619269619265</v>
      </c>
      <c r="J1530">
        <v>10793356.277777778</v>
      </c>
      <c r="K1530">
        <v>69600</v>
      </c>
      <c r="L1530">
        <v>2</v>
      </c>
      <c r="M1530">
        <v>178</v>
      </c>
      <c r="N1530">
        <v>0.94172494172494181</v>
      </c>
      <c r="O1530">
        <v>11226930.444444444</v>
      </c>
      <c r="P1530">
        <v>70349</v>
      </c>
      <c r="Q1530">
        <v>2</v>
      </c>
      <c r="R1530">
        <v>179</v>
      </c>
      <c r="S1530" t="s">
        <v>1199</v>
      </c>
      <c r="W1530">
        <f>Cancer_doubles_final2[[#This Row],[mlp_params]]</f>
        <v>69600</v>
      </c>
      <c r="X1530">
        <f>Cancer_doubles_final2[[#This Row],[kan_test_acc]]</f>
        <v>0.91996891631020439</v>
      </c>
      <c r="Y1530">
        <f>Cancer_doubles_final2[[#This Row],[mlp_test_acc]]</f>
        <v>0.94269619269619265</v>
      </c>
      <c r="Z1530">
        <f>Cancer_doubles_final2[[#This Row],[mlp_test_acc2]]</f>
        <v>0.94172494172494181</v>
      </c>
    </row>
    <row r="1531" spans="1:26" hidden="1" x14ac:dyDescent="0.25">
      <c r="A1531" t="s">
        <v>19</v>
      </c>
      <c r="B1531">
        <v>9</v>
      </c>
      <c r="C1531">
        <v>2</v>
      </c>
      <c r="D1531">
        <v>0</v>
      </c>
      <c r="E1531" t="s">
        <v>520</v>
      </c>
      <c r="F1531">
        <v>42596</v>
      </c>
      <c r="G1531">
        <v>42853320</v>
      </c>
      <c r="H1531">
        <v>0.89801864326000214</v>
      </c>
      <c r="I1531">
        <v>0.93414918414918413</v>
      </c>
      <c r="J1531">
        <v>10952932.375</v>
      </c>
      <c r="K1531">
        <v>57479</v>
      </c>
      <c r="L1531">
        <v>2</v>
      </c>
      <c r="M1531">
        <v>161</v>
      </c>
      <c r="N1531">
        <v>0.93444055944055937</v>
      </c>
      <c r="O1531">
        <v>11635696.333333332</v>
      </c>
      <c r="P1531">
        <v>58160</v>
      </c>
      <c r="Q1531">
        <v>2</v>
      </c>
      <c r="R1531">
        <v>162</v>
      </c>
      <c r="S1531" t="s">
        <v>1200</v>
      </c>
      <c r="W1531">
        <f>Cancer_doubles_final2[[#This Row],[mlp_params]]</f>
        <v>57479</v>
      </c>
      <c r="X1531">
        <f>Cancer_doubles_final2[[#This Row],[kan_test_acc]]</f>
        <v>0.89801864326000214</v>
      </c>
      <c r="Y1531">
        <f>Cancer_doubles_final2[[#This Row],[mlp_test_acc]]</f>
        <v>0.93414918414918413</v>
      </c>
      <c r="Z1531">
        <f>Cancer_doubles_final2[[#This Row],[mlp_test_acc2]]</f>
        <v>0.93444055944055937</v>
      </c>
    </row>
    <row r="1532" spans="1:26" hidden="1" x14ac:dyDescent="0.25">
      <c r="A1532" t="s">
        <v>19</v>
      </c>
      <c r="B1532">
        <v>9</v>
      </c>
      <c r="C1532">
        <v>4</v>
      </c>
      <c r="D1532">
        <v>0</v>
      </c>
      <c r="E1532" t="s">
        <v>365</v>
      </c>
      <c r="F1532">
        <v>42638</v>
      </c>
      <c r="G1532">
        <v>37298773.722222224</v>
      </c>
      <c r="H1532">
        <v>0.91783217092355096</v>
      </c>
      <c r="I1532">
        <v>0.9242424242424242</v>
      </c>
      <c r="J1532">
        <v>10258557.61111111</v>
      </c>
      <c r="K1532">
        <v>65915</v>
      </c>
      <c r="L1532">
        <v>2</v>
      </c>
      <c r="M1532">
        <v>173</v>
      </c>
      <c r="N1532">
        <v>0.92268842268842266</v>
      </c>
      <c r="O1532">
        <v>11268245.694444444</v>
      </c>
      <c r="P1532">
        <v>66644</v>
      </c>
      <c r="Q1532">
        <v>2</v>
      </c>
      <c r="R1532">
        <v>174</v>
      </c>
      <c r="S1532" t="s">
        <v>1201</v>
      </c>
      <c r="W1532">
        <f>Cancer_doubles_final2[[#This Row],[mlp_params]]</f>
        <v>65915</v>
      </c>
      <c r="X1532">
        <f>Cancer_doubles_final2[[#This Row],[kan_test_acc]]</f>
        <v>0.91783217092355096</v>
      </c>
      <c r="Y1532">
        <f>Cancer_doubles_final2[[#This Row],[mlp_test_acc]]</f>
        <v>0.9242424242424242</v>
      </c>
      <c r="Z1532">
        <f>Cancer_doubles_final2[[#This Row],[mlp_test_acc2]]</f>
        <v>0.92268842268842266</v>
      </c>
    </row>
    <row r="1533" spans="1:26" hidden="1" x14ac:dyDescent="0.25">
      <c r="A1533" t="s">
        <v>19</v>
      </c>
      <c r="B1533">
        <v>9</v>
      </c>
      <c r="C1533">
        <v>4</v>
      </c>
      <c r="D1533">
        <v>0</v>
      </c>
      <c r="E1533" t="s">
        <v>367</v>
      </c>
      <c r="F1533">
        <v>42644</v>
      </c>
      <c r="G1533">
        <v>42050070.166666672</v>
      </c>
      <c r="H1533">
        <v>0.92569930106401443</v>
      </c>
      <c r="I1533">
        <v>0.95075757575757569</v>
      </c>
      <c r="J1533">
        <v>11687231.708333332</v>
      </c>
      <c r="K1533">
        <v>65915</v>
      </c>
      <c r="L1533">
        <v>2</v>
      </c>
      <c r="M1533">
        <v>173</v>
      </c>
      <c r="N1533">
        <v>0.95046620046620045</v>
      </c>
      <c r="O1533">
        <v>12486645.333333332</v>
      </c>
      <c r="P1533">
        <v>66644</v>
      </c>
      <c r="Q1533">
        <v>2</v>
      </c>
      <c r="R1533">
        <v>174</v>
      </c>
      <c r="S1533" t="s">
        <v>1202</v>
      </c>
      <c r="W1533">
        <f>Cancer_doubles_final2[[#This Row],[mlp_params]]</f>
        <v>65915</v>
      </c>
      <c r="X1533">
        <f>Cancer_doubles_final2[[#This Row],[kan_test_acc]]</f>
        <v>0.92569930106401443</v>
      </c>
      <c r="Y1533">
        <f>Cancer_doubles_final2[[#This Row],[mlp_test_acc]]</f>
        <v>0.95075757575757569</v>
      </c>
      <c r="Z1533">
        <f>Cancer_doubles_final2[[#This Row],[mlp_test_acc2]]</f>
        <v>0.95046620046620045</v>
      </c>
    </row>
    <row r="1534" spans="1:26" hidden="1" x14ac:dyDescent="0.25">
      <c r="A1534" t="s">
        <v>19</v>
      </c>
      <c r="B1534">
        <v>5</v>
      </c>
      <c r="C1534">
        <v>5</v>
      </c>
      <c r="D1534">
        <v>0</v>
      </c>
      <c r="E1534" t="s">
        <v>630</v>
      </c>
      <c r="F1534">
        <v>42788</v>
      </c>
      <c r="G1534">
        <v>48855837.875</v>
      </c>
      <c r="H1534">
        <v>0.93414917836586631</v>
      </c>
      <c r="I1534">
        <v>0.93327505827505819</v>
      </c>
      <c r="J1534">
        <v>10654182.375</v>
      </c>
      <c r="K1534">
        <v>78852</v>
      </c>
      <c r="L1534">
        <v>2</v>
      </c>
      <c r="M1534">
        <v>190</v>
      </c>
      <c r="N1534">
        <v>0.93735431235431232</v>
      </c>
      <c r="O1534">
        <v>11406222.75</v>
      </c>
      <c r="P1534">
        <v>79649</v>
      </c>
      <c r="Q1534">
        <v>2</v>
      </c>
      <c r="R1534">
        <v>191</v>
      </c>
      <c r="S1534" t="s">
        <v>1203</v>
      </c>
      <c r="W1534">
        <f>Cancer_doubles_final2[[#This Row],[mlp_params]]</f>
        <v>78852</v>
      </c>
      <c r="X1534">
        <f>Cancer_doubles_final2[[#This Row],[kan_test_acc]]</f>
        <v>0.93414917836586631</v>
      </c>
      <c r="Y1534">
        <f>Cancer_doubles_final2[[#This Row],[mlp_test_acc]]</f>
        <v>0.93327505827505819</v>
      </c>
      <c r="Z1534">
        <f>Cancer_doubles_final2[[#This Row],[mlp_test_acc2]]</f>
        <v>0.93735431235431232</v>
      </c>
    </row>
    <row r="1535" spans="1:26" hidden="1" x14ac:dyDescent="0.25">
      <c r="A1535" t="s">
        <v>19</v>
      </c>
      <c r="B1535">
        <v>9</v>
      </c>
      <c r="C1535">
        <v>2</v>
      </c>
      <c r="D1535">
        <v>0</v>
      </c>
      <c r="E1535" t="s">
        <v>526</v>
      </c>
      <c r="F1535">
        <v>42874</v>
      </c>
      <c r="G1535">
        <v>46402047.833333336</v>
      </c>
      <c r="H1535">
        <v>0.91880341205332017</v>
      </c>
      <c r="I1535">
        <v>0.91239316239316237</v>
      </c>
      <c r="J1535">
        <v>11055504.694444446</v>
      </c>
      <c r="K1535">
        <v>57479</v>
      </c>
      <c r="L1535">
        <v>2</v>
      </c>
      <c r="M1535">
        <v>161</v>
      </c>
      <c r="N1535">
        <v>0.91414141414141414</v>
      </c>
      <c r="O1535">
        <v>11629228.777777778</v>
      </c>
      <c r="P1535">
        <v>58160</v>
      </c>
      <c r="Q1535">
        <v>2</v>
      </c>
      <c r="R1535">
        <v>162</v>
      </c>
      <c r="S1535" t="s">
        <v>1204</v>
      </c>
      <c r="W1535">
        <f>Cancer_doubles_final2[[#This Row],[mlp_params]]</f>
        <v>57479</v>
      </c>
      <c r="X1535">
        <f>Cancer_doubles_final2[[#This Row],[kan_test_acc]]</f>
        <v>0.91880341205332017</v>
      </c>
      <c r="Y1535">
        <f>Cancer_doubles_final2[[#This Row],[mlp_test_acc]]</f>
        <v>0.91239316239316237</v>
      </c>
      <c r="Z1535">
        <f>Cancer_doubles_final2[[#This Row],[mlp_test_acc2]]</f>
        <v>0.91414141414141414</v>
      </c>
    </row>
    <row r="1536" spans="1:26" hidden="1" x14ac:dyDescent="0.25">
      <c r="A1536" t="s">
        <v>19</v>
      </c>
      <c r="B1536">
        <v>9</v>
      </c>
      <c r="C1536">
        <v>4</v>
      </c>
      <c r="D1536">
        <v>0</v>
      </c>
      <c r="E1536" t="s">
        <v>371</v>
      </c>
      <c r="F1536">
        <v>42896</v>
      </c>
      <c r="G1536">
        <v>36536080.861111112</v>
      </c>
      <c r="H1536">
        <v>0.92113442056708872</v>
      </c>
      <c r="I1536">
        <v>0.92793317793317798</v>
      </c>
      <c r="J1536">
        <v>10061133.444444446</v>
      </c>
      <c r="K1536">
        <v>66644</v>
      </c>
      <c r="L1536">
        <v>2</v>
      </c>
      <c r="M1536">
        <v>174</v>
      </c>
      <c r="N1536">
        <v>0.92463092463092467</v>
      </c>
      <c r="O1536">
        <v>11197188.25</v>
      </c>
      <c r="P1536">
        <v>67377</v>
      </c>
      <c r="Q1536">
        <v>2</v>
      </c>
      <c r="R1536">
        <v>175</v>
      </c>
      <c r="S1536" t="s">
        <v>1205</v>
      </c>
      <c r="W1536">
        <f>Cancer_doubles_final2[[#This Row],[mlp_params]]</f>
        <v>66644</v>
      </c>
      <c r="X1536">
        <f>Cancer_doubles_final2[[#This Row],[kan_test_acc]]</f>
        <v>0.92113442056708872</v>
      </c>
      <c r="Y1536">
        <f>Cancer_doubles_final2[[#This Row],[mlp_test_acc]]</f>
        <v>0.92793317793317798</v>
      </c>
      <c r="Z1536">
        <f>Cancer_doubles_final2[[#This Row],[mlp_test_acc2]]</f>
        <v>0.92463092463092467</v>
      </c>
    </row>
    <row r="1537" spans="1:26" hidden="1" x14ac:dyDescent="0.25">
      <c r="A1537" t="s">
        <v>19</v>
      </c>
      <c r="B1537">
        <v>9</v>
      </c>
      <c r="C1537">
        <v>4</v>
      </c>
      <c r="D1537">
        <v>0</v>
      </c>
      <c r="E1537" t="s">
        <v>373</v>
      </c>
      <c r="F1537">
        <v>42898</v>
      </c>
      <c r="G1537">
        <v>42677150.708333336</v>
      </c>
      <c r="H1537">
        <v>0.91258740921815229</v>
      </c>
      <c r="I1537">
        <v>0.95629370629370625</v>
      </c>
      <c r="J1537">
        <v>11363455.875</v>
      </c>
      <c r="K1537">
        <v>66644</v>
      </c>
      <c r="L1537">
        <v>2</v>
      </c>
      <c r="M1537">
        <v>174</v>
      </c>
      <c r="N1537">
        <v>0.95221445221445222</v>
      </c>
      <c r="O1537">
        <v>12102708.583333334</v>
      </c>
      <c r="P1537">
        <v>67377</v>
      </c>
      <c r="Q1537">
        <v>2</v>
      </c>
      <c r="R1537">
        <v>175</v>
      </c>
      <c r="S1537" t="s">
        <v>1206</v>
      </c>
      <c r="W1537">
        <f>Cancer_doubles_final2[[#This Row],[mlp_params]]</f>
        <v>66644</v>
      </c>
      <c r="X1537">
        <f>Cancer_doubles_final2[[#This Row],[kan_test_acc]]</f>
        <v>0.91258740921815229</v>
      </c>
      <c r="Y1537">
        <f>Cancer_doubles_final2[[#This Row],[mlp_test_acc]]</f>
        <v>0.95629370629370625</v>
      </c>
      <c r="Z1537">
        <f>Cancer_doubles_final2[[#This Row],[mlp_test_acc2]]</f>
        <v>0.95221445221445222</v>
      </c>
    </row>
    <row r="1538" spans="1:26" hidden="1" x14ac:dyDescent="0.25">
      <c r="A1538" t="s">
        <v>19</v>
      </c>
      <c r="B1538">
        <v>9</v>
      </c>
      <c r="C1538">
        <v>2</v>
      </c>
      <c r="D1538">
        <v>0</v>
      </c>
      <c r="E1538" t="s">
        <v>530</v>
      </c>
      <c r="F1538">
        <v>42928</v>
      </c>
      <c r="G1538">
        <v>35036444.083333336</v>
      </c>
      <c r="H1538">
        <v>0.9245337968071301</v>
      </c>
      <c r="I1538">
        <v>0.93531468531468531</v>
      </c>
      <c r="J1538">
        <v>9820572.1666666679</v>
      </c>
      <c r="K1538">
        <v>58160</v>
      </c>
      <c r="L1538">
        <v>2</v>
      </c>
      <c r="M1538">
        <v>162</v>
      </c>
      <c r="N1538">
        <v>0.9353146853146852</v>
      </c>
      <c r="O1538">
        <v>11492861.75</v>
      </c>
      <c r="P1538">
        <v>58845</v>
      </c>
      <c r="Q1538">
        <v>2</v>
      </c>
      <c r="R1538">
        <v>163</v>
      </c>
      <c r="S1538" t="s">
        <v>1207</v>
      </c>
      <c r="W1538">
        <f>Cancer_doubles_final2[[#This Row],[mlp_params]]</f>
        <v>58160</v>
      </c>
      <c r="X1538">
        <f>Cancer_doubles_final2[[#This Row],[kan_test_acc]]</f>
        <v>0.9245337968071301</v>
      </c>
      <c r="Y1538">
        <f>Cancer_doubles_final2[[#This Row],[mlp_test_acc]]</f>
        <v>0.93531468531468531</v>
      </c>
      <c r="Z1538">
        <f>Cancer_doubles_final2[[#This Row],[mlp_test_acc2]]</f>
        <v>0.9353146853146852</v>
      </c>
    </row>
    <row r="1539" spans="1:26" hidden="1" x14ac:dyDescent="0.25">
      <c r="A1539" t="s">
        <v>19</v>
      </c>
      <c r="B1539">
        <v>9</v>
      </c>
      <c r="C1539">
        <v>5</v>
      </c>
      <c r="D1539">
        <v>0</v>
      </c>
      <c r="E1539" t="s">
        <v>316</v>
      </c>
      <c r="F1539">
        <v>42984</v>
      </c>
      <c r="G1539">
        <v>32226496.416666664</v>
      </c>
      <c r="H1539">
        <v>0.88811189432938897</v>
      </c>
      <c r="I1539">
        <v>0.91802641802641805</v>
      </c>
      <c r="J1539">
        <v>9648366.75</v>
      </c>
      <c r="K1539">
        <v>70349</v>
      </c>
      <c r="L1539">
        <v>2</v>
      </c>
      <c r="M1539">
        <v>179</v>
      </c>
      <c r="N1539">
        <v>0.91472416472416473</v>
      </c>
      <c r="O1539">
        <v>10790355.416666666</v>
      </c>
      <c r="P1539">
        <v>71102</v>
      </c>
      <c r="Q1539">
        <v>2</v>
      </c>
      <c r="R1539">
        <v>180</v>
      </c>
      <c r="S1539" t="s">
        <v>1208</v>
      </c>
      <c r="W1539">
        <f>Cancer_doubles_final2[[#This Row],[mlp_params]]</f>
        <v>70349</v>
      </c>
      <c r="X1539">
        <f>Cancer_doubles_final2[[#This Row],[kan_test_acc]]</f>
        <v>0.88811189432938897</v>
      </c>
      <c r="Y1539">
        <f>Cancer_doubles_final2[[#This Row],[mlp_test_acc]]</f>
        <v>0.91802641802641805</v>
      </c>
      <c r="Z1539">
        <f>Cancer_doubles_final2[[#This Row],[mlp_test_acc2]]</f>
        <v>0.91472416472416473</v>
      </c>
    </row>
    <row r="1540" spans="1:26" hidden="1" x14ac:dyDescent="0.25">
      <c r="A1540" t="s">
        <v>19</v>
      </c>
      <c r="B1540">
        <v>9</v>
      </c>
      <c r="C1540">
        <v>5</v>
      </c>
      <c r="D1540">
        <v>0</v>
      </c>
      <c r="E1540" t="s">
        <v>319</v>
      </c>
      <c r="F1540">
        <v>42988</v>
      </c>
      <c r="G1540">
        <v>40825731.083333328</v>
      </c>
      <c r="H1540">
        <v>0.82196969166398048</v>
      </c>
      <c r="I1540">
        <v>0.93997668997668993</v>
      </c>
      <c r="J1540">
        <v>11779379.541666668</v>
      </c>
      <c r="K1540">
        <v>70349</v>
      </c>
      <c r="L1540">
        <v>2</v>
      </c>
      <c r="M1540">
        <v>179</v>
      </c>
      <c r="N1540">
        <v>0.93881118881118886</v>
      </c>
      <c r="O1540">
        <v>13014342.625</v>
      </c>
      <c r="P1540">
        <v>71102</v>
      </c>
      <c r="Q1540">
        <v>2</v>
      </c>
      <c r="R1540">
        <v>180</v>
      </c>
      <c r="S1540" t="s">
        <v>1209</v>
      </c>
      <c r="W1540">
        <f>Cancer_doubles_final2[[#This Row],[mlp_params]]</f>
        <v>70349</v>
      </c>
      <c r="X1540">
        <f>Cancer_doubles_final2[[#This Row],[kan_test_acc]]</f>
        <v>0.82196969166398048</v>
      </c>
      <c r="Y1540">
        <f>Cancer_doubles_final2[[#This Row],[mlp_test_acc]]</f>
        <v>0.93997668997668993</v>
      </c>
      <c r="Z1540">
        <f>Cancer_doubles_final2[[#This Row],[mlp_test_acc2]]</f>
        <v>0.93881118881118886</v>
      </c>
    </row>
    <row r="1541" spans="1:26" hidden="1" x14ac:dyDescent="0.25">
      <c r="A1541" t="s">
        <v>19</v>
      </c>
      <c r="B1541">
        <v>5</v>
      </c>
      <c r="C1541">
        <v>5</v>
      </c>
      <c r="D1541">
        <v>0</v>
      </c>
      <c r="E1541" t="s">
        <v>633</v>
      </c>
      <c r="F1541">
        <v>42994</v>
      </c>
      <c r="G1541">
        <v>54369437.5</v>
      </c>
      <c r="H1541">
        <v>0.85780885443091393</v>
      </c>
      <c r="I1541">
        <v>0.93414918414918413</v>
      </c>
      <c r="J1541">
        <v>11966569.125</v>
      </c>
      <c r="K1541">
        <v>78852</v>
      </c>
      <c r="L1541">
        <v>2</v>
      </c>
      <c r="M1541">
        <v>190</v>
      </c>
      <c r="N1541">
        <v>0.93473193473193472</v>
      </c>
      <c r="O1541">
        <v>12197482.5</v>
      </c>
      <c r="P1541">
        <v>79649</v>
      </c>
      <c r="Q1541">
        <v>2</v>
      </c>
      <c r="R1541">
        <v>191</v>
      </c>
      <c r="S1541" t="s">
        <v>1210</v>
      </c>
      <c r="W1541">
        <f>Cancer_doubles_final2[[#This Row],[mlp_params]]</f>
        <v>78852</v>
      </c>
      <c r="X1541">
        <f>Cancer_doubles_final2[[#This Row],[kan_test_acc]]</f>
        <v>0.85780885443091393</v>
      </c>
      <c r="Y1541">
        <f>Cancer_doubles_final2[[#This Row],[mlp_test_acc]]</f>
        <v>0.93414918414918413</v>
      </c>
      <c r="Z1541">
        <f>Cancer_doubles_final2[[#This Row],[mlp_test_acc2]]</f>
        <v>0.93473193473193472</v>
      </c>
    </row>
    <row r="1542" spans="1:26" hidden="1" x14ac:dyDescent="0.25">
      <c r="A1542" t="s">
        <v>19</v>
      </c>
      <c r="B1542">
        <v>9</v>
      </c>
      <c r="C1542">
        <v>3</v>
      </c>
      <c r="D1542">
        <v>0</v>
      </c>
      <c r="E1542" t="s">
        <v>445</v>
      </c>
      <c r="F1542">
        <v>43050</v>
      </c>
      <c r="G1542">
        <v>53476935.05555556</v>
      </c>
      <c r="H1542">
        <v>0.91550116240978252</v>
      </c>
      <c r="I1542">
        <v>0.93045843045843046</v>
      </c>
      <c r="J1542">
        <v>11424859.472222222</v>
      </c>
      <c r="K1542">
        <v>63039</v>
      </c>
      <c r="L1542">
        <v>2</v>
      </c>
      <c r="M1542">
        <v>169</v>
      </c>
      <c r="N1542">
        <v>0.93045843045843046</v>
      </c>
      <c r="O1542">
        <v>12034943.027777778</v>
      </c>
      <c r="P1542">
        <v>63752</v>
      </c>
      <c r="Q1542">
        <v>2</v>
      </c>
      <c r="R1542">
        <v>170</v>
      </c>
      <c r="S1542" t="s">
        <v>1211</v>
      </c>
      <c r="W1542">
        <f>Cancer_doubles_final2[[#This Row],[mlp_params]]</f>
        <v>63039</v>
      </c>
      <c r="X1542">
        <f>Cancer_doubles_final2[[#This Row],[kan_test_acc]]</f>
        <v>0.91550116240978252</v>
      </c>
      <c r="Y1542">
        <f>Cancer_doubles_final2[[#This Row],[mlp_test_acc]]</f>
        <v>0.93045843045843046</v>
      </c>
      <c r="Z1542">
        <f>Cancer_doubles_final2[[#This Row],[mlp_test_acc2]]</f>
        <v>0.93045843045843046</v>
      </c>
    </row>
    <row r="1543" spans="1:26" hidden="1" x14ac:dyDescent="0.25">
      <c r="A1543" t="s">
        <v>19</v>
      </c>
      <c r="B1543">
        <v>9</v>
      </c>
      <c r="C1543">
        <v>5</v>
      </c>
      <c r="D1543">
        <v>0</v>
      </c>
      <c r="E1543" t="s">
        <v>321</v>
      </c>
      <c r="F1543">
        <v>43122</v>
      </c>
      <c r="G1543">
        <v>41582186.583333328</v>
      </c>
      <c r="H1543">
        <v>0.88840325921773911</v>
      </c>
      <c r="I1543">
        <v>0.95862470862470861</v>
      </c>
      <c r="J1543">
        <v>11614594.416666668</v>
      </c>
      <c r="K1543">
        <v>70349</v>
      </c>
      <c r="L1543">
        <v>2</v>
      </c>
      <c r="M1543">
        <v>179</v>
      </c>
      <c r="N1543">
        <v>0.95979020979020979</v>
      </c>
      <c r="O1543">
        <v>12083368.166666668</v>
      </c>
      <c r="P1543">
        <v>71102</v>
      </c>
      <c r="Q1543">
        <v>2</v>
      </c>
      <c r="R1543">
        <v>180</v>
      </c>
      <c r="S1543" t="s">
        <v>1212</v>
      </c>
      <c r="W1543">
        <f>Cancer_doubles_final2[[#This Row],[mlp_params]]</f>
        <v>70349</v>
      </c>
      <c r="X1543">
        <f>Cancer_doubles_final2[[#This Row],[kan_test_acc]]</f>
        <v>0.88840325921773911</v>
      </c>
      <c r="Y1543">
        <f>Cancer_doubles_final2[[#This Row],[mlp_test_acc]]</f>
        <v>0.95862470862470861</v>
      </c>
      <c r="Z1543">
        <f>Cancer_doubles_final2[[#This Row],[mlp_test_acc2]]</f>
        <v>0.95979020979020979</v>
      </c>
    </row>
    <row r="1544" spans="1:26" hidden="1" x14ac:dyDescent="0.25">
      <c r="A1544" t="s">
        <v>19</v>
      </c>
      <c r="B1544">
        <v>9</v>
      </c>
      <c r="C1544">
        <v>4</v>
      </c>
      <c r="D1544">
        <v>0</v>
      </c>
      <c r="E1544" t="s">
        <v>380</v>
      </c>
      <c r="F1544">
        <v>43160</v>
      </c>
      <c r="G1544">
        <v>42885514.916666672</v>
      </c>
      <c r="H1544">
        <v>0.87354312588771188</v>
      </c>
      <c r="I1544">
        <v>0.95775058275058278</v>
      </c>
      <c r="J1544">
        <v>11988656.083333334</v>
      </c>
      <c r="K1544">
        <v>67377</v>
      </c>
      <c r="L1544">
        <v>2</v>
      </c>
      <c r="M1544">
        <v>175</v>
      </c>
      <c r="N1544">
        <v>0.96124708624708621</v>
      </c>
      <c r="O1544">
        <v>12017627.458333332</v>
      </c>
      <c r="P1544">
        <v>68114</v>
      </c>
      <c r="Q1544">
        <v>2</v>
      </c>
      <c r="R1544">
        <v>176</v>
      </c>
      <c r="S1544" t="s">
        <v>1213</v>
      </c>
      <c r="W1544">
        <f>Cancer_doubles_final2[[#This Row],[mlp_params]]</f>
        <v>67377</v>
      </c>
      <c r="X1544">
        <f>Cancer_doubles_final2[[#This Row],[kan_test_acc]]</f>
        <v>0.87354312588771188</v>
      </c>
      <c r="Y1544">
        <f>Cancer_doubles_final2[[#This Row],[mlp_test_acc]]</f>
        <v>0.95775058275058278</v>
      </c>
      <c r="Z1544">
        <f>Cancer_doubles_final2[[#This Row],[mlp_test_acc2]]</f>
        <v>0.96124708624708621</v>
      </c>
    </row>
    <row r="1545" spans="1:26" hidden="1" x14ac:dyDescent="0.25">
      <c r="A1545" t="s">
        <v>19</v>
      </c>
      <c r="B1545">
        <v>9</v>
      </c>
      <c r="C1545">
        <v>3</v>
      </c>
      <c r="D1545">
        <v>0</v>
      </c>
      <c r="E1545" t="s">
        <v>457</v>
      </c>
      <c r="F1545">
        <v>43468</v>
      </c>
      <c r="G1545">
        <v>39555768.25</v>
      </c>
      <c r="H1545">
        <v>0.93269230673710513</v>
      </c>
      <c r="I1545">
        <v>0.96882284382284378</v>
      </c>
      <c r="J1545">
        <v>10158720.541666666</v>
      </c>
      <c r="K1545">
        <v>63039</v>
      </c>
      <c r="L1545">
        <v>2</v>
      </c>
      <c r="M1545">
        <v>169</v>
      </c>
      <c r="N1545">
        <v>0.96824009324009319</v>
      </c>
      <c r="O1545">
        <v>10262294</v>
      </c>
      <c r="P1545">
        <v>63752</v>
      </c>
      <c r="Q1545">
        <v>2</v>
      </c>
      <c r="R1545">
        <v>170</v>
      </c>
      <c r="S1545" t="s">
        <v>1214</v>
      </c>
      <c r="W1545">
        <f>Cancer_doubles_final2[[#This Row],[mlp_params]]</f>
        <v>63039</v>
      </c>
      <c r="X1545">
        <f>Cancer_doubles_final2[[#This Row],[kan_test_acc]]</f>
        <v>0.93269230673710513</v>
      </c>
      <c r="Y1545">
        <f>Cancer_doubles_final2[[#This Row],[mlp_test_acc]]</f>
        <v>0.96882284382284378</v>
      </c>
      <c r="Z1545">
        <f>Cancer_doubles_final2[[#This Row],[mlp_test_acc2]]</f>
        <v>0.96824009324009319</v>
      </c>
    </row>
    <row r="1546" spans="1:26" hidden="1" x14ac:dyDescent="0.25">
      <c r="A1546" t="s">
        <v>19</v>
      </c>
      <c r="B1546">
        <v>9</v>
      </c>
      <c r="C1546">
        <v>3</v>
      </c>
      <c r="D1546">
        <v>0</v>
      </c>
      <c r="E1546" t="s">
        <v>463</v>
      </c>
      <c r="F1546">
        <v>43584</v>
      </c>
      <c r="G1546">
        <v>38840546.375</v>
      </c>
      <c r="H1546">
        <v>0.9443473145365715</v>
      </c>
      <c r="I1546">
        <v>0.96882284382284378</v>
      </c>
      <c r="J1546">
        <v>10466315.583333332</v>
      </c>
      <c r="K1546">
        <v>63752</v>
      </c>
      <c r="L1546">
        <v>2</v>
      </c>
      <c r="M1546">
        <v>170</v>
      </c>
      <c r="N1546">
        <v>0.96794871794871795</v>
      </c>
      <c r="O1546">
        <v>9722644.5833333321</v>
      </c>
      <c r="P1546">
        <v>64469</v>
      </c>
      <c r="Q1546">
        <v>2</v>
      </c>
      <c r="R1546">
        <v>171</v>
      </c>
      <c r="S1546" t="s">
        <v>1215</v>
      </c>
      <c r="W1546">
        <f>Cancer_doubles_final2[[#This Row],[mlp_params]]</f>
        <v>63752</v>
      </c>
      <c r="X1546">
        <f>Cancer_doubles_final2[[#This Row],[kan_test_acc]]</f>
        <v>0.9443473145365715</v>
      </c>
      <c r="Y1546">
        <f>Cancer_doubles_final2[[#This Row],[mlp_test_acc]]</f>
        <v>0.96882284382284378</v>
      </c>
      <c r="Z1546">
        <f>Cancer_doubles_final2[[#This Row],[mlp_test_acc2]]</f>
        <v>0.96794871794871795</v>
      </c>
    </row>
    <row r="1547" spans="1:26" hidden="1" x14ac:dyDescent="0.25">
      <c r="A1547" t="s">
        <v>19</v>
      </c>
      <c r="B1547">
        <v>9</v>
      </c>
      <c r="C1547">
        <v>2</v>
      </c>
      <c r="D1547">
        <v>0</v>
      </c>
      <c r="E1547" t="s">
        <v>550</v>
      </c>
      <c r="F1547">
        <v>43606</v>
      </c>
      <c r="G1547">
        <v>36684394</v>
      </c>
      <c r="H1547">
        <v>0.93822843333085382</v>
      </c>
      <c r="I1547">
        <v>0.93997668997668993</v>
      </c>
      <c r="J1547">
        <v>10013199.833333332</v>
      </c>
      <c r="K1547">
        <v>58845</v>
      </c>
      <c r="L1547">
        <v>2</v>
      </c>
      <c r="M1547">
        <v>163</v>
      </c>
      <c r="N1547">
        <v>0.94289044289044288</v>
      </c>
      <c r="O1547">
        <v>10065445.5</v>
      </c>
      <c r="P1547">
        <v>59534</v>
      </c>
      <c r="Q1547">
        <v>2</v>
      </c>
      <c r="R1547">
        <v>164</v>
      </c>
      <c r="S1547" t="s">
        <v>1216</v>
      </c>
      <c r="W1547">
        <f>Cancer_doubles_final2[[#This Row],[mlp_params]]</f>
        <v>58845</v>
      </c>
      <c r="X1547">
        <f>Cancer_doubles_final2[[#This Row],[kan_test_acc]]</f>
        <v>0.93822843333085382</v>
      </c>
      <c r="Y1547">
        <f>Cancer_doubles_final2[[#This Row],[mlp_test_acc]]</f>
        <v>0.93997668997668993</v>
      </c>
      <c r="Z1547">
        <f>Cancer_doubles_final2[[#This Row],[mlp_test_acc2]]</f>
        <v>0.94289044289044288</v>
      </c>
    </row>
    <row r="1548" spans="1:26" hidden="1" x14ac:dyDescent="0.25">
      <c r="A1548" t="s">
        <v>19</v>
      </c>
      <c r="B1548">
        <v>9</v>
      </c>
      <c r="C1548">
        <v>3</v>
      </c>
      <c r="D1548">
        <v>0</v>
      </c>
      <c r="E1548" t="s">
        <v>466</v>
      </c>
      <c r="F1548">
        <v>43646</v>
      </c>
      <c r="G1548">
        <v>37077125.666666664</v>
      </c>
      <c r="H1548">
        <v>0.93395493593480861</v>
      </c>
      <c r="I1548">
        <v>0.92890442890442892</v>
      </c>
      <c r="J1548">
        <v>9329036.25</v>
      </c>
      <c r="K1548">
        <v>63752</v>
      </c>
      <c r="L1548">
        <v>2</v>
      </c>
      <c r="M1548">
        <v>170</v>
      </c>
      <c r="N1548">
        <v>0.93104118104118105</v>
      </c>
      <c r="O1548">
        <v>9956454.6111111101</v>
      </c>
      <c r="P1548">
        <v>64469</v>
      </c>
      <c r="Q1548">
        <v>2</v>
      </c>
      <c r="R1548">
        <v>171</v>
      </c>
      <c r="S1548" t="s">
        <v>1217</v>
      </c>
      <c r="W1548">
        <f>Cancer_doubles_final2[[#This Row],[mlp_params]]</f>
        <v>63752</v>
      </c>
      <c r="X1548">
        <f>Cancer_doubles_final2[[#This Row],[kan_test_acc]]</f>
        <v>0.93395493593480861</v>
      </c>
      <c r="Y1548">
        <f>Cancer_doubles_final2[[#This Row],[mlp_test_acc]]</f>
        <v>0.92890442890442892</v>
      </c>
      <c r="Z1548">
        <f>Cancer_doubles_final2[[#This Row],[mlp_test_acc2]]</f>
        <v>0.93104118104118105</v>
      </c>
    </row>
    <row r="1549" spans="1:26" hidden="1" x14ac:dyDescent="0.25">
      <c r="A1549" t="s">
        <v>19</v>
      </c>
      <c r="B1549">
        <v>9</v>
      </c>
      <c r="C1549">
        <v>5</v>
      </c>
      <c r="D1549">
        <v>0</v>
      </c>
      <c r="E1549" t="s">
        <v>333</v>
      </c>
      <c r="F1549">
        <v>43672</v>
      </c>
      <c r="G1549">
        <v>46131898.333333336</v>
      </c>
      <c r="H1549">
        <v>0.90472027907768893</v>
      </c>
      <c r="I1549">
        <v>0.96416083916083917</v>
      </c>
      <c r="J1549">
        <v>11892305.625</v>
      </c>
      <c r="K1549">
        <v>71859</v>
      </c>
      <c r="L1549">
        <v>2</v>
      </c>
      <c r="M1549">
        <v>181</v>
      </c>
      <c r="N1549">
        <v>0.95775058275058278</v>
      </c>
      <c r="O1549">
        <v>11338067.833333334</v>
      </c>
      <c r="P1549">
        <v>72620</v>
      </c>
      <c r="Q1549">
        <v>2</v>
      </c>
      <c r="R1549">
        <v>182</v>
      </c>
      <c r="S1549" t="s">
        <v>1218</v>
      </c>
      <c r="W1549">
        <f>Cancer_doubles_final2[[#This Row],[mlp_params]]</f>
        <v>71859</v>
      </c>
      <c r="X1549">
        <f>Cancer_doubles_final2[[#This Row],[kan_test_acc]]</f>
        <v>0.90472027907768893</v>
      </c>
      <c r="Y1549">
        <f>Cancer_doubles_final2[[#This Row],[mlp_test_acc]]</f>
        <v>0.96416083916083917</v>
      </c>
      <c r="Z1549">
        <f>Cancer_doubles_final2[[#This Row],[mlp_test_acc2]]</f>
        <v>0.95775058275058278</v>
      </c>
    </row>
    <row r="1550" spans="1:26" hidden="1" x14ac:dyDescent="0.25">
      <c r="A1550" t="s">
        <v>19</v>
      </c>
      <c r="B1550">
        <v>9</v>
      </c>
      <c r="C1550">
        <v>4</v>
      </c>
      <c r="D1550">
        <v>0</v>
      </c>
      <c r="E1550" t="s">
        <v>393</v>
      </c>
      <c r="F1550">
        <v>43734</v>
      </c>
      <c r="G1550">
        <v>48984230.375</v>
      </c>
      <c r="H1550">
        <v>0.89423077056805289</v>
      </c>
      <c r="I1550">
        <v>0.95541958041958042</v>
      </c>
      <c r="J1550">
        <v>12361845.708333334</v>
      </c>
      <c r="K1550">
        <v>68114</v>
      </c>
      <c r="L1550">
        <v>2</v>
      </c>
      <c r="M1550">
        <v>176</v>
      </c>
      <c r="N1550">
        <v>0.95017482517482521</v>
      </c>
      <c r="O1550">
        <v>12941235</v>
      </c>
      <c r="P1550">
        <v>68855</v>
      </c>
      <c r="Q1550">
        <v>2</v>
      </c>
      <c r="R1550">
        <v>177</v>
      </c>
      <c r="S1550" t="s">
        <v>1219</v>
      </c>
      <c r="W1550">
        <f>Cancer_doubles_final2[[#This Row],[mlp_params]]</f>
        <v>68114</v>
      </c>
      <c r="X1550">
        <f>Cancer_doubles_final2[[#This Row],[kan_test_acc]]</f>
        <v>0.89423077056805289</v>
      </c>
      <c r="Y1550">
        <f>Cancer_doubles_final2[[#This Row],[mlp_test_acc]]</f>
        <v>0.95541958041958042</v>
      </c>
      <c r="Z1550">
        <f>Cancer_doubles_final2[[#This Row],[mlp_test_acc2]]</f>
        <v>0.95017482517482521</v>
      </c>
    </row>
    <row r="1551" spans="1:26" hidden="1" x14ac:dyDescent="0.25">
      <c r="A1551" t="s">
        <v>19</v>
      </c>
      <c r="B1551">
        <v>5</v>
      </c>
      <c r="C1551">
        <v>5</v>
      </c>
      <c r="D1551">
        <v>0</v>
      </c>
      <c r="E1551" t="s">
        <v>656</v>
      </c>
      <c r="F1551">
        <v>43778</v>
      </c>
      <c r="G1551">
        <v>52914420.291666672</v>
      </c>
      <c r="H1551">
        <v>0.92628204574187589</v>
      </c>
      <c r="I1551">
        <v>0.93473193473193472</v>
      </c>
      <c r="J1551">
        <v>11314027.458333334</v>
      </c>
      <c r="K1551">
        <v>80450</v>
      </c>
      <c r="L1551">
        <v>2</v>
      </c>
      <c r="M1551">
        <v>192</v>
      </c>
      <c r="N1551">
        <v>0.93414918414918413</v>
      </c>
      <c r="O1551">
        <v>11941459.166666666</v>
      </c>
      <c r="P1551">
        <v>81255</v>
      </c>
      <c r="Q1551">
        <v>2</v>
      </c>
      <c r="R1551">
        <v>193</v>
      </c>
      <c r="S1551" t="s">
        <v>1220</v>
      </c>
      <c r="W1551">
        <f>Cancer_doubles_final2[[#This Row],[mlp_params]]</f>
        <v>80450</v>
      </c>
      <c r="X1551">
        <f>Cancer_doubles_final2[[#This Row],[kan_test_acc]]</f>
        <v>0.92628204574187589</v>
      </c>
      <c r="Y1551">
        <f>Cancer_doubles_final2[[#This Row],[mlp_test_acc]]</f>
        <v>0.93473193473193472</v>
      </c>
      <c r="Z1551">
        <f>Cancer_doubles_final2[[#This Row],[mlp_test_acc2]]</f>
        <v>0.93414918414918413</v>
      </c>
    </row>
    <row r="1552" spans="1:26" hidden="1" x14ac:dyDescent="0.25">
      <c r="A1552" t="s">
        <v>19</v>
      </c>
      <c r="B1552">
        <v>9</v>
      </c>
      <c r="C1552">
        <v>4</v>
      </c>
      <c r="D1552">
        <v>0</v>
      </c>
      <c r="E1552" t="s">
        <v>399</v>
      </c>
      <c r="F1552">
        <v>43920</v>
      </c>
      <c r="G1552">
        <v>52127191.333333336</v>
      </c>
      <c r="H1552">
        <v>0.91938616666528916</v>
      </c>
      <c r="I1552">
        <v>0.92327117327117325</v>
      </c>
      <c r="J1552">
        <v>12874295.805555556</v>
      </c>
      <c r="K1552">
        <v>68114</v>
      </c>
      <c r="L1552">
        <v>2</v>
      </c>
      <c r="M1552">
        <v>176</v>
      </c>
      <c r="N1552">
        <v>0.92385392385392384</v>
      </c>
      <c r="O1552">
        <v>13096778.555555556</v>
      </c>
      <c r="P1552">
        <v>68855</v>
      </c>
      <c r="Q1552">
        <v>2</v>
      </c>
      <c r="R1552">
        <v>177</v>
      </c>
      <c r="S1552" t="s">
        <v>1221</v>
      </c>
      <c r="W1552">
        <f>Cancer_doubles_final2[[#This Row],[mlp_params]]</f>
        <v>68114</v>
      </c>
      <c r="X1552">
        <f>Cancer_doubles_final2[[#This Row],[kan_test_acc]]</f>
        <v>0.91938616666528916</v>
      </c>
      <c r="Y1552">
        <f>Cancer_doubles_final2[[#This Row],[mlp_test_acc]]</f>
        <v>0.92327117327117325</v>
      </c>
      <c r="Z1552">
        <f>Cancer_doubles_final2[[#This Row],[mlp_test_acc2]]</f>
        <v>0.92385392385392384</v>
      </c>
    </row>
    <row r="1553" spans="1:26" hidden="1" x14ac:dyDescent="0.25">
      <c r="A1553" t="s">
        <v>19</v>
      </c>
      <c r="B1553">
        <v>9</v>
      </c>
      <c r="C1553">
        <v>5</v>
      </c>
      <c r="D1553">
        <v>0</v>
      </c>
      <c r="E1553" t="s">
        <v>337</v>
      </c>
      <c r="F1553">
        <v>43936</v>
      </c>
      <c r="G1553">
        <v>43150087.083333336</v>
      </c>
      <c r="H1553">
        <v>0.86480186134576797</v>
      </c>
      <c r="I1553">
        <v>0.93414918414918424</v>
      </c>
      <c r="J1553">
        <v>12955251.791666668</v>
      </c>
      <c r="K1553">
        <v>71859</v>
      </c>
      <c r="L1553">
        <v>2</v>
      </c>
      <c r="M1553">
        <v>181</v>
      </c>
      <c r="N1553">
        <v>0.93531468531468531</v>
      </c>
      <c r="O1553">
        <v>13529323.625</v>
      </c>
      <c r="P1553">
        <v>72620</v>
      </c>
      <c r="Q1553">
        <v>2</v>
      </c>
      <c r="R1553">
        <v>182</v>
      </c>
      <c r="S1553" t="s">
        <v>1222</v>
      </c>
      <c r="W1553">
        <f>Cancer_doubles_final2[[#This Row],[mlp_params]]</f>
        <v>71859</v>
      </c>
      <c r="X1553">
        <f>Cancer_doubles_final2[[#This Row],[kan_test_acc]]</f>
        <v>0.86480186134576797</v>
      </c>
      <c r="Y1553">
        <f>Cancer_doubles_final2[[#This Row],[mlp_test_acc]]</f>
        <v>0.93414918414918424</v>
      </c>
      <c r="Z1553">
        <f>Cancer_doubles_final2[[#This Row],[mlp_test_acc2]]</f>
        <v>0.93531468531468531</v>
      </c>
    </row>
    <row r="1554" spans="1:26" hidden="1" x14ac:dyDescent="0.25">
      <c r="A1554" t="s">
        <v>19</v>
      </c>
      <c r="B1554">
        <v>9</v>
      </c>
      <c r="C1554">
        <v>2</v>
      </c>
      <c r="D1554">
        <v>0</v>
      </c>
      <c r="E1554" t="s">
        <v>561</v>
      </c>
      <c r="F1554">
        <v>43940</v>
      </c>
      <c r="G1554">
        <v>39190429.291666672</v>
      </c>
      <c r="H1554">
        <v>0.87733099361260736</v>
      </c>
      <c r="I1554">
        <v>0.91608391608391604</v>
      </c>
      <c r="J1554">
        <v>11514915.958333334</v>
      </c>
      <c r="K1554">
        <v>59534</v>
      </c>
      <c r="L1554">
        <v>2</v>
      </c>
      <c r="M1554">
        <v>164</v>
      </c>
      <c r="N1554">
        <v>0.921037296037296</v>
      </c>
      <c r="O1554">
        <v>11514207.666666668</v>
      </c>
      <c r="P1554">
        <v>60227</v>
      </c>
      <c r="Q1554">
        <v>2</v>
      </c>
      <c r="R1554">
        <v>165</v>
      </c>
      <c r="S1554" t="s">
        <v>1223</v>
      </c>
      <c r="W1554">
        <f>Cancer_doubles_final2[[#This Row],[mlp_params]]</f>
        <v>59534</v>
      </c>
      <c r="X1554">
        <f>Cancer_doubles_final2[[#This Row],[kan_test_acc]]</f>
        <v>0.87733099361260736</v>
      </c>
      <c r="Y1554">
        <f>Cancer_doubles_final2[[#This Row],[mlp_test_acc]]</f>
        <v>0.91608391608391604</v>
      </c>
      <c r="Z1554">
        <f>Cancer_doubles_final2[[#This Row],[mlp_test_acc2]]</f>
        <v>0.921037296037296</v>
      </c>
    </row>
    <row r="1555" spans="1:26" hidden="1" x14ac:dyDescent="0.25">
      <c r="A1555" t="s">
        <v>19</v>
      </c>
      <c r="B1555">
        <v>5</v>
      </c>
      <c r="C1555">
        <v>5</v>
      </c>
      <c r="D1555">
        <v>0</v>
      </c>
      <c r="E1555" t="s">
        <v>669</v>
      </c>
      <c r="F1555">
        <v>44036</v>
      </c>
      <c r="G1555">
        <v>46793150.25</v>
      </c>
      <c r="H1555">
        <v>0.91394716335667514</v>
      </c>
      <c r="I1555">
        <v>0.91200466200466201</v>
      </c>
      <c r="J1555">
        <v>10377760.416666666</v>
      </c>
      <c r="K1555">
        <v>80450</v>
      </c>
      <c r="L1555">
        <v>2</v>
      </c>
      <c r="M1555">
        <v>192</v>
      </c>
      <c r="N1555">
        <v>0.91355866355866355</v>
      </c>
      <c r="O1555">
        <v>10500714.222222222</v>
      </c>
      <c r="P1555">
        <v>81255</v>
      </c>
      <c r="Q1555">
        <v>2</v>
      </c>
      <c r="R1555">
        <v>193</v>
      </c>
      <c r="S1555" t="s">
        <v>1224</v>
      </c>
      <c r="W1555">
        <f>Cancer_doubles_final2[[#This Row],[mlp_params]]</f>
        <v>80450</v>
      </c>
      <c r="X1555">
        <f>Cancer_doubles_final2[[#This Row],[kan_test_acc]]</f>
        <v>0.91394716335667514</v>
      </c>
      <c r="Y1555">
        <f>Cancer_doubles_final2[[#This Row],[mlp_test_acc]]</f>
        <v>0.91200466200466201</v>
      </c>
      <c r="Z1555">
        <f>Cancer_doubles_final2[[#This Row],[mlp_test_acc2]]</f>
        <v>0.91355866355866355</v>
      </c>
    </row>
    <row r="1556" spans="1:26" hidden="1" x14ac:dyDescent="0.25">
      <c r="A1556" t="s">
        <v>19</v>
      </c>
      <c r="B1556">
        <v>9</v>
      </c>
      <c r="C1556">
        <v>2</v>
      </c>
      <c r="D1556">
        <v>0</v>
      </c>
      <c r="E1556" t="s">
        <v>563</v>
      </c>
      <c r="F1556">
        <v>44050</v>
      </c>
      <c r="G1556">
        <v>50519854.666666672</v>
      </c>
      <c r="H1556">
        <v>0.8951048950354259</v>
      </c>
      <c r="I1556">
        <v>0.91219891219891214</v>
      </c>
      <c r="J1556">
        <v>11715454.833333334</v>
      </c>
      <c r="K1556">
        <v>59534</v>
      </c>
      <c r="L1556">
        <v>2</v>
      </c>
      <c r="M1556">
        <v>164</v>
      </c>
      <c r="N1556">
        <v>0.91511266511266509</v>
      </c>
      <c r="O1556">
        <v>11990384.86111111</v>
      </c>
      <c r="P1556">
        <v>60227</v>
      </c>
      <c r="Q1556">
        <v>2</v>
      </c>
      <c r="R1556">
        <v>165</v>
      </c>
      <c r="S1556" t="s">
        <v>1225</v>
      </c>
      <c r="W1556">
        <f>Cancer_doubles_final2[[#This Row],[mlp_params]]</f>
        <v>59534</v>
      </c>
      <c r="X1556">
        <f>Cancer_doubles_final2[[#This Row],[kan_test_acc]]</f>
        <v>0.8951048950354259</v>
      </c>
      <c r="Y1556">
        <f>Cancer_doubles_final2[[#This Row],[mlp_test_acc]]</f>
        <v>0.91219891219891214</v>
      </c>
      <c r="Z1556">
        <f>Cancer_doubles_final2[[#This Row],[mlp_test_acc2]]</f>
        <v>0.91511266511266509</v>
      </c>
    </row>
    <row r="1557" spans="1:26" hidden="1" x14ac:dyDescent="0.25">
      <c r="A1557" t="s">
        <v>19</v>
      </c>
      <c r="B1557">
        <v>9</v>
      </c>
      <c r="C1557">
        <v>4</v>
      </c>
      <c r="D1557">
        <v>0</v>
      </c>
      <c r="E1557" t="s">
        <v>402</v>
      </c>
      <c r="F1557">
        <v>44052</v>
      </c>
      <c r="G1557">
        <v>32946462.583333336</v>
      </c>
      <c r="H1557">
        <v>0.92599067423078751</v>
      </c>
      <c r="I1557">
        <v>0.92482517482517479</v>
      </c>
      <c r="J1557">
        <v>10446892.777777778</v>
      </c>
      <c r="K1557">
        <v>68114</v>
      </c>
      <c r="L1557">
        <v>2</v>
      </c>
      <c r="M1557">
        <v>176</v>
      </c>
      <c r="N1557">
        <v>0.92327117327117325</v>
      </c>
      <c r="O1557">
        <v>9438655.694444444</v>
      </c>
      <c r="P1557">
        <v>68855</v>
      </c>
      <c r="Q1557">
        <v>2</v>
      </c>
      <c r="R1557">
        <v>177</v>
      </c>
      <c r="S1557" t="s">
        <v>1226</v>
      </c>
      <c r="W1557">
        <f>Cancer_doubles_final2[[#This Row],[mlp_params]]</f>
        <v>68114</v>
      </c>
      <c r="X1557">
        <f>Cancer_doubles_final2[[#This Row],[kan_test_acc]]</f>
        <v>0.92599067423078751</v>
      </c>
      <c r="Y1557">
        <f>Cancer_doubles_final2[[#This Row],[mlp_test_acc]]</f>
        <v>0.92482517482517479</v>
      </c>
      <c r="Z1557">
        <f>Cancer_doubles_final2[[#This Row],[mlp_test_acc2]]</f>
        <v>0.92327117327117325</v>
      </c>
    </row>
    <row r="1558" spans="1:26" hidden="1" x14ac:dyDescent="0.25">
      <c r="A1558" t="s">
        <v>19</v>
      </c>
      <c r="B1558">
        <v>9</v>
      </c>
      <c r="C1558">
        <v>3</v>
      </c>
      <c r="D1558">
        <v>0</v>
      </c>
      <c r="E1558" t="s">
        <v>479</v>
      </c>
      <c r="F1558">
        <v>44072</v>
      </c>
      <c r="G1558">
        <v>42478807.166666672</v>
      </c>
      <c r="H1558">
        <v>0.94580419609944022</v>
      </c>
      <c r="I1558">
        <v>0.96124708624708621</v>
      </c>
      <c r="J1558">
        <v>10796303.958333334</v>
      </c>
      <c r="K1558">
        <v>64469</v>
      </c>
      <c r="L1558">
        <v>2</v>
      </c>
      <c r="M1558">
        <v>171</v>
      </c>
      <c r="N1558">
        <v>0.9592074592074592</v>
      </c>
      <c r="O1558">
        <v>11556334.333333332</v>
      </c>
      <c r="P1558">
        <v>65190</v>
      </c>
      <c r="Q1558">
        <v>2</v>
      </c>
      <c r="R1558">
        <v>172</v>
      </c>
      <c r="S1558" t="s">
        <v>1227</v>
      </c>
      <c r="W1558">
        <f>Cancer_doubles_final2[[#This Row],[mlp_params]]</f>
        <v>64469</v>
      </c>
      <c r="X1558">
        <f>Cancer_doubles_final2[[#This Row],[kan_test_acc]]</f>
        <v>0.94580419609944022</v>
      </c>
      <c r="Y1558">
        <f>Cancer_doubles_final2[[#This Row],[mlp_test_acc]]</f>
        <v>0.96124708624708621</v>
      </c>
      <c r="Z1558">
        <f>Cancer_doubles_final2[[#This Row],[mlp_test_acc2]]</f>
        <v>0.9592074592074592</v>
      </c>
    </row>
    <row r="1559" spans="1:26" hidden="1" x14ac:dyDescent="0.25">
      <c r="A1559" t="s">
        <v>19</v>
      </c>
      <c r="B1559">
        <v>9</v>
      </c>
      <c r="C1559">
        <v>4</v>
      </c>
      <c r="D1559">
        <v>0</v>
      </c>
      <c r="E1559" t="s">
        <v>404</v>
      </c>
      <c r="F1559">
        <v>44114</v>
      </c>
      <c r="G1559">
        <v>46082395.791666664</v>
      </c>
      <c r="H1559">
        <v>0.93851981312036514</v>
      </c>
      <c r="I1559">
        <v>0.95949883449883444</v>
      </c>
      <c r="J1559">
        <v>10885760.916666668</v>
      </c>
      <c r="K1559">
        <v>68855</v>
      </c>
      <c r="L1559">
        <v>2</v>
      </c>
      <c r="M1559">
        <v>177</v>
      </c>
      <c r="N1559">
        <v>0.95862470862470861</v>
      </c>
      <c r="O1559">
        <v>11836633</v>
      </c>
      <c r="P1559">
        <v>69600</v>
      </c>
      <c r="Q1559">
        <v>2</v>
      </c>
      <c r="R1559">
        <v>178</v>
      </c>
      <c r="S1559" t="s">
        <v>1228</v>
      </c>
      <c r="W1559">
        <f>Cancer_doubles_final2[[#This Row],[mlp_params]]</f>
        <v>68855</v>
      </c>
      <c r="X1559">
        <f>Cancer_doubles_final2[[#This Row],[kan_test_acc]]</f>
        <v>0.93851981312036514</v>
      </c>
      <c r="Y1559">
        <f>Cancer_doubles_final2[[#This Row],[mlp_test_acc]]</f>
        <v>0.95949883449883444</v>
      </c>
      <c r="Z1559">
        <f>Cancer_doubles_final2[[#This Row],[mlp_test_acc2]]</f>
        <v>0.95862470862470861</v>
      </c>
    </row>
    <row r="1560" spans="1:26" hidden="1" x14ac:dyDescent="0.25">
      <c r="A1560" t="s">
        <v>19</v>
      </c>
      <c r="B1560">
        <v>9</v>
      </c>
      <c r="C1560">
        <v>5</v>
      </c>
      <c r="D1560">
        <v>0</v>
      </c>
      <c r="E1560" t="s">
        <v>341</v>
      </c>
      <c r="F1560">
        <v>44146</v>
      </c>
      <c r="G1560">
        <v>45107577.708333328</v>
      </c>
      <c r="H1560">
        <v>0.84527971471349406</v>
      </c>
      <c r="I1560">
        <v>0.94988344988344986</v>
      </c>
      <c r="J1560">
        <v>12235857.625</v>
      </c>
      <c r="K1560">
        <v>72620</v>
      </c>
      <c r="L1560">
        <v>2</v>
      </c>
      <c r="M1560">
        <v>182</v>
      </c>
      <c r="N1560">
        <v>0.9533799533799534</v>
      </c>
      <c r="O1560">
        <v>13075246.583333334</v>
      </c>
      <c r="P1560">
        <v>73385</v>
      </c>
      <c r="Q1560">
        <v>2</v>
      </c>
      <c r="R1560">
        <v>183</v>
      </c>
      <c r="S1560" t="s">
        <v>1229</v>
      </c>
      <c r="W1560">
        <f>Cancer_doubles_final2[[#This Row],[mlp_params]]</f>
        <v>72620</v>
      </c>
      <c r="X1560">
        <f>Cancer_doubles_final2[[#This Row],[kan_test_acc]]</f>
        <v>0.84527971471349406</v>
      </c>
      <c r="Y1560">
        <f>Cancer_doubles_final2[[#This Row],[mlp_test_acc]]</f>
        <v>0.94988344988344986</v>
      </c>
      <c r="Z1560">
        <f>Cancer_doubles_final2[[#This Row],[mlp_test_acc2]]</f>
        <v>0.9533799533799534</v>
      </c>
    </row>
    <row r="1561" spans="1:26" hidden="1" x14ac:dyDescent="0.25">
      <c r="A1561" t="s">
        <v>19</v>
      </c>
      <c r="B1561">
        <v>9</v>
      </c>
      <c r="C1561">
        <v>4</v>
      </c>
      <c r="D1561">
        <v>0</v>
      </c>
      <c r="E1561" t="s">
        <v>408</v>
      </c>
      <c r="F1561">
        <v>44186</v>
      </c>
      <c r="G1561">
        <v>43235866.041666672</v>
      </c>
      <c r="H1561">
        <v>0.84615384414792061</v>
      </c>
      <c r="I1561">
        <v>0.96153846153846156</v>
      </c>
      <c r="J1561">
        <v>11837391</v>
      </c>
      <c r="K1561">
        <v>68855</v>
      </c>
      <c r="L1561">
        <v>2</v>
      </c>
      <c r="M1561">
        <v>177</v>
      </c>
      <c r="N1561">
        <v>0.96328671328671334</v>
      </c>
      <c r="O1561">
        <v>12835779.041666666</v>
      </c>
      <c r="P1561">
        <v>69600</v>
      </c>
      <c r="Q1561">
        <v>2</v>
      </c>
      <c r="R1561">
        <v>178</v>
      </c>
      <c r="S1561" t="s">
        <v>1230</v>
      </c>
      <c r="W1561">
        <f>Cancer_doubles_final2[[#This Row],[mlp_params]]</f>
        <v>68855</v>
      </c>
      <c r="X1561">
        <f>Cancer_doubles_final2[[#This Row],[kan_test_acc]]</f>
        <v>0.84615384414792061</v>
      </c>
      <c r="Y1561">
        <f>Cancer_doubles_final2[[#This Row],[mlp_test_acc]]</f>
        <v>0.96153846153846156</v>
      </c>
      <c r="Z1561">
        <f>Cancer_doubles_final2[[#This Row],[mlp_test_acc2]]</f>
        <v>0.96328671328671334</v>
      </c>
    </row>
    <row r="1562" spans="1:26" hidden="1" x14ac:dyDescent="0.25">
      <c r="A1562" t="s">
        <v>19</v>
      </c>
      <c r="B1562">
        <v>9</v>
      </c>
      <c r="C1562">
        <v>5</v>
      </c>
      <c r="D1562">
        <v>0</v>
      </c>
      <c r="E1562" t="s">
        <v>345</v>
      </c>
      <c r="F1562">
        <v>44278</v>
      </c>
      <c r="G1562">
        <v>40877472.375</v>
      </c>
      <c r="H1562">
        <v>0.87121211985747027</v>
      </c>
      <c r="I1562">
        <v>0.95017482517482521</v>
      </c>
      <c r="J1562">
        <v>11122104.5</v>
      </c>
      <c r="K1562">
        <v>72620</v>
      </c>
      <c r="L1562">
        <v>2</v>
      </c>
      <c r="M1562">
        <v>182</v>
      </c>
      <c r="N1562">
        <v>0.94871794871794879</v>
      </c>
      <c r="O1562">
        <v>12104818.041666666</v>
      </c>
      <c r="P1562">
        <v>73385</v>
      </c>
      <c r="Q1562">
        <v>2</v>
      </c>
      <c r="R1562">
        <v>183</v>
      </c>
      <c r="S1562" t="s">
        <v>1231</v>
      </c>
      <c r="W1562">
        <f>Cancer_doubles_final2[[#This Row],[mlp_params]]</f>
        <v>72620</v>
      </c>
      <c r="X1562">
        <f>Cancer_doubles_final2[[#This Row],[kan_test_acc]]</f>
        <v>0.87121211985747027</v>
      </c>
      <c r="Y1562">
        <f>Cancer_doubles_final2[[#This Row],[mlp_test_acc]]</f>
        <v>0.95017482517482521</v>
      </c>
      <c r="Z1562">
        <f>Cancer_doubles_final2[[#This Row],[mlp_test_acc2]]</f>
        <v>0.94871794871794879</v>
      </c>
    </row>
    <row r="1563" spans="1:26" hidden="1" x14ac:dyDescent="0.25">
      <c r="A1563" t="s">
        <v>19</v>
      </c>
      <c r="B1563">
        <v>9</v>
      </c>
      <c r="C1563">
        <v>5</v>
      </c>
      <c r="D1563">
        <v>0</v>
      </c>
      <c r="E1563" t="s">
        <v>347</v>
      </c>
      <c r="F1563">
        <v>44348</v>
      </c>
      <c r="G1563">
        <v>46684046.666666672</v>
      </c>
      <c r="H1563">
        <v>0.8382867152492206</v>
      </c>
      <c r="I1563">
        <v>0.93968531468531469</v>
      </c>
      <c r="J1563">
        <v>12575363.458333332</v>
      </c>
      <c r="K1563">
        <v>72620</v>
      </c>
      <c r="L1563">
        <v>2</v>
      </c>
      <c r="M1563">
        <v>182</v>
      </c>
      <c r="N1563">
        <v>0.93793706293706303</v>
      </c>
      <c r="O1563">
        <v>13164711.5</v>
      </c>
      <c r="P1563">
        <v>73385</v>
      </c>
      <c r="Q1563">
        <v>2</v>
      </c>
      <c r="R1563">
        <v>183</v>
      </c>
      <c r="S1563" t="s">
        <v>1232</v>
      </c>
      <c r="W1563">
        <f>Cancer_doubles_final2[[#This Row],[mlp_params]]</f>
        <v>72620</v>
      </c>
      <c r="X1563">
        <f>Cancer_doubles_final2[[#This Row],[kan_test_acc]]</f>
        <v>0.8382867152492206</v>
      </c>
      <c r="Y1563">
        <f>Cancer_doubles_final2[[#This Row],[mlp_test_acc]]</f>
        <v>0.93968531468531469</v>
      </c>
      <c r="Z1563">
        <f>Cancer_doubles_final2[[#This Row],[mlp_test_acc2]]</f>
        <v>0.93793706293706303</v>
      </c>
    </row>
    <row r="1564" spans="1:26" hidden="1" x14ac:dyDescent="0.25">
      <c r="A1564" t="s">
        <v>19</v>
      </c>
      <c r="B1564">
        <v>9</v>
      </c>
      <c r="C1564">
        <v>3</v>
      </c>
      <c r="D1564">
        <v>0</v>
      </c>
      <c r="E1564" t="s">
        <v>487</v>
      </c>
      <c r="F1564">
        <v>44550</v>
      </c>
      <c r="G1564">
        <v>47818236</v>
      </c>
      <c r="H1564">
        <v>0.90180652588605881</v>
      </c>
      <c r="I1564">
        <v>0.95716783216783208</v>
      </c>
      <c r="J1564">
        <v>11581662.208333332</v>
      </c>
      <c r="K1564">
        <v>65190</v>
      </c>
      <c r="L1564">
        <v>2</v>
      </c>
      <c r="M1564">
        <v>172</v>
      </c>
      <c r="N1564">
        <v>0.95949883449883444</v>
      </c>
      <c r="O1564">
        <v>11756721.041666666</v>
      </c>
      <c r="P1564">
        <v>65915</v>
      </c>
      <c r="Q1564">
        <v>2</v>
      </c>
      <c r="R1564">
        <v>173</v>
      </c>
      <c r="S1564" t="s">
        <v>1233</v>
      </c>
      <c r="W1564">
        <f>Cancer_doubles_final2[[#This Row],[mlp_params]]</f>
        <v>65190</v>
      </c>
      <c r="X1564">
        <f>Cancer_doubles_final2[[#This Row],[kan_test_acc]]</f>
        <v>0.90180652588605881</v>
      </c>
      <c r="Y1564">
        <f>Cancer_doubles_final2[[#This Row],[mlp_test_acc]]</f>
        <v>0.95716783216783208</v>
      </c>
      <c r="Z1564">
        <f>Cancer_doubles_final2[[#This Row],[mlp_test_acc2]]</f>
        <v>0.95949883449883444</v>
      </c>
    </row>
    <row r="1565" spans="1:26" hidden="1" x14ac:dyDescent="0.25">
      <c r="A1565" t="s">
        <v>19</v>
      </c>
      <c r="B1565">
        <v>9</v>
      </c>
      <c r="C1565">
        <v>2</v>
      </c>
      <c r="D1565">
        <v>0</v>
      </c>
      <c r="E1565" t="s">
        <v>582</v>
      </c>
      <c r="F1565">
        <v>44616</v>
      </c>
      <c r="G1565">
        <v>36443161.666666664</v>
      </c>
      <c r="H1565">
        <v>0.93997668226559961</v>
      </c>
      <c r="I1565">
        <v>0.93881118881118875</v>
      </c>
      <c r="J1565">
        <v>9166680.4166666679</v>
      </c>
      <c r="K1565">
        <v>60227</v>
      </c>
      <c r="L1565">
        <v>2</v>
      </c>
      <c r="M1565">
        <v>165</v>
      </c>
      <c r="N1565">
        <v>0.94201631701631694</v>
      </c>
      <c r="O1565">
        <v>10060667.041666666</v>
      </c>
      <c r="P1565">
        <v>60924</v>
      </c>
      <c r="Q1565">
        <v>2</v>
      </c>
      <c r="R1565">
        <v>166</v>
      </c>
      <c r="S1565" t="s">
        <v>1234</v>
      </c>
      <c r="W1565">
        <f>Cancer_doubles_final2[[#This Row],[mlp_params]]</f>
        <v>60227</v>
      </c>
      <c r="X1565">
        <f>Cancer_doubles_final2[[#This Row],[kan_test_acc]]</f>
        <v>0.93997668226559961</v>
      </c>
      <c r="Y1565">
        <f>Cancer_doubles_final2[[#This Row],[mlp_test_acc]]</f>
        <v>0.93881118881118875</v>
      </c>
      <c r="Z1565">
        <f>Cancer_doubles_final2[[#This Row],[mlp_test_acc2]]</f>
        <v>0.94201631701631694</v>
      </c>
    </row>
    <row r="1566" spans="1:26" hidden="1" x14ac:dyDescent="0.25">
      <c r="A1566" t="s">
        <v>19</v>
      </c>
      <c r="B1566">
        <v>9</v>
      </c>
      <c r="C1566">
        <v>5</v>
      </c>
      <c r="D1566">
        <v>0</v>
      </c>
      <c r="E1566" t="s">
        <v>353</v>
      </c>
      <c r="F1566">
        <v>44762</v>
      </c>
      <c r="G1566">
        <v>39369975.583333336</v>
      </c>
      <c r="H1566">
        <v>0.90404040780332351</v>
      </c>
      <c r="I1566">
        <v>0.92404817404817408</v>
      </c>
      <c r="J1566">
        <v>10640709.194444446</v>
      </c>
      <c r="K1566">
        <v>73385</v>
      </c>
      <c r="L1566">
        <v>2</v>
      </c>
      <c r="M1566">
        <v>183</v>
      </c>
      <c r="N1566">
        <v>0.92501942501942502</v>
      </c>
      <c r="O1566">
        <v>11400780.361111112</v>
      </c>
      <c r="P1566">
        <v>74154</v>
      </c>
      <c r="Q1566">
        <v>2</v>
      </c>
      <c r="R1566">
        <v>184</v>
      </c>
      <c r="S1566" t="s">
        <v>1235</v>
      </c>
      <c r="W1566">
        <f>Cancer_doubles_final2[[#This Row],[mlp_params]]</f>
        <v>73385</v>
      </c>
      <c r="X1566">
        <f>Cancer_doubles_final2[[#This Row],[kan_test_acc]]</f>
        <v>0.90404040780332351</v>
      </c>
      <c r="Y1566">
        <f>Cancer_doubles_final2[[#This Row],[mlp_test_acc]]</f>
        <v>0.92404817404817408</v>
      </c>
      <c r="Z1566">
        <f>Cancer_doubles_final2[[#This Row],[mlp_test_acc2]]</f>
        <v>0.92501942501942502</v>
      </c>
    </row>
    <row r="1567" spans="1:26" hidden="1" x14ac:dyDescent="0.25">
      <c r="A1567" t="s">
        <v>19</v>
      </c>
      <c r="B1567">
        <v>9</v>
      </c>
      <c r="C1567">
        <v>3</v>
      </c>
      <c r="D1567">
        <v>0</v>
      </c>
      <c r="E1567" t="s">
        <v>492</v>
      </c>
      <c r="F1567">
        <v>44786</v>
      </c>
      <c r="G1567">
        <v>47557804.625</v>
      </c>
      <c r="H1567">
        <v>0.90879953404267622</v>
      </c>
      <c r="I1567">
        <v>0.95862470862470861</v>
      </c>
      <c r="J1567">
        <v>12452606.416666668</v>
      </c>
      <c r="K1567">
        <v>65190</v>
      </c>
      <c r="L1567">
        <v>2</v>
      </c>
      <c r="M1567">
        <v>172</v>
      </c>
      <c r="N1567">
        <v>0.9618298368298368</v>
      </c>
      <c r="O1567">
        <v>12472322.458333334</v>
      </c>
      <c r="P1567">
        <v>65915</v>
      </c>
      <c r="Q1567">
        <v>2</v>
      </c>
      <c r="R1567">
        <v>173</v>
      </c>
      <c r="S1567" t="s">
        <v>1236</v>
      </c>
      <c r="W1567">
        <f>Cancer_doubles_final2[[#This Row],[mlp_params]]</f>
        <v>65190</v>
      </c>
      <c r="X1567">
        <f>Cancer_doubles_final2[[#This Row],[kan_test_acc]]</f>
        <v>0.90879953404267622</v>
      </c>
      <c r="Y1567">
        <f>Cancer_doubles_final2[[#This Row],[mlp_test_acc]]</f>
        <v>0.95862470862470861</v>
      </c>
      <c r="Z1567">
        <f>Cancer_doubles_final2[[#This Row],[mlp_test_acc2]]</f>
        <v>0.9618298368298368</v>
      </c>
    </row>
    <row r="1568" spans="1:26" hidden="1" x14ac:dyDescent="0.25">
      <c r="A1568" t="s">
        <v>19</v>
      </c>
      <c r="B1568">
        <v>9</v>
      </c>
      <c r="C1568">
        <v>3</v>
      </c>
      <c r="D1568">
        <v>0</v>
      </c>
      <c r="E1568" t="s">
        <v>494</v>
      </c>
      <c r="F1568">
        <v>44788</v>
      </c>
      <c r="G1568">
        <v>41677815.291666672</v>
      </c>
      <c r="H1568">
        <v>0.95046619325876236</v>
      </c>
      <c r="I1568">
        <v>0.96386946386946382</v>
      </c>
      <c r="J1568">
        <v>10135694.416666668</v>
      </c>
      <c r="K1568">
        <v>65190</v>
      </c>
      <c r="L1568">
        <v>2</v>
      </c>
      <c r="M1568">
        <v>172</v>
      </c>
      <c r="N1568">
        <v>0.96678321678321677</v>
      </c>
      <c r="O1568">
        <v>10430011.083333334</v>
      </c>
      <c r="P1568">
        <v>65915</v>
      </c>
      <c r="Q1568">
        <v>2</v>
      </c>
      <c r="R1568">
        <v>173</v>
      </c>
      <c r="S1568" t="s">
        <v>1237</v>
      </c>
      <c r="W1568">
        <f>Cancer_doubles_final2[[#This Row],[mlp_params]]</f>
        <v>65190</v>
      </c>
      <c r="X1568">
        <f>Cancer_doubles_final2[[#This Row],[kan_test_acc]]</f>
        <v>0.95046619325876236</v>
      </c>
      <c r="Y1568">
        <f>Cancer_doubles_final2[[#This Row],[mlp_test_acc]]</f>
        <v>0.96386946386946382</v>
      </c>
      <c r="Z1568">
        <f>Cancer_doubles_final2[[#This Row],[mlp_test_acc2]]</f>
        <v>0.96678321678321677</v>
      </c>
    </row>
    <row r="1569" spans="1:26" hidden="1" x14ac:dyDescent="0.25">
      <c r="A1569" t="s">
        <v>19</v>
      </c>
      <c r="B1569">
        <v>9</v>
      </c>
      <c r="C1569">
        <v>4</v>
      </c>
      <c r="D1569">
        <v>0</v>
      </c>
      <c r="E1569" t="s">
        <v>417</v>
      </c>
      <c r="F1569">
        <v>44824</v>
      </c>
      <c r="G1569">
        <v>42999563.291666672</v>
      </c>
      <c r="H1569">
        <v>0.94376455992460251</v>
      </c>
      <c r="I1569">
        <v>0.95979020979020979</v>
      </c>
      <c r="J1569">
        <v>10481524.458333334</v>
      </c>
      <c r="K1569">
        <v>69600</v>
      </c>
      <c r="L1569">
        <v>2</v>
      </c>
      <c r="M1569">
        <v>178</v>
      </c>
      <c r="N1569">
        <v>0.953962703962704</v>
      </c>
      <c r="O1569">
        <v>11723023.375</v>
      </c>
      <c r="P1569">
        <v>70349</v>
      </c>
      <c r="Q1569">
        <v>2</v>
      </c>
      <c r="R1569">
        <v>179</v>
      </c>
      <c r="S1569" t="s">
        <v>1238</v>
      </c>
      <c r="W1569">
        <f>Cancer_doubles_final2[[#This Row],[mlp_params]]</f>
        <v>69600</v>
      </c>
      <c r="X1569">
        <f>Cancer_doubles_final2[[#This Row],[kan_test_acc]]</f>
        <v>0.94376455992460251</v>
      </c>
      <c r="Y1569">
        <f>Cancer_doubles_final2[[#This Row],[mlp_test_acc]]</f>
        <v>0.95979020979020979</v>
      </c>
      <c r="Z1569">
        <f>Cancer_doubles_final2[[#This Row],[mlp_test_acc2]]</f>
        <v>0.953962703962704</v>
      </c>
    </row>
    <row r="1570" spans="1:26" hidden="1" x14ac:dyDescent="0.25">
      <c r="A1570" t="s">
        <v>19</v>
      </c>
      <c r="B1570">
        <v>9</v>
      </c>
      <c r="C1570">
        <v>2</v>
      </c>
      <c r="D1570">
        <v>0</v>
      </c>
      <c r="E1570" t="s">
        <v>592</v>
      </c>
      <c r="F1570">
        <v>45006</v>
      </c>
      <c r="G1570">
        <v>41366489.625</v>
      </c>
      <c r="H1570">
        <v>0.93618880957365036</v>
      </c>
      <c r="I1570">
        <v>0.93473193473193472</v>
      </c>
      <c r="J1570">
        <v>10428327.333333334</v>
      </c>
      <c r="K1570">
        <v>60924</v>
      </c>
      <c r="L1570">
        <v>2</v>
      </c>
      <c r="M1570">
        <v>166</v>
      </c>
      <c r="N1570">
        <v>0.93094405594405594</v>
      </c>
      <c r="O1570">
        <v>11517474.291666666</v>
      </c>
      <c r="P1570">
        <v>61625</v>
      </c>
      <c r="Q1570">
        <v>2</v>
      </c>
      <c r="R1570">
        <v>167</v>
      </c>
      <c r="S1570" t="s">
        <v>1239</v>
      </c>
      <c r="W1570">
        <f>Cancer_doubles_final2[[#This Row],[mlp_params]]</f>
        <v>60924</v>
      </c>
      <c r="X1570">
        <f>Cancer_doubles_final2[[#This Row],[kan_test_acc]]</f>
        <v>0.93618880957365036</v>
      </c>
      <c r="Y1570">
        <f>Cancer_doubles_final2[[#This Row],[mlp_test_acc]]</f>
        <v>0.93473193473193472</v>
      </c>
      <c r="Z1570">
        <f>Cancer_doubles_final2[[#This Row],[mlp_test_acc2]]</f>
        <v>0.93094405594405594</v>
      </c>
    </row>
    <row r="1571" spans="1:26" hidden="1" x14ac:dyDescent="0.25">
      <c r="A1571" t="s">
        <v>19</v>
      </c>
      <c r="B1571">
        <v>5</v>
      </c>
      <c r="C1571">
        <v>5</v>
      </c>
      <c r="D1571">
        <v>0</v>
      </c>
      <c r="E1571" t="s">
        <v>697</v>
      </c>
      <c r="F1571">
        <v>45078</v>
      </c>
      <c r="G1571">
        <v>48845855.361111112</v>
      </c>
      <c r="H1571">
        <v>0.90034965508513987</v>
      </c>
      <c r="I1571">
        <v>0.91219891219891214</v>
      </c>
      <c r="J1571">
        <v>10281242.388888888</v>
      </c>
      <c r="K1571">
        <v>82877</v>
      </c>
      <c r="L1571">
        <v>2</v>
      </c>
      <c r="M1571">
        <v>195</v>
      </c>
      <c r="N1571">
        <v>0.91472416472416473</v>
      </c>
      <c r="O1571">
        <v>10525225.638888888</v>
      </c>
      <c r="P1571">
        <v>83694</v>
      </c>
      <c r="Q1571">
        <v>2</v>
      </c>
      <c r="R1571">
        <v>196</v>
      </c>
      <c r="S1571" t="s">
        <v>1240</v>
      </c>
      <c r="W1571">
        <f>Cancer_doubles_final2[[#This Row],[mlp_params]]</f>
        <v>82877</v>
      </c>
      <c r="X1571">
        <f>Cancer_doubles_final2[[#This Row],[kan_test_acc]]</f>
        <v>0.90034965508513987</v>
      </c>
      <c r="Y1571">
        <f>Cancer_doubles_final2[[#This Row],[mlp_test_acc]]</f>
        <v>0.91219891219891214</v>
      </c>
      <c r="Z1571">
        <f>Cancer_doubles_final2[[#This Row],[mlp_test_acc2]]</f>
        <v>0.91472416472416473</v>
      </c>
    </row>
    <row r="1572" spans="1:26" hidden="1" x14ac:dyDescent="0.25">
      <c r="A1572" t="s">
        <v>19</v>
      </c>
      <c r="B1572">
        <v>9</v>
      </c>
      <c r="C1572">
        <v>3</v>
      </c>
      <c r="D1572">
        <v>0</v>
      </c>
      <c r="E1572" t="s">
        <v>508</v>
      </c>
      <c r="F1572">
        <v>45094</v>
      </c>
      <c r="G1572">
        <v>61607025.916666664</v>
      </c>
      <c r="H1572">
        <v>0.89879565106497872</v>
      </c>
      <c r="I1572">
        <v>0.932012432012432</v>
      </c>
      <c r="J1572">
        <v>11999044.86111111</v>
      </c>
      <c r="K1572">
        <v>65915</v>
      </c>
      <c r="L1572">
        <v>2</v>
      </c>
      <c r="M1572">
        <v>173</v>
      </c>
      <c r="N1572">
        <v>0.93181818181818177</v>
      </c>
      <c r="O1572">
        <v>12070408.5</v>
      </c>
      <c r="P1572">
        <v>66644</v>
      </c>
      <c r="Q1572">
        <v>2</v>
      </c>
      <c r="R1572">
        <v>174</v>
      </c>
      <c r="S1572" t="s">
        <v>1241</v>
      </c>
      <c r="W1572">
        <f>Cancer_doubles_final2[[#This Row],[mlp_params]]</f>
        <v>65915</v>
      </c>
      <c r="X1572">
        <f>Cancer_doubles_final2[[#This Row],[kan_test_acc]]</f>
        <v>0.89879565106497872</v>
      </c>
      <c r="Y1572">
        <f>Cancer_doubles_final2[[#This Row],[mlp_test_acc]]</f>
        <v>0.932012432012432</v>
      </c>
      <c r="Z1572">
        <f>Cancer_doubles_final2[[#This Row],[mlp_test_acc2]]</f>
        <v>0.93181818181818177</v>
      </c>
    </row>
    <row r="1573" spans="1:26" hidden="1" x14ac:dyDescent="0.25">
      <c r="A1573" t="s">
        <v>19</v>
      </c>
      <c r="B1573">
        <v>9</v>
      </c>
      <c r="C1573">
        <v>2</v>
      </c>
      <c r="D1573">
        <v>0</v>
      </c>
      <c r="E1573" t="s">
        <v>597</v>
      </c>
      <c r="F1573">
        <v>45172</v>
      </c>
      <c r="G1573">
        <v>40876379.708333328</v>
      </c>
      <c r="H1573">
        <v>0.93822843581438065</v>
      </c>
      <c r="I1573">
        <v>0.94347319347319347</v>
      </c>
      <c r="J1573">
        <v>9770017.1666666679</v>
      </c>
      <c r="K1573">
        <v>60924</v>
      </c>
      <c r="L1573">
        <v>2</v>
      </c>
      <c r="M1573">
        <v>166</v>
      </c>
      <c r="N1573">
        <v>0.9417249417249417</v>
      </c>
      <c r="O1573">
        <v>10125431.541666668</v>
      </c>
      <c r="P1573">
        <v>61625</v>
      </c>
      <c r="Q1573">
        <v>2</v>
      </c>
      <c r="R1573">
        <v>167</v>
      </c>
      <c r="S1573" t="s">
        <v>1242</v>
      </c>
      <c r="W1573">
        <f>Cancer_doubles_final2[[#This Row],[mlp_params]]</f>
        <v>60924</v>
      </c>
      <c r="X1573">
        <f>Cancer_doubles_final2[[#This Row],[kan_test_acc]]</f>
        <v>0.93822843581438065</v>
      </c>
      <c r="Y1573">
        <f>Cancer_doubles_final2[[#This Row],[mlp_test_acc]]</f>
        <v>0.94347319347319347</v>
      </c>
      <c r="Z1573">
        <f>Cancer_doubles_final2[[#This Row],[mlp_test_acc2]]</f>
        <v>0.9417249417249417</v>
      </c>
    </row>
    <row r="1574" spans="1:26" hidden="1" x14ac:dyDescent="0.25">
      <c r="A1574" t="s">
        <v>19</v>
      </c>
      <c r="B1574">
        <v>9</v>
      </c>
      <c r="C1574">
        <v>4</v>
      </c>
      <c r="D1574">
        <v>0</v>
      </c>
      <c r="E1574" t="s">
        <v>433</v>
      </c>
      <c r="F1574">
        <v>45202</v>
      </c>
      <c r="G1574">
        <v>37979603.55555556</v>
      </c>
      <c r="H1574">
        <v>0.92346541749106514</v>
      </c>
      <c r="I1574">
        <v>0.92501942501942502</v>
      </c>
      <c r="J1574">
        <v>10790842.111111112</v>
      </c>
      <c r="K1574">
        <v>70349</v>
      </c>
      <c r="L1574">
        <v>2</v>
      </c>
      <c r="M1574">
        <v>179</v>
      </c>
      <c r="N1574">
        <v>0.92094017094017089</v>
      </c>
      <c r="O1574">
        <v>9955206.9166666679</v>
      </c>
      <c r="P1574">
        <v>71102</v>
      </c>
      <c r="Q1574">
        <v>2</v>
      </c>
      <c r="R1574">
        <v>180</v>
      </c>
      <c r="S1574" t="s">
        <v>1243</v>
      </c>
      <c r="W1574">
        <f>Cancer_doubles_final2[[#This Row],[mlp_params]]</f>
        <v>70349</v>
      </c>
      <c r="X1574">
        <f>Cancer_doubles_final2[[#This Row],[kan_test_acc]]</f>
        <v>0.92346541749106514</v>
      </c>
      <c r="Y1574">
        <f>Cancer_doubles_final2[[#This Row],[mlp_test_acc]]</f>
        <v>0.92501942501942502</v>
      </c>
      <c r="Z1574">
        <f>Cancer_doubles_final2[[#This Row],[mlp_test_acc2]]</f>
        <v>0.92094017094017089</v>
      </c>
    </row>
    <row r="1575" spans="1:26" hidden="1" x14ac:dyDescent="0.25">
      <c r="A1575" t="s">
        <v>19</v>
      </c>
      <c r="B1575">
        <v>9</v>
      </c>
      <c r="C1575">
        <v>4</v>
      </c>
      <c r="D1575">
        <v>0</v>
      </c>
      <c r="E1575" t="s">
        <v>435</v>
      </c>
      <c r="F1575">
        <v>45206</v>
      </c>
      <c r="G1575">
        <v>43608605.125</v>
      </c>
      <c r="H1575">
        <v>0.92191141843795776</v>
      </c>
      <c r="I1575">
        <v>0.95192307692307687</v>
      </c>
      <c r="J1575">
        <v>11797493.041666668</v>
      </c>
      <c r="K1575">
        <v>70349</v>
      </c>
      <c r="L1575">
        <v>2</v>
      </c>
      <c r="M1575">
        <v>179</v>
      </c>
      <c r="N1575">
        <v>0.94580419580419584</v>
      </c>
      <c r="O1575">
        <v>12805868.708333334</v>
      </c>
      <c r="P1575">
        <v>71102</v>
      </c>
      <c r="Q1575">
        <v>2</v>
      </c>
      <c r="R1575">
        <v>180</v>
      </c>
      <c r="S1575" t="s">
        <v>1244</v>
      </c>
      <c r="W1575">
        <f>Cancer_doubles_final2[[#This Row],[mlp_params]]</f>
        <v>70349</v>
      </c>
      <c r="X1575">
        <f>Cancer_doubles_final2[[#This Row],[kan_test_acc]]</f>
        <v>0.92191141843795776</v>
      </c>
      <c r="Y1575">
        <f>Cancer_doubles_final2[[#This Row],[mlp_test_acc]]</f>
        <v>0.95192307692307687</v>
      </c>
      <c r="Z1575">
        <f>Cancer_doubles_final2[[#This Row],[mlp_test_acc2]]</f>
        <v>0.94580419580419584</v>
      </c>
    </row>
    <row r="1576" spans="1:26" hidden="1" x14ac:dyDescent="0.25">
      <c r="A1576" t="s">
        <v>19</v>
      </c>
      <c r="B1576">
        <v>9</v>
      </c>
      <c r="C1576">
        <v>4</v>
      </c>
      <c r="D1576">
        <v>0</v>
      </c>
      <c r="E1576" t="s">
        <v>437</v>
      </c>
      <c r="F1576">
        <v>45212</v>
      </c>
      <c r="G1576">
        <v>44844114.958333336</v>
      </c>
      <c r="H1576">
        <v>0.92278555035591125</v>
      </c>
      <c r="I1576">
        <v>0.95629370629370625</v>
      </c>
      <c r="J1576">
        <v>11109417.5</v>
      </c>
      <c r="K1576">
        <v>70349</v>
      </c>
      <c r="L1576">
        <v>2</v>
      </c>
      <c r="M1576">
        <v>179</v>
      </c>
      <c r="N1576">
        <v>0.95483682983682983</v>
      </c>
      <c r="O1576">
        <v>12004243.791666666</v>
      </c>
      <c r="P1576">
        <v>71102</v>
      </c>
      <c r="Q1576">
        <v>2</v>
      </c>
      <c r="R1576">
        <v>180</v>
      </c>
      <c r="S1576" t="s">
        <v>1245</v>
      </c>
      <c r="W1576">
        <f>Cancer_doubles_final2[[#This Row],[mlp_params]]</f>
        <v>70349</v>
      </c>
      <c r="X1576">
        <f>Cancer_doubles_final2[[#This Row],[kan_test_acc]]</f>
        <v>0.92278555035591125</v>
      </c>
      <c r="Y1576">
        <f>Cancer_doubles_final2[[#This Row],[mlp_test_acc]]</f>
        <v>0.95629370629370625</v>
      </c>
      <c r="Z1576">
        <f>Cancer_doubles_final2[[#This Row],[mlp_test_acc2]]</f>
        <v>0.95483682983682983</v>
      </c>
    </row>
    <row r="1577" spans="1:26" hidden="1" x14ac:dyDescent="0.25">
      <c r="A1577" t="s">
        <v>19</v>
      </c>
      <c r="B1577">
        <v>9</v>
      </c>
      <c r="C1577">
        <v>5</v>
      </c>
      <c r="D1577">
        <v>0</v>
      </c>
      <c r="E1577" t="s">
        <v>365</v>
      </c>
      <c r="F1577">
        <v>45298</v>
      </c>
      <c r="G1577">
        <v>44333082.791666672</v>
      </c>
      <c r="H1577">
        <v>0.87354312340418505</v>
      </c>
      <c r="I1577">
        <v>0.94055944055944063</v>
      </c>
      <c r="J1577">
        <v>12336881.166666666</v>
      </c>
      <c r="K1577">
        <v>74154</v>
      </c>
      <c r="L1577">
        <v>2</v>
      </c>
      <c r="M1577">
        <v>184</v>
      </c>
      <c r="N1577">
        <v>0.94055944055944063</v>
      </c>
      <c r="O1577">
        <v>12896305.875</v>
      </c>
      <c r="P1577">
        <v>74927</v>
      </c>
      <c r="Q1577">
        <v>2</v>
      </c>
      <c r="R1577">
        <v>185</v>
      </c>
      <c r="S1577" t="s">
        <v>1246</v>
      </c>
      <c r="W1577">
        <f>Cancer_doubles_final2[[#This Row],[mlp_params]]</f>
        <v>74154</v>
      </c>
      <c r="X1577">
        <f>Cancer_doubles_final2[[#This Row],[kan_test_acc]]</f>
        <v>0.87354312340418505</v>
      </c>
      <c r="Y1577">
        <f>Cancer_doubles_final2[[#This Row],[mlp_test_acc]]</f>
        <v>0.94055944055944063</v>
      </c>
      <c r="Z1577">
        <f>Cancer_doubles_final2[[#This Row],[mlp_test_acc2]]</f>
        <v>0.94055944055944063</v>
      </c>
    </row>
    <row r="1578" spans="1:26" hidden="1" x14ac:dyDescent="0.25">
      <c r="A1578" t="s">
        <v>19</v>
      </c>
      <c r="B1578">
        <v>9</v>
      </c>
      <c r="C1578">
        <v>5</v>
      </c>
      <c r="D1578">
        <v>0</v>
      </c>
      <c r="E1578" t="s">
        <v>367</v>
      </c>
      <c r="F1578">
        <v>45304</v>
      </c>
      <c r="G1578">
        <v>46403791.375</v>
      </c>
      <c r="H1578">
        <v>0.83712120850880944</v>
      </c>
      <c r="I1578">
        <v>0.93793706293706292</v>
      </c>
      <c r="J1578">
        <v>13483944.541666666</v>
      </c>
      <c r="K1578">
        <v>74154</v>
      </c>
      <c r="L1578">
        <v>2</v>
      </c>
      <c r="M1578">
        <v>184</v>
      </c>
      <c r="N1578">
        <v>0.9364801864801866</v>
      </c>
      <c r="O1578">
        <v>14560661.791666668</v>
      </c>
      <c r="P1578">
        <v>74927</v>
      </c>
      <c r="Q1578">
        <v>2</v>
      </c>
      <c r="R1578">
        <v>185</v>
      </c>
      <c r="S1578" t="s">
        <v>1247</v>
      </c>
      <c r="W1578">
        <f>Cancer_doubles_final2[[#This Row],[mlp_params]]</f>
        <v>74154</v>
      </c>
      <c r="X1578">
        <f>Cancer_doubles_final2[[#This Row],[kan_test_acc]]</f>
        <v>0.83712120850880944</v>
      </c>
      <c r="Y1578">
        <f>Cancer_doubles_final2[[#This Row],[mlp_test_acc]]</f>
        <v>0.93793706293706292</v>
      </c>
      <c r="Z1578">
        <f>Cancer_doubles_final2[[#This Row],[mlp_test_acc2]]</f>
        <v>0.9364801864801866</v>
      </c>
    </row>
    <row r="1579" spans="1:26" hidden="1" x14ac:dyDescent="0.25">
      <c r="A1579" t="s">
        <v>19</v>
      </c>
      <c r="B1579">
        <v>9</v>
      </c>
      <c r="C1579">
        <v>4</v>
      </c>
      <c r="D1579">
        <v>0</v>
      </c>
      <c r="E1579" t="s">
        <v>439</v>
      </c>
      <c r="F1579">
        <v>45332</v>
      </c>
      <c r="G1579">
        <v>46583386.75</v>
      </c>
      <c r="H1579">
        <v>0.88170162836710619</v>
      </c>
      <c r="I1579">
        <v>0.95221445221445222</v>
      </c>
      <c r="J1579">
        <v>12602637.625</v>
      </c>
      <c r="K1579">
        <v>70349</v>
      </c>
      <c r="L1579">
        <v>2</v>
      </c>
      <c r="M1579">
        <v>179</v>
      </c>
      <c r="N1579">
        <v>0.95221445221445222</v>
      </c>
      <c r="O1579">
        <v>13699755.166666668</v>
      </c>
      <c r="P1579">
        <v>71102</v>
      </c>
      <c r="Q1579">
        <v>2</v>
      </c>
      <c r="R1579">
        <v>180</v>
      </c>
      <c r="S1579" t="s">
        <v>1248</v>
      </c>
      <c r="W1579">
        <f>Cancer_doubles_final2[[#This Row],[mlp_params]]</f>
        <v>70349</v>
      </c>
      <c r="X1579">
        <f>Cancer_doubles_final2[[#This Row],[kan_test_acc]]</f>
        <v>0.88170162836710619</v>
      </c>
      <c r="Y1579">
        <f>Cancer_doubles_final2[[#This Row],[mlp_test_acc]]</f>
        <v>0.95221445221445222</v>
      </c>
      <c r="Z1579">
        <f>Cancer_doubles_final2[[#This Row],[mlp_test_acc2]]</f>
        <v>0.95221445221445222</v>
      </c>
    </row>
    <row r="1580" spans="1:26" hidden="1" x14ac:dyDescent="0.25">
      <c r="A1580" t="s">
        <v>19</v>
      </c>
      <c r="B1580">
        <v>9</v>
      </c>
      <c r="C1580">
        <v>5</v>
      </c>
      <c r="D1580">
        <v>0</v>
      </c>
      <c r="E1580" t="s">
        <v>371</v>
      </c>
      <c r="F1580">
        <v>45572</v>
      </c>
      <c r="G1580">
        <v>40771843.875</v>
      </c>
      <c r="H1580">
        <v>0.87470861772696185</v>
      </c>
      <c r="I1580">
        <v>0.93881118881118875</v>
      </c>
      <c r="J1580">
        <v>12648723.958333334</v>
      </c>
      <c r="K1580">
        <v>74927</v>
      </c>
      <c r="L1580">
        <v>2</v>
      </c>
      <c r="M1580">
        <v>185</v>
      </c>
      <c r="N1580">
        <v>0.9391025641025641</v>
      </c>
      <c r="O1580">
        <v>12819420.25</v>
      </c>
      <c r="P1580">
        <v>75704</v>
      </c>
      <c r="Q1580">
        <v>2</v>
      </c>
      <c r="R1580">
        <v>186</v>
      </c>
      <c r="S1580" t="s">
        <v>1249</v>
      </c>
      <c r="W1580">
        <f>Cancer_doubles_final2[[#This Row],[mlp_params]]</f>
        <v>74927</v>
      </c>
      <c r="X1580">
        <f>Cancer_doubles_final2[[#This Row],[kan_test_acc]]</f>
        <v>0.87470861772696185</v>
      </c>
      <c r="Y1580">
        <f>Cancer_doubles_final2[[#This Row],[mlp_test_acc]]</f>
        <v>0.93881118881118875</v>
      </c>
      <c r="Z1580">
        <f>Cancer_doubles_final2[[#This Row],[mlp_test_acc2]]</f>
        <v>0.9391025641025641</v>
      </c>
    </row>
    <row r="1581" spans="1:26" hidden="1" x14ac:dyDescent="0.25">
      <c r="A1581" t="s">
        <v>19</v>
      </c>
      <c r="B1581">
        <v>9</v>
      </c>
      <c r="C1581">
        <v>5</v>
      </c>
      <c r="D1581">
        <v>0</v>
      </c>
      <c r="E1581" t="s">
        <v>373</v>
      </c>
      <c r="F1581">
        <v>45574</v>
      </c>
      <c r="G1581">
        <v>47597037.583333328</v>
      </c>
      <c r="H1581">
        <v>0.84236596773068118</v>
      </c>
      <c r="I1581">
        <v>0.93269230769230771</v>
      </c>
      <c r="J1581">
        <v>13765802.208333332</v>
      </c>
      <c r="K1581">
        <v>74927</v>
      </c>
      <c r="L1581">
        <v>2</v>
      </c>
      <c r="M1581">
        <v>185</v>
      </c>
      <c r="N1581">
        <v>0.93210955710955723</v>
      </c>
      <c r="O1581">
        <v>13802176.708333334</v>
      </c>
      <c r="P1581">
        <v>75704</v>
      </c>
      <c r="Q1581">
        <v>2</v>
      </c>
      <c r="R1581">
        <v>186</v>
      </c>
      <c r="S1581" t="s">
        <v>1250</v>
      </c>
      <c r="W1581">
        <f>Cancer_doubles_final2[[#This Row],[mlp_params]]</f>
        <v>74927</v>
      </c>
      <c r="X1581">
        <f>Cancer_doubles_final2[[#This Row],[kan_test_acc]]</f>
        <v>0.84236596773068118</v>
      </c>
      <c r="Y1581">
        <f>Cancer_doubles_final2[[#This Row],[mlp_test_acc]]</f>
        <v>0.93269230769230771</v>
      </c>
      <c r="Z1581">
        <f>Cancer_doubles_final2[[#This Row],[mlp_test_acc2]]</f>
        <v>0.93210955710955723</v>
      </c>
    </row>
    <row r="1582" spans="1:26" hidden="1" x14ac:dyDescent="0.25">
      <c r="A1582" t="s">
        <v>19</v>
      </c>
      <c r="B1582">
        <v>9</v>
      </c>
      <c r="C1582">
        <v>3</v>
      </c>
      <c r="D1582">
        <v>0</v>
      </c>
      <c r="E1582" t="s">
        <v>520</v>
      </c>
      <c r="F1582">
        <v>45632</v>
      </c>
      <c r="G1582">
        <v>52522405.041666672</v>
      </c>
      <c r="H1582">
        <v>0.89597902695337928</v>
      </c>
      <c r="I1582">
        <v>0.94988344988344986</v>
      </c>
      <c r="J1582">
        <v>12157908.541666666</v>
      </c>
      <c r="K1582">
        <v>66644</v>
      </c>
      <c r="L1582">
        <v>2</v>
      </c>
      <c r="M1582">
        <v>174</v>
      </c>
      <c r="N1582">
        <v>0.95308857808857805</v>
      </c>
      <c r="O1582">
        <v>12505524.333333332</v>
      </c>
      <c r="P1582">
        <v>67377</v>
      </c>
      <c r="Q1582">
        <v>2</v>
      </c>
      <c r="R1582">
        <v>175</v>
      </c>
      <c r="S1582" t="s">
        <v>1251</v>
      </c>
      <c r="W1582">
        <f>Cancer_doubles_final2[[#This Row],[mlp_params]]</f>
        <v>66644</v>
      </c>
      <c r="X1582">
        <f>Cancer_doubles_final2[[#This Row],[kan_test_acc]]</f>
        <v>0.89597902695337928</v>
      </c>
      <c r="Y1582">
        <f>Cancer_doubles_final2[[#This Row],[mlp_test_acc]]</f>
        <v>0.94988344988344986</v>
      </c>
      <c r="Z1582">
        <f>Cancer_doubles_final2[[#This Row],[mlp_test_acc2]]</f>
        <v>0.95308857808857805</v>
      </c>
    </row>
    <row r="1583" spans="1:26" hidden="1" x14ac:dyDescent="0.25">
      <c r="A1583" t="s">
        <v>19</v>
      </c>
      <c r="B1583">
        <v>9</v>
      </c>
      <c r="C1583">
        <v>5</v>
      </c>
      <c r="D1583">
        <v>0</v>
      </c>
      <c r="E1583" t="s">
        <v>380</v>
      </c>
      <c r="F1583">
        <v>45852</v>
      </c>
      <c r="G1583">
        <v>54621566.041666664</v>
      </c>
      <c r="H1583">
        <v>0.91812353829542792</v>
      </c>
      <c r="I1583">
        <v>0.9565850815850816</v>
      </c>
      <c r="J1583">
        <v>12584588.333333332</v>
      </c>
      <c r="K1583">
        <v>74927</v>
      </c>
      <c r="L1583">
        <v>2</v>
      </c>
      <c r="M1583">
        <v>185</v>
      </c>
      <c r="N1583">
        <v>0.96474358974358965</v>
      </c>
      <c r="O1583">
        <v>12978839.083333332</v>
      </c>
      <c r="P1583">
        <v>75704</v>
      </c>
      <c r="Q1583">
        <v>2</v>
      </c>
      <c r="R1583">
        <v>186</v>
      </c>
      <c r="S1583" t="s">
        <v>1252</v>
      </c>
      <c r="W1583">
        <f>Cancer_doubles_final2[[#This Row],[mlp_params]]</f>
        <v>74927</v>
      </c>
      <c r="X1583">
        <f>Cancer_doubles_final2[[#This Row],[kan_test_acc]]</f>
        <v>0.91812353829542792</v>
      </c>
      <c r="Y1583">
        <f>Cancer_doubles_final2[[#This Row],[mlp_test_acc]]</f>
        <v>0.9565850815850816</v>
      </c>
      <c r="Z1583">
        <f>Cancer_doubles_final2[[#This Row],[mlp_test_acc2]]</f>
        <v>0.96474358974358965</v>
      </c>
    </row>
    <row r="1584" spans="1:26" hidden="1" x14ac:dyDescent="0.25">
      <c r="A1584" t="s">
        <v>19</v>
      </c>
      <c r="B1584">
        <v>9</v>
      </c>
      <c r="C1584">
        <v>4</v>
      </c>
      <c r="D1584">
        <v>0</v>
      </c>
      <c r="E1584" t="s">
        <v>445</v>
      </c>
      <c r="F1584">
        <v>45914</v>
      </c>
      <c r="G1584">
        <v>52389425.583333328</v>
      </c>
      <c r="H1584">
        <v>0.91666666169961286</v>
      </c>
      <c r="I1584">
        <v>0.95396270396270388</v>
      </c>
      <c r="J1584">
        <v>12779280.333333334</v>
      </c>
      <c r="K1584">
        <v>71102</v>
      </c>
      <c r="L1584">
        <v>2</v>
      </c>
      <c r="M1584">
        <v>180</v>
      </c>
      <c r="N1584">
        <v>0.95279720279720281</v>
      </c>
      <c r="O1584">
        <v>14196325.958333332</v>
      </c>
      <c r="P1584">
        <v>71859</v>
      </c>
      <c r="Q1584">
        <v>2</v>
      </c>
      <c r="R1584">
        <v>181</v>
      </c>
      <c r="S1584" t="s">
        <v>1253</v>
      </c>
      <c r="W1584">
        <f>Cancer_doubles_final2[[#This Row],[mlp_params]]</f>
        <v>71102</v>
      </c>
      <c r="X1584">
        <f>Cancer_doubles_final2[[#This Row],[kan_test_acc]]</f>
        <v>0.91666666169961286</v>
      </c>
      <c r="Y1584">
        <f>Cancer_doubles_final2[[#This Row],[mlp_test_acc]]</f>
        <v>0.95396270396270388</v>
      </c>
      <c r="Z1584">
        <f>Cancer_doubles_final2[[#This Row],[mlp_test_acc2]]</f>
        <v>0.95279720279720281</v>
      </c>
    </row>
    <row r="1585" spans="1:26" hidden="1" x14ac:dyDescent="0.25">
      <c r="A1585" t="s">
        <v>19</v>
      </c>
      <c r="B1585">
        <v>9</v>
      </c>
      <c r="C1585">
        <v>3</v>
      </c>
      <c r="D1585">
        <v>0</v>
      </c>
      <c r="E1585" t="s">
        <v>526</v>
      </c>
      <c r="F1585">
        <v>45930</v>
      </c>
      <c r="G1585">
        <v>42197750.541666664</v>
      </c>
      <c r="H1585">
        <v>0.94609556595484423</v>
      </c>
      <c r="I1585">
        <v>0.96124708624708621</v>
      </c>
      <c r="J1585">
        <v>9978295.0416666679</v>
      </c>
      <c r="K1585">
        <v>66644</v>
      </c>
      <c r="L1585">
        <v>2</v>
      </c>
      <c r="M1585">
        <v>174</v>
      </c>
      <c r="N1585">
        <v>0.95483682983682983</v>
      </c>
      <c r="O1585">
        <v>11966961.583333332</v>
      </c>
      <c r="P1585">
        <v>67377</v>
      </c>
      <c r="Q1585">
        <v>2</v>
      </c>
      <c r="R1585">
        <v>175</v>
      </c>
      <c r="S1585" t="s">
        <v>1254</v>
      </c>
      <c r="W1585">
        <f>Cancer_doubles_final2[[#This Row],[mlp_params]]</f>
        <v>66644</v>
      </c>
      <c r="X1585">
        <f>Cancer_doubles_final2[[#This Row],[kan_test_acc]]</f>
        <v>0.94609556595484423</v>
      </c>
      <c r="Y1585">
        <f>Cancer_doubles_final2[[#This Row],[mlp_test_acc]]</f>
        <v>0.96124708624708621</v>
      </c>
      <c r="Z1585">
        <f>Cancer_doubles_final2[[#This Row],[mlp_test_acc2]]</f>
        <v>0.95483682983682983</v>
      </c>
    </row>
    <row r="1586" spans="1:26" hidden="1" x14ac:dyDescent="0.25">
      <c r="A1586" t="s">
        <v>19</v>
      </c>
      <c r="B1586">
        <v>9</v>
      </c>
      <c r="C1586">
        <v>3</v>
      </c>
      <c r="D1586">
        <v>0</v>
      </c>
      <c r="E1586" t="s">
        <v>530</v>
      </c>
      <c r="F1586">
        <v>45988</v>
      </c>
      <c r="G1586">
        <v>42575547.041666664</v>
      </c>
      <c r="H1586">
        <v>0.94667831559975946</v>
      </c>
      <c r="I1586">
        <v>0.96649184149184142</v>
      </c>
      <c r="J1586">
        <v>10376504.25</v>
      </c>
      <c r="K1586">
        <v>67377</v>
      </c>
      <c r="L1586">
        <v>2</v>
      </c>
      <c r="M1586">
        <v>175</v>
      </c>
      <c r="N1586">
        <v>0.96736596736596736</v>
      </c>
      <c r="O1586">
        <v>11073009.833333334</v>
      </c>
      <c r="P1586">
        <v>68114</v>
      </c>
      <c r="Q1586">
        <v>2</v>
      </c>
      <c r="R1586">
        <v>176</v>
      </c>
      <c r="S1586" t="s">
        <v>1255</v>
      </c>
      <c r="W1586">
        <f>Cancer_doubles_final2[[#This Row],[mlp_params]]</f>
        <v>67377</v>
      </c>
      <c r="X1586">
        <f>Cancer_doubles_final2[[#This Row],[kan_test_acc]]</f>
        <v>0.94667831559975946</v>
      </c>
      <c r="Y1586">
        <f>Cancer_doubles_final2[[#This Row],[mlp_test_acc]]</f>
        <v>0.96649184149184142</v>
      </c>
      <c r="Z1586">
        <f>Cancer_doubles_final2[[#This Row],[mlp_test_acc2]]</f>
        <v>0.96736596736596736</v>
      </c>
    </row>
    <row r="1587" spans="1:26" hidden="1" x14ac:dyDescent="0.25">
      <c r="A1587" t="s">
        <v>19</v>
      </c>
      <c r="B1587">
        <v>9</v>
      </c>
      <c r="C1587">
        <v>2</v>
      </c>
      <c r="D1587">
        <v>0</v>
      </c>
      <c r="E1587" t="s">
        <v>630</v>
      </c>
      <c r="F1587">
        <v>46072</v>
      </c>
      <c r="G1587">
        <v>40441464.083333328</v>
      </c>
      <c r="H1587">
        <v>0.93677156170209253</v>
      </c>
      <c r="I1587">
        <v>0.94230769230769229</v>
      </c>
      <c r="J1587">
        <v>10456109.083333334</v>
      </c>
      <c r="K1587">
        <v>62330</v>
      </c>
      <c r="L1587">
        <v>2</v>
      </c>
      <c r="M1587">
        <v>168</v>
      </c>
      <c r="N1587">
        <v>0.94522144522144513</v>
      </c>
      <c r="O1587">
        <v>10900685.875</v>
      </c>
      <c r="P1587">
        <v>63039</v>
      </c>
      <c r="Q1587">
        <v>2</v>
      </c>
      <c r="R1587">
        <v>169</v>
      </c>
      <c r="S1587" t="s">
        <v>1256</v>
      </c>
      <c r="W1587">
        <f>Cancer_doubles_final2[[#This Row],[mlp_params]]</f>
        <v>62330</v>
      </c>
      <c r="X1587">
        <f>Cancer_doubles_final2[[#This Row],[kan_test_acc]]</f>
        <v>0.93677156170209253</v>
      </c>
      <c r="Y1587">
        <f>Cancer_doubles_final2[[#This Row],[mlp_test_acc]]</f>
        <v>0.94230769230769229</v>
      </c>
      <c r="Z1587">
        <f>Cancer_doubles_final2[[#This Row],[mlp_test_acc2]]</f>
        <v>0.94522144522144513</v>
      </c>
    </row>
    <row r="1588" spans="1:26" hidden="1" x14ac:dyDescent="0.25">
      <c r="A1588" t="s">
        <v>19</v>
      </c>
      <c r="B1588">
        <v>5</v>
      </c>
      <c r="C1588">
        <v>5</v>
      </c>
      <c r="D1588">
        <v>0</v>
      </c>
      <c r="E1588" t="s">
        <v>731</v>
      </c>
      <c r="F1588">
        <v>46120</v>
      </c>
      <c r="G1588">
        <v>50577344.138888888</v>
      </c>
      <c r="H1588">
        <v>0.90190365413824714</v>
      </c>
      <c r="I1588">
        <v>0.91336441336441332</v>
      </c>
      <c r="J1588">
        <v>10535502.666666668</v>
      </c>
      <c r="K1588">
        <v>84515</v>
      </c>
      <c r="L1588">
        <v>2</v>
      </c>
      <c r="M1588">
        <v>197</v>
      </c>
      <c r="N1588">
        <v>0.91588966588966592</v>
      </c>
      <c r="O1588">
        <v>11033654.944444444</v>
      </c>
      <c r="P1588">
        <v>85340</v>
      </c>
      <c r="Q1588">
        <v>2</v>
      </c>
      <c r="R1588">
        <v>198</v>
      </c>
      <c r="S1588" t="s">
        <v>1257</v>
      </c>
      <c r="W1588">
        <f>Cancer_doubles_final2[[#This Row],[mlp_params]]</f>
        <v>84515</v>
      </c>
      <c r="X1588">
        <f>Cancer_doubles_final2[[#This Row],[kan_test_acc]]</f>
        <v>0.90190365413824714</v>
      </c>
      <c r="Y1588">
        <f>Cancer_doubles_final2[[#This Row],[mlp_test_acc]]</f>
        <v>0.91336441336441332</v>
      </c>
      <c r="Z1588">
        <f>Cancer_doubles_final2[[#This Row],[mlp_test_acc2]]</f>
        <v>0.91588966588966592</v>
      </c>
    </row>
    <row r="1589" spans="1:26" hidden="1" x14ac:dyDescent="0.25">
      <c r="A1589" t="s">
        <v>19</v>
      </c>
      <c r="B1589">
        <v>9</v>
      </c>
      <c r="C1589">
        <v>2</v>
      </c>
      <c r="D1589">
        <v>0</v>
      </c>
      <c r="E1589" t="s">
        <v>633</v>
      </c>
      <c r="F1589">
        <v>46294</v>
      </c>
      <c r="G1589">
        <v>59678614.19444444</v>
      </c>
      <c r="H1589">
        <v>0.89568764302465642</v>
      </c>
      <c r="I1589">
        <v>0.9145299145299145</v>
      </c>
      <c r="J1589">
        <v>12226851.111111112</v>
      </c>
      <c r="K1589">
        <v>62330</v>
      </c>
      <c r="L1589">
        <v>2</v>
      </c>
      <c r="M1589">
        <v>168</v>
      </c>
      <c r="N1589">
        <v>0.91336441336441332</v>
      </c>
      <c r="O1589">
        <v>12349952.388888888</v>
      </c>
      <c r="P1589">
        <v>63039</v>
      </c>
      <c r="Q1589">
        <v>2</v>
      </c>
      <c r="R1589">
        <v>169</v>
      </c>
      <c r="S1589" t="s">
        <v>1258</v>
      </c>
      <c r="W1589">
        <f>Cancer_doubles_final2[[#This Row],[mlp_params]]</f>
        <v>62330</v>
      </c>
      <c r="X1589">
        <f>Cancer_doubles_final2[[#This Row],[kan_test_acc]]</f>
        <v>0.89568764302465642</v>
      </c>
      <c r="Y1589">
        <f>Cancer_doubles_final2[[#This Row],[mlp_test_acc]]</f>
        <v>0.9145299145299145</v>
      </c>
      <c r="Z1589">
        <f>Cancer_doubles_final2[[#This Row],[mlp_test_acc2]]</f>
        <v>0.91336441336441332</v>
      </c>
    </row>
    <row r="1590" spans="1:26" hidden="1" x14ac:dyDescent="0.25">
      <c r="A1590" t="s">
        <v>19</v>
      </c>
      <c r="B1590">
        <v>9</v>
      </c>
      <c r="C1590">
        <v>4</v>
      </c>
      <c r="D1590">
        <v>0</v>
      </c>
      <c r="E1590" t="s">
        <v>457</v>
      </c>
      <c r="F1590">
        <v>46360</v>
      </c>
      <c r="G1590">
        <v>38579703.361111112</v>
      </c>
      <c r="H1590">
        <v>0.9186091704501046</v>
      </c>
      <c r="I1590">
        <v>0.9261849261849262</v>
      </c>
      <c r="J1590">
        <v>10176741.222222222</v>
      </c>
      <c r="K1590">
        <v>71859</v>
      </c>
      <c r="L1590">
        <v>2</v>
      </c>
      <c r="M1590">
        <v>181</v>
      </c>
      <c r="N1590">
        <v>0.92152292152292148</v>
      </c>
      <c r="O1590">
        <v>10929356.277777778</v>
      </c>
      <c r="P1590">
        <v>72620</v>
      </c>
      <c r="Q1590">
        <v>2</v>
      </c>
      <c r="R1590">
        <v>182</v>
      </c>
      <c r="S1590" t="s">
        <v>1259</v>
      </c>
      <c r="W1590">
        <f>Cancer_doubles_final2[[#This Row],[mlp_params]]</f>
        <v>71859</v>
      </c>
      <c r="X1590">
        <f>Cancer_doubles_final2[[#This Row],[kan_test_acc]]</f>
        <v>0.9186091704501046</v>
      </c>
      <c r="Y1590">
        <f>Cancer_doubles_final2[[#This Row],[mlp_test_acc]]</f>
        <v>0.9261849261849262</v>
      </c>
      <c r="Z1590">
        <f>Cancer_doubles_final2[[#This Row],[mlp_test_acc2]]</f>
        <v>0.92152292152292148</v>
      </c>
    </row>
    <row r="1591" spans="1:26" hidden="1" x14ac:dyDescent="0.25">
      <c r="A1591" t="s">
        <v>19</v>
      </c>
      <c r="B1591">
        <v>9</v>
      </c>
      <c r="C1591">
        <v>5</v>
      </c>
      <c r="D1591">
        <v>0</v>
      </c>
      <c r="E1591" t="s">
        <v>393</v>
      </c>
      <c r="F1591">
        <v>46462</v>
      </c>
      <c r="G1591">
        <v>49871187.666666664</v>
      </c>
      <c r="H1591">
        <v>0.89860140283902479</v>
      </c>
      <c r="I1591">
        <v>0.953962703962704</v>
      </c>
      <c r="J1591">
        <v>13096204.791666668</v>
      </c>
      <c r="K1591">
        <v>75704</v>
      </c>
      <c r="L1591">
        <v>2</v>
      </c>
      <c r="M1591">
        <v>186</v>
      </c>
      <c r="N1591">
        <v>0.94930069930069938</v>
      </c>
      <c r="O1591">
        <v>14351478.041666668</v>
      </c>
      <c r="P1591">
        <v>76485</v>
      </c>
      <c r="Q1591">
        <v>2</v>
      </c>
      <c r="R1591">
        <v>187</v>
      </c>
      <c r="S1591" t="s">
        <v>1260</v>
      </c>
      <c r="W1591">
        <f>Cancer_doubles_final2[[#This Row],[mlp_params]]</f>
        <v>75704</v>
      </c>
      <c r="X1591">
        <f>Cancer_doubles_final2[[#This Row],[kan_test_acc]]</f>
        <v>0.89860140283902479</v>
      </c>
      <c r="Y1591">
        <f>Cancer_doubles_final2[[#This Row],[mlp_test_acc]]</f>
        <v>0.953962703962704</v>
      </c>
      <c r="Z1591">
        <f>Cancer_doubles_final2[[#This Row],[mlp_test_acc2]]</f>
        <v>0.94930069930069938</v>
      </c>
    </row>
    <row r="1592" spans="1:26" hidden="1" x14ac:dyDescent="0.25">
      <c r="A1592" t="s">
        <v>19</v>
      </c>
      <c r="B1592">
        <v>9</v>
      </c>
      <c r="C1592">
        <v>4</v>
      </c>
      <c r="D1592">
        <v>0</v>
      </c>
      <c r="E1592" t="s">
        <v>463</v>
      </c>
      <c r="F1592">
        <v>46484</v>
      </c>
      <c r="G1592">
        <v>51095715.666666664</v>
      </c>
      <c r="H1592">
        <v>0.91142190992832184</v>
      </c>
      <c r="I1592">
        <v>0.95454545454545459</v>
      </c>
      <c r="J1592">
        <v>13665241.166666668</v>
      </c>
      <c r="K1592">
        <v>71859</v>
      </c>
      <c r="L1592">
        <v>2</v>
      </c>
      <c r="M1592">
        <v>181</v>
      </c>
      <c r="N1592">
        <v>0.95163170163170163</v>
      </c>
      <c r="O1592">
        <v>14462229</v>
      </c>
      <c r="P1592">
        <v>72620</v>
      </c>
      <c r="Q1592">
        <v>2</v>
      </c>
      <c r="R1592">
        <v>182</v>
      </c>
      <c r="S1592" t="s">
        <v>1261</v>
      </c>
      <c r="W1592">
        <f>Cancer_doubles_final2[[#This Row],[mlp_params]]</f>
        <v>71859</v>
      </c>
      <c r="X1592">
        <f>Cancer_doubles_final2[[#This Row],[kan_test_acc]]</f>
        <v>0.91142190992832184</v>
      </c>
      <c r="Y1592">
        <f>Cancer_doubles_final2[[#This Row],[mlp_test_acc]]</f>
        <v>0.95454545454545459</v>
      </c>
      <c r="Z1592">
        <f>Cancer_doubles_final2[[#This Row],[mlp_test_acc2]]</f>
        <v>0.95163170163170163</v>
      </c>
    </row>
    <row r="1593" spans="1:26" hidden="1" x14ac:dyDescent="0.25">
      <c r="A1593" t="s">
        <v>19</v>
      </c>
      <c r="B1593">
        <v>9</v>
      </c>
      <c r="C1593">
        <v>4</v>
      </c>
      <c r="D1593">
        <v>0</v>
      </c>
      <c r="E1593" t="s">
        <v>466</v>
      </c>
      <c r="F1593">
        <v>46550</v>
      </c>
      <c r="G1593">
        <v>47411141.625</v>
      </c>
      <c r="H1593">
        <v>0.92249417056639993</v>
      </c>
      <c r="I1593">
        <v>0.95600233100233101</v>
      </c>
      <c r="J1593">
        <v>12502982.75</v>
      </c>
      <c r="K1593">
        <v>72620</v>
      </c>
      <c r="L1593">
        <v>2</v>
      </c>
      <c r="M1593">
        <v>182</v>
      </c>
      <c r="N1593">
        <v>0.94988344988344986</v>
      </c>
      <c r="O1593">
        <v>13355590.791666666</v>
      </c>
      <c r="P1593">
        <v>73385</v>
      </c>
      <c r="Q1593">
        <v>2</v>
      </c>
      <c r="R1593">
        <v>183</v>
      </c>
      <c r="S1593" t="s">
        <v>1262</v>
      </c>
      <c r="W1593">
        <f>Cancer_doubles_final2[[#This Row],[mlp_params]]</f>
        <v>72620</v>
      </c>
      <c r="X1593">
        <f>Cancer_doubles_final2[[#This Row],[kan_test_acc]]</f>
        <v>0.92249417056639993</v>
      </c>
      <c r="Y1593">
        <f>Cancer_doubles_final2[[#This Row],[mlp_test_acc]]</f>
        <v>0.95600233100233101</v>
      </c>
      <c r="Z1593">
        <f>Cancer_doubles_final2[[#This Row],[mlp_test_acc2]]</f>
        <v>0.94988344988344986</v>
      </c>
    </row>
    <row r="1594" spans="1:26" hidden="1" x14ac:dyDescent="0.25">
      <c r="A1594" t="s">
        <v>19</v>
      </c>
      <c r="B1594">
        <v>9</v>
      </c>
      <c r="C1594">
        <v>5</v>
      </c>
      <c r="D1594">
        <v>0</v>
      </c>
      <c r="E1594" t="s">
        <v>399</v>
      </c>
      <c r="F1594">
        <v>46660</v>
      </c>
      <c r="G1594">
        <v>48210464.333333328</v>
      </c>
      <c r="H1594">
        <v>0.87587412695089983</v>
      </c>
      <c r="I1594">
        <v>0.93851981351981351</v>
      </c>
      <c r="J1594">
        <v>12122786.041666666</v>
      </c>
      <c r="K1594">
        <v>76485</v>
      </c>
      <c r="L1594">
        <v>2</v>
      </c>
      <c r="M1594">
        <v>187</v>
      </c>
      <c r="N1594">
        <v>0.93502331002331007</v>
      </c>
      <c r="O1594">
        <v>13890472.416666666</v>
      </c>
      <c r="P1594">
        <v>77270</v>
      </c>
      <c r="Q1594">
        <v>2</v>
      </c>
      <c r="R1594">
        <v>188</v>
      </c>
      <c r="S1594" t="s">
        <v>1263</v>
      </c>
      <c r="W1594">
        <f>Cancer_doubles_final2[[#This Row],[mlp_params]]</f>
        <v>76485</v>
      </c>
      <c r="X1594">
        <f>Cancer_doubles_final2[[#This Row],[kan_test_acc]]</f>
        <v>0.87587412695089983</v>
      </c>
      <c r="Y1594">
        <f>Cancer_doubles_final2[[#This Row],[mlp_test_acc]]</f>
        <v>0.93851981351981351</v>
      </c>
      <c r="Z1594">
        <f>Cancer_doubles_final2[[#This Row],[mlp_test_acc2]]</f>
        <v>0.93502331002331007</v>
      </c>
    </row>
    <row r="1595" spans="1:26" hidden="1" x14ac:dyDescent="0.25">
      <c r="A1595" t="s">
        <v>19</v>
      </c>
      <c r="B1595">
        <v>9</v>
      </c>
      <c r="C1595">
        <v>3</v>
      </c>
      <c r="D1595">
        <v>0</v>
      </c>
      <c r="E1595" t="s">
        <v>550</v>
      </c>
      <c r="F1595">
        <v>46714</v>
      </c>
      <c r="G1595">
        <v>48366467.958333336</v>
      </c>
      <c r="H1595">
        <v>0.89743590354919434</v>
      </c>
      <c r="I1595">
        <v>0.94201631701631694</v>
      </c>
      <c r="J1595">
        <v>11865752.541666666</v>
      </c>
      <c r="K1595">
        <v>68114</v>
      </c>
      <c r="L1595">
        <v>2</v>
      </c>
      <c r="M1595">
        <v>176</v>
      </c>
      <c r="N1595">
        <v>0.94434731934731941</v>
      </c>
      <c r="O1595">
        <v>12772834.875</v>
      </c>
      <c r="P1595">
        <v>68855</v>
      </c>
      <c r="Q1595">
        <v>2</v>
      </c>
      <c r="R1595">
        <v>177</v>
      </c>
      <c r="S1595" t="s">
        <v>1264</v>
      </c>
      <c r="W1595">
        <f>Cancer_doubles_final2[[#This Row],[mlp_params]]</f>
        <v>68114</v>
      </c>
      <c r="X1595">
        <f>Cancer_doubles_final2[[#This Row],[kan_test_acc]]</f>
        <v>0.89743590354919434</v>
      </c>
      <c r="Y1595">
        <f>Cancer_doubles_final2[[#This Row],[mlp_test_acc]]</f>
        <v>0.94201631701631694</v>
      </c>
      <c r="Z1595">
        <f>Cancer_doubles_final2[[#This Row],[mlp_test_acc2]]</f>
        <v>0.94434731934731941</v>
      </c>
    </row>
    <row r="1596" spans="1:26" hidden="1" x14ac:dyDescent="0.25">
      <c r="A1596" t="s">
        <v>19</v>
      </c>
      <c r="B1596">
        <v>9</v>
      </c>
      <c r="C1596">
        <v>5</v>
      </c>
      <c r="D1596">
        <v>0</v>
      </c>
      <c r="E1596" t="s">
        <v>402</v>
      </c>
      <c r="F1596">
        <v>46800</v>
      </c>
      <c r="G1596">
        <v>46210013.041666672</v>
      </c>
      <c r="H1596">
        <v>0.89918415496746695</v>
      </c>
      <c r="I1596">
        <v>0.94259906759906764</v>
      </c>
      <c r="J1596">
        <v>12723908.25</v>
      </c>
      <c r="K1596">
        <v>76485</v>
      </c>
      <c r="L1596">
        <v>2</v>
      </c>
      <c r="M1596">
        <v>187</v>
      </c>
      <c r="N1596">
        <v>0.94871794871794879</v>
      </c>
      <c r="O1596">
        <v>12798668.208333334</v>
      </c>
      <c r="P1596">
        <v>77270</v>
      </c>
      <c r="Q1596">
        <v>2</v>
      </c>
      <c r="R1596">
        <v>188</v>
      </c>
      <c r="S1596" t="s">
        <v>1265</v>
      </c>
      <c r="W1596">
        <f>Cancer_doubles_final2[[#This Row],[mlp_params]]</f>
        <v>76485</v>
      </c>
      <c r="X1596">
        <f>Cancer_doubles_final2[[#This Row],[kan_test_acc]]</f>
        <v>0.89918415496746695</v>
      </c>
      <c r="Y1596">
        <f>Cancer_doubles_final2[[#This Row],[mlp_test_acc]]</f>
        <v>0.94259906759906764</v>
      </c>
      <c r="Z1596">
        <f>Cancer_doubles_final2[[#This Row],[mlp_test_acc2]]</f>
        <v>0.94871794871794879</v>
      </c>
    </row>
    <row r="1597" spans="1:26" hidden="1" x14ac:dyDescent="0.25">
      <c r="A1597" t="s">
        <v>19</v>
      </c>
      <c r="B1597">
        <v>9</v>
      </c>
      <c r="C1597">
        <v>5</v>
      </c>
      <c r="D1597">
        <v>0</v>
      </c>
      <c r="E1597" t="s">
        <v>404</v>
      </c>
      <c r="F1597">
        <v>46866</v>
      </c>
      <c r="G1597">
        <v>42234238.75</v>
      </c>
      <c r="H1597">
        <v>0.82925407712658239</v>
      </c>
      <c r="I1597">
        <v>0.92336829836829837</v>
      </c>
      <c r="J1597">
        <v>14386695.625</v>
      </c>
      <c r="K1597">
        <v>76485</v>
      </c>
      <c r="L1597">
        <v>2</v>
      </c>
      <c r="M1597">
        <v>187</v>
      </c>
      <c r="N1597">
        <v>0.92861305361305368</v>
      </c>
      <c r="O1597">
        <v>13973555.083333334</v>
      </c>
      <c r="P1597">
        <v>77270</v>
      </c>
      <c r="Q1597">
        <v>2</v>
      </c>
      <c r="R1597">
        <v>188</v>
      </c>
      <c r="S1597" t="s">
        <v>1266</v>
      </c>
      <c r="W1597">
        <f>Cancer_doubles_final2[[#This Row],[mlp_params]]</f>
        <v>76485</v>
      </c>
      <c r="X1597">
        <f>Cancer_doubles_final2[[#This Row],[kan_test_acc]]</f>
        <v>0.82925407712658239</v>
      </c>
      <c r="Y1597">
        <f>Cancer_doubles_final2[[#This Row],[mlp_test_acc]]</f>
        <v>0.92336829836829837</v>
      </c>
      <c r="Z1597">
        <f>Cancer_doubles_final2[[#This Row],[mlp_test_acc2]]</f>
        <v>0.92861305361305368</v>
      </c>
    </row>
    <row r="1598" spans="1:26" hidden="1" x14ac:dyDescent="0.25">
      <c r="A1598" t="s">
        <v>19</v>
      </c>
      <c r="B1598">
        <v>9</v>
      </c>
      <c r="C1598">
        <v>5</v>
      </c>
      <c r="D1598">
        <v>0</v>
      </c>
      <c r="E1598" t="s">
        <v>408</v>
      </c>
      <c r="F1598">
        <v>46942</v>
      </c>
      <c r="G1598">
        <v>53444412.374999993</v>
      </c>
      <c r="H1598">
        <v>0.85489509875575698</v>
      </c>
      <c r="I1598">
        <v>0.93851981351981351</v>
      </c>
      <c r="J1598">
        <v>14964641.375</v>
      </c>
      <c r="K1598">
        <v>76485</v>
      </c>
      <c r="L1598">
        <v>2</v>
      </c>
      <c r="M1598">
        <v>187</v>
      </c>
      <c r="N1598">
        <v>0.94318181818181812</v>
      </c>
      <c r="O1598">
        <v>14670716.083333334</v>
      </c>
      <c r="P1598">
        <v>77270</v>
      </c>
      <c r="Q1598">
        <v>2</v>
      </c>
      <c r="R1598">
        <v>188</v>
      </c>
      <c r="S1598" t="s">
        <v>1267</v>
      </c>
      <c r="W1598">
        <f>Cancer_doubles_final2[[#This Row],[mlp_params]]</f>
        <v>76485</v>
      </c>
      <c r="X1598">
        <f>Cancer_doubles_final2[[#This Row],[kan_test_acc]]</f>
        <v>0.85489509875575698</v>
      </c>
      <c r="Y1598">
        <f>Cancer_doubles_final2[[#This Row],[mlp_test_acc]]</f>
        <v>0.93851981351981351</v>
      </c>
      <c r="Z1598">
        <f>Cancer_doubles_final2[[#This Row],[mlp_test_acc2]]</f>
        <v>0.94318181818181812</v>
      </c>
    </row>
    <row r="1599" spans="1:26" hidden="1" x14ac:dyDescent="0.25">
      <c r="A1599" t="s">
        <v>19</v>
      </c>
      <c r="B1599">
        <v>9</v>
      </c>
      <c r="C1599">
        <v>4</v>
      </c>
      <c r="D1599">
        <v>0</v>
      </c>
      <c r="E1599" t="s">
        <v>479</v>
      </c>
      <c r="F1599">
        <v>47004</v>
      </c>
      <c r="G1599">
        <v>56417869.499999993</v>
      </c>
      <c r="H1599">
        <v>0.91958041737476981</v>
      </c>
      <c r="I1599">
        <v>0.95308857808857805</v>
      </c>
      <c r="J1599">
        <v>13436787.375</v>
      </c>
      <c r="K1599">
        <v>73385</v>
      </c>
      <c r="L1599">
        <v>2</v>
      </c>
      <c r="M1599">
        <v>183</v>
      </c>
      <c r="N1599">
        <v>0.95541958041958042</v>
      </c>
      <c r="O1599">
        <v>14752898.041666666</v>
      </c>
      <c r="P1599">
        <v>74154</v>
      </c>
      <c r="Q1599">
        <v>2</v>
      </c>
      <c r="R1599">
        <v>184</v>
      </c>
      <c r="S1599" t="s">
        <v>1268</v>
      </c>
      <c r="W1599">
        <f>Cancer_doubles_final2[[#This Row],[mlp_params]]</f>
        <v>73385</v>
      </c>
      <c r="X1599">
        <f>Cancer_doubles_final2[[#This Row],[kan_test_acc]]</f>
        <v>0.91958041737476981</v>
      </c>
      <c r="Y1599">
        <f>Cancer_doubles_final2[[#This Row],[mlp_test_acc]]</f>
        <v>0.95308857808857805</v>
      </c>
      <c r="Z1599">
        <f>Cancer_doubles_final2[[#This Row],[mlp_test_acc2]]</f>
        <v>0.95541958041958042</v>
      </c>
    </row>
    <row r="1600" spans="1:26" hidden="1" x14ac:dyDescent="0.25">
      <c r="A1600" t="s">
        <v>19</v>
      </c>
      <c r="B1600">
        <v>9</v>
      </c>
      <c r="C1600">
        <v>3</v>
      </c>
      <c r="D1600">
        <v>0</v>
      </c>
      <c r="E1600" t="s">
        <v>561</v>
      </c>
      <c r="F1600">
        <v>47072</v>
      </c>
      <c r="G1600">
        <v>43709567.125</v>
      </c>
      <c r="H1600">
        <v>0.94580419609944022</v>
      </c>
      <c r="I1600">
        <v>0.96008158508158503</v>
      </c>
      <c r="J1600">
        <v>11190974.875</v>
      </c>
      <c r="K1600">
        <v>68855</v>
      </c>
      <c r="L1600">
        <v>2</v>
      </c>
      <c r="M1600">
        <v>177</v>
      </c>
      <c r="N1600">
        <v>0.96153846153846145</v>
      </c>
      <c r="O1600">
        <v>12197195.333333332</v>
      </c>
      <c r="P1600">
        <v>69600</v>
      </c>
      <c r="Q1600">
        <v>2</v>
      </c>
      <c r="R1600">
        <v>178</v>
      </c>
      <c r="S1600" t="s">
        <v>1269</v>
      </c>
      <c r="W1600">
        <f>Cancer_doubles_final2[[#This Row],[mlp_params]]</f>
        <v>68855</v>
      </c>
      <c r="X1600">
        <f>Cancer_doubles_final2[[#This Row],[kan_test_acc]]</f>
        <v>0.94580419609944022</v>
      </c>
      <c r="Y1600">
        <f>Cancer_doubles_final2[[#This Row],[mlp_test_acc]]</f>
        <v>0.96008158508158503</v>
      </c>
      <c r="Z1600">
        <f>Cancer_doubles_final2[[#This Row],[mlp_test_acc2]]</f>
        <v>0.96153846153846145</v>
      </c>
    </row>
    <row r="1601" spans="1:26" hidden="1" x14ac:dyDescent="0.25">
      <c r="A1601" t="s">
        <v>19</v>
      </c>
      <c r="B1601">
        <v>9</v>
      </c>
      <c r="C1601">
        <v>2</v>
      </c>
      <c r="D1601">
        <v>0</v>
      </c>
      <c r="E1601" t="s">
        <v>656</v>
      </c>
      <c r="F1601">
        <v>47138</v>
      </c>
      <c r="G1601">
        <v>37881275.291666672</v>
      </c>
      <c r="H1601">
        <v>0.94638694574435545</v>
      </c>
      <c r="I1601">
        <v>0.94143356643356646</v>
      </c>
      <c r="J1601">
        <v>10400197.708333334</v>
      </c>
      <c r="K1601">
        <v>63752</v>
      </c>
      <c r="L1601">
        <v>2</v>
      </c>
      <c r="M1601">
        <v>170</v>
      </c>
      <c r="N1601">
        <v>0.94347319347319347</v>
      </c>
      <c r="O1601">
        <v>10537890.333333332</v>
      </c>
      <c r="P1601">
        <v>64469</v>
      </c>
      <c r="Q1601">
        <v>2</v>
      </c>
      <c r="R1601">
        <v>171</v>
      </c>
      <c r="S1601" t="s">
        <v>1270</v>
      </c>
      <c r="W1601">
        <f>Cancer_doubles_final2[[#This Row],[mlp_params]]</f>
        <v>63752</v>
      </c>
      <c r="X1601">
        <f>Cancer_doubles_final2[[#This Row],[kan_test_acc]]</f>
        <v>0.94638694574435545</v>
      </c>
      <c r="Y1601">
        <f>Cancer_doubles_final2[[#This Row],[mlp_test_acc]]</f>
        <v>0.94143356643356646</v>
      </c>
      <c r="Z1601">
        <f>Cancer_doubles_final2[[#This Row],[mlp_test_acc2]]</f>
        <v>0.94347319347319347</v>
      </c>
    </row>
    <row r="1602" spans="1:26" hidden="1" x14ac:dyDescent="0.25">
      <c r="A1602" t="s">
        <v>19</v>
      </c>
      <c r="B1602">
        <v>9</v>
      </c>
      <c r="C1602">
        <v>3</v>
      </c>
      <c r="D1602">
        <v>0</v>
      </c>
      <c r="E1602" t="s">
        <v>563</v>
      </c>
      <c r="F1602">
        <v>47190</v>
      </c>
      <c r="G1602">
        <v>37065298.444444448</v>
      </c>
      <c r="H1602">
        <v>0.93259518179628587</v>
      </c>
      <c r="I1602">
        <v>0.93123543123543118</v>
      </c>
      <c r="J1602">
        <v>10546850.75</v>
      </c>
      <c r="K1602">
        <v>68855</v>
      </c>
      <c r="L1602">
        <v>2</v>
      </c>
      <c r="M1602">
        <v>177</v>
      </c>
      <c r="N1602">
        <v>0.93123543123543118</v>
      </c>
      <c r="O1602">
        <v>10544266.36111111</v>
      </c>
      <c r="P1602">
        <v>69600</v>
      </c>
      <c r="Q1602">
        <v>2</v>
      </c>
      <c r="R1602">
        <v>178</v>
      </c>
      <c r="S1602" t="s">
        <v>1271</v>
      </c>
      <c r="W1602">
        <f>Cancer_doubles_final2[[#This Row],[mlp_params]]</f>
        <v>68855</v>
      </c>
      <c r="X1602">
        <f>Cancer_doubles_final2[[#This Row],[kan_test_acc]]</f>
        <v>0.93259518179628587</v>
      </c>
      <c r="Y1602">
        <f>Cancer_doubles_final2[[#This Row],[mlp_test_acc]]</f>
        <v>0.93123543123543118</v>
      </c>
      <c r="Z1602">
        <f>Cancer_doubles_final2[[#This Row],[mlp_test_acc2]]</f>
        <v>0.93123543123543118</v>
      </c>
    </row>
    <row r="1603" spans="1:26" hidden="1" x14ac:dyDescent="0.25">
      <c r="A1603" t="s">
        <v>19</v>
      </c>
      <c r="B1603">
        <v>9</v>
      </c>
      <c r="C1603">
        <v>2</v>
      </c>
      <c r="D1603">
        <v>0</v>
      </c>
      <c r="E1603" t="s">
        <v>669</v>
      </c>
      <c r="F1603">
        <v>47416</v>
      </c>
      <c r="G1603">
        <v>36682242.125</v>
      </c>
      <c r="H1603">
        <v>0.93502330531676603</v>
      </c>
      <c r="I1603">
        <v>0.94347319347319347</v>
      </c>
      <c r="J1603">
        <v>10766405.333333334</v>
      </c>
      <c r="K1603">
        <v>63752</v>
      </c>
      <c r="L1603">
        <v>2</v>
      </c>
      <c r="M1603">
        <v>170</v>
      </c>
      <c r="N1603">
        <v>0.94172494172494159</v>
      </c>
      <c r="O1603">
        <v>10868814.458333332</v>
      </c>
      <c r="P1603">
        <v>64469</v>
      </c>
      <c r="Q1603">
        <v>2</v>
      </c>
      <c r="R1603">
        <v>171</v>
      </c>
      <c r="S1603" t="s">
        <v>1272</v>
      </c>
      <c r="W1603">
        <f>Cancer_doubles_final2[[#This Row],[mlp_params]]</f>
        <v>63752</v>
      </c>
      <c r="X1603">
        <f>Cancer_doubles_final2[[#This Row],[kan_test_acc]]</f>
        <v>0.93502330531676603</v>
      </c>
      <c r="Y1603">
        <f>Cancer_doubles_final2[[#This Row],[mlp_test_acc]]</f>
        <v>0.94347319347319347</v>
      </c>
      <c r="Z1603">
        <f>Cancer_doubles_final2[[#This Row],[mlp_test_acc2]]</f>
        <v>0.94172494172494159</v>
      </c>
    </row>
    <row r="1604" spans="1:26" hidden="1" x14ac:dyDescent="0.25">
      <c r="A1604" t="s">
        <v>19</v>
      </c>
      <c r="B1604">
        <v>9</v>
      </c>
      <c r="C1604">
        <v>4</v>
      </c>
      <c r="D1604">
        <v>0</v>
      </c>
      <c r="E1604" t="s">
        <v>487</v>
      </c>
      <c r="F1604">
        <v>47514</v>
      </c>
      <c r="G1604">
        <v>36984917.916666664</v>
      </c>
      <c r="H1604">
        <v>0.92346542080243421</v>
      </c>
      <c r="I1604">
        <v>0.92735042735042728</v>
      </c>
      <c r="J1604">
        <v>10640019.527777778</v>
      </c>
      <c r="K1604">
        <v>74154</v>
      </c>
      <c r="L1604">
        <v>2</v>
      </c>
      <c r="M1604">
        <v>184</v>
      </c>
      <c r="N1604">
        <v>0.9203574203574203</v>
      </c>
      <c r="O1604">
        <v>11608369.75</v>
      </c>
      <c r="P1604">
        <v>74927</v>
      </c>
      <c r="Q1604">
        <v>2</v>
      </c>
      <c r="R1604">
        <v>185</v>
      </c>
      <c r="S1604" t="s">
        <v>1273</v>
      </c>
      <c r="W1604">
        <f>Cancer_doubles_final2[[#This Row],[mlp_params]]</f>
        <v>74154</v>
      </c>
      <c r="X1604">
        <f>Cancer_doubles_final2[[#This Row],[kan_test_acc]]</f>
        <v>0.92346542080243421</v>
      </c>
      <c r="Y1604">
        <f>Cancer_doubles_final2[[#This Row],[mlp_test_acc]]</f>
        <v>0.92735042735042728</v>
      </c>
      <c r="Z1604">
        <f>Cancer_doubles_final2[[#This Row],[mlp_test_acc2]]</f>
        <v>0.9203574203574203</v>
      </c>
    </row>
    <row r="1605" spans="1:26" hidden="1" x14ac:dyDescent="0.25">
      <c r="A1605" t="s">
        <v>19</v>
      </c>
      <c r="B1605">
        <v>9</v>
      </c>
      <c r="C1605">
        <v>5</v>
      </c>
      <c r="D1605">
        <v>0</v>
      </c>
      <c r="E1605" t="s">
        <v>417</v>
      </c>
      <c r="F1605">
        <v>47620</v>
      </c>
      <c r="G1605">
        <v>51683599.458333328</v>
      </c>
      <c r="H1605">
        <v>0.90297202517588937</v>
      </c>
      <c r="I1605">
        <v>0.9527972027972027</v>
      </c>
      <c r="J1605">
        <v>14046606.708333334</v>
      </c>
      <c r="K1605">
        <v>78059</v>
      </c>
      <c r="L1605">
        <v>2</v>
      </c>
      <c r="M1605">
        <v>189</v>
      </c>
      <c r="N1605">
        <v>0.94900932400932403</v>
      </c>
      <c r="O1605">
        <v>14443373.125</v>
      </c>
      <c r="P1605">
        <v>78852</v>
      </c>
      <c r="Q1605">
        <v>2</v>
      </c>
      <c r="R1605">
        <v>190</v>
      </c>
      <c r="S1605" t="s">
        <v>1274</v>
      </c>
      <c r="W1605">
        <f>Cancer_doubles_final2[[#This Row],[mlp_params]]</f>
        <v>78059</v>
      </c>
      <c r="X1605">
        <f>Cancer_doubles_final2[[#This Row],[kan_test_acc]]</f>
        <v>0.90297202517588937</v>
      </c>
      <c r="Y1605">
        <f>Cancer_doubles_final2[[#This Row],[mlp_test_acc]]</f>
        <v>0.9527972027972027</v>
      </c>
      <c r="Z1605">
        <f>Cancer_doubles_final2[[#This Row],[mlp_test_acc2]]</f>
        <v>0.94900932400932403</v>
      </c>
    </row>
    <row r="1606" spans="1:26" hidden="1" x14ac:dyDescent="0.25">
      <c r="A1606" t="s">
        <v>19</v>
      </c>
      <c r="B1606">
        <v>9</v>
      </c>
      <c r="C1606">
        <v>4</v>
      </c>
      <c r="D1606">
        <v>0</v>
      </c>
      <c r="E1606" t="s">
        <v>492</v>
      </c>
      <c r="F1606">
        <v>47766</v>
      </c>
      <c r="G1606">
        <v>49163327.75</v>
      </c>
      <c r="H1606">
        <v>0.91346153616905212</v>
      </c>
      <c r="I1606">
        <v>0.95017482517482521</v>
      </c>
      <c r="J1606">
        <v>14421018.208333334</v>
      </c>
      <c r="K1606">
        <v>74154</v>
      </c>
      <c r="L1606">
        <v>2</v>
      </c>
      <c r="M1606">
        <v>184</v>
      </c>
      <c r="N1606">
        <v>0.95279720279720281</v>
      </c>
      <c r="O1606">
        <v>14840986.166666666</v>
      </c>
      <c r="P1606">
        <v>74927</v>
      </c>
      <c r="Q1606">
        <v>2</v>
      </c>
      <c r="R1606">
        <v>185</v>
      </c>
      <c r="S1606" t="s">
        <v>1275</v>
      </c>
      <c r="W1606">
        <f>Cancer_doubles_final2[[#This Row],[mlp_params]]</f>
        <v>74154</v>
      </c>
      <c r="X1606">
        <f>Cancer_doubles_final2[[#This Row],[kan_test_acc]]</f>
        <v>0.91346153616905212</v>
      </c>
      <c r="Y1606">
        <f>Cancer_doubles_final2[[#This Row],[mlp_test_acc]]</f>
        <v>0.95017482517482521</v>
      </c>
      <c r="Z1606">
        <f>Cancer_doubles_final2[[#This Row],[mlp_test_acc2]]</f>
        <v>0.95279720279720281</v>
      </c>
    </row>
    <row r="1607" spans="1:26" hidden="1" x14ac:dyDescent="0.25">
      <c r="A1607" t="s">
        <v>19</v>
      </c>
      <c r="B1607">
        <v>9</v>
      </c>
      <c r="C1607">
        <v>4</v>
      </c>
      <c r="D1607">
        <v>0</v>
      </c>
      <c r="E1607" t="s">
        <v>494</v>
      </c>
      <c r="F1607">
        <v>47768</v>
      </c>
      <c r="G1607">
        <v>47804678.625</v>
      </c>
      <c r="H1607">
        <v>0.93123543262481689</v>
      </c>
      <c r="I1607">
        <v>0.9565850815850816</v>
      </c>
      <c r="J1607">
        <v>14035593.708333334</v>
      </c>
      <c r="K1607">
        <v>74154</v>
      </c>
      <c r="L1607">
        <v>2</v>
      </c>
      <c r="M1607">
        <v>184</v>
      </c>
      <c r="N1607">
        <v>0.95454545454545459</v>
      </c>
      <c r="O1607">
        <v>14362835.75</v>
      </c>
      <c r="P1607">
        <v>74927</v>
      </c>
      <c r="Q1607">
        <v>2</v>
      </c>
      <c r="R1607">
        <v>185</v>
      </c>
      <c r="S1607" t="s">
        <v>1276</v>
      </c>
      <c r="W1607">
        <f>Cancer_doubles_final2[[#This Row],[mlp_params]]</f>
        <v>74154</v>
      </c>
      <c r="X1607">
        <f>Cancer_doubles_final2[[#This Row],[kan_test_acc]]</f>
        <v>0.93123543262481689</v>
      </c>
      <c r="Y1607">
        <f>Cancer_doubles_final2[[#This Row],[mlp_test_acc]]</f>
        <v>0.9565850815850816</v>
      </c>
      <c r="Z1607">
        <f>Cancer_doubles_final2[[#This Row],[mlp_test_acc2]]</f>
        <v>0.95454545454545459</v>
      </c>
    </row>
    <row r="1608" spans="1:26" hidden="1" x14ac:dyDescent="0.25">
      <c r="A1608" t="s">
        <v>19</v>
      </c>
      <c r="B1608">
        <v>9</v>
      </c>
      <c r="C1608">
        <v>3</v>
      </c>
      <c r="D1608">
        <v>0</v>
      </c>
      <c r="E1608" t="s">
        <v>582</v>
      </c>
      <c r="F1608">
        <v>47796</v>
      </c>
      <c r="G1608">
        <v>47747798.291666664</v>
      </c>
      <c r="H1608">
        <v>0.93793706844250369</v>
      </c>
      <c r="I1608">
        <v>0.96416083916083917</v>
      </c>
      <c r="J1608">
        <v>12062286.041666666</v>
      </c>
      <c r="K1608">
        <v>69600</v>
      </c>
      <c r="L1608">
        <v>2</v>
      </c>
      <c r="M1608">
        <v>178</v>
      </c>
      <c r="N1608">
        <v>0.9618298368298368</v>
      </c>
      <c r="O1608">
        <v>13034048.458333334</v>
      </c>
      <c r="P1608">
        <v>70349</v>
      </c>
      <c r="Q1608">
        <v>2</v>
      </c>
      <c r="R1608">
        <v>179</v>
      </c>
      <c r="S1608" t="s">
        <v>1277</v>
      </c>
      <c r="W1608">
        <f>Cancer_doubles_final2[[#This Row],[mlp_params]]</f>
        <v>69600</v>
      </c>
      <c r="X1608">
        <f>Cancer_doubles_final2[[#This Row],[kan_test_acc]]</f>
        <v>0.93793706844250369</v>
      </c>
      <c r="Y1608">
        <f>Cancer_doubles_final2[[#This Row],[mlp_test_acc]]</f>
        <v>0.96416083916083917</v>
      </c>
      <c r="Z1608">
        <f>Cancer_doubles_final2[[#This Row],[mlp_test_acc2]]</f>
        <v>0.9618298368298368</v>
      </c>
    </row>
    <row r="1609" spans="1:26" hidden="1" x14ac:dyDescent="0.25">
      <c r="A1609" t="s">
        <v>19</v>
      </c>
      <c r="B1609">
        <v>9</v>
      </c>
      <c r="C1609">
        <v>5</v>
      </c>
      <c r="D1609">
        <v>0</v>
      </c>
      <c r="E1609" t="s">
        <v>433</v>
      </c>
      <c r="F1609">
        <v>48022</v>
      </c>
      <c r="G1609">
        <v>51584775.75</v>
      </c>
      <c r="H1609">
        <v>0.89860139787197113</v>
      </c>
      <c r="I1609">
        <v>0.94376456876456882</v>
      </c>
      <c r="J1609">
        <v>11493035.416666666</v>
      </c>
      <c r="K1609">
        <v>78852</v>
      </c>
      <c r="L1609">
        <v>2</v>
      </c>
      <c r="M1609">
        <v>190</v>
      </c>
      <c r="N1609">
        <v>0.94726107226107237</v>
      </c>
      <c r="O1609">
        <v>13236112.083333334</v>
      </c>
      <c r="P1609">
        <v>79649</v>
      </c>
      <c r="Q1609">
        <v>2</v>
      </c>
      <c r="R1609">
        <v>191</v>
      </c>
      <c r="S1609" t="s">
        <v>1278</v>
      </c>
      <c r="W1609">
        <f>Cancer_doubles_final2[[#This Row],[mlp_params]]</f>
        <v>78852</v>
      </c>
      <c r="X1609">
        <f>Cancer_doubles_final2[[#This Row],[kan_test_acc]]</f>
        <v>0.89860139787197113</v>
      </c>
      <c r="Y1609">
        <f>Cancer_doubles_final2[[#This Row],[mlp_test_acc]]</f>
        <v>0.94376456876456882</v>
      </c>
      <c r="Z1609">
        <f>Cancer_doubles_final2[[#This Row],[mlp_test_acc2]]</f>
        <v>0.94726107226107237</v>
      </c>
    </row>
    <row r="1610" spans="1:26" hidden="1" x14ac:dyDescent="0.25">
      <c r="A1610" t="s">
        <v>19</v>
      </c>
      <c r="B1610">
        <v>9</v>
      </c>
      <c r="C1610">
        <v>5</v>
      </c>
      <c r="D1610">
        <v>0</v>
      </c>
      <c r="E1610" t="s">
        <v>435</v>
      </c>
      <c r="F1610">
        <v>48026</v>
      </c>
      <c r="G1610">
        <v>50316692.208333336</v>
      </c>
      <c r="H1610">
        <v>0.8534382234017055</v>
      </c>
      <c r="I1610">
        <v>0.91928904428904423</v>
      </c>
      <c r="J1610">
        <v>13930263.75</v>
      </c>
      <c r="K1610">
        <v>78852</v>
      </c>
      <c r="L1610">
        <v>2</v>
      </c>
      <c r="M1610">
        <v>190</v>
      </c>
      <c r="N1610">
        <v>0.92599067599067608</v>
      </c>
      <c r="O1610">
        <v>14800530.708333332</v>
      </c>
      <c r="P1610">
        <v>79649</v>
      </c>
      <c r="Q1610">
        <v>2</v>
      </c>
      <c r="R1610">
        <v>191</v>
      </c>
      <c r="S1610" t="s">
        <v>1279</v>
      </c>
      <c r="W1610">
        <f>Cancer_doubles_final2[[#This Row],[mlp_params]]</f>
        <v>78852</v>
      </c>
      <c r="X1610">
        <f>Cancer_doubles_final2[[#This Row],[kan_test_acc]]</f>
        <v>0.8534382234017055</v>
      </c>
      <c r="Y1610">
        <f>Cancer_doubles_final2[[#This Row],[mlp_test_acc]]</f>
        <v>0.91928904428904423</v>
      </c>
      <c r="Z1610">
        <f>Cancer_doubles_final2[[#This Row],[mlp_test_acc2]]</f>
        <v>0.92599067599067608</v>
      </c>
    </row>
    <row r="1611" spans="1:26" hidden="1" x14ac:dyDescent="0.25">
      <c r="A1611" t="s">
        <v>19</v>
      </c>
      <c r="B1611">
        <v>9</v>
      </c>
      <c r="C1611">
        <v>5</v>
      </c>
      <c r="D1611">
        <v>0</v>
      </c>
      <c r="E1611" t="s">
        <v>437</v>
      </c>
      <c r="F1611">
        <v>48032</v>
      </c>
      <c r="G1611">
        <v>49266652.75</v>
      </c>
      <c r="H1611">
        <v>0.86043123155832291</v>
      </c>
      <c r="I1611">
        <v>0.93385780885780889</v>
      </c>
      <c r="J1611">
        <v>15160287.541666666</v>
      </c>
      <c r="K1611">
        <v>78852</v>
      </c>
      <c r="L1611">
        <v>2</v>
      </c>
      <c r="M1611">
        <v>190</v>
      </c>
      <c r="N1611">
        <v>0.93764568764568768</v>
      </c>
      <c r="O1611">
        <v>15113727.416666668</v>
      </c>
      <c r="P1611">
        <v>79649</v>
      </c>
      <c r="Q1611">
        <v>2</v>
      </c>
      <c r="R1611">
        <v>191</v>
      </c>
      <c r="S1611" t="s">
        <v>1280</v>
      </c>
      <c r="W1611">
        <f>Cancer_doubles_final2[[#This Row],[mlp_params]]</f>
        <v>78852</v>
      </c>
      <c r="X1611">
        <f>Cancer_doubles_final2[[#This Row],[kan_test_acc]]</f>
        <v>0.86043123155832291</v>
      </c>
      <c r="Y1611">
        <f>Cancer_doubles_final2[[#This Row],[mlp_test_acc]]</f>
        <v>0.93385780885780889</v>
      </c>
      <c r="Z1611">
        <f>Cancer_doubles_final2[[#This Row],[mlp_test_acc2]]</f>
        <v>0.93764568764568768</v>
      </c>
    </row>
    <row r="1612" spans="1:26" hidden="1" x14ac:dyDescent="0.25">
      <c r="A1612" t="s">
        <v>19</v>
      </c>
      <c r="B1612">
        <v>9</v>
      </c>
      <c r="C1612">
        <v>4</v>
      </c>
      <c r="D1612">
        <v>0</v>
      </c>
      <c r="E1612" t="s">
        <v>508</v>
      </c>
      <c r="F1612">
        <v>48094</v>
      </c>
      <c r="G1612">
        <v>51045447.375</v>
      </c>
      <c r="H1612">
        <v>0.89423076560099923</v>
      </c>
      <c r="I1612">
        <v>0.94871794871794868</v>
      </c>
      <c r="J1612">
        <v>14170765.625</v>
      </c>
      <c r="K1612">
        <v>74927</v>
      </c>
      <c r="L1612">
        <v>2</v>
      </c>
      <c r="M1612">
        <v>185</v>
      </c>
      <c r="N1612">
        <v>0.95163170163170163</v>
      </c>
      <c r="O1612">
        <v>14127948.666666668</v>
      </c>
      <c r="P1612">
        <v>75704</v>
      </c>
      <c r="Q1612">
        <v>2</v>
      </c>
      <c r="R1612">
        <v>186</v>
      </c>
      <c r="S1612" t="s">
        <v>1281</v>
      </c>
      <c r="W1612">
        <f>Cancer_doubles_final2[[#This Row],[mlp_params]]</f>
        <v>74927</v>
      </c>
      <c r="X1612">
        <f>Cancer_doubles_final2[[#This Row],[kan_test_acc]]</f>
        <v>0.89423076560099923</v>
      </c>
      <c r="Y1612">
        <f>Cancer_doubles_final2[[#This Row],[mlp_test_acc]]</f>
        <v>0.94871794871794868</v>
      </c>
      <c r="Z1612">
        <f>Cancer_doubles_final2[[#This Row],[mlp_test_acc2]]</f>
        <v>0.95163170163170163</v>
      </c>
    </row>
    <row r="1613" spans="1:26" hidden="1" x14ac:dyDescent="0.25">
      <c r="A1613" t="s">
        <v>19</v>
      </c>
      <c r="B1613">
        <v>9</v>
      </c>
      <c r="C1613">
        <v>5</v>
      </c>
      <c r="D1613">
        <v>0</v>
      </c>
      <c r="E1613" t="s">
        <v>439</v>
      </c>
      <c r="F1613">
        <v>48160</v>
      </c>
      <c r="G1613">
        <v>44459537.25</v>
      </c>
      <c r="H1613">
        <v>0.87004661932587624</v>
      </c>
      <c r="I1613">
        <v>0.93502331002331007</v>
      </c>
      <c r="J1613">
        <v>14125345.333333332</v>
      </c>
      <c r="K1613">
        <v>78852</v>
      </c>
      <c r="L1613">
        <v>2</v>
      </c>
      <c r="M1613">
        <v>190</v>
      </c>
      <c r="N1613">
        <v>0.93997668997669004</v>
      </c>
      <c r="O1613">
        <v>13532545.208333332</v>
      </c>
      <c r="P1613">
        <v>79649</v>
      </c>
      <c r="Q1613">
        <v>2</v>
      </c>
      <c r="R1613">
        <v>191</v>
      </c>
      <c r="S1613" t="s">
        <v>1282</v>
      </c>
      <c r="W1613">
        <f>Cancer_doubles_final2[[#This Row],[mlp_params]]</f>
        <v>78852</v>
      </c>
      <c r="X1613">
        <f>Cancer_doubles_final2[[#This Row],[kan_test_acc]]</f>
        <v>0.87004661932587624</v>
      </c>
      <c r="Y1613">
        <f>Cancer_doubles_final2[[#This Row],[mlp_test_acc]]</f>
        <v>0.93502331002331007</v>
      </c>
      <c r="Z1613">
        <f>Cancer_doubles_final2[[#This Row],[mlp_test_acc2]]</f>
        <v>0.93997668997669004</v>
      </c>
    </row>
    <row r="1614" spans="1:26" hidden="1" x14ac:dyDescent="0.25">
      <c r="A1614" t="s">
        <v>19</v>
      </c>
      <c r="B1614">
        <v>9</v>
      </c>
      <c r="C1614">
        <v>3</v>
      </c>
      <c r="D1614">
        <v>0</v>
      </c>
      <c r="E1614" t="s">
        <v>592</v>
      </c>
      <c r="F1614">
        <v>48214</v>
      </c>
      <c r="G1614">
        <v>42046469.666666664</v>
      </c>
      <c r="H1614">
        <v>0.88548950726787246</v>
      </c>
      <c r="I1614">
        <v>0.94289044289044288</v>
      </c>
      <c r="J1614">
        <v>13115796.541666668</v>
      </c>
      <c r="K1614">
        <v>70349</v>
      </c>
      <c r="L1614">
        <v>2</v>
      </c>
      <c r="M1614">
        <v>179</v>
      </c>
      <c r="N1614">
        <v>0.94726107226107226</v>
      </c>
      <c r="O1614">
        <v>12713451.875</v>
      </c>
      <c r="P1614">
        <v>71102</v>
      </c>
      <c r="Q1614">
        <v>2</v>
      </c>
      <c r="R1614">
        <v>180</v>
      </c>
      <c r="S1614" t="s">
        <v>1283</v>
      </c>
      <c r="W1614">
        <f>Cancer_doubles_final2[[#This Row],[mlp_params]]</f>
        <v>70349</v>
      </c>
      <c r="X1614">
        <f>Cancer_doubles_final2[[#This Row],[kan_test_acc]]</f>
        <v>0.88548950726787246</v>
      </c>
      <c r="Y1614">
        <f>Cancer_doubles_final2[[#This Row],[mlp_test_acc]]</f>
        <v>0.94289044289044288</v>
      </c>
      <c r="Z1614">
        <f>Cancer_doubles_final2[[#This Row],[mlp_test_acc2]]</f>
        <v>0.94726107226107226</v>
      </c>
    </row>
    <row r="1615" spans="1:26" hidden="1" x14ac:dyDescent="0.25">
      <c r="A1615" t="s">
        <v>19</v>
      </c>
      <c r="B1615">
        <v>9</v>
      </c>
      <c r="C1615">
        <v>3</v>
      </c>
      <c r="D1615">
        <v>0</v>
      </c>
      <c r="E1615" t="s">
        <v>597</v>
      </c>
      <c r="F1615">
        <v>48392</v>
      </c>
      <c r="G1615">
        <v>42099448.833333336</v>
      </c>
      <c r="H1615">
        <v>0.94842656950155901</v>
      </c>
      <c r="I1615">
        <v>0.96590909090909083</v>
      </c>
      <c r="J1615">
        <v>11457922.416666668</v>
      </c>
      <c r="K1615">
        <v>70349</v>
      </c>
      <c r="L1615">
        <v>2</v>
      </c>
      <c r="M1615">
        <v>179</v>
      </c>
      <c r="N1615">
        <v>0.97057109557109555</v>
      </c>
      <c r="O1615">
        <v>11194238</v>
      </c>
      <c r="P1615">
        <v>71102</v>
      </c>
      <c r="Q1615">
        <v>2</v>
      </c>
      <c r="R1615">
        <v>180</v>
      </c>
      <c r="S1615" t="s">
        <v>1284</v>
      </c>
      <c r="W1615">
        <f>Cancer_doubles_final2[[#This Row],[mlp_params]]</f>
        <v>70349</v>
      </c>
      <c r="X1615">
        <f>Cancer_doubles_final2[[#This Row],[kan_test_acc]]</f>
        <v>0.94842656950155901</v>
      </c>
      <c r="Y1615">
        <f>Cancer_doubles_final2[[#This Row],[mlp_test_acc]]</f>
        <v>0.96590909090909083</v>
      </c>
      <c r="Z1615">
        <f>Cancer_doubles_final2[[#This Row],[mlp_test_acc2]]</f>
        <v>0.97057109557109555</v>
      </c>
    </row>
    <row r="1616" spans="1:26" hidden="1" x14ac:dyDescent="0.25">
      <c r="A1616" t="s">
        <v>19</v>
      </c>
      <c r="B1616">
        <v>9</v>
      </c>
      <c r="C1616">
        <v>2</v>
      </c>
      <c r="D1616">
        <v>0</v>
      </c>
      <c r="E1616" t="s">
        <v>697</v>
      </c>
      <c r="F1616">
        <v>48538</v>
      </c>
      <c r="G1616">
        <v>36822711.375</v>
      </c>
      <c r="H1616">
        <v>0.94085081170002627</v>
      </c>
      <c r="I1616">
        <v>0.94230769230769229</v>
      </c>
      <c r="J1616">
        <v>10308438.5</v>
      </c>
      <c r="K1616">
        <v>65190</v>
      </c>
      <c r="L1616">
        <v>2</v>
      </c>
      <c r="M1616">
        <v>172</v>
      </c>
      <c r="N1616">
        <v>0.94318181818181812</v>
      </c>
      <c r="O1616">
        <v>11097557.041666666</v>
      </c>
      <c r="P1616">
        <v>65915</v>
      </c>
      <c r="Q1616">
        <v>2</v>
      </c>
      <c r="R1616">
        <v>173</v>
      </c>
      <c r="S1616" t="s">
        <v>1285</v>
      </c>
      <c r="W1616">
        <f>Cancer_doubles_final2[[#This Row],[mlp_params]]</f>
        <v>65190</v>
      </c>
      <c r="X1616">
        <f>Cancer_doubles_final2[[#This Row],[kan_test_acc]]</f>
        <v>0.94085081170002627</v>
      </c>
      <c r="Y1616">
        <f>Cancer_doubles_final2[[#This Row],[mlp_test_acc]]</f>
        <v>0.94230769230769229</v>
      </c>
      <c r="Z1616">
        <f>Cancer_doubles_final2[[#This Row],[mlp_test_acc2]]</f>
        <v>0.94318181818181812</v>
      </c>
    </row>
    <row r="1617" spans="1:26" hidden="1" x14ac:dyDescent="0.25">
      <c r="A1617" t="s">
        <v>19</v>
      </c>
      <c r="B1617">
        <v>9</v>
      </c>
      <c r="C1617">
        <v>4</v>
      </c>
      <c r="D1617">
        <v>0</v>
      </c>
      <c r="E1617" t="s">
        <v>520</v>
      </c>
      <c r="F1617">
        <v>48668</v>
      </c>
      <c r="G1617">
        <v>39744135.694444448</v>
      </c>
      <c r="H1617">
        <v>0.92968142529328657</v>
      </c>
      <c r="I1617">
        <v>0.92560217560217561</v>
      </c>
      <c r="J1617">
        <v>10875859.88888889</v>
      </c>
      <c r="K1617">
        <v>75704</v>
      </c>
      <c r="L1617">
        <v>2</v>
      </c>
      <c r="M1617">
        <v>186</v>
      </c>
      <c r="N1617">
        <v>0.92152292152292159</v>
      </c>
      <c r="O1617">
        <v>11845093.25</v>
      </c>
      <c r="P1617">
        <v>76485</v>
      </c>
      <c r="Q1617">
        <v>2</v>
      </c>
      <c r="R1617">
        <v>187</v>
      </c>
      <c r="S1617" t="s">
        <v>1286</v>
      </c>
      <c r="W1617">
        <f>Cancer_doubles_final2[[#This Row],[mlp_params]]</f>
        <v>75704</v>
      </c>
      <c r="X1617">
        <f>Cancer_doubles_final2[[#This Row],[kan_test_acc]]</f>
        <v>0.92968142529328657</v>
      </c>
      <c r="Y1617">
        <f>Cancer_doubles_final2[[#This Row],[mlp_test_acc]]</f>
        <v>0.92560217560217561</v>
      </c>
      <c r="Z1617">
        <f>Cancer_doubles_final2[[#This Row],[mlp_test_acc2]]</f>
        <v>0.92152292152292159</v>
      </c>
    </row>
    <row r="1618" spans="1:26" hidden="1" x14ac:dyDescent="0.25">
      <c r="A1618" t="s">
        <v>19</v>
      </c>
      <c r="B1618">
        <v>9</v>
      </c>
      <c r="C1618">
        <v>5</v>
      </c>
      <c r="D1618">
        <v>0</v>
      </c>
      <c r="E1618" t="s">
        <v>445</v>
      </c>
      <c r="F1618">
        <v>48778</v>
      </c>
      <c r="G1618">
        <v>58305602.583333336</v>
      </c>
      <c r="H1618">
        <v>0.91841491311788559</v>
      </c>
      <c r="I1618">
        <v>0.95104895104895104</v>
      </c>
      <c r="J1618">
        <v>14671855.875</v>
      </c>
      <c r="K1618">
        <v>79649</v>
      </c>
      <c r="L1618">
        <v>2</v>
      </c>
      <c r="M1618">
        <v>191</v>
      </c>
      <c r="N1618">
        <v>0.9481351981351982</v>
      </c>
      <c r="O1618">
        <v>14710271.875</v>
      </c>
      <c r="P1618">
        <v>80450</v>
      </c>
      <c r="Q1618">
        <v>2</v>
      </c>
      <c r="R1618">
        <v>192</v>
      </c>
      <c r="S1618" t="s">
        <v>1287</v>
      </c>
      <c r="W1618">
        <f>Cancer_doubles_final2[[#This Row],[mlp_params]]</f>
        <v>79649</v>
      </c>
      <c r="X1618">
        <f>Cancer_doubles_final2[[#This Row],[kan_test_acc]]</f>
        <v>0.91841491311788559</v>
      </c>
      <c r="Y1618">
        <f>Cancer_doubles_final2[[#This Row],[mlp_test_acc]]</f>
        <v>0.95104895104895104</v>
      </c>
      <c r="Z1618">
        <f>Cancer_doubles_final2[[#This Row],[mlp_test_acc2]]</f>
        <v>0.9481351981351982</v>
      </c>
    </row>
    <row r="1619" spans="1:26" hidden="1" x14ac:dyDescent="0.25">
      <c r="A1619" t="s">
        <v>19</v>
      </c>
      <c r="B1619">
        <v>9</v>
      </c>
      <c r="C1619">
        <v>4</v>
      </c>
      <c r="D1619">
        <v>0</v>
      </c>
      <c r="E1619" t="s">
        <v>526</v>
      </c>
      <c r="F1619">
        <v>48986</v>
      </c>
      <c r="G1619">
        <v>55343793.25</v>
      </c>
      <c r="H1619">
        <v>0.92744755248228716</v>
      </c>
      <c r="I1619">
        <v>0.95163170163170152</v>
      </c>
      <c r="J1619">
        <v>15108037.833333334</v>
      </c>
      <c r="K1619">
        <v>76485</v>
      </c>
      <c r="L1619">
        <v>2</v>
      </c>
      <c r="M1619">
        <v>187</v>
      </c>
      <c r="N1619">
        <v>0.94696969696969702</v>
      </c>
      <c r="O1619">
        <v>15417108.958333334</v>
      </c>
      <c r="P1619">
        <v>77270</v>
      </c>
      <c r="Q1619">
        <v>2</v>
      </c>
      <c r="R1619">
        <v>188</v>
      </c>
      <c r="S1619" t="s">
        <v>1288</v>
      </c>
      <c r="W1619">
        <f>Cancer_doubles_final2[[#This Row],[mlp_params]]</f>
        <v>76485</v>
      </c>
      <c r="X1619">
        <f>Cancer_doubles_final2[[#This Row],[kan_test_acc]]</f>
        <v>0.92744755248228716</v>
      </c>
      <c r="Y1619">
        <f>Cancer_doubles_final2[[#This Row],[mlp_test_acc]]</f>
        <v>0.95163170163170152</v>
      </c>
      <c r="Z1619">
        <f>Cancer_doubles_final2[[#This Row],[mlp_test_acc2]]</f>
        <v>0.94696969696969702</v>
      </c>
    </row>
    <row r="1620" spans="1:26" hidden="1" x14ac:dyDescent="0.25">
      <c r="A1620" t="s">
        <v>19</v>
      </c>
      <c r="B1620">
        <v>9</v>
      </c>
      <c r="C1620">
        <v>4</v>
      </c>
      <c r="D1620">
        <v>0</v>
      </c>
      <c r="E1620" t="s">
        <v>530</v>
      </c>
      <c r="F1620">
        <v>49048</v>
      </c>
      <c r="G1620">
        <v>45207709.875</v>
      </c>
      <c r="H1620">
        <v>0.9358974347511928</v>
      </c>
      <c r="I1620">
        <v>0.94988344988344986</v>
      </c>
      <c r="J1620">
        <v>14918014.291666668</v>
      </c>
      <c r="K1620">
        <v>76485</v>
      </c>
      <c r="L1620">
        <v>2</v>
      </c>
      <c r="M1620">
        <v>187</v>
      </c>
      <c r="N1620">
        <v>0.9443473193473193</v>
      </c>
      <c r="O1620">
        <v>15294329.833333334</v>
      </c>
      <c r="P1620">
        <v>77270</v>
      </c>
      <c r="Q1620">
        <v>2</v>
      </c>
      <c r="R1620">
        <v>188</v>
      </c>
      <c r="S1620" t="s">
        <v>1289</v>
      </c>
      <c r="W1620">
        <f>Cancer_doubles_final2[[#This Row],[mlp_params]]</f>
        <v>76485</v>
      </c>
      <c r="X1620">
        <f>Cancer_doubles_final2[[#This Row],[kan_test_acc]]</f>
        <v>0.9358974347511928</v>
      </c>
      <c r="Y1620">
        <f>Cancer_doubles_final2[[#This Row],[mlp_test_acc]]</f>
        <v>0.94988344988344986</v>
      </c>
      <c r="Z1620">
        <f>Cancer_doubles_final2[[#This Row],[mlp_test_acc2]]</f>
        <v>0.9443473193473193</v>
      </c>
    </row>
    <row r="1621" spans="1:26" hidden="1" x14ac:dyDescent="0.25">
      <c r="A1621" t="s">
        <v>19</v>
      </c>
      <c r="B1621">
        <v>9</v>
      </c>
      <c r="C1621">
        <v>5</v>
      </c>
      <c r="D1621">
        <v>0</v>
      </c>
      <c r="E1621" t="s">
        <v>457</v>
      </c>
      <c r="F1621">
        <v>49252</v>
      </c>
      <c r="G1621">
        <v>43771015.916666672</v>
      </c>
      <c r="H1621">
        <v>0.87937062978744507</v>
      </c>
      <c r="I1621">
        <v>0.93444055944055948</v>
      </c>
      <c r="J1621">
        <v>15368790.041666668</v>
      </c>
      <c r="K1621">
        <v>80450</v>
      </c>
      <c r="L1621">
        <v>2</v>
      </c>
      <c r="M1621">
        <v>192</v>
      </c>
      <c r="N1621">
        <v>0.93269230769230771</v>
      </c>
      <c r="O1621">
        <v>15370488.208333334</v>
      </c>
      <c r="P1621">
        <v>81255</v>
      </c>
      <c r="Q1621">
        <v>2</v>
      </c>
      <c r="R1621">
        <v>193</v>
      </c>
      <c r="S1621" t="s">
        <v>1290</v>
      </c>
      <c r="W1621">
        <f>Cancer_doubles_final2[[#This Row],[mlp_params]]</f>
        <v>80450</v>
      </c>
      <c r="X1621">
        <f>Cancer_doubles_final2[[#This Row],[kan_test_acc]]</f>
        <v>0.87937062978744507</v>
      </c>
      <c r="Y1621">
        <f>Cancer_doubles_final2[[#This Row],[mlp_test_acc]]</f>
        <v>0.93444055944055948</v>
      </c>
      <c r="Z1621">
        <f>Cancer_doubles_final2[[#This Row],[mlp_test_acc2]]</f>
        <v>0.93269230769230771</v>
      </c>
    </row>
    <row r="1622" spans="1:26" hidden="1" x14ac:dyDescent="0.25">
      <c r="A1622" t="s">
        <v>19</v>
      </c>
      <c r="B1622">
        <v>9</v>
      </c>
      <c r="C1622">
        <v>3</v>
      </c>
      <c r="D1622">
        <v>0</v>
      </c>
      <c r="E1622" t="s">
        <v>630</v>
      </c>
      <c r="F1622">
        <v>49356</v>
      </c>
      <c r="G1622">
        <v>42840867.916666672</v>
      </c>
      <c r="H1622">
        <v>0.89189976702133822</v>
      </c>
      <c r="I1622">
        <v>0.94405594405594406</v>
      </c>
      <c r="J1622">
        <v>13391395.875</v>
      </c>
      <c r="K1622">
        <v>71859</v>
      </c>
      <c r="L1622">
        <v>2</v>
      </c>
      <c r="M1622">
        <v>181</v>
      </c>
      <c r="N1622">
        <v>0.94376456876456882</v>
      </c>
      <c r="O1622">
        <v>13609417.291666666</v>
      </c>
      <c r="P1622">
        <v>72620</v>
      </c>
      <c r="Q1622">
        <v>2</v>
      </c>
      <c r="R1622">
        <v>182</v>
      </c>
      <c r="S1622" t="s">
        <v>1291</v>
      </c>
      <c r="W1622">
        <f>Cancer_doubles_final2[[#This Row],[mlp_params]]</f>
        <v>71859</v>
      </c>
      <c r="X1622">
        <f>Cancer_doubles_final2[[#This Row],[kan_test_acc]]</f>
        <v>0.89189976702133822</v>
      </c>
      <c r="Y1622">
        <f>Cancer_doubles_final2[[#This Row],[mlp_test_acc]]</f>
        <v>0.94405594405594406</v>
      </c>
      <c r="Z1622">
        <f>Cancer_doubles_final2[[#This Row],[mlp_test_acc2]]</f>
        <v>0.94376456876456882</v>
      </c>
    </row>
    <row r="1623" spans="1:26" hidden="1" x14ac:dyDescent="0.25">
      <c r="A1623" t="s">
        <v>19</v>
      </c>
      <c r="B1623">
        <v>9</v>
      </c>
      <c r="C1623">
        <v>5</v>
      </c>
      <c r="D1623">
        <v>0</v>
      </c>
      <c r="E1623" t="s">
        <v>463</v>
      </c>
      <c r="F1623">
        <v>49384</v>
      </c>
      <c r="G1623">
        <v>49295653.416666664</v>
      </c>
      <c r="H1623">
        <v>0.89743589361508691</v>
      </c>
      <c r="I1623">
        <v>0.94376456876456882</v>
      </c>
      <c r="J1623">
        <v>12789491.625</v>
      </c>
      <c r="K1623">
        <v>81255</v>
      </c>
      <c r="L1623">
        <v>2</v>
      </c>
      <c r="M1623">
        <v>193</v>
      </c>
      <c r="N1623">
        <v>0.94522144522144524</v>
      </c>
      <c r="O1623">
        <v>13443728.041666666</v>
      </c>
      <c r="P1623">
        <v>82064</v>
      </c>
      <c r="Q1623">
        <v>2</v>
      </c>
      <c r="R1623">
        <v>194</v>
      </c>
      <c r="S1623" t="s">
        <v>1292</v>
      </c>
      <c r="W1623">
        <f>Cancer_doubles_final2[[#This Row],[mlp_params]]</f>
        <v>81255</v>
      </c>
      <c r="X1623">
        <f>Cancer_doubles_final2[[#This Row],[kan_test_acc]]</f>
        <v>0.89743589361508691</v>
      </c>
      <c r="Y1623">
        <f>Cancer_doubles_final2[[#This Row],[mlp_test_acc]]</f>
        <v>0.94376456876456882</v>
      </c>
      <c r="Z1623">
        <f>Cancer_doubles_final2[[#This Row],[mlp_test_acc2]]</f>
        <v>0.94522144522144524</v>
      </c>
    </row>
    <row r="1624" spans="1:26" hidden="1" x14ac:dyDescent="0.25">
      <c r="A1624" t="s">
        <v>19</v>
      </c>
      <c r="B1624">
        <v>9</v>
      </c>
      <c r="C1624">
        <v>5</v>
      </c>
      <c r="D1624">
        <v>0</v>
      </c>
      <c r="E1624" t="s">
        <v>466</v>
      </c>
      <c r="F1624">
        <v>49454</v>
      </c>
      <c r="G1624">
        <v>53068146.375</v>
      </c>
      <c r="H1624">
        <v>0.83391608049472177</v>
      </c>
      <c r="I1624">
        <v>0.92365967365967372</v>
      </c>
      <c r="J1624">
        <v>15123710.375</v>
      </c>
      <c r="K1624">
        <v>81255</v>
      </c>
      <c r="L1624">
        <v>2</v>
      </c>
      <c r="M1624">
        <v>193</v>
      </c>
      <c r="N1624">
        <v>0.92249417249417254</v>
      </c>
      <c r="O1624">
        <v>15358432.75</v>
      </c>
      <c r="P1624">
        <v>82064</v>
      </c>
      <c r="Q1624">
        <v>2</v>
      </c>
      <c r="R1624">
        <v>194</v>
      </c>
      <c r="S1624" t="s">
        <v>1293</v>
      </c>
      <c r="W1624">
        <f>Cancer_doubles_final2[[#This Row],[mlp_params]]</f>
        <v>81255</v>
      </c>
      <c r="X1624">
        <f>Cancer_doubles_final2[[#This Row],[kan_test_acc]]</f>
        <v>0.83391608049472177</v>
      </c>
      <c r="Y1624">
        <f>Cancer_doubles_final2[[#This Row],[mlp_test_acc]]</f>
        <v>0.92365967365967372</v>
      </c>
      <c r="Z1624">
        <f>Cancer_doubles_final2[[#This Row],[mlp_test_acc2]]</f>
        <v>0.92249417249417254</v>
      </c>
    </row>
    <row r="1625" spans="1:26" hidden="1" x14ac:dyDescent="0.25">
      <c r="A1625" t="s">
        <v>19</v>
      </c>
      <c r="B1625">
        <v>9</v>
      </c>
      <c r="C1625">
        <v>3</v>
      </c>
      <c r="D1625">
        <v>0</v>
      </c>
      <c r="E1625" t="s">
        <v>633</v>
      </c>
      <c r="F1625">
        <v>49594</v>
      </c>
      <c r="G1625">
        <v>47766816.583333336</v>
      </c>
      <c r="H1625">
        <v>0.88607226063807809</v>
      </c>
      <c r="I1625">
        <v>0.94551282051282048</v>
      </c>
      <c r="J1625">
        <v>13009035.916666666</v>
      </c>
      <c r="K1625">
        <v>72620</v>
      </c>
      <c r="L1625">
        <v>2</v>
      </c>
      <c r="M1625">
        <v>182</v>
      </c>
      <c r="N1625">
        <v>0.94551282051282048</v>
      </c>
      <c r="O1625">
        <v>13812710.833333332</v>
      </c>
      <c r="P1625">
        <v>73385</v>
      </c>
      <c r="Q1625">
        <v>2</v>
      </c>
      <c r="R1625">
        <v>183</v>
      </c>
      <c r="S1625" t="s">
        <v>1294</v>
      </c>
      <c r="W1625">
        <f>Cancer_doubles_final2[[#This Row],[mlp_params]]</f>
        <v>72620</v>
      </c>
      <c r="X1625">
        <f>Cancer_doubles_final2[[#This Row],[kan_test_acc]]</f>
        <v>0.88607226063807809</v>
      </c>
      <c r="Y1625">
        <f>Cancer_doubles_final2[[#This Row],[mlp_test_acc]]</f>
        <v>0.94551282051282048</v>
      </c>
      <c r="Z1625">
        <f>Cancer_doubles_final2[[#This Row],[mlp_test_acc2]]</f>
        <v>0.94551282051282048</v>
      </c>
    </row>
    <row r="1626" spans="1:26" hidden="1" x14ac:dyDescent="0.25">
      <c r="A1626" t="s">
        <v>19</v>
      </c>
      <c r="B1626">
        <v>9</v>
      </c>
      <c r="C1626">
        <v>2</v>
      </c>
      <c r="D1626">
        <v>0</v>
      </c>
      <c r="E1626" t="s">
        <v>731</v>
      </c>
      <c r="F1626">
        <v>49660</v>
      </c>
      <c r="G1626">
        <v>42311723.166666664</v>
      </c>
      <c r="H1626">
        <v>0.94580419361591339</v>
      </c>
      <c r="I1626">
        <v>0.94143356643356646</v>
      </c>
      <c r="J1626">
        <v>9696495.75</v>
      </c>
      <c r="K1626">
        <v>66644</v>
      </c>
      <c r="L1626">
        <v>2</v>
      </c>
      <c r="M1626">
        <v>174</v>
      </c>
      <c r="N1626">
        <v>0.94405594405594395</v>
      </c>
      <c r="O1626">
        <v>11869159.416666666</v>
      </c>
      <c r="P1626">
        <v>67377</v>
      </c>
      <c r="Q1626">
        <v>2</v>
      </c>
      <c r="R1626">
        <v>175</v>
      </c>
      <c r="S1626" t="s">
        <v>1295</v>
      </c>
      <c r="W1626">
        <f>Cancer_doubles_final2[[#This Row],[mlp_params]]</f>
        <v>66644</v>
      </c>
      <c r="X1626">
        <f>Cancer_doubles_final2[[#This Row],[kan_test_acc]]</f>
        <v>0.94580419361591339</v>
      </c>
      <c r="Y1626">
        <f>Cancer_doubles_final2[[#This Row],[mlp_test_acc]]</f>
        <v>0.94143356643356646</v>
      </c>
      <c r="Z1626">
        <f>Cancer_doubles_final2[[#This Row],[mlp_test_acc2]]</f>
        <v>0.94405594405594395</v>
      </c>
    </row>
    <row r="1627" spans="1:26" hidden="1" x14ac:dyDescent="0.25">
      <c r="A1627" t="s">
        <v>19</v>
      </c>
      <c r="B1627">
        <v>9</v>
      </c>
      <c r="C1627">
        <v>4</v>
      </c>
      <c r="D1627">
        <v>0</v>
      </c>
      <c r="E1627" t="s">
        <v>550</v>
      </c>
      <c r="F1627">
        <v>49822</v>
      </c>
      <c r="G1627">
        <v>45190025.19444444</v>
      </c>
      <c r="H1627">
        <v>0.93473193380567754</v>
      </c>
      <c r="I1627">
        <v>0.92288267288267289</v>
      </c>
      <c r="J1627">
        <v>10836271.38888889</v>
      </c>
      <c r="K1627">
        <v>77270</v>
      </c>
      <c r="L1627">
        <v>2</v>
      </c>
      <c r="M1627">
        <v>188</v>
      </c>
      <c r="N1627">
        <v>0.92424242424242431</v>
      </c>
      <c r="O1627">
        <v>12207231.722222222</v>
      </c>
      <c r="P1627">
        <v>78059</v>
      </c>
      <c r="Q1627">
        <v>2</v>
      </c>
      <c r="R1627">
        <v>189</v>
      </c>
      <c r="S1627" t="s">
        <v>1296</v>
      </c>
      <c r="W1627">
        <f>Cancer_doubles_final2[[#This Row],[mlp_params]]</f>
        <v>77270</v>
      </c>
      <c r="X1627">
        <f>Cancer_doubles_final2[[#This Row],[kan_test_acc]]</f>
        <v>0.93473193380567754</v>
      </c>
      <c r="Y1627">
        <f>Cancer_doubles_final2[[#This Row],[mlp_test_acc]]</f>
        <v>0.92288267288267289</v>
      </c>
      <c r="Z1627">
        <f>Cancer_doubles_final2[[#This Row],[mlp_test_acc2]]</f>
        <v>0.92424242424242431</v>
      </c>
    </row>
    <row r="1628" spans="1:26" hidden="1" x14ac:dyDescent="0.25">
      <c r="A1628" t="s">
        <v>19</v>
      </c>
      <c r="B1628">
        <v>9</v>
      </c>
      <c r="C1628">
        <v>5</v>
      </c>
      <c r="D1628">
        <v>0</v>
      </c>
      <c r="E1628" t="s">
        <v>479</v>
      </c>
      <c r="F1628">
        <v>49936</v>
      </c>
      <c r="G1628">
        <v>54755324.583333328</v>
      </c>
      <c r="H1628">
        <v>0.9248251741131146</v>
      </c>
      <c r="I1628">
        <v>0.94842657342657333</v>
      </c>
      <c r="J1628">
        <v>14932301.291666668</v>
      </c>
      <c r="K1628">
        <v>82064</v>
      </c>
      <c r="L1628">
        <v>2</v>
      </c>
      <c r="M1628">
        <v>194</v>
      </c>
      <c r="N1628">
        <v>0.95250582750582757</v>
      </c>
      <c r="O1628">
        <v>15049492.333333332</v>
      </c>
      <c r="P1628">
        <v>82877</v>
      </c>
      <c r="Q1628">
        <v>2</v>
      </c>
      <c r="R1628">
        <v>195</v>
      </c>
      <c r="S1628" t="s">
        <v>1297</v>
      </c>
      <c r="W1628">
        <f>Cancer_doubles_final2[[#This Row],[mlp_params]]</f>
        <v>82064</v>
      </c>
      <c r="X1628">
        <f>Cancer_doubles_final2[[#This Row],[kan_test_acc]]</f>
        <v>0.9248251741131146</v>
      </c>
      <c r="Y1628">
        <f>Cancer_doubles_final2[[#This Row],[mlp_test_acc]]</f>
        <v>0.94842657342657333</v>
      </c>
      <c r="Z1628">
        <f>Cancer_doubles_final2[[#This Row],[mlp_test_acc2]]</f>
        <v>0.95250582750582757</v>
      </c>
    </row>
    <row r="1629" spans="1:26" hidden="1" x14ac:dyDescent="0.25">
      <c r="A1629" t="s">
        <v>19</v>
      </c>
      <c r="B1629">
        <v>9</v>
      </c>
      <c r="C1629">
        <v>4</v>
      </c>
      <c r="D1629">
        <v>0</v>
      </c>
      <c r="E1629" t="s">
        <v>561</v>
      </c>
      <c r="F1629">
        <v>50204</v>
      </c>
      <c r="G1629">
        <v>53225484.541666672</v>
      </c>
      <c r="H1629">
        <v>0.9309440553188324</v>
      </c>
      <c r="I1629">
        <v>0.9481351981351982</v>
      </c>
      <c r="J1629">
        <v>15526691.416666668</v>
      </c>
      <c r="K1629">
        <v>78059</v>
      </c>
      <c r="L1629">
        <v>2</v>
      </c>
      <c r="M1629">
        <v>189</v>
      </c>
      <c r="N1629">
        <v>0.94755244755244761</v>
      </c>
      <c r="O1629">
        <v>15462656.583333332</v>
      </c>
      <c r="P1629">
        <v>78852</v>
      </c>
      <c r="Q1629">
        <v>2</v>
      </c>
      <c r="R1629">
        <v>190</v>
      </c>
      <c r="S1629" t="s">
        <v>1298</v>
      </c>
      <c r="W1629">
        <f>Cancer_doubles_final2[[#This Row],[mlp_params]]</f>
        <v>78059</v>
      </c>
      <c r="X1629">
        <f>Cancer_doubles_final2[[#This Row],[kan_test_acc]]</f>
        <v>0.9309440553188324</v>
      </c>
      <c r="Y1629">
        <f>Cancer_doubles_final2[[#This Row],[mlp_test_acc]]</f>
        <v>0.9481351981351982</v>
      </c>
      <c r="Z1629">
        <f>Cancer_doubles_final2[[#This Row],[mlp_test_acc2]]</f>
        <v>0.94755244755244761</v>
      </c>
    </row>
    <row r="1630" spans="1:26" hidden="1" x14ac:dyDescent="0.25">
      <c r="A1630" t="s">
        <v>19</v>
      </c>
      <c r="B1630">
        <v>9</v>
      </c>
      <c r="C1630">
        <v>4</v>
      </c>
      <c r="D1630">
        <v>0</v>
      </c>
      <c r="E1630" t="s">
        <v>563</v>
      </c>
      <c r="F1630">
        <v>50330</v>
      </c>
      <c r="G1630">
        <v>46643648.083333336</v>
      </c>
      <c r="H1630">
        <v>0.93269229928652442</v>
      </c>
      <c r="I1630">
        <v>0.94667832167832167</v>
      </c>
      <c r="J1630">
        <v>15054154.041666668</v>
      </c>
      <c r="K1630">
        <v>78059</v>
      </c>
      <c r="L1630">
        <v>2</v>
      </c>
      <c r="M1630">
        <v>189</v>
      </c>
      <c r="N1630">
        <v>0.94114219114219111</v>
      </c>
      <c r="O1630">
        <v>15275622</v>
      </c>
      <c r="P1630">
        <v>78852</v>
      </c>
      <c r="Q1630">
        <v>2</v>
      </c>
      <c r="R1630">
        <v>190</v>
      </c>
      <c r="S1630" t="s">
        <v>1299</v>
      </c>
      <c r="W1630">
        <f>Cancer_doubles_final2[[#This Row],[mlp_params]]</f>
        <v>78059</v>
      </c>
      <c r="X1630">
        <f>Cancer_doubles_final2[[#This Row],[kan_test_acc]]</f>
        <v>0.93269229928652442</v>
      </c>
      <c r="Y1630">
        <f>Cancer_doubles_final2[[#This Row],[mlp_test_acc]]</f>
        <v>0.94667832167832167</v>
      </c>
      <c r="Z1630">
        <f>Cancer_doubles_final2[[#This Row],[mlp_test_acc2]]</f>
        <v>0.94114219114219111</v>
      </c>
    </row>
    <row r="1631" spans="1:26" hidden="1" x14ac:dyDescent="0.25">
      <c r="A1631" t="s">
        <v>19</v>
      </c>
      <c r="B1631">
        <v>9</v>
      </c>
      <c r="C1631">
        <v>5</v>
      </c>
      <c r="D1631">
        <v>0</v>
      </c>
      <c r="E1631" t="s">
        <v>487</v>
      </c>
      <c r="F1631">
        <v>50478</v>
      </c>
      <c r="G1631">
        <v>47013570.791666672</v>
      </c>
      <c r="H1631">
        <v>0.86742423474788666</v>
      </c>
      <c r="I1631">
        <v>0.9358974358974359</v>
      </c>
      <c r="J1631">
        <v>15524236.666666668</v>
      </c>
      <c r="K1631">
        <v>82877</v>
      </c>
      <c r="L1631">
        <v>2</v>
      </c>
      <c r="M1631">
        <v>195</v>
      </c>
      <c r="N1631">
        <v>0.93152680652680653</v>
      </c>
      <c r="O1631">
        <v>15238126.916666668</v>
      </c>
      <c r="P1631">
        <v>83694</v>
      </c>
      <c r="Q1631">
        <v>2</v>
      </c>
      <c r="R1631">
        <v>196</v>
      </c>
      <c r="S1631" t="s">
        <v>1300</v>
      </c>
      <c r="W1631">
        <f>Cancer_doubles_final2[[#This Row],[mlp_params]]</f>
        <v>82877</v>
      </c>
      <c r="X1631">
        <f>Cancer_doubles_final2[[#This Row],[kan_test_acc]]</f>
        <v>0.86742423474788666</v>
      </c>
      <c r="Y1631">
        <f>Cancer_doubles_final2[[#This Row],[mlp_test_acc]]</f>
        <v>0.9358974358974359</v>
      </c>
      <c r="Z1631">
        <f>Cancer_doubles_final2[[#This Row],[mlp_test_acc2]]</f>
        <v>0.93152680652680653</v>
      </c>
    </row>
    <row r="1632" spans="1:26" hidden="1" x14ac:dyDescent="0.25">
      <c r="A1632" t="s">
        <v>19</v>
      </c>
      <c r="B1632">
        <v>9</v>
      </c>
      <c r="C1632">
        <v>3</v>
      </c>
      <c r="D1632">
        <v>0</v>
      </c>
      <c r="E1632" t="s">
        <v>656</v>
      </c>
      <c r="F1632">
        <v>50498</v>
      </c>
      <c r="G1632">
        <v>44987212.833333328</v>
      </c>
      <c r="H1632">
        <v>0.88374125460783648</v>
      </c>
      <c r="I1632">
        <v>0.94551282051282048</v>
      </c>
      <c r="J1632">
        <v>13484825.291666668</v>
      </c>
      <c r="K1632">
        <v>73385</v>
      </c>
      <c r="L1632">
        <v>2</v>
      </c>
      <c r="M1632">
        <v>183</v>
      </c>
      <c r="N1632">
        <v>0.9443473193473193</v>
      </c>
      <c r="O1632">
        <v>13674384.25</v>
      </c>
      <c r="P1632">
        <v>74154</v>
      </c>
      <c r="Q1632">
        <v>2</v>
      </c>
      <c r="R1632">
        <v>184</v>
      </c>
      <c r="S1632" t="s">
        <v>1301</v>
      </c>
      <c r="W1632">
        <f>Cancer_doubles_final2[[#This Row],[mlp_params]]</f>
        <v>73385</v>
      </c>
      <c r="X1632">
        <f>Cancer_doubles_final2[[#This Row],[kan_test_acc]]</f>
        <v>0.88374125460783648</v>
      </c>
      <c r="Y1632">
        <f>Cancer_doubles_final2[[#This Row],[mlp_test_acc]]</f>
        <v>0.94551282051282048</v>
      </c>
      <c r="Z1632">
        <f>Cancer_doubles_final2[[#This Row],[mlp_test_acc2]]</f>
        <v>0.9443473193473193</v>
      </c>
    </row>
    <row r="1633" spans="1:26" hidden="1" x14ac:dyDescent="0.25">
      <c r="A1633" t="s">
        <v>19</v>
      </c>
      <c r="B1633">
        <v>9</v>
      </c>
      <c r="C1633">
        <v>5</v>
      </c>
      <c r="D1633">
        <v>0</v>
      </c>
      <c r="E1633" t="s">
        <v>492</v>
      </c>
      <c r="F1633">
        <v>50746</v>
      </c>
      <c r="G1633">
        <v>47994338.666666664</v>
      </c>
      <c r="H1633">
        <v>0.86596736560265231</v>
      </c>
      <c r="I1633">
        <v>0.94638694638694632</v>
      </c>
      <c r="J1633">
        <v>13261133.75</v>
      </c>
      <c r="K1633">
        <v>82877</v>
      </c>
      <c r="L1633">
        <v>2</v>
      </c>
      <c r="M1633">
        <v>195</v>
      </c>
      <c r="N1633">
        <v>0.94784382284382285</v>
      </c>
      <c r="O1633">
        <v>13809782.333333332</v>
      </c>
      <c r="P1633">
        <v>83694</v>
      </c>
      <c r="Q1633">
        <v>2</v>
      </c>
      <c r="R1633">
        <v>196</v>
      </c>
      <c r="S1633" t="s">
        <v>1302</v>
      </c>
      <c r="W1633">
        <f>Cancer_doubles_final2[[#This Row],[mlp_params]]</f>
        <v>82877</v>
      </c>
      <c r="X1633">
        <f>Cancer_doubles_final2[[#This Row],[kan_test_acc]]</f>
        <v>0.86596736560265231</v>
      </c>
      <c r="Y1633">
        <f>Cancer_doubles_final2[[#This Row],[mlp_test_acc]]</f>
        <v>0.94638694638694632</v>
      </c>
      <c r="Z1633">
        <f>Cancer_doubles_final2[[#This Row],[mlp_test_acc2]]</f>
        <v>0.94784382284382285</v>
      </c>
    </row>
    <row r="1634" spans="1:26" hidden="1" x14ac:dyDescent="0.25">
      <c r="A1634" t="s">
        <v>19</v>
      </c>
      <c r="B1634">
        <v>9</v>
      </c>
      <c r="C1634">
        <v>5</v>
      </c>
      <c r="D1634">
        <v>0</v>
      </c>
      <c r="E1634" t="s">
        <v>494</v>
      </c>
      <c r="F1634">
        <v>50748</v>
      </c>
      <c r="G1634">
        <v>52201012.333333336</v>
      </c>
      <c r="H1634">
        <v>0.81002331028381991</v>
      </c>
      <c r="I1634">
        <v>0.92773892773892774</v>
      </c>
      <c r="J1634">
        <v>15534673.958333332</v>
      </c>
      <c r="K1634">
        <v>82877</v>
      </c>
      <c r="L1634">
        <v>2</v>
      </c>
      <c r="M1634">
        <v>195</v>
      </c>
      <c r="N1634">
        <v>0.92540792540792538</v>
      </c>
      <c r="O1634">
        <v>15667737.833333332</v>
      </c>
      <c r="P1634">
        <v>83694</v>
      </c>
      <c r="Q1634">
        <v>2</v>
      </c>
      <c r="R1634">
        <v>196</v>
      </c>
      <c r="S1634" t="s">
        <v>1303</v>
      </c>
      <c r="W1634">
        <f>Cancer_doubles_final2[[#This Row],[mlp_params]]</f>
        <v>82877</v>
      </c>
      <c r="X1634">
        <f>Cancer_doubles_final2[[#This Row],[kan_test_acc]]</f>
        <v>0.81002331028381991</v>
      </c>
      <c r="Y1634">
        <f>Cancer_doubles_final2[[#This Row],[mlp_test_acc]]</f>
        <v>0.92773892773892774</v>
      </c>
      <c r="Z1634">
        <f>Cancer_doubles_final2[[#This Row],[mlp_test_acc2]]</f>
        <v>0.92540792540792538</v>
      </c>
    </row>
    <row r="1635" spans="1:26" hidden="1" x14ac:dyDescent="0.25">
      <c r="A1635" t="s">
        <v>19</v>
      </c>
      <c r="B1635">
        <v>9</v>
      </c>
      <c r="C1635">
        <v>3</v>
      </c>
      <c r="D1635">
        <v>0</v>
      </c>
      <c r="E1635" t="s">
        <v>669</v>
      </c>
      <c r="F1635">
        <v>50796</v>
      </c>
      <c r="G1635">
        <v>52110873.041666672</v>
      </c>
      <c r="H1635">
        <v>0.8948135177294414</v>
      </c>
      <c r="I1635">
        <v>0.94784382284382285</v>
      </c>
      <c r="J1635">
        <v>12967689.75</v>
      </c>
      <c r="K1635">
        <v>74154</v>
      </c>
      <c r="L1635">
        <v>2</v>
      </c>
      <c r="M1635">
        <v>184</v>
      </c>
      <c r="N1635">
        <v>0.94638694638694632</v>
      </c>
      <c r="O1635">
        <v>14386735.75</v>
      </c>
      <c r="P1635">
        <v>74927</v>
      </c>
      <c r="Q1635">
        <v>2</v>
      </c>
      <c r="R1635">
        <v>185</v>
      </c>
      <c r="S1635" t="s">
        <v>1304</v>
      </c>
      <c r="W1635">
        <f>Cancer_doubles_final2[[#This Row],[mlp_params]]</f>
        <v>74154</v>
      </c>
      <c r="X1635">
        <f>Cancer_doubles_final2[[#This Row],[kan_test_acc]]</f>
        <v>0.8948135177294414</v>
      </c>
      <c r="Y1635">
        <f>Cancer_doubles_final2[[#This Row],[mlp_test_acc]]</f>
        <v>0.94784382284382285</v>
      </c>
      <c r="Z1635">
        <f>Cancer_doubles_final2[[#This Row],[mlp_test_acc2]]</f>
        <v>0.94638694638694632</v>
      </c>
    </row>
    <row r="1636" spans="1:26" hidden="1" x14ac:dyDescent="0.25">
      <c r="A1636" t="s">
        <v>19</v>
      </c>
      <c r="B1636">
        <v>9</v>
      </c>
      <c r="C1636">
        <v>4</v>
      </c>
      <c r="D1636">
        <v>0</v>
      </c>
      <c r="E1636" t="s">
        <v>582</v>
      </c>
      <c r="F1636">
        <v>50976</v>
      </c>
      <c r="G1636">
        <v>48484413.708333328</v>
      </c>
      <c r="H1636">
        <v>0.944638691842556</v>
      </c>
      <c r="I1636">
        <v>0.95979020979020979</v>
      </c>
      <c r="J1636">
        <v>11897648.75</v>
      </c>
      <c r="K1636">
        <v>78852</v>
      </c>
      <c r="L1636">
        <v>2</v>
      </c>
      <c r="M1636">
        <v>190</v>
      </c>
      <c r="N1636">
        <v>0.9618298368298368</v>
      </c>
      <c r="O1636">
        <v>13327274.541666668</v>
      </c>
      <c r="P1636">
        <v>79649</v>
      </c>
      <c r="Q1636">
        <v>2</v>
      </c>
      <c r="R1636">
        <v>191</v>
      </c>
      <c r="S1636" t="s">
        <v>1305</v>
      </c>
      <c r="W1636">
        <f>Cancer_doubles_final2[[#This Row],[mlp_params]]</f>
        <v>78852</v>
      </c>
      <c r="X1636">
        <f>Cancer_doubles_final2[[#This Row],[kan_test_acc]]</f>
        <v>0.944638691842556</v>
      </c>
      <c r="Y1636">
        <f>Cancer_doubles_final2[[#This Row],[mlp_test_acc]]</f>
        <v>0.95979020979020979</v>
      </c>
      <c r="Z1636">
        <f>Cancer_doubles_final2[[#This Row],[mlp_test_acc2]]</f>
        <v>0.9618298368298368</v>
      </c>
    </row>
    <row r="1637" spans="1:26" hidden="1" x14ac:dyDescent="0.25">
      <c r="A1637" t="s">
        <v>19</v>
      </c>
      <c r="B1637">
        <v>9</v>
      </c>
      <c r="C1637">
        <v>5</v>
      </c>
      <c r="D1637">
        <v>0</v>
      </c>
      <c r="E1637" t="s">
        <v>508</v>
      </c>
      <c r="F1637">
        <v>51094</v>
      </c>
      <c r="G1637">
        <v>49519409.375</v>
      </c>
      <c r="H1637">
        <v>0.92977855602900183</v>
      </c>
      <c r="I1637">
        <v>0.95192307692307687</v>
      </c>
      <c r="J1637">
        <v>14900360.416666668</v>
      </c>
      <c r="K1637">
        <v>83694</v>
      </c>
      <c r="L1637">
        <v>2</v>
      </c>
      <c r="M1637">
        <v>196</v>
      </c>
      <c r="N1637">
        <v>0.9565850815850816</v>
      </c>
      <c r="O1637">
        <v>15179458.208333334</v>
      </c>
      <c r="P1637">
        <v>84515</v>
      </c>
      <c r="Q1637">
        <v>2</v>
      </c>
      <c r="R1637">
        <v>197</v>
      </c>
      <c r="S1637" t="s">
        <v>1306</v>
      </c>
      <c r="W1637">
        <f>Cancer_doubles_final2[[#This Row],[mlp_params]]</f>
        <v>83694</v>
      </c>
      <c r="X1637">
        <f>Cancer_doubles_final2[[#This Row],[kan_test_acc]]</f>
        <v>0.92977855602900183</v>
      </c>
      <c r="Y1637">
        <f>Cancer_doubles_final2[[#This Row],[mlp_test_acc]]</f>
        <v>0.95192307692307687</v>
      </c>
      <c r="Z1637">
        <f>Cancer_doubles_final2[[#This Row],[mlp_test_acc2]]</f>
        <v>0.9565850815850816</v>
      </c>
    </row>
    <row r="1638" spans="1:26" hidden="1" x14ac:dyDescent="0.25">
      <c r="A1638" t="s">
        <v>19</v>
      </c>
      <c r="B1638">
        <v>9</v>
      </c>
      <c r="C1638">
        <v>4</v>
      </c>
      <c r="D1638">
        <v>0</v>
      </c>
      <c r="E1638" t="s">
        <v>592</v>
      </c>
      <c r="F1638">
        <v>51422</v>
      </c>
      <c r="G1638">
        <v>53494386.583333336</v>
      </c>
      <c r="H1638">
        <v>0.92977855354547501</v>
      </c>
      <c r="I1638">
        <v>0.95046620046620045</v>
      </c>
      <c r="J1638">
        <v>15759396.583333334</v>
      </c>
      <c r="K1638">
        <v>79649</v>
      </c>
      <c r="L1638">
        <v>2</v>
      </c>
      <c r="M1638">
        <v>191</v>
      </c>
      <c r="N1638">
        <v>0.95367132867132864</v>
      </c>
      <c r="O1638">
        <v>15704843.166666666</v>
      </c>
      <c r="P1638">
        <v>80450</v>
      </c>
      <c r="Q1638">
        <v>2</v>
      </c>
      <c r="R1638">
        <v>192</v>
      </c>
      <c r="S1638" t="s">
        <v>1307</v>
      </c>
      <c r="W1638">
        <f>Cancer_doubles_final2[[#This Row],[mlp_params]]</f>
        <v>79649</v>
      </c>
      <c r="X1638">
        <f>Cancer_doubles_final2[[#This Row],[kan_test_acc]]</f>
        <v>0.92977855354547501</v>
      </c>
      <c r="Y1638">
        <f>Cancer_doubles_final2[[#This Row],[mlp_test_acc]]</f>
        <v>0.95046620046620045</v>
      </c>
      <c r="Z1638">
        <f>Cancer_doubles_final2[[#This Row],[mlp_test_acc2]]</f>
        <v>0.95367132867132864</v>
      </c>
    </row>
    <row r="1639" spans="1:26" hidden="1" x14ac:dyDescent="0.25">
      <c r="A1639" t="s">
        <v>19</v>
      </c>
      <c r="B1639">
        <v>9</v>
      </c>
      <c r="C1639">
        <v>4</v>
      </c>
      <c r="D1639">
        <v>0</v>
      </c>
      <c r="E1639" t="s">
        <v>597</v>
      </c>
      <c r="F1639">
        <v>51612</v>
      </c>
      <c r="G1639">
        <v>51267738.416666672</v>
      </c>
      <c r="H1639">
        <v>0.92162003864844633</v>
      </c>
      <c r="I1639">
        <v>0.95104895104895104</v>
      </c>
      <c r="J1639">
        <v>15396392.083333334</v>
      </c>
      <c r="K1639">
        <v>80450</v>
      </c>
      <c r="L1639">
        <v>2</v>
      </c>
      <c r="M1639">
        <v>192</v>
      </c>
      <c r="N1639">
        <v>0.95163170163170163</v>
      </c>
      <c r="O1639">
        <v>15376732.833333332</v>
      </c>
      <c r="P1639">
        <v>81255</v>
      </c>
      <c r="Q1639">
        <v>2</v>
      </c>
      <c r="R1639">
        <v>193</v>
      </c>
      <c r="S1639" t="s">
        <v>1308</v>
      </c>
      <c r="W1639">
        <f>Cancer_doubles_final2[[#This Row],[mlp_params]]</f>
        <v>80450</v>
      </c>
      <c r="X1639">
        <f>Cancer_doubles_final2[[#This Row],[kan_test_acc]]</f>
        <v>0.92162003864844633</v>
      </c>
      <c r="Y1639">
        <f>Cancer_doubles_final2[[#This Row],[mlp_test_acc]]</f>
        <v>0.95104895104895104</v>
      </c>
      <c r="Z1639">
        <f>Cancer_doubles_final2[[#This Row],[mlp_test_acc2]]</f>
        <v>0.95163170163170163</v>
      </c>
    </row>
    <row r="1640" spans="1:26" hidden="1" x14ac:dyDescent="0.25">
      <c r="A1640" t="s">
        <v>19</v>
      </c>
      <c r="B1640">
        <v>9</v>
      </c>
      <c r="C1640">
        <v>5</v>
      </c>
      <c r="D1640">
        <v>0</v>
      </c>
      <c r="E1640" t="s">
        <v>520</v>
      </c>
      <c r="F1640">
        <v>51704</v>
      </c>
      <c r="G1640">
        <v>48699803.333333336</v>
      </c>
      <c r="H1640">
        <v>0.87179486453533173</v>
      </c>
      <c r="I1640">
        <v>0.9391025641025641</v>
      </c>
      <c r="J1640">
        <v>15690654.125</v>
      </c>
      <c r="K1640">
        <v>84515</v>
      </c>
      <c r="L1640">
        <v>2</v>
      </c>
      <c r="M1640">
        <v>197</v>
      </c>
      <c r="N1640">
        <v>0.93997668997669004</v>
      </c>
      <c r="O1640">
        <v>15702243.708333334</v>
      </c>
      <c r="P1640">
        <v>85340</v>
      </c>
      <c r="Q1640">
        <v>2</v>
      </c>
      <c r="R1640">
        <v>198</v>
      </c>
      <c r="S1640" t="s">
        <v>1309</v>
      </c>
      <c r="W1640">
        <f>Cancer_doubles_final2[[#This Row],[mlp_params]]</f>
        <v>84515</v>
      </c>
      <c r="X1640">
        <f>Cancer_doubles_final2[[#This Row],[kan_test_acc]]</f>
        <v>0.87179486453533173</v>
      </c>
      <c r="Y1640">
        <f>Cancer_doubles_final2[[#This Row],[mlp_test_acc]]</f>
        <v>0.9391025641025641</v>
      </c>
      <c r="Z1640">
        <f>Cancer_doubles_final2[[#This Row],[mlp_test_acc2]]</f>
        <v>0.93997668997669004</v>
      </c>
    </row>
    <row r="1641" spans="1:26" hidden="1" x14ac:dyDescent="0.25">
      <c r="A1641" t="s">
        <v>19</v>
      </c>
      <c r="B1641">
        <v>9</v>
      </c>
      <c r="C1641">
        <v>3</v>
      </c>
      <c r="D1641">
        <v>0</v>
      </c>
      <c r="E1641" t="s">
        <v>697</v>
      </c>
      <c r="F1641">
        <v>51998</v>
      </c>
      <c r="G1641">
        <v>50833622.166666664</v>
      </c>
      <c r="H1641">
        <v>0.8974358936150868</v>
      </c>
      <c r="I1641">
        <v>0.94784382284382285</v>
      </c>
      <c r="J1641">
        <v>13911574.666666666</v>
      </c>
      <c r="K1641">
        <v>75704</v>
      </c>
      <c r="L1641">
        <v>2</v>
      </c>
      <c r="M1641">
        <v>186</v>
      </c>
      <c r="N1641">
        <v>0.94638694638694643</v>
      </c>
      <c r="O1641">
        <v>14615107.291666668</v>
      </c>
      <c r="P1641">
        <v>76485</v>
      </c>
      <c r="Q1641">
        <v>2</v>
      </c>
      <c r="R1641">
        <v>187</v>
      </c>
      <c r="S1641" t="s">
        <v>1310</v>
      </c>
      <c r="W1641">
        <f>Cancer_doubles_final2[[#This Row],[mlp_params]]</f>
        <v>75704</v>
      </c>
      <c r="X1641">
        <f>Cancer_doubles_final2[[#This Row],[kan_test_acc]]</f>
        <v>0.8974358936150868</v>
      </c>
      <c r="Y1641">
        <f>Cancer_doubles_final2[[#This Row],[mlp_test_acc]]</f>
        <v>0.94784382284382285</v>
      </c>
      <c r="Z1641">
        <f>Cancer_doubles_final2[[#This Row],[mlp_test_acc2]]</f>
        <v>0.94638694638694643</v>
      </c>
    </row>
    <row r="1642" spans="1:26" hidden="1" x14ac:dyDescent="0.25">
      <c r="A1642" t="s">
        <v>19</v>
      </c>
      <c r="B1642">
        <v>9</v>
      </c>
      <c r="C1642">
        <v>5</v>
      </c>
      <c r="D1642">
        <v>0</v>
      </c>
      <c r="E1642" t="s">
        <v>526</v>
      </c>
      <c r="F1642">
        <v>52042</v>
      </c>
      <c r="G1642">
        <v>51310838.833333328</v>
      </c>
      <c r="H1642">
        <v>0.8849067588647207</v>
      </c>
      <c r="I1642">
        <v>0.94959207459207462</v>
      </c>
      <c r="J1642">
        <v>13833421.458333332</v>
      </c>
      <c r="K1642">
        <v>85340</v>
      </c>
      <c r="L1642">
        <v>2</v>
      </c>
      <c r="M1642">
        <v>198</v>
      </c>
      <c r="N1642">
        <v>0.94784382284382285</v>
      </c>
      <c r="O1642">
        <v>15081268.208333334</v>
      </c>
      <c r="P1642">
        <v>86169</v>
      </c>
      <c r="Q1642">
        <v>2</v>
      </c>
      <c r="R1642">
        <v>199</v>
      </c>
      <c r="S1642" t="s">
        <v>1311</v>
      </c>
      <c r="W1642">
        <f>Cancer_doubles_final2[[#This Row],[mlp_params]]</f>
        <v>85340</v>
      </c>
      <c r="X1642">
        <f>Cancer_doubles_final2[[#This Row],[kan_test_acc]]</f>
        <v>0.8849067588647207</v>
      </c>
      <c r="Y1642">
        <f>Cancer_doubles_final2[[#This Row],[mlp_test_acc]]</f>
        <v>0.94959207459207462</v>
      </c>
      <c r="Z1642">
        <f>Cancer_doubles_final2[[#This Row],[mlp_test_acc2]]</f>
        <v>0.94784382284382285</v>
      </c>
    </row>
    <row r="1643" spans="1:26" hidden="1" x14ac:dyDescent="0.25">
      <c r="A1643" t="s">
        <v>19</v>
      </c>
      <c r="B1643">
        <v>9</v>
      </c>
      <c r="C1643">
        <v>5</v>
      </c>
      <c r="D1643">
        <v>0</v>
      </c>
      <c r="E1643" t="s">
        <v>530</v>
      </c>
      <c r="F1643">
        <v>52108</v>
      </c>
      <c r="G1643">
        <v>48473583.291666664</v>
      </c>
      <c r="H1643">
        <v>0.80273893227179849</v>
      </c>
      <c r="I1643">
        <v>0.92832167832167845</v>
      </c>
      <c r="J1643">
        <v>15669205.583333332</v>
      </c>
      <c r="K1643">
        <v>85340</v>
      </c>
      <c r="L1643">
        <v>2</v>
      </c>
      <c r="M1643">
        <v>198</v>
      </c>
      <c r="N1643">
        <v>0.92861305361305368</v>
      </c>
      <c r="O1643">
        <v>16472044.375</v>
      </c>
      <c r="P1643">
        <v>86169</v>
      </c>
      <c r="Q1643">
        <v>2</v>
      </c>
      <c r="R1643">
        <v>199</v>
      </c>
      <c r="S1643" t="s">
        <v>1312</v>
      </c>
      <c r="W1643">
        <f>Cancer_doubles_final2[[#This Row],[mlp_params]]</f>
        <v>85340</v>
      </c>
      <c r="X1643">
        <f>Cancer_doubles_final2[[#This Row],[kan_test_acc]]</f>
        <v>0.80273893227179849</v>
      </c>
      <c r="Y1643">
        <f>Cancer_doubles_final2[[#This Row],[mlp_test_acc]]</f>
        <v>0.92832167832167845</v>
      </c>
      <c r="Z1643">
        <f>Cancer_doubles_final2[[#This Row],[mlp_test_acc2]]</f>
        <v>0.92861305361305368</v>
      </c>
    </row>
    <row r="1644" spans="1:26" hidden="1" x14ac:dyDescent="0.25">
      <c r="A1644" t="s">
        <v>19</v>
      </c>
      <c r="B1644">
        <v>9</v>
      </c>
      <c r="C1644">
        <v>4</v>
      </c>
      <c r="D1644">
        <v>0</v>
      </c>
      <c r="E1644" t="s">
        <v>630</v>
      </c>
      <c r="F1644">
        <v>52640</v>
      </c>
      <c r="G1644">
        <v>50945522.583333336</v>
      </c>
      <c r="H1644">
        <v>0.86596736560265231</v>
      </c>
      <c r="I1644">
        <v>0.9391025641025641</v>
      </c>
      <c r="J1644">
        <v>15612603.875</v>
      </c>
      <c r="K1644">
        <v>82064</v>
      </c>
      <c r="L1644">
        <v>2</v>
      </c>
      <c r="M1644">
        <v>194</v>
      </c>
      <c r="N1644">
        <v>0.94230769230769229</v>
      </c>
      <c r="O1644">
        <v>15965410.666666668</v>
      </c>
      <c r="P1644">
        <v>82877</v>
      </c>
      <c r="Q1644">
        <v>2</v>
      </c>
      <c r="R1644">
        <v>195</v>
      </c>
      <c r="S1644" t="s">
        <v>1313</v>
      </c>
      <c r="W1644">
        <f>Cancer_doubles_final2[[#This Row],[mlp_params]]</f>
        <v>82064</v>
      </c>
      <c r="X1644">
        <f>Cancer_doubles_final2[[#This Row],[kan_test_acc]]</f>
        <v>0.86596736560265231</v>
      </c>
      <c r="Y1644">
        <f>Cancer_doubles_final2[[#This Row],[mlp_test_acc]]</f>
        <v>0.9391025641025641</v>
      </c>
      <c r="Z1644">
        <f>Cancer_doubles_final2[[#This Row],[mlp_test_acc2]]</f>
        <v>0.94230769230769229</v>
      </c>
    </row>
    <row r="1645" spans="1:26" hidden="1" x14ac:dyDescent="0.25">
      <c r="A1645" t="s">
        <v>19</v>
      </c>
      <c r="B1645">
        <v>9</v>
      </c>
      <c r="C1645">
        <v>4</v>
      </c>
      <c r="D1645">
        <v>0</v>
      </c>
      <c r="E1645" t="s">
        <v>633</v>
      </c>
      <c r="F1645">
        <v>52894</v>
      </c>
      <c r="G1645">
        <v>52682532.125</v>
      </c>
      <c r="H1645">
        <v>0.9245337968071301</v>
      </c>
      <c r="I1645">
        <v>0.95192307692307687</v>
      </c>
      <c r="J1645">
        <v>15535888.375</v>
      </c>
      <c r="K1645">
        <v>82064</v>
      </c>
      <c r="L1645">
        <v>2</v>
      </c>
      <c r="M1645">
        <v>194</v>
      </c>
      <c r="N1645">
        <v>0.95775058275058278</v>
      </c>
      <c r="O1645">
        <v>15882360.625</v>
      </c>
      <c r="P1645">
        <v>82877</v>
      </c>
      <c r="Q1645">
        <v>2</v>
      </c>
      <c r="R1645">
        <v>195</v>
      </c>
      <c r="S1645" t="s">
        <v>1314</v>
      </c>
      <c r="W1645">
        <f>Cancer_doubles_final2[[#This Row],[mlp_params]]</f>
        <v>82064</v>
      </c>
      <c r="X1645">
        <f>Cancer_doubles_final2[[#This Row],[kan_test_acc]]</f>
        <v>0.9245337968071301</v>
      </c>
      <c r="Y1645">
        <f>Cancer_doubles_final2[[#This Row],[mlp_test_acc]]</f>
        <v>0.95192307692307687</v>
      </c>
      <c r="Z1645">
        <f>Cancer_doubles_final2[[#This Row],[mlp_test_acc2]]</f>
        <v>0.95775058275058278</v>
      </c>
    </row>
    <row r="1646" spans="1:26" hidden="1" x14ac:dyDescent="0.25">
      <c r="A1646" t="s">
        <v>19</v>
      </c>
      <c r="B1646">
        <v>9</v>
      </c>
      <c r="C1646">
        <v>5</v>
      </c>
      <c r="D1646">
        <v>0</v>
      </c>
      <c r="E1646" t="s">
        <v>550</v>
      </c>
      <c r="F1646">
        <v>52930</v>
      </c>
      <c r="G1646">
        <v>50833553.5</v>
      </c>
      <c r="H1646">
        <v>0.87470862517754233</v>
      </c>
      <c r="I1646">
        <v>0.93851981351981362</v>
      </c>
      <c r="J1646">
        <v>15711191.666666666</v>
      </c>
      <c r="K1646">
        <v>87002</v>
      </c>
      <c r="L1646">
        <v>2</v>
      </c>
      <c r="M1646">
        <v>200</v>
      </c>
      <c r="N1646">
        <v>0.9443473193473193</v>
      </c>
      <c r="O1646">
        <v>16799984.875</v>
      </c>
      <c r="P1646">
        <v>87839</v>
      </c>
      <c r="Q1646">
        <v>2</v>
      </c>
      <c r="R1646">
        <v>201</v>
      </c>
      <c r="S1646" t="s">
        <v>1315</v>
      </c>
      <c r="W1646">
        <f>Cancer_doubles_final2[[#This Row],[mlp_params]]</f>
        <v>87002</v>
      </c>
      <c r="X1646">
        <f>Cancer_doubles_final2[[#This Row],[kan_test_acc]]</f>
        <v>0.87470862517754233</v>
      </c>
      <c r="Y1646">
        <f>Cancer_doubles_final2[[#This Row],[mlp_test_acc]]</f>
        <v>0.93851981351981362</v>
      </c>
      <c r="Z1646">
        <f>Cancer_doubles_final2[[#This Row],[mlp_test_acc2]]</f>
        <v>0.9443473193473193</v>
      </c>
    </row>
    <row r="1647" spans="1:26" hidden="1" x14ac:dyDescent="0.25">
      <c r="A1647" t="s">
        <v>19</v>
      </c>
      <c r="B1647">
        <v>9</v>
      </c>
      <c r="C1647">
        <v>3</v>
      </c>
      <c r="D1647">
        <v>0</v>
      </c>
      <c r="E1647" t="s">
        <v>731</v>
      </c>
      <c r="F1647">
        <v>53200</v>
      </c>
      <c r="G1647">
        <v>50283603.75</v>
      </c>
      <c r="H1647">
        <v>0.89889277269442869</v>
      </c>
      <c r="I1647">
        <v>0.94638694638694632</v>
      </c>
      <c r="J1647">
        <v>14866462.833333334</v>
      </c>
      <c r="K1647">
        <v>77270</v>
      </c>
      <c r="L1647">
        <v>2</v>
      </c>
      <c r="M1647">
        <v>188</v>
      </c>
      <c r="N1647">
        <v>0.9475524475524475</v>
      </c>
      <c r="O1647">
        <v>15896413.583333334</v>
      </c>
      <c r="P1647">
        <v>78059</v>
      </c>
      <c r="Q1647">
        <v>2</v>
      </c>
      <c r="R1647">
        <v>189</v>
      </c>
      <c r="S1647" t="s">
        <v>1316</v>
      </c>
      <c r="W1647">
        <f>Cancer_doubles_final2[[#This Row],[mlp_params]]</f>
        <v>77270</v>
      </c>
      <c r="X1647">
        <f>Cancer_doubles_final2[[#This Row],[kan_test_acc]]</f>
        <v>0.89889277269442869</v>
      </c>
      <c r="Y1647">
        <f>Cancer_doubles_final2[[#This Row],[mlp_test_acc]]</f>
        <v>0.94638694638694632</v>
      </c>
      <c r="Z1647">
        <f>Cancer_doubles_final2[[#This Row],[mlp_test_acc2]]</f>
        <v>0.9475524475524475</v>
      </c>
    </row>
    <row r="1648" spans="1:26" hidden="1" x14ac:dyDescent="0.25">
      <c r="A1648" t="s">
        <v>19</v>
      </c>
      <c r="B1648">
        <v>9</v>
      </c>
      <c r="C1648">
        <v>5</v>
      </c>
      <c r="D1648">
        <v>0</v>
      </c>
      <c r="E1648" t="s">
        <v>561</v>
      </c>
      <c r="F1648">
        <v>53336</v>
      </c>
      <c r="G1648">
        <v>50835449.791666664</v>
      </c>
      <c r="H1648">
        <v>0.89335664361715317</v>
      </c>
      <c r="I1648">
        <v>0.94580419580419584</v>
      </c>
      <c r="J1648">
        <v>15011604.166666668</v>
      </c>
      <c r="K1648">
        <v>87002</v>
      </c>
      <c r="L1648">
        <v>2</v>
      </c>
      <c r="M1648">
        <v>200</v>
      </c>
      <c r="N1648">
        <v>0.94551282051282048</v>
      </c>
      <c r="O1648">
        <v>15230431.291666668</v>
      </c>
      <c r="P1648">
        <v>87839</v>
      </c>
      <c r="Q1648">
        <v>2</v>
      </c>
      <c r="R1648">
        <v>201</v>
      </c>
      <c r="S1648" t="s">
        <v>1317</v>
      </c>
      <c r="W1648">
        <f>Cancer_doubles_final2[[#This Row],[mlp_params]]</f>
        <v>87002</v>
      </c>
      <c r="X1648">
        <f>Cancer_doubles_final2[[#This Row],[kan_test_acc]]</f>
        <v>0.89335664361715317</v>
      </c>
      <c r="Y1648">
        <f>Cancer_doubles_final2[[#This Row],[mlp_test_acc]]</f>
        <v>0.94580419580419584</v>
      </c>
      <c r="Z1648">
        <f>Cancer_doubles_final2[[#This Row],[mlp_test_acc2]]</f>
        <v>0.94551282051282048</v>
      </c>
    </row>
    <row r="1649" spans="1:26" hidden="1" x14ac:dyDescent="0.25">
      <c r="A1649" t="s">
        <v>19</v>
      </c>
      <c r="B1649">
        <v>9</v>
      </c>
      <c r="C1649">
        <v>5</v>
      </c>
      <c r="D1649">
        <v>0</v>
      </c>
      <c r="E1649" t="s">
        <v>563</v>
      </c>
      <c r="F1649">
        <v>53470</v>
      </c>
      <c r="G1649">
        <v>49424429.125</v>
      </c>
      <c r="H1649">
        <v>0.839452217022578</v>
      </c>
      <c r="I1649">
        <v>0.9222027972027973</v>
      </c>
      <c r="J1649">
        <v>16451168.666666668</v>
      </c>
      <c r="K1649">
        <v>87839</v>
      </c>
      <c r="L1649">
        <v>2</v>
      </c>
      <c r="M1649">
        <v>201</v>
      </c>
      <c r="N1649">
        <v>0.92511655011655014</v>
      </c>
      <c r="O1649">
        <v>16701890.958333334</v>
      </c>
      <c r="P1649">
        <v>88680</v>
      </c>
      <c r="Q1649">
        <v>2</v>
      </c>
      <c r="R1649">
        <v>202</v>
      </c>
      <c r="S1649" t="s">
        <v>1318</v>
      </c>
      <c r="W1649">
        <f>Cancer_doubles_final2[[#This Row],[mlp_params]]</f>
        <v>87839</v>
      </c>
      <c r="X1649">
        <f>Cancer_doubles_final2[[#This Row],[kan_test_acc]]</f>
        <v>0.839452217022578</v>
      </c>
      <c r="Y1649">
        <f>Cancer_doubles_final2[[#This Row],[mlp_test_acc]]</f>
        <v>0.9222027972027973</v>
      </c>
      <c r="Z1649">
        <f>Cancer_doubles_final2[[#This Row],[mlp_test_acc2]]</f>
        <v>0.92511655011655014</v>
      </c>
    </row>
    <row r="1650" spans="1:26" hidden="1" x14ac:dyDescent="0.25">
      <c r="A1650" t="s">
        <v>19</v>
      </c>
      <c r="B1650">
        <v>9</v>
      </c>
      <c r="C1650">
        <v>4</v>
      </c>
      <c r="D1650">
        <v>0</v>
      </c>
      <c r="E1650" t="s">
        <v>656</v>
      </c>
      <c r="F1650">
        <v>53858</v>
      </c>
      <c r="G1650">
        <v>50237663.5</v>
      </c>
      <c r="H1650">
        <v>0.8939393932620685</v>
      </c>
      <c r="I1650">
        <v>0.93968531468531469</v>
      </c>
      <c r="J1650">
        <v>16263194.75</v>
      </c>
      <c r="K1650">
        <v>83694</v>
      </c>
      <c r="L1650">
        <v>2</v>
      </c>
      <c r="M1650">
        <v>196</v>
      </c>
      <c r="N1650">
        <v>0.93968531468531469</v>
      </c>
      <c r="O1650">
        <v>16809811.833333336</v>
      </c>
      <c r="P1650">
        <v>84515</v>
      </c>
      <c r="Q1650">
        <v>2</v>
      </c>
      <c r="R1650">
        <v>197</v>
      </c>
      <c r="S1650" t="s">
        <v>1319</v>
      </c>
      <c r="W1650">
        <f>Cancer_doubles_final2[[#This Row],[mlp_params]]</f>
        <v>83694</v>
      </c>
      <c r="X1650">
        <f>Cancer_doubles_final2[[#This Row],[kan_test_acc]]</f>
        <v>0.8939393932620685</v>
      </c>
      <c r="Y1650">
        <f>Cancer_doubles_final2[[#This Row],[mlp_test_acc]]</f>
        <v>0.93968531468531469</v>
      </c>
      <c r="Z1650">
        <f>Cancer_doubles_final2[[#This Row],[mlp_test_acc2]]</f>
        <v>0.93968531468531469</v>
      </c>
    </row>
    <row r="1651" spans="1:26" hidden="1" x14ac:dyDescent="0.25">
      <c r="A1651" t="s">
        <v>19</v>
      </c>
      <c r="B1651">
        <v>9</v>
      </c>
      <c r="C1651">
        <v>5</v>
      </c>
      <c r="D1651">
        <v>0</v>
      </c>
      <c r="E1651" t="s">
        <v>582</v>
      </c>
      <c r="F1651">
        <v>54156</v>
      </c>
      <c r="G1651">
        <v>55112805.083333328</v>
      </c>
      <c r="H1651">
        <v>0.9032633975148201</v>
      </c>
      <c r="I1651">
        <v>0.94055944055944063</v>
      </c>
      <c r="J1651">
        <v>16002401.875</v>
      </c>
      <c r="K1651">
        <v>88680</v>
      </c>
      <c r="L1651">
        <v>2</v>
      </c>
      <c r="M1651">
        <v>202</v>
      </c>
      <c r="N1651">
        <v>0.93968531468531469</v>
      </c>
      <c r="O1651">
        <v>16695507.583333334</v>
      </c>
      <c r="P1651">
        <v>89525</v>
      </c>
      <c r="Q1651">
        <v>2</v>
      </c>
      <c r="R1651">
        <v>203</v>
      </c>
      <c r="S1651" t="s">
        <v>1320</v>
      </c>
      <c r="W1651">
        <f>Cancer_doubles_final2[[#This Row],[mlp_params]]</f>
        <v>88680</v>
      </c>
      <c r="X1651">
        <f>Cancer_doubles_final2[[#This Row],[kan_test_acc]]</f>
        <v>0.9032633975148201</v>
      </c>
      <c r="Y1651">
        <f>Cancer_doubles_final2[[#This Row],[mlp_test_acc]]</f>
        <v>0.94055944055944063</v>
      </c>
      <c r="Z1651">
        <f>Cancer_doubles_final2[[#This Row],[mlp_test_acc2]]</f>
        <v>0.93968531468531469</v>
      </c>
    </row>
    <row r="1652" spans="1:26" hidden="1" x14ac:dyDescent="0.25">
      <c r="A1652" t="s">
        <v>19</v>
      </c>
      <c r="B1652">
        <v>9</v>
      </c>
      <c r="C1652">
        <v>4</v>
      </c>
      <c r="D1652">
        <v>0</v>
      </c>
      <c r="E1652" t="s">
        <v>669</v>
      </c>
      <c r="F1652">
        <v>54176</v>
      </c>
      <c r="G1652">
        <v>55739112.458333328</v>
      </c>
      <c r="H1652">
        <v>0.89393939574559522</v>
      </c>
      <c r="I1652">
        <v>0.9396853146853148</v>
      </c>
      <c r="J1652">
        <v>15943699.166666668</v>
      </c>
      <c r="K1652">
        <v>84515</v>
      </c>
      <c r="L1652">
        <v>2</v>
      </c>
      <c r="M1652">
        <v>197</v>
      </c>
      <c r="N1652">
        <v>0.94376456876456882</v>
      </c>
      <c r="O1652">
        <v>17104607.75</v>
      </c>
      <c r="P1652">
        <v>85340</v>
      </c>
      <c r="Q1652">
        <v>2</v>
      </c>
      <c r="R1652">
        <v>198</v>
      </c>
      <c r="S1652" t="s">
        <v>1321</v>
      </c>
      <c r="W1652">
        <f>Cancer_doubles_final2[[#This Row],[mlp_params]]</f>
        <v>84515</v>
      </c>
      <c r="X1652">
        <f>Cancer_doubles_final2[[#This Row],[kan_test_acc]]</f>
        <v>0.89393939574559522</v>
      </c>
      <c r="Y1652">
        <f>Cancer_doubles_final2[[#This Row],[mlp_test_acc]]</f>
        <v>0.9396853146853148</v>
      </c>
      <c r="Z1652">
        <f>Cancer_doubles_final2[[#This Row],[mlp_test_acc2]]</f>
        <v>0.94376456876456882</v>
      </c>
    </row>
    <row r="1653" spans="1:26" hidden="1" x14ac:dyDescent="0.25">
      <c r="A1653" t="s">
        <v>19</v>
      </c>
      <c r="B1653">
        <v>9</v>
      </c>
      <c r="C1653">
        <v>5</v>
      </c>
      <c r="D1653">
        <v>0</v>
      </c>
      <c r="E1653" t="s">
        <v>592</v>
      </c>
      <c r="F1653">
        <v>54630</v>
      </c>
      <c r="G1653">
        <v>56087771.5</v>
      </c>
      <c r="H1653">
        <v>0.89364801843961073</v>
      </c>
      <c r="I1653">
        <v>0.93851981351981362</v>
      </c>
      <c r="J1653">
        <v>16008399.458333332</v>
      </c>
      <c r="K1653">
        <v>89525</v>
      </c>
      <c r="L1653">
        <v>2</v>
      </c>
      <c r="M1653">
        <v>203</v>
      </c>
      <c r="N1653">
        <v>0.94201631701631694</v>
      </c>
      <c r="O1653">
        <v>16417733.208333332</v>
      </c>
      <c r="P1653">
        <v>90374</v>
      </c>
      <c r="Q1653">
        <v>2</v>
      </c>
      <c r="R1653">
        <v>204</v>
      </c>
      <c r="S1653" t="s">
        <v>1322</v>
      </c>
      <c r="W1653">
        <f>Cancer_doubles_final2[[#This Row],[mlp_params]]</f>
        <v>89525</v>
      </c>
      <c r="X1653">
        <f>Cancer_doubles_final2[[#This Row],[kan_test_acc]]</f>
        <v>0.89364801843961073</v>
      </c>
      <c r="Y1653">
        <f>Cancer_doubles_final2[[#This Row],[mlp_test_acc]]</f>
        <v>0.93851981351981362</v>
      </c>
      <c r="Z1653">
        <f>Cancer_doubles_final2[[#This Row],[mlp_test_acc2]]</f>
        <v>0.94201631701631694</v>
      </c>
    </row>
    <row r="1654" spans="1:26" hidden="1" x14ac:dyDescent="0.25">
      <c r="A1654" t="s">
        <v>19</v>
      </c>
      <c r="B1654">
        <v>9</v>
      </c>
      <c r="C1654">
        <v>5</v>
      </c>
      <c r="D1654">
        <v>0</v>
      </c>
      <c r="E1654" t="s">
        <v>597</v>
      </c>
      <c r="F1654">
        <v>54832</v>
      </c>
      <c r="G1654">
        <v>52933341.875</v>
      </c>
      <c r="H1654">
        <v>0.85139859716097521</v>
      </c>
      <c r="I1654">
        <v>0.92278554778554778</v>
      </c>
      <c r="J1654">
        <v>16688218.541666668</v>
      </c>
      <c r="K1654">
        <v>89525</v>
      </c>
      <c r="L1654">
        <v>2</v>
      </c>
      <c r="M1654">
        <v>203</v>
      </c>
      <c r="N1654">
        <v>0.92395104895104896</v>
      </c>
      <c r="O1654">
        <v>16388194.166666664</v>
      </c>
      <c r="P1654">
        <v>90374</v>
      </c>
      <c r="Q1654">
        <v>2</v>
      </c>
      <c r="R1654">
        <v>204</v>
      </c>
      <c r="S1654" t="s">
        <v>1323</v>
      </c>
      <c r="W1654">
        <f>Cancer_doubles_final2[[#This Row],[mlp_params]]</f>
        <v>89525</v>
      </c>
      <c r="X1654">
        <f>Cancer_doubles_final2[[#This Row],[kan_test_acc]]</f>
        <v>0.85139859716097521</v>
      </c>
      <c r="Y1654">
        <f>Cancer_doubles_final2[[#This Row],[mlp_test_acc]]</f>
        <v>0.92278554778554778</v>
      </c>
      <c r="Z1654">
        <f>Cancer_doubles_final2[[#This Row],[mlp_test_acc2]]</f>
        <v>0.92395104895104896</v>
      </c>
    </row>
    <row r="1655" spans="1:26" hidden="1" x14ac:dyDescent="0.25">
      <c r="A1655" t="s">
        <v>19</v>
      </c>
      <c r="B1655">
        <v>9</v>
      </c>
      <c r="C1655">
        <v>4</v>
      </c>
      <c r="D1655">
        <v>0</v>
      </c>
      <c r="E1655" t="s">
        <v>697</v>
      </c>
      <c r="F1655">
        <v>55458</v>
      </c>
      <c r="G1655">
        <v>51213478.208333336</v>
      </c>
      <c r="H1655">
        <v>0.87703962872425723</v>
      </c>
      <c r="I1655">
        <v>0.9391025641025641</v>
      </c>
      <c r="J1655">
        <v>16664928.916666668</v>
      </c>
      <c r="K1655">
        <v>86169</v>
      </c>
      <c r="L1655">
        <v>2</v>
      </c>
      <c r="M1655">
        <v>199</v>
      </c>
      <c r="N1655">
        <v>0.94143356643356646</v>
      </c>
      <c r="O1655">
        <v>16908764.375</v>
      </c>
      <c r="P1655">
        <v>87002</v>
      </c>
      <c r="Q1655">
        <v>2</v>
      </c>
      <c r="R1655">
        <v>200</v>
      </c>
      <c r="S1655" t="s">
        <v>1324</v>
      </c>
      <c r="W1655">
        <f>Cancer_doubles_final2[[#This Row],[mlp_params]]</f>
        <v>86169</v>
      </c>
      <c r="X1655">
        <f>Cancer_doubles_final2[[#This Row],[kan_test_acc]]</f>
        <v>0.87703962872425723</v>
      </c>
      <c r="Y1655">
        <f>Cancer_doubles_final2[[#This Row],[mlp_test_acc]]</f>
        <v>0.9391025641025641</v>
      </c>
      <c r="Z1655">
        <f>Cancer_doubles_final2[[#This Row],[mlp_test_acc2]]</f>
        <v>0.94143356643356646</v>
      </c>
    </row>
    <row r="1656" spans="1:26" hidden="1" x14ac:dyDescent="0.25">
      <c r="A1656" t="s">
        <v>19</v>
      </c>
      <c r="B1656">
        <v>9</v>
      </c>
      <c r="C1656">
        <v>5</v>
      </c>
      <c r="D1656">
        <v>0</v>
      </c>
      <c r="E1656" t="s">
        <v>630</v>
      </c>
      <c r="F1656">
        <v>55924</v>
      </c>
      <c r="G1656">
        <v>56174819.583333336</v>
      </c>
      <c r="H1656">
        <v>0.87092074751853943</v>
      </c>
      <c r="I1656">
        <v>0.93968531468531469</v>
      </c>
      <c r="J1656">
        <v>16046637.416666666</v>
      </c>
      <c r="K1656">
        <v>91227</v>
      </c>
      <c r="L1656">
        <v>2</v>
      </c>
      <c r="M1656">
        <v>205</v>
      </c>
      <c r="N1656">
        <v>0.94143356643356646</v>
      </c>
      <c r="O1656">
        <v>16774854.5</v>
      </c>
      <c r="P1656">
        <v>92084</v>
      </c>
      <c r="Q1656">
        <v>2</v>
      </c>
      <c r="R1656">
        <v>206</v>
      </c>
      <c r="S1656" t="s">
        <v>1325</v>
      </c>
      <c r="W1656">
        <f>Cancer_doubles_final2[[#This Row],[mlp_params]]</f>
        <v>91227</v>
      </c>
      <c r="X1656">
        <f>Cancer_doubles_final2[[#This Row],[kan_test_acc]]</f>
        <v>0.87092074751853943</v>
      </c>
      <c r="Y1656">
        <f>Cancer_doubles_final2[[#This Row],[mlp_test_acc]]</f>
        <v>0.93968531468531469</v>
      </c>
      <c r="Z1656">
        <f>Cancer_doubles_final2[[#This Row],[mlp_test_acc2]]</f>
        <v>0.94143356643356646</v>
      </c>
    </row>
    <row r="1657" spans="1:26" hidden="1" x14ac:dyDescent="0.25">
      <c r="A1657" t="s">
        <v>19</v>
      </c>
      <c r="B1657">
        <v>9</v>
      </c>
      <c r="C1657">
        <v>5</v>
      </c>
      <c r="D1657">
        <v>0</v>
      </c>
      <c r="E1657" t="s">
        <v>633</v>
      </c>
      <c r="F1657">
        <v>56194</v>
      </c>
      <c r="G1657">
        <v>58043437.125</v>
      </c>
      <c r="H1657">
        <v>0.82196969787279772</v>
      </c>
      <c r="I1657">
        <v>0.92599067599067608</v>
      </c>
      <c r="J1657">
        <v>16347337.458333332</v>
      </c>
      <c r="K1657">
        <v>92084</v>
      </c>
      <c r="L1657">
        <v>2</v>
      </c>
      <c r="M1657">
        <v>206</v>
      </c>
      <c r="N1657">
        <v>0.92657342657342656</v>
      </c>
      <c r="O1657">
        <v>16591113.125</v>
      </c>
      <c r="P1657">
        <v>92945</v>
      </c>
      <c r="Q1657">
        <v>2</v>
      </c>
      <c r="R1657">
        <v>207</v>
      </c>
      <c r="S1657" t="s">
        <v>1326</v>
      </c>
      <c r="W1657">
        <f>Cancer_doubles_final2[[#This Row],[mlp_params]]</f>
        <v>92084</v>
      </c>
      <c r="X1657">
        <f>Cancer_doubles_final2[[#This Row],[kan_test_acc]]</f>
        <v>0.82196969787279772</v>
      </c>
      <c r="Y1657">
        <f>Cancer_doubles_final2[[#This Row],[mlp_test_acc]]</f>
        <v>0.92599067599067608</v>
      </c>
      <c r="Z1657">
        <f>Cancer_doubles_final2[[#This Row],[mlp_test_acc2]]</f>
        <v>0.92657342657342656</v>
      </c>
    </row>
    <row r="1658" spans="1:26" hidden="1" x14ac:dyDescent="0.25">
      <c r="A1658" t="s">
        <v>19</v>
      </c>
      <c r="B1658">
        <v>9</v>
      </c>
      <c r="C1658">
        <v>4</v>
      </c>
      <c r="D1658">
        <v>0</v>
      </c>
      <c r="E1658" t="s">
        <v>731</v>
      </c>
      <c r="F1658">
        <v>56740</v>
      </c>
      <c r="G1658">
        <v>59061923.208333336</v>
      </c>
      <c r="H1658">
        <v>0.86858974645535159</v>
      </c>
      <c r="I1658">
        <v>0.93939393939393945</v>
      </c>
      <c r="J1658">
        <v>16966837.375</v>
      </c>
      <c r="K1658">
        <v>87839</v>
      </c>
      <c r="L1658">
        <v>2</v>
      </c>
      <c r="M1658">
        <v>201</v>
      </c>
      <c r="N1658">
        <v>0.93851981351981351</v>
      </c>
      <c r="O1658">
        <v>16532791.25</v>
      </c>
      <c r="P1658">
        <v>88680</v>
      </c>
      <c r="Q1658">
        <v>2</v>
      </c>
      <c r="R1658">
        <v>202</v>
      </c>
      <c r="S1658" t="s">
        <v>1327</v>
      </c>
      <c r="W1658">
        <f>Cancer_doubles_final2[[#This Row],[mlp_params]]</f>
        <v>87839</v>
      </c>
      <c r="X1658">
        <f>Cancer_doubles_final2[[#This Row],[kan_test_acc]]</f>
        <v>0.86858974645535159</v>
      </c>
      <c r="Y1658">
        <f>Cancer_doubles_final2[[#This Row],[mlp_test_acc]]</f>
        <v>0.93939393939393945</v>
      </c>
      <c r="Z1658">
        <f>Cancer_doubles_final2[[#This Row],[mlp_test_acc2]]</f>
        <v>0.93851981351981351</v>
      </c>
    </row>
    <row r="1659" spans="1:26" hidden="1" x14ac:dyDescent="0.25">
      <c r="A1659" t="s">
        <v>19</v>
      </c>
      <c r="B1659">
        <v>9</v>
      </c>
      <c r="C1659">
        <v>5</v>
      </c>
      <c r="D1659">
        <v>0</v>
      </c>
      <c r="E1659" t="s">
        <v>656</v>
      </c>
      <c r="F1659">
        <v>57218</v>
      </c>
      <c r="G1659">
        <v>57299484.541666672</v>
      </c>
      <c r="H1659">
        <v>0.85897435992956161</v>
      </c>
      <c r="I1659">
        <v>0.9391025641025641</v>
      </c>
      <c r="J1659">
        <v>16619485.75</v>
      </c>
      <c r="K1659">
        <v>93810</v>
      </c>
      <c r="L1659">
        <v>2</v>
      </c>
      <c r="M1659">
        <v>208</v>
      </c>
      <c r="N1659">
        <v>0.93968531468531469</v>
      </c>
      <c r="O1659">
        <v>16686494.041666668</v>
      </c>
      <c r="P1659">
        <v>94679</v>
      </c>
      <c r="Q1659">
        <v>2</v>
      </c>
      <c r="R1659">
        <v>209</v>
      </c>
      <c r="S1659" t="s">
        <v>1328</v>
      </c>
      <c r="W1659">
        <f>Cancer_doubles_final2[[#This Row],[mlp_params]]</f>
        <v>93810</v>
      </c>
      <c r="X1659">
        <f>Cancer_doubles_final2[[#This Row],[kan_test_acc]]</f>
        <v>0.85897435992956161</v>
      </c>
      <c r="Y1659">
        <f>Cancer_doubles_final2[[#This Row],[mlp_test_acc]]</f>
        <v>0.9391025641025641</v>
      </c>
      <c r="Z1659">
        <f>Cancer_doubles_final2[[#This Row],[mlp_test_acc2]]</f>
        <v>0.93968531468531469</v>
      </c>
    </row>
    <row r="1660" spans="1:26" hidden="1" x14ac:dyDescent="0.25">
      <c r="A1660" t="s">
        <v>19</v>
      </c>
      <c r="B1660">
        <v>9</v>
      </c>
      <c r="C1660">
        <v>5</v>
      </c>
      <c r="D1660">
        <v>0</v>
      </c>
      <c r="E1660" t="s">
        <v>669</v>
      </c>
      <c r="F1660">
        <v>57556</v>
      </c>
      <c r="G1660">
        <v>56822996.833333336</v>
      </c>
      <c r="H1660">
        <v>0.80623543510834383</v>
      </c>
      <c r="I1660">
        <v>0.92511655011655014</v>
      </c>
      <c r="J1660">
        <v>16565720.083333332</v>
      </c>
      <c r="K1660">
        <v>94679</v>
      </c>
      <c r="L1660">
        <v>2</v>
      </c>
      <c r="M1660">
        <v>209</v>
      </c>
      <c r="N1660">
        <v>0.92919580419580416</v>
      </c>
      <c r="O1660">
        <v>16528945.75</v>
      </c>
      <c r="P1660">
        <v>95552</v>
      </c>
      <c r="Q1660">
        <v>2</v>
      </c>
      <c r="R1660">
        <v>210</v>
      </c>
      <c r="S1660" t="s">
        <v>1329</v>
      </c>
      <c r="W1660">
        <f>Cancer_doubles_final2[[#This Row],[mlp_params]]</f>
        <v>94679</v>
      </c>
      <c r="X1660">
        <f>Cancer_doubles_final2[[#This Row],[kan_test_acc]]</f>
        <v>0.80623543510834383</v>
      </c>
      <c r="Y1660">
        <f>Cancer_doubles_final2[[#This Row],[mlp_test_acc]]</f>
        <v>0.92511655011655014</v>
      </c>
      <c r="Z1660">
        <f>Cancer_doubles_final2[[#This Row],[mlp_test_acc2]]</f>
        <v>0.92919580419580416</v>
      </c>
    </row>
    <row r="1661" spans="1:26" hidden="1" x14ac:dyDescent="0.25">
      <c r="A1661" t="s">
        <v>19</v>
      </c>
      <c r="B1661">
        <v>9</v>
      </c>
      <c r="C1661">
        <v>5</v>
      </c>
      <c r="D1661">
        <v>0</v>
      </c>
      <c r="E1661" t="s">
        <v>697</v>
      </c>
      <c r="F1661">
        <v>58918</v>
      </c>
      <c r="G1661">
        <v>57505491.916666664</v>
      </c>
      <c r="H1661">
        <v>0.81847320000330614</v>
      </c>
      <c r="I1661">
        <v>0.92395104895104896</v>
      </c>
      <c r="J1661">
        <v>16996302.583333332</v>
      </c>
      <c r="K1661">
        <v>96429</v>
      </c>
      <c r="L1661">
        <v>2</v>
      </c>
      <c r="M1661">
        <v>211</v>
      </c>
      <c r="N1661">
        <v>0.92919580419580416</v>
      </c>
      <c r="O1661">
        <v>16211375.458333332</v>
      </c>
      <c r="P1661">
        <v>97310</v>
      </c>
      <c r="Q1661">
        <v>2</v>
      </c>
      <c r="R1661">
        <v>212</v>
      </c>
      <c r="S1661" t="s">
        <v>1330</v>
      </c>
      <c r="W1661">
        <f>Cancer_doubles_final2[[#This Row],[mlp_params]]</f>
        <v>96429</v>
      </c>
      <c r="X1661">
        <f>Cancer_doubles_final2[[#This Row],[kan_test_acc]]</f>
        <v>0.81847320000330614</v>
      </c>
      <c r="Y1661">
        <f>Cancer_doubles_final2[[#This Row],[mlp_test_acc]]</f>
        <v>0.92395104895104896</v>
      </c>
      <c r="Z1661">
        <f>Cancer_doubles_final2[[#This Row],[mlp_test_acc2]]</f>
        <v>0.92919580419580416</v>
      </c>
    </row>
    <row r="1662" spans="1:26" hidden="1" x14ac:dyDescent="0.25">
      <c r="A1662" t="s">
        <v>19</v>
      </c>
      <c r="B1662">
        <v>9</v>
      </c>
      <c r="C1662">
        <v>5</v>
      </c>
      <c r="D1662">
        <v>0</v>
      </c>
      <c r="E1662" t="s">
        <v>731</v>
      </c>
      <c r="F1662">
        <v>60280</v>
      </c>
      <c r="G1662">
        <v>58823672.333333328</v>
      </c>
      <c r="H1662">
        <v>0.81759907056887937</v>
      </c>
      <c r="I1662">
        <v>0.92424242424242431</v>
      </c>
      <c r="J1662">
        <v>16770260.25</v>
      </c>
      <c r="K1662">
        <v>99084</v>
      </c>
      <c r="L1662">
        <v>2</v>
      </c>
      <c r="M1662">
        <v>214</v>
      </c>
      <c r="N1662">
        <v>0.92773892773892774</v>
      </c>
      <c r="O1662">
        <v>16435371.5</v>
      </c>
      <c r="P1662">
        <v>99977</v>
      </c>
      <c r="Q1662">
        <v>2</v>
      </c>
      <c r="R1662">
        <v>215</v>
      </c>
      <c r="S1662" t="s">
        <v>1331</v>
      </c>
      <c r="W1662">
        <f>Cancer_doubles_final2[[#This Row],[mlp_params]]</f>
        <v>99084</v>
      </c>
      <c r="X1662">
        <f>Cancer_doubles_final2[[#This Row],[kan_test_acc]]</f>
        <v>0.81759907056887937</v>
      </c>
      <c r="Y1662">
        <f>Cancer_doubles_final2[[#This Row],[mlp_test_acc]]</f>
        <v>0.92424242424242431</v>
      </c>
      <c r="Z1662">
        <f>Cancer_doubles_final2[[#This Row],[mlp_test_acc2]]</f>
        <v>0.92773892773892774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F8928-6BC9-4E33-A144-78491AB26CBC}">
  <dimension ref="A1:S474"/>
  <sheetViews>
    <sheetView topLeftCell="A438" workbookViewId="0">
      <selection activeCell="A474" sqref="A474"/>
    </sheetView>
  </sheetViews>
  <sheetFormatPr defaultRowHeight="15" x14ac:dyDescent="0.25"/>
  <cols>
    <col min="1" max="4" width="11.42578125" bestFit="1" customWidth="1"/>
    <col min="5" max="5" width="14.28515625" bestFit="1" customWidth="1"/>
    <col min="6" max="6" width="11.42578125" bestFit="1" customWidth="1"/>
    <col min="7" max="9" width="12" bestFit="1" customWidth="1"/>
    <col min="10" max="18" width="12.42578125" bestFit="1" customWidth="1"/>
    <col min="19" max="19" width="23.5703125" bestFit="1" customWidth="1"/>
  </cols>
  <sheetData>
    <row r="1" spans="1:19" x14ac:dyDescent="0.25">
      <c r="A1" t="s">
        <v>18</v>
      </c>
      <c r="B1" t="s">
        <v>2911</v>
      </c>
      <c r="C1" t="s">
        <v>2910</v>
      </c>
      <c r="D1" t="s">
        <v>2909</v>
      </c>
      <c r="E1" t="s">
        <v>2908</v>
      </c>
      <c r="F1" t="s">
        <v>2907</v>
      </c>
      <c r="G1" t="s">
        <v>2906</v>
      </c>
      <c r="H1" t="s">
        <v>2905</v>
      </c>
      <c r="I1" t="s">
        <v>2904</v>
      </c>
      <c r="J1" t="s">
        <v>2903</v>
      </c>
      <c r="K1" t="s">
        <v>2902</v>
      </c>
      <c r="L1" t="s">
        <v>2901</v>
      </c>
      <c r="M1" t="s">
        <v>2900</v>
      </c>
      <c r="N1" t="s">
        <v>2899</v>
      </c>
      <c r="O1" t="s">
        <v>2898</v>
      </c>
      <c r="P1" t="s">
        <v>2897</v>
      </c>
      <c r="Q1" t="s">
        <v>2896</v>
      </c>
      <c r="R1" t="s">
        <v>2895</v>
      </c>
      <c r="S1" t="s">
        <v>2894</v>
      </c>
    </row>
    <row r="2" spans="1:19" x14ac:dyDescent="0.25">
      <c r="A2" t="s">
        <v>1979</v>
      </c>
      <c r="B2">
        <v>3</v>
      </c>
      <c r="C2">
        <v>4</v>
      </c>
      <c r="D2">
        <v>0</v>
      </c>
      <c r="E2" t="s">
        <v>2388</v>
      </c>
      <c r="F2">
        <v>74110</v>
      </c>
      <c r="G2">
        <v>94163609.333333328</v>
      </c>
      <c r="H2">
        <v>0.95814814170201623</v>
      </c>
      <c r="I2">
        <v>0.9555555555555556</v>
      </c>
      <c r="J2">
        <v>18059075.166666668</v>
      </c>
      <c r="K2">
        <v>139984</v>
      </c>
      <c r="L2">
        <v>2</v>
      </c>
      <c r="M2">
        <v>246</v>
      </c>
      <c r="N2">
        <v>0.96</v>
      </c>
      <c r="O2">
        <v>20909630.833333332</v>
      </c>
      <c r="P2">
        <v>141047</v>
      </c>
      <c r="Q2">
        <v>2</v>
      </c>
      <c r="R2">
        <v>247</v>
      </c>
      <c r="S2" t="s">
        <v>2933</v>
      </c>
    </row>
    <row r="3" spans="1:19" x14ac:dyDescent="0.25">
      <c r="A3" t="s">
        <v>1979</v>
      </c>
      <c r="B3">
        <v>3</v>
      </c>
      <c r="C3">
        <v>2</v>
      </c>
      <c r="D3">
        <v>0</v>
      </c>
      <c r="E3" t="s">
        <v>2388</v>
      </c>
      <c r="F3">
        <v>59310</v>
      </c>
      <c r="G3">
        <v>80501048.5</v>
      </c>
      <c r="H3">
        <v>0.95814815163612366</v>
      </c>
      <c r="I3">
        <v>0.95703703703703713</v>
      </c>
      <c r="J3">
        <v>17327845.333333332</v>
      </c>
      <c r="K3">
        <v>96289</v>
      </c>
      <c r="L3">
        <v>2</v>
      </c>
      <c r="M3">
        <v>201</v>
      </c>
      <c r="N3">
        <v>0.95925925925925926</v>
      </c>
      <c r="O3">
        <v>17308368.333333332</v>
      </c>
      <c r="P3">
        <v>97172</v>
      </c>
      <c r="Q3">
        <v>2</v>
      </c>
      <c r="R3">
        <v>202</v>
      </c>
      <c r="S3" t="s">
        <v>2934</v>
      </c>
    </row>
    <row r="4" spans="1:19" x14ac:dyDescent="0.25">
      <c r="A4" t="s">
        <v>1979</v>
      </c>
      <c r="B4">
        <v>3</v>
      </c>
      <c r="C4">
        <v>3</v>
      </c>
      <c r="D4">
        <v>0</v>
      </c>
      <c r="E4" t="s">
        <v>2390</v>
      </c>
      <c r="F4">
        <v>68044</v>
      </c>
      <c r="G4">
        <v>105318851.5</v>
      </c>
      <c r="H4">
        <v>0.96703702211380005</v>
      </c>
      <c r="I4">
        <v>0.96592592592592597</v>
      </c>
      <c r="J4">
        <v>22314200.5</v>
      </c>
      <c r="K4">
        <v>120547</v>
      </c>
      <c r="L4">
        <v>2</v>
      </c>
      <c r="M4">
        <v>227</v>
      </c>
      <c r="N4">
        <v>0.96370370370370373</v>
      </c>
      <c r="O4">
        <v>24000160.5</v>
      </c>
      <c r="P4">
        <v>121534</v>
      </c>
      <c r="Q4">
        <v>2</v>
      </c>
      <c r="R4">
        <v>228</v>
      </c>
      <c r="S4" t="s">
        <v>2935</v>
      </c>
    </row>
    <row r="5" spans="1:19" x14ac:dyDescent="0.25">
      <c r="A5" t="s">
        <v>1979</v>
      </c>
      <c r="B5">
        <v>3</v>
      </c>
      <c r="C5">
        <v>4</v>
      </c>
      <c r="D5">
        <v>0</v>
      </c>
      <c r="E5" t="s">
        <v>2390</v>
      </c>
      <c r="F5">
        <v>75592</v>
      </c>
      <c r="G5">
        <v>97844786.833333328</v>
      </c>
      <c r="H5">
        <v>0.95777776837348938</v>
      </c>
      <c r="I5">
        <v>0.96444444444444444</v>
      </c>
      <c r="J5">
        <v>20303146.5</v>
      </c>
      <c r="K5">
        <v>143185</v>
      </c>
      <c r="L5">
        <v>2</v>
      </c>
      <c r="M5">
        <v>249</v>
      </c>
      <c r="N5">
        <v>0.96444444444444444</v>
      </c>
      <c r="O5">
        <v>20807839.5</v>
      </c>
      <c r="P5">
        <v>144260</v>
      </c>
      <c r="Q5">
        <v>2</v>
      </c>
      <c r="R5">
        <v>250</v>
      </c>
      <c r="S5" t="s">
        <v>2936</v>
      </c>
    </row>
    <row r="6" spans="1:19" x14ac:dyDescent="0.25">
      <c r="A6" t="s">
        <v>1979</v>
      </c>
      <c r="B6">
        <v>3</v>
      </c>
      <c r="C6">
        <v>2</v>
      </c>
      <c r="D6">
        <v>0</v>
      </c>
      <c r="E6" t="s">
        <v>2390</v>
      </c>
      <c r="F6">
        <v>60496</v>
      </c>
      <c r="G6">
        <v>74925779.166666672</v>
      </c>
      <c r="H6">
        <v>0.96259260177612305</v>
      </c>
      <c r="I6">
        <v>0.95629629629629631</v>
      </c>
      <c r="J6">
        <v>17697962</v>
      </c>
      <c r="K6">
        <v>98059</v>
      </c>
      <c r="L6">
        <v>2</v>
      </c>
      <c r="M6">
        <v>203</v>
      </c>
      <c r="N6">
        <v>0.95444444444444443</v>
      </c>
      <c r="O6">
        <v>18576276.333333332</v>
      </c>
      <c r="P6">
        <v>98950</v>
      </c>
      <c r="Q6">
        <v>2</v>
      </c>
      <c r="R6">
        <v>204</v>
      </c>
      <c r="S6" t="s">
        <v>2937</v>
      </c>
    </row>
    <row r="7" spans="1:19" x14ac:dyDescent="0.25">
      <c r="A7" t="s">
        <v>1979</v>
      </c>
      <c r="B7">
        <v>3</v>
      </c>
      <c r="C7">
        <v>3</v>
      </c>
      <c r="D7">
        <v>0</v>
      </c>
      <c r="E7" t="s">
        <v>1980</v>
      </c>
      <c r="F7">
        <v>69378</v>
      </c>
      <c r="G7">
        <v>109349193.33333333</v>
      </c>
      <c r="H7">
        <v>0.97333333889643348</v>
      </c>
      <c r="I7">
        <v>0.96703703703703703</v>
      </c>
      <c r="J7">
        <v>21952006.166666668</v>
      </c>
      <c r="K7">
        <v>122525</v>
      </c>
      <c r="L7">
        <v>2</v>
      </c>
      <c r="M7">
        <v>229</v>
      </c>
      <c r="N7">
        <v>0.96851851851851856</v>
      </c>
      <c r="O7">
        <v>23706286.666666668</v>
      </c>
      <c r="P7">
        <v>123520</v>
      </c>
      <c r="Q7">
        <v>2</v>
      </c>
      <c r="R7">
        <v>230</v>
      </c>
      <c r="S7" t="s">
        <v>2938</v>
      </c>
    </row>
    <row r="8" spans="1:19" x14ac:dyDescent="0.25">
      <c r="A8" t="s">
        <v>1979</v>
      </c>
      <c r="B8">
        <v>3</v>
      </c>
      <c r="C8">
        <v>4</v>
      </c>
      <c r="D8">
        <v>0</v>
      </c>
      <c r="E8" t="s">
        <v>1980</v>
      </c>
      <c r="F8">
        <v>77074</v>
      </c>
      <c r="G8">
        <v>96175678.833333328</v>
      </c>
      <c r="H8">
        <v>0.9637036919593811</v>
      </c>
      <c r="I8">
        <v>0.96037037037037032</v>
      </c>
      <c r="J8">
        <v>20521911.333333332</v>
      </c>
      <c r="K8">
        <v>145339</v>
      </c>
      <c r="L8">
        <v>2</v>
      </c>
      <c r="M8">
        <v>251</v>
      </c>
      <c r="N8">
        <v>0.96148148148148149</v>
      </c>
      <c r="O8">
        <v>21374676</v>
      </c>
      <c r="P8">
        <v>146422</v>
      </c>
      <c r="Q8">
        <v>2</v>
      </c>
      <c r="R8">
        <v>252</v>
      </c>
      <c r="S8" t="s">
        <v>2939</v>
      </c>
    </row>
    <row r="9" spans="1:19" x14ac:dyDescent="0.25">
      <c r="A9" t="s">
        <v>1979</v>
      </c>
      <c r="B9">
        <v>3</v>
      </c>
      <c r="C9">
        <v>2</v>
      </c>
      <c r="D9">
        <v>0</v>
      </c>
      <c r="E9" t="s">
        <v>1980</v>
      </c>
      <c r="F9">
        <v>61682</v>
      </c>
      <c r="G9">
        <v>77993627.333333328</v>
      </c>
      <c r="H9">
        <v>0.96296294530232751</v>
      </c>
      <c r="I9">
        <v>0.95851851851851855</v>
      </c>
      <c r="J9">
        <v>17978469.5</v>
      </c>
      <c r="K9">
        <v>99845</v>
      </c>
      <c r="L9">
        <v>2</v>
      </c>
      <c r="M9">
        <v>205</v>
      </c>
      <c r="N9">
        <v>0.95444444444444443</v>
      </c>
      <c r="O9">
        <v>17746052.666666668</v>
      </c>
      <c r="P9">
        <v>100744</v>
      </c>
      <c r="Q9">
        <v>2</v>
      </c>
      <c r="R9">
        <v>206</v>
      </c>
      <c r="S9" t="s">
        <v>2940</v>
      </c>
    </row>
    <row r="10" spans="1:19" x14ac:dyDescent="0.25">
      <c r="A10" t="s">
        <v>1979</v>
      </c>
      <c r="B10">
        <v>3</v>
      </c>
      <c r="C10">
        <v>2</v>
      </c>
      <c r="D10">
        <v>0</v>
      </c>
      <c r="E10" t="s">
        <v>1982</v>
      </c>
      <c r="F10">
        <v>62868</v>
      </c>
      <c r="G10">
        <v>111129391.5</v>
      </c>
      <c r="H10">
        <v>0.97518519560496009</v>
      </c>
      <c r="I10">
        <v>0.9714814814814815</v>
      </c>
      <c r="J10">
        <v>23339139</v>
      </c>
      <c r="K10">
        <v>101647</v>
      </c>
      <c r="L10">
        <v>2</v>
      </c>
      <c r="M10">
        <v>207</v>
      </c>
      <c r="N10">
        <v>0.96333333333333337</v>
      </c>
      <c r="O10">
        <v>21459099.666666668</v>
      </c>
      <c r="P10">
        <v>102554</v>
      </c>
      <c r="Q10">
        <v>2</v>
      </c>
      <c r="R10">
        <v>208</v>
      </c>
      <c r="S10" t="s">
        <v>2941</v>
      </c>
    </row>
    <row r="11" spans="1:19" x14ac:dyDescent="0.25">
      <c r="A11" t="s">
        <v>1979</v>
      </c>
      <c r="B11">
        <v>3</v>
      </c>
      <c r="C11">
        <v>3</v>
      </c>
      <c r="D11">
        <v>0</v>
      </c>
      <c r="E11" t="s">
        <v>1982</v>
      </c>
      <c r="F11">
        <v>70712</v>
      </c>
      <c r="G11">
        <v>109472901.16666667</v>
      </c>
      <c r="H11">
        <v>0.97555555899937951</v>
      </c>
      <c r="I11">
        <v>0.96925925925925926</v>
      </c>
      <c r="J11">
        <v>23249356.5</v>
      </c>
      <c r="K11">
        <v>125522</v>
      </c>
      <c r="L11">
        <v>2</v>
      </c>
      <c r="M11">
        <v>232</v>
      </c>
      <c r="N11">
        <v>0.96740740740740738</v>
      </c>
      <c r="O11">
        <v>22691406.666666668</v>
      </c>
      <c r="P11">
        <v>126529</v>
      </c>
      <c r="Q11">
        <v>2</v>
      </c>
      <c r="R11">
        <v>233</v>
      </c>
      <c r="S11" t="s">
        <v>2942</v>
      </c>
    </row>
    <row r="12" spans="1:19" x14ac:dyDescent="0.25">
      <c r="A12" t="s">
        <v>1979</v>
      </c>
      <c r="B12">
        <v>3</v>
      </c>
      <c r="C12">
        <v>4</v>
      </c>
      <c r="D12">
        <v>0</v>
      </c>
      <c r="E12" t="s">
        <v>1982</v>
      </c>
      <c r="F12">
        <v>78556</v>
      </c>
      <c r="G12">
        <v>97781127.333333328</v>
      </c>
      <c r="H12">
        <v>0.96074073513348901</v>
      </c>
      <c r="I12">
        <v>0.96111111111111103</v>
      </c>
      <c r="J12">
        <v>21411961</v>
      </c>
      <c r="K12">
        <v>148600</v>
      </c>
      <c r="L12">
        <v>2</v>
      </c>
      <c r="M12">
        <v>254</v>
      </c>
      <c r="N12">
        <v>0.9588888888888889</v>
      </c>
      <c r="O12">
        <v>20051405.5</v>
      </c>
      <c r="P12">
        <v>149695</v>
      </c>
      <c r="Q12">
        <v>2</v>
      </c>
      <c r="R12">
        <v>255</v>
      </c>
      <c r="S12" t="s">
        <v>2943</v>
      </c>
    </row>
    <row r="13" spans="1:19" x14ac:dyDescent="0.25">
      <c r="A13" t="s">
        <v>1979</v>
      </c>
      <c r="B13">
        <v>3</v>
      </c>
      <c r="C13">
        <v>2</v>
      </c>
      <c r="D13">
        <v>0</v>
      </c>
      <c r="E13" t="s">
        <v>1984</v>
      </c>
      <c r="F13">
        <v>64054</v>
      </c>
      <c r="G13">
        <v>75563021.666666672</v>
      </c>
      <c r="H13">
        <v>0.96370370189348853</v>
      </c>
      <c r="I13">
        <v>0.96185185185185185</v>
      </c>
      <c r="J13">
        <v>17859668.833333332</v>
      </c>
      <c r="K13">
        <v>103465</v>
      </c>
      <c r="L13">
        <v>2</v>
      </c>
      <c r="M13">
        <v>209</v>
      </c>
      <c r="N13">
        <v>0.95962962962962961</v>
      </c>
      <c r="O13">
        <v>17110138</v>
      </c>
      <c r="P13">
        <v>104380</v>
      </c>
      <c r="Q13">
        <v>2</v>
      </c>
      <c r="R13">
        <v>210</v>
      </c>
      <c r="S13" t="s">
        <v>2944</v>
      </c>
    </row>
    <row r="14" spans="1:19" x14ac:dyDescent="0.25">
      <c r="A14" t="s">
        <v>1979</v>
      </c>
      <c r="B14">
        <v>3</v>
      </c>
      <c r="C14">
        <v>3</v>
      </c>
      <c r="D14">
        <v>0</v>
      </c>
      <c r="E14" t="s">
        <v>1984</v>
      </c>
      <c r="F14">
        <v>72046</v>
      </c>
      <c r="G14">
        <v>121872997.33333333</v>
      </c>
      <c r="H14">
        <v>0.97222222884496057</v>
      </c>
      <c r="I14">
        <v>0.97111111111111115</v>
      </c>
      <c r="J14">
        <v>23857214.666666668</v>
      </c>
      <c r="K14">
        <v>127540</v>
      </c>
      <c r="L14">
        <v>2</v>
      </c>
      <c r="M14">
        <v>234</v>
      </c>
      <c r="N14">
        <v>0.97111111111111115</v>
      </c>
      <c r="O14">
        <v>22716893.666666668</v>
      </c>
      <c r="P14">
        <v>128555</v>
      </c>
      <c r="Q14">
        <v>2</v>
      </c>
      <c r="R14">
        <v>235</v>
      </c>
      <c r="S14" t="s">
        <v>2945</v>
      </c>
    </row>
    <row r="15" spans="1:19" x14ac:dyDescent="0.25">
      <c r="A15" t="s">
        <v>1979</v>
      </c>
      <c r="B15">
        <v>3</v>
      </c>
      <c r="C15">
        <v>4</v>
      </c>
      <c r="D15">
        <v>0</v>
      </c>
      <c r="E15" t="s">
        <v>1984</v>
      </c>
      <c r="F15">
        <v>80038</v>
      </c>
      <c r="G15">
        <v>97941239.666666672</v>
      </c>
      <c r="H15">
        <v>0.95962962508201599</v>
      </c>
      <c r="I15">
        <v>0.96740740740740749</v>
      </c>
      <c r="J15">
        <v>21644160.333333332</v>
      </c>
      <c r="K15">
        <v>151897</v>
      </c>
      <c r="L15">
        <v>2</v>
      </c>
      <c r="M15">
        <v>257</v>
      </c>
      <c r="N15">
        <v>0.96</v>
      </c>
      <c r="O15">
        <v>21382490.833333332</v>
      </c>
      <c r="P15">
        <v>153004</v>
      </c>
      <c r="Q15">
        <v>2</v>
      </c>
      <c r="R15">
        <v>258</v>
      </c>
      <c r="S15" t="s">
        <v>2946</v>
      </c>
    </row>
    <row r="16" spans="1:19" x14ac:dyDescent="0.25">
      <c r="A16" t="s">
        <v>1979</v>
      </c>
      <c r="B16">
        <v>3</v>
      </c>
      <c r="C16">
        <v>2</v>
      </c>
      <c r="D16">
        <v>0</v>
      </c>
      <c r="E16" t="s">
        <v>1986</v>
      </c>
      <c r="F16">
        <v>65240</v>
      </c>
      <c r="G16">
        <v>77506072.833333328</v>
      </c>
      <c r="H16">
        <v>0.96296295523643494</v>
      </c>
      <c r="I16">
        <v>0.95851851851851855</v>
      </c>
      <c r="J16">
        <v>17245891.833333332</v>
      </c>
      <c r="K16">
        <v>105299</v>
      </c>
      <c r="L16">
        <v>2</v>
      </c>
      <c r="M16">
        <v>211</v>
      </c>
      <c r="N16">
        <v>0.96703703703703703</v>
      </c>
      <c r="O16">
        <v>18611093</v>
      </c>
      <c r="P16">
        <v>106222</v>
      </c>
      <c r="Q16">
        <v>2</v>
      </c>
      <c r="R16">
        <v>212</v>
      </c>
      <c r="S16" t="s">
        <v>2947</v>
      </c>
    </row>
    <row r="17" spans="1:19" x14ac:dyDescent="0.25">
      <c r="A17" t="s">
        <v>1979</v>
      </c>
      <c r="B17">
        <v>3</v>
      </c>
      <c r="C17">
        <v>3</v>
      </c>
      <c r="D17">
        <v>0</v>
      </c>
      <c r="E17" t="s">
        <v>1986</v>
      </c>
      <c r="F17">
        <v>73380</v>
      </c>
      <c r="G17">
        <v>122954733.33333333</v>
      </c>
      <c r="H17">
        <v>0.97111111879348755</v>
      </c>
      <c r="I17">
        <v>0.96851851851851856</v>
      </c>
      <c r="J17">
        <v>23558436.666666668</v>
      </c>
      <c r="K17">
        <v>129574</v>
      </c>
      <c r="L17">
        <v>2</v>
      </c>
      <c r="M17">
        <v>236</v>
      </c>
      <c r="N17">
        <v>0.97222222222222221</v>
      </c>
      <c r="O17">
        <v>24191471</v>
      </c>
      <c r="P17">
        <v>130597</v>
      </c>
      <c r="Q17">
        <v>2</v>
      </c>
      <c r="R17">
        <v>237</v>
      </c>
      <c r="S17" t="s">
        <v>2948</v>
      </c>
    </row>
    <row r="18" spans="1:19" x14ac:dyDescent="0.25">
      <c r="A18" t="s">
        <v>1979</v>
      </c>
      <c r="B18">
        <v>3</v>
      </c>
      <c r="C18">
        <v>4</v>
      </c>
      <c r="D18">
        <v>0</v>
      </c>
      <c r="E18" t="s">
        <v>1986</v>
      </c>
      <c r="F18">
        <v>81520</v>
      </c>
      <c r="G18">
        <v>105694569.66666667</v>
      </c>
      <c r="H18">
        <v>0.96185185511906945</v>
      </c>
      <c r="I18">
        <v>0.96148148148148149</v>
      </c>
      <c r="J18">
        <v>22974525</v>
      </c>
      <c r="K18">
        <v>154115</v>
      </c>
      <c r="L18">
        <v>2</v>
      </c>
      <c r="M18">
        <v>259</v>
      </c>
      <c r="N18">
        <v>0.96111111111111114</v>
      </c>
      <c r="O18">
        <v>20922854</v>
      </c>
      <c r="P18">
        <v>155230</v>
      </c>
      <c r="Q18">
        <v>2</v>
      </c>
      <c r="R18">
        <v>260</v>
      </c>
      <c r="S18" t="s">
        <v>2949</v>
      </c>
    </row>
    <row r="19" spans="1:19" x14ac:dyDescent="0.25">
      <c r="A19" t="s">
        <v>1979</v>
      </c>
      <c r="B19">
        <v>3</v>
      </c>
      <c r="C19">
        <v>2</v>
      </c>
      <c r="D19">
        <v>0</v>
      </c>
      <c r="E19" t="s">
        <v>1988</v>
      </c>
      <c r="F19">
        <v>66426</v>
      </c>
      <c r="G19">
        <v>73658646.166666672</v>
      </c>
      <c r="H19">
        <v>0.9588888784249624</v>
      </c>
      <c r="I19">
        <v>0.95814814814814819</v>
      </c>
      <c r="J19">
        <v>19268856.833333332</v>
      </c>
      <c r="K19">
        <v>107149</v>
      </c>
      <c r="L19">
        <v>2</v>
      </c>
      <c r="M19">
        <v>213</v>
      </c>
      <c r="N19">
        <v>0.95370370370370372</v>
      </c>
      <c r="O19">
        <v>18093082.833333332</v>
      </c>
      <c r="P19">
        <v>108080</v>
      </c>
      <c r="Q19">
        <v>2</v>
      </c>
      <c r="R19">
        <v>214</v>
      </c>
      <c r="S19" t="s">
        <v>2950</v>
      </c>
    </row>
    <row r="20" spans="1:19" x14ac:dyDescent="0.25">
      <c r="A20" t="s">
        <v>1979</v>
      </c>
      <c r="B20">
        <v>3</v>
      </c>
      <c r="C20">
        <v>3</v>
      </c>
      <c r="D20">
        <v>0</v>
      </c>
      <c r="E20" t="s">
        <v>1988</v>
      </c>
      <c r="F20">
        <v>74714</v>
      </c>
      <c r="G20">
        <v>113116955.16666667</v>
      </c>
      <c r="H20">
        <v>0.96851851542790734</v>
      </c>
      <c r="I20">
        <v>0.97037037037037044</v>
      </c>
      <c r="J20">
        <v>24073055.666666668</v>
      </c>
      <c r="K20">
        <v>132655</v>
      </c>
      <c r="L20">
        <v>2</v>
      </c>
      <c r="M20">
        <v>239</v>
      </c>
      <c r="N20">
        <v>0.97296296296296292</v>
      </c>
      <c r="O20">
        <v>22969952.5</v>
      </c>
      <c r="P20">
        <v>133690</v>
      </c>
      <c r="Q20">
        <v>2</v>
      </c>
      <c r="R20">
        <v>240</v>
      </c>
      <c r="S20" t="s">
        <v>2951</v>
      </c>
    </row>
    <row r="21" spans="1:19" x14ac:dyDescent="0.25">
      <c r="A21" t="s">
        <v>1979</v>
      </c>
      <c r="B21">
        <v>3</v>
      </c>
      <c r="C21">
        <v>4</v>
      </c>
      <c r="D21">
        <v>0</v>
      </c>
      <c r="E21" t="s">
        <v>1988</v>
      </c>
      <c r="F21">
        <v>83002</v>
      </c>
      <c r="G21">
        <v>105179355</v>
      </c>
      <c r="H21">
        <v>0.96037036180496216</v>
      </c>
      <c r="I21">
        <v>0.96037037037037032</v>
      </c>
      <c r="J21">
        <v>21651471.333333332</v>
      </c>
      <c r="K21">
        <v>157472</v>
      </c>
      <c r="L21">
        <v>2</v>
      </c>
      <c r="M21">
        <v>262</v>
      </c>
      <c r="N21">
        <v>0.96777777777777785</v>
      </c>
      <c r="O21">
        <v>21346620.166666668</v>
      </c>
      <c r="P21">
        <v>158599</v>
      </c>
      <c r="Q21">
        <v>2</v>
      </c>
      <c r="R21">
        <v>263</v>
      </c>
      <c r="S21" t="s">
        <v>2952</v>
      </c>
    </row>
    <row r="22" spans="1:19" x14ac:dyDescent="0.25">
      <c r="A22" t="s">
        <v>1979</v>
      </c>
      <c r="B22">
        <v>3</v>
      </c>
      <c r="C22">
        <v>2</v>
      </c>
      <c r="D22">
        <v>0</v>
      </c>
      <c r="E22" t="s">
        <v>1990</v>
      </c>
      <c r="F22">
        <v>67612</v>
      </c>
      <c r="G22">
        <v>83596131.5</v>
      </c>
      <c r="H22">
        <v>0.96111109852790833</v>
      </c>
      <c r="I22">
        <v>0.94777777777777772</v>
      </c>
      <c r="J22">
        <v>18803131.666666668</v>
      </c>
      <c r="K22">
        <v>109015</v>
      </c>
      <c r="L22">
        <v>2</v>
      </c>
      <c r="M22">
        <v>215</v>
      </c>
      <c r="N22">
        <v>0.96296296296296302</v>
      </c>
      <c r="O22">
        <v>18065708.5</v>
      </c>
      <c r="P22">
        <v>109954</v>
      </c>
      <c r="Q22">
        <v>2</v>
      </c>
      <c r="R22">
        <v>216</v>
      </c>
      <c r="S22" t="s">
        <v>2953</v>
      </c>
    </row>
    <row r="23" spans="1:19" x14ac:dyDescent="0.25">
      <c r="A23" t="s">
        <v>1979</v>
      </c>
      <c r="B23">
        <v>3</v>
      </c>
      <c r="C23">
        <v>3</v>
      </c>
      <c r="D23">
        <v>0</v>
      </c>
      <c r="E23" t="s">
        <v>1990</v>
      </c>
      <c r="F23">
        <v>76048</v>
      </c>
      <c r="G23">
        <v>127664419.83333333</v>
      </c>
      <c r="H23">
        <v>0.96888888875643409</v>
      </c>
      <c r="I23">
        <v>0.96777777777777785</v>
      </c>
      <c r="J23">
        <v>23916892.666666668</v>
      </c>
      <c r="K23">
        <v>134729</v>
      </c>
      <c r="L23">
        <v>2</v>
      </c>
      <c r="M23">
        <v>241</v>
      </c>
      <c r="N23">
        <v>0.96851851851851856</v>
      </c>
      <c r="O23">
        <v>22722993.666666668</v>
      </c>
      <c r="P23">
        <v>135772</v>
      </c>
      <c r="Q23">
        <v>2</v>
      </c>
      <c r="R23">
        <v>242</v>
      </c>
      <c r="S23" t="s">
        <v>2954</v>
      </c>
    </row>
    <row r="24" spans="1:19" x14ac:dyDescent="0.25">
      <c r="A24" t="s">
        <v>1979</v>
      </c>
      <c r="B24">
        <v>3</v>
      </c>
      <c r="C24">
        <v>4</v>
      </c>
      <c r="D24">
        <v>0</v>
      </c>
      <c r="E24" t="s">
        <v>1990</v>
      </c>
      <c r="F24">
        <v>84484</v>
      </c>
      <c r="G24">
        <v>112557983.33333333</v>
      </c>
      <c r="H24">
        <v>0.95333333810170495</v>
      </c>
      <c r="I24">
        <v>0.96740740740740738</v>
      </c>
      <c r="J24">
        <v>22975429.5</v>
      </c>
      <c r="K24">
        <v>159730</v>
      </c>
      <c r="L24">
        <v>2</v>
      </c>
      <c r="M24">
        <v>264</v>
      </c>
      <c r="N24">
        <v>0.96259259259259267</v>
      </c>
      <c r="O24">
        <v>22288274</v>
      </c>
      <c r="P24">
        <v>160865</v>
      </c>
      <c r="Q24">
        <v>2</v>
      </c>
      <c r="R24">
        <v>265</v>
      </c>
      <c r="S24" t="s">
        <v>2955</v>
      </c>
    </row>
    <row r="25" spans="1:19" x14ac:dyDescent="0.25">
      <c r="A25" t="s">
        <v>1979</v>
      </c>
      <c r="B25">
        <v>3</v>
      </c>
      <c r="C25">
        <v>2</v>
      </c>
      <c r="D25">
        <v>0</v>
      </c>
      <c r="E25" t="s">
        <v>1992</v>
      </c>
      <c r="F25">
        <v>68798</v>
      </c>
      <c r="G25">
        <v>91601026.5</v>
      </c>
      <c r="H25">
        <v>0.95444444815317786</v>
      </c>
      <c r="I25">
        <v>0.95925925925925926</v>
      </c>
      <c r="J25">
        <v>19128668.666666668</v>
      </c>
      <c r="K25">
        <v>110897</v>
      </c>
      <c r="L25">
        <v>2</v>
      </c>
      <c r="M25">
        <v>217</v>
      </c>
      <c r="N25">
        <v>0.95962962962962961</v>
      </c>
      <c r="O25">
        <v>19064793.666666668</v>
      </c>
      <c r="P25">
        <v>111844</v>
      </c>
      <c r="Q25">
        <v>2</v>
      </c>
      <c r="R25">
        <v>218</v>
      </c>
      <c r="S25" t="s">
        <v>2956</v>
      </c>
    </row>
    <row r="26" spans="1:19" x14ac:dyDescent="0.25">
      <c r="A26" t="s">
        <v>1979</v>
      </c>
      <c r="B26">
        <v>3</v>
      </c>
      <c r="C26">
        <v>3</v>
      </c>
      <c r="D26">
        <v>0</v>
      </c>
      <c r="E26" t="s">
        <v>1992</v>
      </c>
      <c r="F26">
        <v>77382</v>
      </c>
      <c r="G26">
        <v>127210267.66666667</v>
      </c>
      <c r="H26">
        <v>0.96592592199643457</v>
      </c>
      <c r="I26">
        <v>0.96444444444444444</v>
      </c>
      <c r="J26">
        <v>25280042.833333332</v>
      </c>
      <c r="K26">
        <v>136819</v>
      </c>
      <c r="L26">
        <v>2</v>
      </c>
      <c r="M26">
        <v>243</v>
      </c>
      <c r="N26">
        <v>0.97111111111111115</v>
      </c>
      <c r="O26">
        <v>23561106</v>
      </c>
      <c r="P26">
        <v>137870</v>
      </c>
      <c r="Q26">
        <v>2</v>
      </c>
      <c r="R26">
        <v>244</v>
      </c>
      <c r="S26" t="s">
        <v>2957</v>
      </c>
    </row>
    <row r="27" spans="1:19" x14ac:dyDescent="0.25">
      <c r="A27" t="s">
        <v>1979</v>
      </c>
      <c r="B27">
        <v>3</v>
      </c>
      <c r="C27">
        <v>4</v>
      </c>
      <c r="D27">
        <v>0</v>
      </c>
      <c r="E27" t="s">
        <v>1992</v>
      </c>
      <c r="F27">
        <v>85966</v>
      </c>
      <c r="G27">
        <v>104476707</v>
      </c>
      <c r="H27">
        <v>0.96777777870496118</v>
      </c>
      <c r="I27">
        <v>0.96296296296296291</v>
      </c>
      <c r="J27">
        <v>22564285.666666668</v>
      </c>
      <c r="K27">
        <v>163147</v>
      </c>
      <c r="L27">
        <v>2</v>
      </c>
      <c r="M27">
        <v>267</v>
      </c>
      <c r="N27">
        <v>0.96259259259259267</v>
      </c>
      <c r="O27">
        <v>22853348.5</v>
      </c>
      <c r="P27">
        <v>164294</v>
      </c>
      <c r="Q27">
        <v>2</v>
      </c>
      <c r="R27">
        <v>268</v>
      </c>
      <c r="S27" t="s">
        <v>2958</v>
      </c>
    </row>
    <row r="28" spans="1:19" x14ac:dyDescent="0.25">
      <c r="A28" t="s">
        <v>1979</v>
      </c>
      <c r="B28">
        <v>3</v>
      </c>
      <c r="C28">
        <v>2</v>
      </c>
      <c r="D28">
        <v>0</v>
      </c>
      <c r="E28" t="s">
        <v>1994</v>
      </c>
      <c r="F28">
        <v>69984</v>
      </c>
      <c r="G28">
        <v>78267365.333333328</v>
      </c>
      <c r="H28">
        <v>0.96111109852790833</v>
      </c>
      <c r="I28">
        <v>0.96074074074074067</v>
      </c>
      <c r="J28">
        <v>19251742.833333332</v>
      </c>
      <c r="K28">
        <v>112795</v>
      </c>
      <c r="L28">
        <v>2</v>
      </c>
      <c r="M28">
        <v>219</v>
      </c>
      <c r="N28">
        <v>0.95703703703703702</v>
      </c>
      <c r="O28">
        <v>19398665.5</v>
      </c>
      <c r="P28">
        <v>113750</v>
      </c>
      <c r="Q28">
        <v>2</v>
      </c>
      <c r="R28">
        <v>220</v>
      </c>
      <c r="S28" t="s">
        <v>2959</v>
      </c>
    </row>
    <row r="29" spans="1:19" x14ac:dyDescent="0.25">
      <c r="A29" t="s">
        <v>1979</v>
      </c>
      <c r="B29">
        <v>3</v>
      </c>
      <c r="C29">
        <v>3</v>
      </c>
      <c r="D29">
        <v>0</v>
      </c>
      <c r="E29" t="s">
        <v>1994</v>
      </c>
      <c r="F29">
        <v>78716</v>
      </c>
      <c r="G29">
        <v>119074545.16666667</v>
      </c>
      <c r="H29">
        <v>0.97111110885938012</v>
      </c>
      <c r="I29">
        <v>0.96925925925925926</v>
      </c>
      <c r="J29">
        <v>23679242.5</v>
      </c>
      <c r="K29">
        <v>138925</v>
      </c>
      <c r="L29">
        <v>2</v>
      </c>
      <c r="M29">
        <v>245</v>
      </c>
      <c r="N29">
        <v>0.96851851851851856</v>
      </c>
      <c r="O29">
        <v>23628809.833333332</v>
      </c>
      <c r="P29">
        <v>139984</v>
      </c>
      <c r="Q29">
        <v>2</v>
      </c>
      <c r="R29">
        <v>246</v>
      </c>
      <c r="S29" t="s">
        <v>2960</v>
      </c>
    </row>
    <row r="30" spans="1:19" x14ac:dyDescent="0.25">
      <c r="A30" t="s">
        <v>1979</v>
      </c>
      <c r="B30">
        <v>3</v>
      </c>
      <c r="C30">
        <v>4</v>
      </c>
      <c r="D30">
        <v>0</v>
      </c>
      <c r="E30" t="s">
        <v>1994</v>
      </c>
      <c r="F30">
        <v>87448</v>
      </c>
      <c r="G30">
        <v>113698197.16666667</v>
      </c>
      <c r="H30">
        <v>0.96185184518496192</v>
      </c>
      <c r="I30">
        <v>0.95777777777777773</v>
      </c>
      <c r="J30">
        <v>22761694.666666668</v>
      </c>
      <c r="K30">
        <v>165445</v>
      </c>
      <c r="L30">
        <v>2</v>
      </c>
      <c r="M30">
        <v>269</v>
      </c>
      <c r="N30">
        <v>0.95703703703703702</v>
      </c>
      <c r="O30">
        <v>22011396.666666668</v>
      </c>
      <c r="P30">
        <v>166600</v>
      </c>
      <c r="Q30">
        <v>2</v>
      </c>
      <c r="R30">
        <v>270</v>
      </c>
      <c r="S30" t="s">
        <v>2961</v>
      </c>
    </row>
    <row r="31" spans="1:19" x14ac:dyDescent="0.25">
      <c r="A31" t="s">
        <v>1979</v>
      </c>
      <c r="B31">
        <v>3</v>
      </c>
      <c r="C31">
        <v>2</v>
      </c>
      <c r="D31">
        <v>0</v>
      </c>
      <c r="E31" t="s">
        <v>1996</v>
      </c>
      <c r="F31">
        <v>71170</v>
      </c>
      <c r="G31">
        <v>85878871.166666672</v>
      </c>
      <c r="H31">
        <v>0.94888888796170556</v>
      </c>
      <c r="I31">
        <v>0.96</v>
      </c>
      <c r="J31">
        <v>19205218</v>
      </c>
      <c r="K31">
        <v>114709</v>
      </c>
      <c r="L31">
        <v>2</v>
      </c>
      <c r="M31">
        <v>221</v>
      </c>
      <c r="N31">
        <v>0.96074074074074067</v>
      </c>
      <c r="O31">
        <v>18493219.166666668</v>
      </c>
      <c r="P31">
        <v>115672</v>
      </c>
      <c r="Q31">
        <v>2</v>
      </c>
      <c r="R31">
        <v>222</v>
      </c>
      <c r="S31" t="s">
        <v>2962</v>
      </c>
    </row>
    <row r="32" spans="1:19" x14ac:dyDescent="0.25">
      <c r="A32" t="s">
        <v>1979</v>
      </c>
      <c r="B32">
        <v>3</v>
      </c>
      <c r="C32">
        <v>3</v>
      </c>
      <c r="D32">
        <v>0</v>
      </c>
      <c r="E32" t="s">
        <v>1996</v>
      </c>
      <c r="F32">
        <v>80050</v>
      </c>
      <c r="G32">
        <v>137775517.16666666</v>
      </c>
      <c r="H32">
        <v>0.97296296556790673</v>
      </c>
      <c r="I32">
        <v>0.96777777777777785</v>
      </c>
      <c r="J32">
        <v>23495833.5</v>
      </c>
      <c r="K32">
        <v>142114</v>
      </c>
      <c r="L32">
        <v>2</v>
      </c>
      <c r="M32">
        <v>248</v>
      </c>
      <c r="N32">
        <v>0.9714814814814815</v>
      </c>
      <c r="O32">
        <v>23979736.666666668</v>
      </c>
      <c r="P32">
        <v>143185</v>
      </c>
      <c r="Q32">
        <v>2</v>
      </c>
      <c r="R32">
        <v>249</v>
      </c>
      <c r="S32" t="s">
        <v>2963</v>
      </c>
    </row>
    <row r="33" spans="1:19" x14ac:dyDescent="0.25">
      <c r="A33" t="s">
        <v>1979</v>
      </c>
      <c r="B33">
        <v>3</v>
      </c>
      <c r="C33">
        <v>4</v>
      </c>
      <c r="D33">
        <v>0</v>
      </c>
      <c r="E33" t="s">
        <v>1996</v>
      </c>
      <c r="F33">
        <v>88930</v>
      </c>
      <c r="G33">
        <v>117437251</v>
      </c>
      <c r="H33">
        <v>0.96888887882232666</v>
      </c>
      <c r="I33">
        <v>0.96185185185185185</v>
      </c>
      <c r="J33">
        <v>20739833.666666668</v>
      </c>
      <c r="K33">
        <v>167759</v>
      </c>
      <c r="L33">
        <v>2</v>
      </c>
      <c r="M33">
        <v>271</v>
      </c>
      <c r="N33">
        <v>0.9588888888888889</v>
      </c>
      <c r="O33">
        <v>22609473.833333332</v>
      </c>
      <c r="P33">
        <v>168922</v>
      </c>
      <c r="Q33">
        <v>2</v>
      </c>
      <c r="R33">
        <v>272</v>
      </c>
      <c r="S33" t="s">
        <v>2964</v>
      </c>
    </row>
    <row r="34" spans="1:19" x14ac:dyDescent="0.25">
      <c r="A34" t="s">
        <v>1979</v>
      </c>
      <c r="B34">
        <v>3</v>
      </c>
      <c r="C34">
        <v>2</v>
      </c>
      <c r="D34">
        <v>0</v>
      </c>
      <c r="E34" t="s">
        <v>1998</v>
      </c>
      <c r="F34">
        <v>72356</v>
      </c>
      <c r="G34">
        <v>89666657.166666672</v>
      </c>
      <c r="H34">
        <v>0.96740740537643433</v>
      </c>
      <c r="I34">
        <v>0.96407407407407408</v>
      </c>
      <c r="J34">
        <v>19490908.833333332</v>
      </c>
      <c r="K34">
        <v>116639</v>
      </c>
      <c r="L34">
        <v>2</v>
      </c>
      <c r="M34">
        <v>223</v>
      </c>
      <c r="N34">
        <v>0.96444444444444444</v>
      </c>
      <c r="O34">
        <v>19346966.166666668</v>
      </c>
      <c r="P34">
        <v>117610</v>
      </c>
      <c r="Q34">
        <v>2</v>
      </c>
      <c r="R34">
        <v>224</v>
      </c>
      <c r="S34" t="s">
        <v>2965</v>
      </c>
    </row>
    <row r="35" spans="1:19" x14ac:dyDescent="0.25">
      <c r="A35" t="s">
        <v>1979</v>
      </c>
      <c r="B35">
        <v>3</v>
      </c>
      <c r="C35">
        <v>3</v>
      </c>
      <c r="D35">
        <v>0</v>
      </c>
      <c r="E35" t="s">
        <v>1998</v>
      </c>
      <c r="F35">
        <v>81384</v>
      </c>
      <c r="G35">
        <v>138322354.5</v>
      </c>
      <c r="H35">
        <v>0.97481481234232581</v>
      </c>
      <c r="I35">
        <v>0.97259259259259268</v>
      </c>
      <c r="J35">
        <v>24357428.333333332</v>
      </c>
      <c r="K35">
        <v>144260</v>
      </c>
      <c r="L35">
        <v>2</v>
      </c>
      <c r="M35">
        <v>250</v>
      </c>
      <c r="N35">
        <v>0.96259259259259256</v>
      </c>
      <c r="O35">
        <v>23138436.666666668</v>
      </c>
      <c r="P35">
        <v>145339</v>
      </c>
      <c r="Q35">
        <v>2</v>
      </c>
      <c r="R35">
        <v>251</v>
      </c>
      <c r="S35" t="s">
        <v>2966</v>
      </c>
    </row>
    <row r="36" spans="1:19" x14ac:dyDescent="0.25">
      <c r="A36" t="s">
        <v>1979</v>
      </c>
      <c r="B36">
        <v>3</v>
      </c>
      <c r="C36">
        <v>4</v>
      </c>
      <c r="D36">
        <v>0</v>
      </c>
      <c r="E36" t="s">
        <v>1998</v>
      </c>
      <c r="F36">
        <v>90412</v>
      </c>
      <c r="G36">
        <v>149113512.16666666</v>
      </c>
      <c r="H36">
        <v>0.96185184518496192</v>
      </c>
      <c r="I36">
        <v>0.96703703703703703</v>
      </c>
      <c r="J36">
        <v>22832447.666666668</v>
      </c>
      <c r="K36">
        <v>171260</v>
      </c>
      <c r="L36">
        <v>2</v>
      </c>
      <c r="M36">
        <v>274</v>
      </c>
      <c r="N36">
        <v>0.94703703703703701</v>
      </c>
      <c r="O36">
        <v>23368169.833333332</v>
      </c>
      <c r="P36">
        <v>172435</v>
      </c>
      <c r="Q36">
        <v>2</v>
      </c>
      <c r="R36">
        <v>275</v>
      </c>
      <c r="S36" t="s">
        <v>2967</v>
      </c>
    </row>
    <row r="37" spans="1:19" x14ac:dyDescent="0.25">
      <c r="A37" t="s">
        <v>1979</v>
      </c>
      <c r="B37">
        <v>3</v>
      </c>
      <c r="C37">
        <v>2</v>
      </c>
      <c r="D37">
        <v>0</v>
      </c>
      <c r="E37" t="s">
        <v>2000</v>
      </c>
      <c r="F37">
        <v>73542</v>
      </c>
      <c r="G37">
        <v>109538724.5</v>
      </c>
      <c r="H37">
        <v>0.9529629647731781</v>
      </c>
      <c r="I37">
        <v>0.96148148148148138</v>
      </c>
      <c r="J37">
        <v>19721281.333333332</v>
      </c>
      <c r="K37">
        <v>118585</v>
      </c>
      <c r="L37">
        <v>2</v>
      </c>
      <c r="M37">
        <v>225</v>
      </c>
      <c r="N37">
        <v>0.9622222222222222</v>
      </c>
      <c r="O37">
        <v>19059057</v>
      </c>
      <c r="P37">
        <v>119564</v>
      </c>
      <c r="Q37">
        <v>2</v>
      </c>
      <c r="R37">
        <v>226</v>
      </c>
      <c r="S37" t="s">
        <v>2968</v>
      </c>
    </row>
    <row r="38" spans="1:19" x14ac:dyDescent="0.25">
      <c r="A38" t="s">
        <v>1979</v>
      </c>
      <c r="B38">
        <v>3</v>
      </c>
      <c r="C38">
        <v>3</v>
      </c>
      <c r="D38">
        <v>0</v>
      </c>
      <c r="E38" t="s">
        <v>2000</v>
      </c>
      <c r="F38">
        <v>82718</v>
      </c>
      <c r="G38">
        <v>152015896.5</v>
      </c>
      <c r="H38">
        <v>0.97074073553085327</v>
      </c>
      <c r="I38">
        <v>0.9714814814814815</v>
      </c>
      <c r="J38">
        <v>22925961.666666668</v>
      </c>
      <c r="K38">
        <v>146422</v>
      </c>
      <c r="L38">
        <v>2</v>
      </c>
      <c r="M38">
        <v>252</v>
      </c>
      <c r="N38">
        <v>0.96888888888888891</v>
      </c>
      <c r="O38">
        <v>23520103.5</v>
      </c>
      <c r="P38">
        <v>147509</v>
      </c>
      <c r="Q38">
        <v>2</v>
      </c>
      <c r="R38">
        <v>253</v>
      </c>
      <c r="S38" t="s">
        <v>2969</v>
      </c>
    </row>
    <row r="39" spans="1:19" x14ac:dyDescent="0.25">
      <c r="A39" t="s">
        <v>1979</v>
      </c>
      <c r="B39">
        <v>3</v>
      </c>
      <c r="C39">
        <v>4</v>
      </c>
      <c r="D39">
        <v>0</v>
      </c>
      <c r="E39" t="s">
        <v>2000</v>
      </c>
      <c r="F39">
        <v>91894</v>
      </c>
      <c r="G39">
        <v>136619860.5</v>
      </c>
      <c r="H39">
        <v>0.96481481194496155</v>
      </c>
      <c r="I39">
        <v>0.96629629629629621</v>
      </c>
      <c r="J39">
        <v>22367742.666666668</v>
      </c>
      <c r="K39">
        <v>173614</v>
      </c>
      <c r="L39">
        <v>2</v>
      </c>
      <c r="M39">
        <v>276</v>
      </c>
      <c r="N39">
        <v>0.96370370370370373</v>
      </c>
      <c r="O39">
        <v>19886450.166666668</v>
      </c>
      <c r="P39">
        <v>174797</v>
      </c>
      <c r="Q39">
        <v>2</v>
      </c>
      <c r="R39">
        <v>277</v>
      </c>
      <c r="S39" t="s">
        <v>2970</v>
      </c>
    </row>
    <row r="40" spans="1:19" x14ac:dyDescent="0.25">
      <c r="A40" t="s">
        <v>1979</v>
      </c>
      <c r="B40">
        <v>3</v>
      </c>
      <c r="C40">
        <v>2</v>
      </c>
      <c r="D40">
        <v>0</v>
      </c>
      <c r="E40" t="s">
        <v>2002</v>
      </c>
      <c r="F40">
        <v>74728</v>
      </c>
      <c r="G40">
        <v>90541180.166666672</v>
      </c>
      <c r="H40">
        <v>0.95814814170201623</v>
      </c>
      <c r="I40">
        <v>0.95814814814814819</v>
      </c>
      <c r="J40">
        <v>19357499.5</v>
      </c>
      <c r="K40">
        <v>120547</v>
      </c>
      <c r="L40">
        <v>2</v>
      </c>
      <c r="M40">
        <v>227</v>
      </c>
      <c r="N40">
        <v>0.96296296296296291</v>
      </c>
      <c r="O40">
        <v>18333280.333333332</v>
      </c>
      <c r="P40">
        <v>121534</v>
      </c>
      <c r="Q40">
        <v>2</v>
      </c>
      <c r="R40">
        <v>228</v>
      </c>
      <c r="S40" t="s">
        <v>2971</v>
      </c>
    </row>
    <row r="41" spans="1:19" x14ac:dyDescent="0.25">
      <c r="A41" t="s">
        <v>1979</v>
      </c>
      <c r="B41">
        <v>3</v>
      </c>
      <c r="C41">
        <v>3</v>
      </c>
      <c r="D41">
        <v>0</v>
      </c>
      <c r="E41" t="s">
        <v>2002</v>
      </c>
      <c r="F41">
        <v>84052</v>
      </c>
      <c r="G41">
        <v>151793288.83333334</v>
      </c>
      <c r="H41">
        <v>0.96777775883674622</v>
      </c>
      <c r="I41">
        <v>0.97037037037037033</v>
      </c>
      <c r="J41">
        <v>23459767.666666668</v>
      </c>
      <c r="K41">
        <v>148600</v>
      </c>
      <c r="L41">
        <v>2</v>
      </c>
      <c r="M41">
        <v>254</v>
      </c>
      <c r="N41">
        <v>0.96592592592592597</v>
      </c>
      <c r="O41">
        <v>23211513</v>
      </c>
      <c r="P41">
        <v>149695</v>
      </c>
      <c r="Q41">
        <v>2</v>
      </c>
      <c r="R41">
        <v>255</v>
      </c>
      <c r="S41" t="s">
        <v>2972</v>
      </c>
    </row>
    <row r="42" spans="1:19" x14ac:dyDescent="0.25">
      <c r="A42" t="s">
        <v>1979</v>
      </c>
      <c r="B42">
        <v>3</v>
      </c>
      <c r="C42">
        <v>4</v>
      </c>
      <c r="D42">
        <v>0</v>
      </c>
      <c r="E42" t="s">
        <v>2002</v>
      </c>
      <c r="F42">
        <v>93376</v>
      </c>
      <c r="G42">
        <v>136447904</v>
      </c>
      <c r="H42">
        <v>0.96703703204790747</v>
      </c>
      <c r="I42">
        <v>0.95629629629629631</v>
      </c>
      <c r="J42">
        <v>22655429.666666668</v>
      </c>
      <c r="K42">
        <v>177175</v>
      </c>
      <c r="L42">
        <v>2</v>
      </c>
      <c r="M42">
        <v>279</v>
      </c>
      <c r="N42">
        <v>0.95</v>
      </c>
      <c r="O42">
        <v>23149973.333333332</v>
      </c>
      <c r="P42">
        <v>178370</v>
      </c>
      <c r="Q42">
        <v>2</v>
      </c>
      <c r="R42">
        <v>280</v>
      </c>
      <c r="S42" t="s">
        <v>2973</v>
      </c>
    </row>
    <row r="43" spans="1:19" x14ac:dyDescent="0.25">
      <c r="A43" t="s">
        <v>1979</v>
      </c>
      <c r="B43">
        <v>3</v>
      </c>
      <c r="C43">
        <v>2</v>
      </c>
      <c r="D43">
        <v>0</v>
      </c>
      <c r="E43" t="s">
        <v>2004</v>
      </c>
      <c r="F43">
        <v>75914</v>
      </c>
      <c r="G43">
        <v>105679851.66666667</v>
      </c>
      <c r="H43">
        <v>0.96000000834465027</v>
      </c>
      <c r="I43">
        <v>0.95666666666666667</v>
      </c>
      <c r="J43">
        <v>19944179.5</v>
      </c>
      <c r="K43">
        <v>122525</v>
      </c>
      <c r="L43">
        <v>2</v>
      </c>
      <c r="M43">
        <v>229</v>
      </c>
      <c r="N43">
        <v>0.9555555555555556</v>
      </c>
      <c r="O43">
        <v>19280684.166666668</v>
      </c>
      <c r="P43">
        <v>123520</v>
      </c>
      <c r="Q43">
        <v>2</v>
      </c>
      <c r="R43">
        <v>230</v>
      </c>
      <c r="S43" t="s">
        <v>2974</v>
      </c>
    </row>
    <row r="44" spans="1:19" x14ac:dyDescent="0.25">
      <c r="A44" t="s">
        <v>1979</v>
      </c>
      <c r="B44">
        <v>3</v>
      </c>
      <c r="C44">
        <v>3</v>
      </c>
      <c r="D44">
        <v>0</v>
      </c>
      <c r="E44" t="s">
        <v>2004</v>
      </c>
      <c r="F44">
        <v>85386</v>
      </c>
      <c r="G44">
        <v>171549341.16666666</v>
      </c>
      <c r="H44">
        <v>0.97481482227643335</v>
      </c>
      <c r="I44">
        <v>0.96925925925925926</v>
      </c>
      <c r="J44">
        <v>24971777.166666668</v>
      </c>
      <c r="K44">
        <v>150794</v>
      </c>
      <c r="L44">
        <v>2</v>
      </c>
      <c r="M44">
        <v>256</v>
      </c>
      <c r="N44">
        <v>0.97</v>
      </c>
      <c r="O44">
        <v>24196429.333333332</v>
      </c>
      <c r="P44">
        <v>151897</v>
      </c>
      <c r="Q44">
        <v>2</v>
      </c>
      <c r="R44">
        <v>257</v>
      </c>
      <c r="S44" t="s">
        <v>2975</v>
      </c>
    </row>
    <row r="45" spans="1:19" x14ac:dyDescent="0.25">
      <c r="A45" t="s">
        <v>1979</v>
      </c>
      <c r="B45">
        <v>3</v>
      </c>
      <c r="C45">
        <v>4</v>
      </c>
      <c r="D45">
        <v>0</v>
      </c>
      <c r="E45" t="s">
        <v>2004</v>
      </c>
      <c r="F45">
        <v>94858</v>
      </c>
      <c r="G45">
        <v>187730180</v>
      </c>
      <c r="H45">
        <v>0.96333332856496179</v>
      </c>
      <c r="I45">
        <v>0.95777777777777784</v>
      </c>
      <c r="J45">
        <v>23256168.5</v>
      </c>
      <c r="K45">
        <v>179569</v>
      </c>
      <c r="L45">
        <v>2</v>
      </c>
      <c r="M45">
        <v>281</v>
      </c>
      <c r="N45">
        <v>0.96296296296296291</v>
      </c>
      <c r="O45">
        <v>24141800.166666668</v>
      </c>
      <c r="P45">
        <v>180772</v>
      </c>
      <c r="Q45">
        <v>2</v>
      </c>
      <c r="R45">
        <v>282</v>
      </c>
      <c r="S45" t="s">
        <v>2976</v>
      </c>
    </row>
    <row r="46" spans="1:19" x14ac:dyDescent="0.25">
      <c r="A46" t="s">
        <v>1979</v>
      </c>
      <c r="B46">
        <v>3</v>
      </c>
      <c r="C46">
        <v>2</v>
      </c>
      <c r="D46">
        <v>0</v>
      </c>
      <c r="E46" t="s">
        <v>2006</v>
      </c>
      <c r="F46">
        <v>77100</v>
      </c>
      <c r="G46">
        <v>127723782.33333333</v>
      </c>
      <c r="H46">
        <v>0.95777779817581177</v>
      </c>
      <c r="I46">
        <v>0.96111111111111114</v>
      </c>
      <c r="J46">
        <v>19694558.166666668</v>
      </c>
      <c r="K46">
        <v>124519</v>
      </c>
      <c r="L46">
        <v>2</v>
      </c>
      <c r="M46">
        <v>231</v>
      </c>
      <c r="N46">
        <v>0.9588888888888889</v>
      </c>
      <c r="O46">
        <v>20576214.833333332</v>
      </c>
      <c r="P46">
        <v>125522</v>
      </c>
      <c r="Q46">
        <v>2</v>
      </c>
      <c r="R46">
        <v>232</v>
      </c>
      <c r="S46" t="s">
        <v>2977</v>
      </c>
    </row>
    <row r="47" spans="1:19" x14ac:dyDescent="0.25">
      <c r="A47" t="s">
        <v>1979</v>
      </c>
      <c r="B47">
        <v>3</v>
      </c>
      <c r="C47">
        <v>3</v>
      </c>
      <c r="D47">
        <v>0</v>
      </c>
      <c r="E47" t="s">
        <v>2006</v>
      </c>
      <c r="F47">
        <v>86720</v>
      </c>
      <c r="G47">
        <v>165105798.5</v>
      </c>
      <c r="H47">
        <v>0.9651851852734884</v>
      </c>
      <c r="I47">
        <v>0.97185185185185186</v>
      </c>
      <c r="J47">
        <v>25541084.333333332</v>
      </c>
      <c r="K47">
        <v>153004</v>
      </c>
      <c r="L47">
        <v>2</v>
      </c>
      <c r="M47">
        <v>258</v>
      </c>
      <c r="N47">
        <v>0.96962962962962962</v>
      </c>
      <c r="O47">
        <v>26204886.833333332</v>
      </c>
      <c r="P47">
        <v>154115</v>
      </c>
      <c r="Q47">
        <v>2</v>
      </c>
      <c r="R47">
        <v>259</v>
      </c>
      <c r="S47" t="s">
        <v>2978</v>
      </c>
    </row>
    <row r="48" spans="1:19" x14ac:dyDescent="0.25">
      <c r="A48" t="s">
        <v>1979</v>
      </c>
      <c r="B48">
        <v>3</v>
      </c>
      <c r="C48">
        <v>4</v>
      </c>
      <c r="D48">
        <v>0</v>
      </c>
      <c r="E48" t="s">
        <v>2006</v>
      </c>
      <c r="F48">
        <v>96340</v>
      </c>
      <c r="G48">
        <v>150272627.16666666</v>
      </c>
      <c r="H48">
        <v>0.95962962508201599</v>
      </c>
      <c r="I48">
        <v>0.96259259259259256</v>
      </c>
      <c r="J48">
        <v>23342051.666666668</v>
      </c>
      <c r="K48">
        <v>181979</v>
      </c>
      <c r="L48">
        <v>2</v>
      </c>
      <c r="M48">
        <v>283</v>
      </c>
      <c r="N48">
        <v>0.96592592592592597</v>
      </c>
      <c r="O48">
        <v>23458643.166666668</v>
      </c>
      <c r="P48">
        <v>183190</v>
      </c>
      <c r="Q48">
        <v>2</v>
      </c>
      <c r="R48">
        <v>284</v>
      </c>
      <c r="S48" t="s">
        <v>2979</v>
      </c>
    </row>
    <row r="49" spans="1:19" x14ac:dyDescent="0.25">
      <c r="A49" t="s">
        <v>1979</v>
      </c>
      <c r="B49">
        <v>3</v>
      </c>
      <c r="C49">
        <v>2</v>
      </c>
      <c r="D49">
        <v>0</v>
      </c>
      <c r="E49" t="s">
        <v>2008</v>
      </c>
      <c r="F49">
        <v>28474</v>
      </c>
      <c r="G49">
        <v>78953188.333333328</v>
      </c>
      <c r="H49">
        <v>0.95962962508201599</v>
      </c>
      <c r="I49">
        <v>0.96370370370370373</v>
      </c>
      <c r="J49">
        <v>18748507.666666668</v>
      </c>
      <c r="K49">
        <v>45629</v>
      </c>
      <c r="L49">
        <v>2</v>
      </c>
      <c r="M49">
        <v>133</v>
      </c>
      <c r="N49">
        <v>0.95407407407407407</v>
      </c>
      <c r="O49">
        <v>17740755.5</v>
      </c>
      <c r="P49">
        <v>46240</v>
      </c>
      <c r="Q49">
        <v>2</v>
      </c>
      <c r="R49">
        <v>134</v>
      </c>
      <c r="S49" t="s">
        <v>2980</v>
      </c>
    </row>
    <row r="50" spans="1:19" x14ac:dyDescent="0.25">
      <c r="A50" t="s">
        <v>1979</v>
      </c>
      <c r="B50">
        <v>3</v>
      </c>
      <c r="C50">
        <v>3</v>
      </c>
      <c r="D50">
        <v>0</v>
      </c>
      <c r="E50" t="s">
        <v>2008</v>
      </c>
      <c r="F50">
        <v>32026</v>
      </c>
      <c r="G50">
        <v>51345337.25</v>
      </c>
      <c r="H50">
        <v>0.96347221359610558</v>
      </c>
      <c r="I50">
        <v>0.96611111111111114</v>
      </c>
      <c r="J50">
        <v>15830124.0625</v>
      </c>
      <c r="K50">
        <v>56560</v>
      </c>
      <c r="L50">
        <v>2</v>
      </c>
      <c r="M50">
        <v>150</v>
      </c>
      <c r="N50">
        <v>0.9655555555555555</v>
      </c>
      <c r="O50">
        <v>15791803.375</v>
      </c>
      <c r="P50">
        <v>57239</v>
      </c>
      <c r="Q50">
        <v>2</v>
      </c>
      <c r="R50">
        <v>151</v>
      </c>
      <c r="S50" t="s">
        <v>2981</v>
      </c>
    </row>
    <row r="51" spans="1:19" x14ac:dyDescent="0.25">
      <c r="A51" t="s">
        <v>1979</v>
      </c>
      <c r="B51">
        <v>3</v>
      </c>
      <c r="C51">
        <v>4</v>
      </c>
      <c r="D51">
        <v>0</v>
      </c>
      <c r="E51" t="s">
        <v>2008</v>
      </c>
      <c r="F51">
        <v>35578</v>
      </c>
      <c r="G51">
        <v>47677179</v>
      </c>
      <c r="H51">
        <v>0.95600000619888303</v>
      </c>
      <c r="I51">
        <v>0.94711111111111113</v>
      </c>
      <c r="J51">
        <v>15182553.6</v>
      </c>
      <c r="K51">
        <v>67165</v>
      </c>
      <c r="L51">
        <v>2</v>
      </c>
      <c r="M51">
        <v>165</v>
      </c>
      <c r="N51">
        <v>0.94444444444444442</v>
      </c>
      <c r="O51">
        <v>14915041</v>
      </c>
      <c r="P51">
        <v>67904</v>
      </c>
      <c r="Q51">
        <v>2</v>
      </c>
      <c r="R51">
        <v>166</v>
      </c>
      <c r="S51" t="s">
        <v>2982</v>
      </c>
    </row>
    <row r="52" spans="1:19" x14ac:dyDescent="0.25">
      <c r="A52" t="s">
        <v>1979</v>
      </c>
      <c r="B52">
        <v>3</v>
      </c>
      <c r="C52">
        <v>2</v>
      </c>
      <c r="D52">
        <v>0</v>
      </c>
      <c r="E52" t="s">
        <v>2010</v>
      </c>
      <c r="F52">
        <v>29660</v>
      </c>
      <c r="G52">
        <v>37687320.333333336</v>
      </c>
      <c r="H52">
        <v>0.96111111839612329</v>
      </c>
      <c r="I52">
        <v>0.94888888888888889</v>
      </c>
      <c r="J52">
        <v>11003515.833333334</v>
      </c>
      <c r="K52">
        <v>48097</v>
      </c>
      <c r="L52">
        <v>2</v>
      </c>
      <c r="M52">
        <v>137</v>
      </c>
      <c r="N52">
        <v>0.96148148148148149</v>
      </c>
      <c r="O52">
        <v>10353234.333333334</v>
      </c>
      <c r="P52">
        <v>48724</v>
      </c>
      <c r="Q52">
        <v>2</v>
      </c>
      <c r="R52">
        <v>138</v>
      </c>
      <c r="S52" t="s">
        <v>2983</v>
      </c>
    </row>
    <row r="53" spans="1:19" x14ac:dyDescent="0.25">
      <c r="A53" t="s">
        <v>1979</v>
      </c>
      <c r="B53">
        <v>3</v>
      </c>
      <c r="C53">
        <v>4</v>
      </c>
      <c r="D53">
        <v>0</v>
      </c>
      <c r="E53" t="s">
        <v>2010</v>
      </c>
      <c r="F53">
        <v>37060</v>
      </c>
      <c r="G53">
        <v>52690758.1875</v>
      </c>
      <c r="H53">
        <v>0.96902777627110481</v>
      </c>
      <c r="I53">
        <v>0.96708333333333329</v>
      </c>
      <c r="J53">
        <v>14125225.1875</v>
      </c>
      <c r="K53">
        <v>70145</v>
      </c>
      <c r="L53">
        <v>2</v>
      </c>
      <c r="M53">
        <v>169</v>
      </c>
      <c r="N53">
        <v>0.96736111111111112</v>
      </c>
      <c r="O53">
        <v>15017970.125</v>
      </c>
      <c r="P53">
        <v>70900</v>
      </c>
      <c r="Q53">
        <v>2</v>
      </c>
      <c r="R53">
        <v>170</v>
      </c>
      <c r="S53" t="s">
        <v>2984</v>
      </c>
    </row>
    <row r="54" spans="1:19" x14ac:dyDescent="0.25">
      <c r="A54" t="s">
        <v>1979</v>
      </c>
      <c r="B54">
        <v>3</v>
      </c>
      <c r="C54">
        <v>2</v>
      </c>
      <c r="D54">
        <v>0</v>
      </c>
      <c r="E54" t="s">
        <v>2012</v>
      </c>
      <c r="F54">
        <v>30846</v>
      </c>
      <c r="G54">
        <v>39219158.666666664</v>
      </c>
      <c r="H54">
        <v>0.96592592199643457</v>
      </c>
      <c r="I54">
        <v>0.95148148148148148</v>
      </c>
      <c r="J54">
        <v>11242223.333333334</v>
      </c>
      <c r="K54">
        <v>49990</v>
      </c>
      <c r="L54">
        <v>2</v>
      </c>
      <c r="M54">
        <v>140</v>
      </c>
      <c r="N54">
        <v>0.95777777777777773</v>
      </c>
      <c r="O54">
        <v>11091316.666666666</v>
      </c>
      <c r="P54">
        <v>50629</v>
      </c>
      <c r="Q54">
        <v>2</v>
      </c>
      <c r="R54">
        <v>141</v>
      </c>
      <c r="S54" t="s">
        <v>2985</v>
      </c>
    </row>
    <row r="55" spans="1:19" x14ac:dyDescent="0.25">
      <c r="A55" t="s">
        <v>1979</v>
      </c>
      <c r="B55">
        <v>3</v>
      </c>
      <c r="C55">
        <v>4</v>
      </c>
      <c r="D55">
        <v>0</v>
      </c>
      <c r="E55" t="s">
        <v>2012</v>
      </c>
      <c r="F55">
        <v>38542</v>
      </c>
      <c r="G55">
        <v>53509676.3125</v>
      </c>
      <c r="H55">
        <v>0.96666666492819786</v>
      </c>
      <c r="I55">
        <v>0.96805555555555556</v>
      </c>
      <c r="J55">
        <v>14897737.5</v>
      </c>
      <c r="K55">
        <v>72422</v>
      </c>
      <c r="L55">
        <v>2</v>
      </c>
      <c r="M55">
        <v>172</v>
      </c>
      <c r="N55">
        <v>0.96958333333333335</v>
      </c>
      <c r="O55">
        <v>14958431.6875</v>
      </c>
      <c r="P55">
        <v>73189</v>
      </c>
      <c r="Q55">
        <v>2</v>
      </c>
      <c r="R55">
        <v>173</v>
      </c>
      <c r="S55" t="s">
        <v>2986</v>
      </c>
    </row>
    <row r="56" spans="1:19" x14ac:dyDescent="0.25">
      <c r="A56" t="s">
        <v>1979</v>
      </c>
      <c r="B56">
        <v>3</v>
      </c>
      <c r="C56">
        <v>2</v>
      </c>
      <c r="D56">
        <v>0</v>
      </c>
      <c r="E56" t="s">
        <v>2014</v>
      </c>
      <c r="F56">
        <v>32032</v>
      </c>
      <c r="G56">
        <v>37550499.5</v>
      </c>
      <c r="H56">
        <v>0.95851852496465051</v>
      </c>
      <c r="I56">
        <v>0.95629629629629631</v>
      </c>
      <c r="J56">
        <v>12064797.5</v>
      </c>
      <c r="K56">
        <v>51919</v>
      </c>
      <c r="L56">
        <v>2</v>
      </c>
      <c r="M56">
        <v>143</v>
      </c>
      <c r="N56">
        <v>0.95407407407407407</v>
      </c>
      <c r="O56">
        <v>11325798.666666666</v>
      </c>
      <c r="P56">
        <v>52570</v>
      </c>
      <c r="Q56">
        <v>2</v>
      </c>
      <c r="R56">
        <v>144</v>
      </c>
      <c r="S56" t="s">
        <v>2987</v>
      </c>
    </row>
    <row r="57" spans="1:19" x14ac:dyDescent="0.25">
      <c r="A57" t="s">
        <v>1979</v>
      </c>
      <c r="B57">
        <v>3</v>
      </c>
      <c r="C57">
        <v>4</v>
      </c>
      <c r="D57">
        <v>0</v>
      </c>
      <c r="E57" t="s">
        <v>2014</v>
      </c>
      <c r="F57">
        <v>40024</v>
      </c>
      <c r="G57">
        <v>58066218.3125</v>
      </c>
      <c r="H57">
        <v>0.96236110478639603</v>
      </c>
      <c r="I57">
        <v>0.96736111111111112</v>
      </c>
      <c r="J57">
        <v>14930185.6875</v>
      </c>
      <c r="K57">
        <v>75514</v>
      </c>
      <c r="L57">
        <v>2</v>
      </c>
      <c r="M57">
        <v>176</v>
      </c>
      <c r="N57">
        <v>0.96944444444444444</v>
      </c>
      <c r="O57">
        <v>15050264.75</v>
      </c>
      <c r="P57">
        <v>76297</v>
      </c>
      <c r="Q57">
        <v>2</v>
      </c>
      <c r="R57">
        <v>177</v>
      </c>
      <c r="S57" t="s">
        <v>2988</v>
      </c>
    </row>
    <row r="58" spans="1:19" x14ac:dyDescent="0.25">
      <c r="A58" t="s">
        <v>1979</v>
      </c>
      <c r="B58">
        <v>3</v>
      </c>
      <c r="C58">
        <v>2</v>
      </c>
      <c r="D58">
        <v>0</v>
      </c>
      <c r="E58" t="s">
        <v>2016</v>
      </c>
      <c r="F58">
        <v>33218</v>
      </c>
      <c r="G58">
        <v>43119820.5</v>
      </c>
      <c r="H58">
        <v>0.95296297470728553</v>
      </c>
      <c r="I58">
        <v>0.95666666666666667</v>
      </c>
      <c r="J58">
        <v>11513150.833333334</v>
      </c>
      <c r="K58">
        <v>53884</v>
      </c>
      <c r="L58">
        <v>2</v>
      </c>
      <c r="M58">
        <v>146</v>
      </c>
      <c r="N58">
        <v>0.95777777777777773</v>
      </c>
      <c r="O58">
        <v>11771748</v>
      </c>
      <c r="P58">
        <v>54547</v>
      </c>
      <c r="Q58">
        <v>2</v>
      </c>
      <c r="R58">
        <v>147</v>
      </c>
      <c r="S58" t="s">
        <v>2989</v>
      </c>
    </row>
    <row r="59" spans="1:19" x14ac:dyDescent="0.25">
      <c r="A59" t="s">
        <v>1979</v>
      </c>
      <c r="B59">
        <v>3</v>
      </c>
      <c r="C59">
        <v>4</v>
      </c>
      <c r="D59">
        <v>0</v>
      </c>
      <c r="E59" t="s">
        <v>2016</v>
      </c>
      <c r="F59">
        <v>41506</v>
      </c>
      <c r="G59">
        <v>59459356.375</v>
      </c>
      <c r="H59">
        <v>0.9700000025331974</v>
      </c>
      <c r="I59">
        <v>0.96750000000000003</v>
      </c>
      <c r="J59">
        <v>14247956.8125</v>
      </c>
      <c r="K59">
        <v>78670</v>
      </c>
      <c r="L59">
        <v>2</v>
      </c>
      <c r="M59">
        <v>180</v>
      </c>
      <c r="N59">
        <v>0.96513888888888888</v>
      </c>
      <c r="O59">
        <v>15567567.3125</v>
      </c>
      <c r="P59">
        <v>79469</v>
      </c>
      <c r="Q59">
        <v>2</v>
      </c>
      <c r="R59">
        <v>181</v>
      </c>
      <c r="S59" t="s">
        <v>2990</v>
      </c>
    </row>
    <row r="60" spans="1:19" x14ac:dyDescent="0.25">
      <c r="A60" t="s">
        <v>1979</v>
      </c>
      <c r="B60">
        <v>3</v>
      </c>
      <c r="C60">
        <v>2</v>
      </c>
      <c r="D60">
        <v>0</v>
      </c>
      <c r="E60" t="s">
        <v>2018</v>
      </c>
      <c r="F60">
        <v>34404</v>
      </c>
      <c r="G60">
        <v>39972586.5</v>
      </c>
      <c r="H60">
        <v>0.9651851852734884</v>
      </c>
      <c r="I60">
        <v>0.95962962962962961</v>
      </c>
      <c r="J60">
        <v>11762782</v>
      </c>
      <c r="K60">
        <v>55214</v>
      </c>
      <c r="L60">
        <v>2</v>
      </c>
      <c r="M60">
        <v>148</v>
      </c>
      <c r="N60">
        <v>0.95851851851851844</v>
      </c>
      <c r="O60">
        <v>12784267</v>
      </c>
      <c r="P60">
        <v>55885</v>
      </c>
      <c r="Q60">
        <v>2</v>
      </c>
      <c r="R60">
        <v>149</v>
      </c>
      <c r="S60" t="s">
        <v>2991</v>
      </c>
    </row>
    <row r="61" spans="1:19" x14ac:dyDescent="0.25">
      <c r="A61" t="s">
        <v>1979</v>
      </c>
      <c r="B61">
        <v>3</v>
      </c>
      <c r="C61">
        <v>4</v>
      </c>
      <c r="D61">
        <v>0</v>
      </c>
      <c r="E61" t="s">
        <v>2018</v>
      </c>
      <c r="F61">
        <v>42988</v>
      </c>
      <c r="G61">
        <v>60698905.125</v>
      </c>
      <c r="H61">
        <v>0.96833333000540733</v>
      </c>
      <c r="I61">
        <v>0.96680555555555558</v>
      </c>
      <c r="J61">
        <v>16039039.3125</v>
      </c>
      <c r="K61">
        <v>81079</v>
      </c>
      <c r="L61">
        <v>2</v>
      </c>
      <c r="M61">
        <v>183</v>
      </c>
      <c r="N61">
        <v>0.96486111111111117</v>
      </c>
      <c r="O61">
        <v>15497807.0625</v>
      </c>
      <c r="P61">
        <v>81890</v>
      </c>
      <c r="Q61">
        <v>2</v>
      </c>
      <c r="R61">
        <v>184</v>
      </c>
      <c r="S61" t="s">
        <v>2992</v>
      </c>
    </row>
    <row r="62" spans="1:19" x14ac:dyDescent="0.25">
      <c r="A62" t="s">
        <v>1979</v>
      </c>
      <c r="B62">
        <v>3</v>
      </c>
      <c r="C62">
        <v>2</v>
      </c>
      <c r="D62">
        <v>0</v>
      </c>
      <c r="E62" t="s">
        <v>2020</v>
      </c>
      <c r="F62">
        <v>35590</v>
      </c>
      <c r="G62">
        <v>42130363.833333336</v>
      </c>
      <c r="H62">
        <v>0.96666665871938073</v>
      </c>
      <c r="I62">
        <v>0.95185185185185184</v>
      </c>
      <c r="J62">
        <v>11733409.833333334</v>
      </c>
      <c r="K62">
        <v>57239</v>
      </c>
      <c r="L62">
        <v>2</v>
      </c>
      <c r="M62">
        <v>151</v>
      </c>
      <c r="N62">
        <v>0.96185185185185185</v>
      </c>
      <c r="O62">
        <v>11954054.666666666</v>
      </c>
      <c r="P62">
        <v>57922</v>
      </c>
      <c r="Q62">
        <v>2</v>
      </c>
      <c r="R62">
        <v>152</v>
      </c>
      <c r="S62" t="s">
        <v>2993</v>
      </c>
    </row>
    <row r="63" spans="1:19" x14ac:dyDescent="0.25">
      <c r="A63" t="s">
        <v>1979</v>
      </c>
      <c r="B63">
        <v>3</v>
      </c>
      <c r="C63">
        <v>4</v>
      </c>
      <c r="D63">
        <v>0</v>
      </c>
      <c r="E63" t="s">
        <v>2020</v>
      </c>
      <c r="F63">
        <v>44470</v>
      </c>
      <c r="G63">
        <v>60908639.4375</v>
      </c>
      <c r="H63">
        <v>0.9709722176194191</v>
      </c>
      <c r="I63">
        <v>0.96499999999999997</v>
      </c>
      <c r="J63">
        <v>15651545.5</v>
      </c>
      <c r="K63">
        <v>84347</v>
      </c>
      <c r="L63">
        <v>2</v>
      </c>
      <c r="M63">
        <v>187</v>
      </c>
      <c r="N63">
        <v>0.96958333333333335</v>
      </c>
      <c r="O63">
        <v>14200210.875</v>
      </c>
      <c r="P63">
        <v>85174</v>
      </c>
      <c r="Q63">
        <v>2</v>
      </c>
      <c r="R63">
        <v>188</v>
      </c>
      <c r="S63" t="s">
        <v>2994</v>
      </c>
    </row>
    <row r="64" spans="1:19" x14ac:dyDescent="0.25">
      <c r="A64" t="s">
        <v>1979</v>
      </c>
      <c r="B64">
        <v>3</v>
      </c>
      <c r="C64">
        <v>2</v>
      </c>
      <c r="D64">
        <v>0</v>
      </c>
      <c r="E64" t="s">
        <v>2022</v>
      </c>
      <c r="F64">
        <v>36776</v>
      </c>
      <c r="G64">
        <v>42926188.166666664</v>
      </c>
      <c r="H64">
        <v>0.96962963541348779</v>
      </c>
      <c r="I64">
        <v>0.94777777777777772</v>
      </c>
      <c r="J64">
        <v>12616020.666666666</v>
      </c>
      <c r="K64">
        <v>59300</v>
      </c>
      <c r="L64">
        <v>2</v>
      </c>
      <c r="M64">
        <v>154</v>
      </c>
      <c r="N64">
        <v>0.96037037037037032</v>
      </c>
      <c r="O64">
        <v>13238132.166666666</v>
      </c>
      <c r="P64">
        <v>59995</v>
      </c>
      <c r="Q64">
        <v>2</v>
      </c>
      <c r="R64">
        <v>155</v>
      </c>
      <c r="S64" t="s">
        <v>2995</v>
      </c>
    </row>
    <row r="65" spans="1:19" x14ac:dyDescent="0.25">
      <c r="A65" t="s">
        <v>1979</v>
      </c>
      <c r="B65">
        <v>3</v>
      </c>
      <c r="C65">
        <v>4</v>
      </c>
      <c r="D65">
        <v>0</v>
      </c>
      <c r="E65" t="s">
        <v>2022</v>
      </c>
      <c r="F65">
        <v>45952</v>
      </c>
      <c r="G65">
        <v>61642951.9375</v>
      </c>
      <c r="H65">
        <v>0.97166666388511658</v>
      </c>
      <c r="I65">
        <v>0.96666666666666667</v>
      </c>
      <c r="J65">
        <v>15405943.0625</v>
      </c>
      <c r="K65">
        <v>86840</v>
      </c>
      <c r="L65">
        <v>2</v>
      </c>
      <c r="M65">
        <v>190</v>
      </c>
      <c r="N65">
        <v>0.96736111111111112</v>
      </c>
      <c r="O65">
        <v>16448324.4375</v>
      </c>
      <c r="P65">
        <v>87679</v>
      </c>
      <c r="Q65">
        <v>2</v>
      </c>
      <c r="R65">
        <v>191</v>
      </c>
      <c r="S65" t="s">
        <v>2996</v>
      </c>
    </row>
    <row r="66" spans="1:19" x14ac:dyDescent="0.25">
      <c r="A66" t="s">
        <v>1979</v>
      </c>
      <c r="B66">
        <v>3</v>
      </c>
      <c r="C66">
        <v>2</v>
      </c>
      <c r="D66">
        <v>0</v>
      </c>
      <c r="E66" t="s">
        <v>2024</v>
      </c>
      <c r="F66">
        <v>37962</v>
      </c>
      <c r="G66">
        <v>50493678.666666664</v>
      </c>
      <c r="H66">
        <v>0.95962962508201599</v>
      </c>
      <c r="I66">
        <v>0.95703703703703702</v>
      </c>
      <c r="J66">
        <v>13005358</v>
      </c>
      <c r="K66">
        <v>61397</v>
      </c>
      <c r="L66">
        <v>2</v>
      </c>
      <c r="M66">
        <v>157</v>
      </c>
      <c r="N66">
        <v>0.95259259259259255</v>
      </c>
      <c r="O66">
        <v>13203610.666666666</v>
      </c>
      <c r="P66">
        <v>62104</v>
      </c>
      <c r="Q66">
        <v>2</v>
      </c>
      <c r="R66">
        <v>158</v>
      </c>
      <c r="S66" t="s">
        <v>2997</v>
      </c>
    </row>
    <row r="67" spans="1:19" x14ac:dyDescent="0.25">
      <c r="A67" t="s">
        <v>1979</v>
      </c>
      <c r="B67">
        <v>3</v>
      </c>
      <c r="C67">
        <v>4</v>
      </c>
      <c r="D67">
        <v>0</v>
      </c>
      <c r="E67" t="s">
        <v>2024</v>
      </c>
      <c r="F67">
        <v>47434</v>
      </c>
      <c r="G67">
        <v>69285399.1875</v>
      </c>
      <c r="H67">
        <v>0.97138888388872147</v>
      </c>
      <c r="I67">
        <v>0.97</v>
      </c>
      <c r="J67">
        <v>16370228.8125</v>
      </c>
      <c r="K67">
        <v>89369</v>
      </c>
      <c r="L67">
        <v>2</v>
      </c>
      <c r="M67">
        <v>193</v>
      </c>
      <c r="N67">
        <v>0.9654166666666667</v>
      </c>
      <c r="O67">
        <v>15759039.9375</v>
      </c>
      <c r="P67">
        <v>90220</v>
      </c>
      <c r="Q67">
        <v>2</v>
      </c>
      <c r="R67">
        <v>194</v>
      </c>
      <c r="S67" t="s">
        <v>2998</v>
      </c>
    </row>
    <row r="68" spans="1:19" x14ac:dyDescent="0.25">
      <c r="A68" t="s">
        <v>1979</v>
      </c>
      <c r="B68">
        <v>3</v>
      </c>
      <c r="C68">
        <v>2</v>
      </c>
      <c r="D68">
        <v>0</v>
      </c>
      <c r="E68" t="s">
        <v>2026</v>
      </c>
      <c r="F68">
        <v>92142</v>
      </c>
      <c r="G68">
        <v>100525346.66666667</v>
      </c>
      <c r="H68">
        <v>0.96777777870496118</v>
      </c>
      <c r="I68">
        <v>0.96148148148148149</v>
      </c>
      <c r="J68">
        <v>14517562</v>
      </c>
      <c r="K68">
        <v>148600</v>
      </c>
      <c r="L68">
        <v>2</v>
      </c>
      <c r="M68">
        <v>254</v>
      </c>
      <c r="N68">
        <v>0.95296296296296301</v>
      </c>
      <c r="O68">
        <v>14359973.166666666</v>
      </c>
      <c r="P68">
        <v>149695</v>
      </c>
      <c r="Q68">
        <v>2</v>
      </c>
      <c r="R68">
        <v>255</v>
      </c>
      <c r="S68" t="s">
        <v>2999</v>
      </c>
    </row>
    <row r="69" spans="1:19" x14ac:dyDescent="0.25">
      <c r="A69" t="s">
        <v>1979</v>
      </c>
      <c r="B69">
        <v>3</v>
      </c>
      <c r="C69">
        <v>3</v>
      </c>
      <c r="D69">
        <v>0</v>
      </c>
      <c r="E69" t="s">
        <v>2026</v>
      </c>
      <c r="F69">
        <v>103638</v>
      </c>
      <c r="G69">
        <v>339988074.33333331</v>
      </c>
      <c r="H69">
        <v>0.97444444894790649</v>
      </c>
      <c r="I69">
        <v>0.96148148148148149</v>
      </c>
      <c r="J69">
        <v>29480254.166666668</v>
      </c>
      <c r="K69">
        <v>183190</v>
      </c>
      <c r="L69">
        <v>2</v>
      </c>
      <c r="M69">
        <v>284</v>
      </c>
      <c r="N69">
        <v>0.96148148148148149</v>
      </c>
      <c r="O69">
        <v>29420710.333333332</v>
      </c>
      <c r="P69">
        <v>184405</v>
      </c>
      <c r="Q69">
        <v>2</v>
      </c>
      <c r="R69">
        <v>285</v>
      </c>
      <c r="S69" t="s">
        <v>3000</v>
      </c>
    </row>
    <row r="70" spans="1:19" x14ac:dyDescent="0.25">
      <c r="A70" t="s">
        <v>1979</v>
      </c>
      <c r="B70">
        <v>3</v>
      </c>
      <c r="C70">
        <v>4</v>
      </c>
      <c r="D70">
        <v>0</v>
      </c>
      <c r="E70" t="s">
        <v>2026</v>
      </c>
      <c r="F70">
        <v>115134</v>
      </c>
      <c r="G70">
        <v>356468979.1111111</v>
      </c>
      <c r="H70">
        <v>0.9679012364811368</v>
      </c>
      <c r="I70">
        <v>0.96024691358024694</v>
      </c>
      <c r="J70">
        <v>30954763.333333332</v>
      </c>
      <c r="K70">
        <v>217399</v>
      </c>
      <c r="L70">
        <v>2</v>
      </c>
      <c r="M70">
        <v>311</v>
      </c>
      <c r="N70">
        <v>0.96271604938271604</v>
      </c>
      <c r="O70">
        <v>31976593.444444444</v>
      </c>
      <c r="P70">
        <v>218722</v>
      </c>
      <c r="Q70">
        <v>2</v>
      </c>
      <c r="R70">
        <v>312</v>
      </c>
      <c r="S70" t="s">
        <v>3001</v>
      </c>
    </row>
    <row r="71" spans="1:19" x14ac:dyDescent="0.25">
      <c r="A71" t="s">
        <v>1979</v>
      </c>
      <c r="B71">
        <v>3</v>
      </c>
      <c r="C71">
        <v>2</v>
      </c>
      <c r="D71">
        <v>0</v>
      </c>
      <c r="E71" t="s">
        <v>2028</v>
      </c>
      <c r="F71">
        <v>93328</v>
      </c>
      <c r="G71">
        <v>335150760.16666669</v>
      </c>
      <c r="H71">
        <v>0.96481482187906897</v>
      </c>
      <c r="I71">
        <v>0.96814814814814809</v>
      </c>
      <c r="J71">
        <v>32485667.166666668</v>
      </c>
      <c r="K71">
        <v>150794</v>
      </c>
      <c r="L71">
        <v>2</v>
      </c>
      <c r="M71">
        <v>256</v>
      </c>
      <c r="N71">
        <v>0.96629629629629632</v>
      </c>
      <c r="O71">
        <v>31923528.833333332</v>
      </c>
      <c r="P71">
        <v>151897</v>
      </c>
      <c r="Q71">
        <v>2</v>
      </c>
      <c r="R71">
        <v>257</v>
      </c>
      <c r="S71" t="s">
        <v>3002</v>
      </c>
    </row>
    <row r="72" spans="1:19" x14ac:dyDescent="0.25">
      <c r="A72" t="s">
        <v>1979</v>
      </c>
      <c r="B72">
        <v>3</v>
      </c>
      <c r="C72">
        <v>3</v>
      </c>
      <c r="D72">
        <v>0</v>
      </c>
      <c r="E72" t="s">
        <v>2028</v>
      </c>
      <c r="F72">
        <v>104972</v>
      </c>
      <c r="G72">
        <v>346743370.66666669</v>
      </c>
      <c r="H72">
        <v>0.97962962587674463</v>
      </c>
      <c r="I72">
        <v>0.96037037037037032</v>
      </c>
      <c r="J72">
        <v>30453369.166666668</v>
      </c>
      <c r="K72">
        <v>185624</v>
      </c>
      <c r="L72">
        <v>2</v>
      </c>
      <c r="M72">
        <v>286</v>
      </c>
      <c r="N72">
        <v>0.96518518518518515</v>
      </c>
      <c r="O72">
        <v>27036173.666666668</v>
      </c>
      <c r="P72">
        <v>186847</v>
      </c>
      <c r="Q72">
        <v>2</v>
      </c>
      <c r="R72">
        <v>287</v>
      </c>
      <c r="S72" t="s">
        <v>3003</v>
      </c>
    </row>
    <row r="73" spans="1:19" x14ac:dyDescent="0.25">
      <c r="A73" t="s">
        <v>1979</v>
      </c>
      <c r="B73">
        <v>3</v>
      </c>
      <c r="C73">
        <v>4</v>
      </c>
      <c r="D73">
        <v>0</v>
      </c>
      <c r="E73" t="s">
        <v>2028</v>
      </c>
      <c r="F73">
        <v>116616</v>
      </c>
      <c r="G73">
        <v>310566354.22222221</v>
      </c>
      <c r="H73">
        <v>0.9671605030695597</v>
      </c>
      <c r="I73">
        <v>0.96296296296296291</v>
      </c>
      <c r="J73">
        <v>31794668.555555556</v>
      </c>
      <c r="K73">
        <v>221380</v>
      </c>
      <c r="L73">
        <v>2</v>
      </c>
      <c r="M73">
        <v>314</v>
      </c>
      <c r="N73">
        <v>0.96123456790123452</v>
      </c>
      <c r="O73">
        <v>32147956.444444444</v>
      </c>
      <c r="P73">
        <v>222715</v>
      </c>
      <c r="Q73">
        <v>2</v>
      </c>
      <c r="R73">
        <v>315</v>
      </c>
      <c r="S73" t="s">
        <v>3004</v>
      </c>
    </row>
    <row r="74" spans="1:19" x14ac:dyDescent="0.25">
      <c r="A74" t="s">
        <v>1979</v>
      </c>
      <c r="B74">
        <v>3</v>
      </c>
      <c r="C74">
        <v>2</v>
      </c>
      <c r="D74">
        <v>0</v>
      </c>
      <c r="E74" t="s">
        <v>2030</v>
      </c>
      <c r="F74">
        <v>94514</v>
      </c>
      <c r="G74">
        <v>397956926</v>
      </c>
      <c r="H74">
        <v>0.95333333810170495</v>
      </c>
      <c r="I74">
        <v>0.96592592592592597</v>
      </c>
      <c r="J74">
        <v>32541985.166666668</v>
      </c>
      <c r="K74">
        <v>153004</v>
      </c>
      <c r="L74">
        <v>2</v>
      </c>
      <c r="M74">
        <v>258</v>
      </c>
      <c r="N74">
        <v>0.96259259259259256</v>
      </c>
      <c r="O74">
        <v>33353036.833333332</v>
      </c>
      <c r="P74">
        <v>154115</v>
      </c>
      <c r="Q74">
        <v>2</v>
      </c>
      <c r="R74">
        <v>259</v>
      </c>
      <c r="S74" t="s">
        <v>3005</v>
      </c>
    </row>
    <row r="75" spans="1:19" x14ac:dyDescent="0.25">
      <c r="A75" t="s">
        <v>1979</v>
      </c>
      <c r="B75">
        <v>3</v>
      </c>
      <c r="C75">
        <v>3</v>
      </c>
      <c r="D75">
        <v>0</v>
      </c>
      <c r="E75" t="s">
        <v>2030</v>
      </c>
      <c r="F75">
        <v>106306</v>
      </c>
      <c r="G75">
        <v>396873112.83333331</v>
      </c>
      <c r="H75">
        <v>0.97296296556790673</v>
      </c>
      <c r="I75">
        <v>0.9588888888888889</v>
      </c>
      <c r="J75">
        <v>29631978.666666668</v>
      </c>
      <c r="K75">
        <v>188074</v>
      </c>
      <c r="L75">
        <v>2</v>
      </c>
      <c r="M75">
        <v>288</v>
      </c>
      <c r="N75">
        <v>0.95814814814814819</v>
      </c>
      <c r="O75">
        <v>28066268</v>
      </c>
      <c r="P75">
        <v>189305</v>
      </c>
      <c r="Q75">
        <v>2</v>
      </c>
      <c r="R75">
        <v>289</v>
      </c>
      <c r="S75" t="s">
        <v>3006</v>
      </c>
    </row>
    <row r="76" spans="1:19" x14ac:dyDescent="0.25">
      <c r="A76" t="s">
        <v>1979</v>
      </c>
      <c r="B76">
        <v>3</v>
      </c>
      <c r="C76">
        <v>4</v>
      </c>
      <c r="D76">
        <v>0</v>
      </c>
      <c r="E76" t="s">
        <v>2030</v>
      </c>
      <c r="F76">
        <v>118098</v>
      </c>
      <c r="G76">
        <v>407312454</v>
      </c>
      <c r="H76">
        <v>0.96864197651545203</v>
      </c>
      <c r="I76">
        <v>0.96</v>
      </c>
      <c r="J76">
        <v>31533693.666666668</v>
      </c>
      <c r="K76">
        <v>224054</v>
      </c>
      <c r="L76">
        <v>2</v>
      </c>
      <c r="M76">
        <v>316</v>
      </c>
      <c r="N76">
        <v>0.9646913580246913</v>
      </c>
      <c r="O76">
        <v>31501324.555555556</v>
      </c>
      <c r="P76">
        <v>225397</v>
      </c>
      <c r="Q76">
        <v>2</v>
      </c>
      <c r="R76">
        <v>317</v>
      </c>
      <c r="S76" t="s">
        <v>3007</v>
      </c>
    </row>
    <row r="77" spans="1:19" x14ac:dyDescent="0.25">
      <c r="A77" t="s">
        <v>1979</v>
      </c>
      <c r="B77">
        <v>3</v>
      </c>
      <c r="C77">
        <v>2</v>
      </c>
      <c r="D77">
        <v>0</v>
      </c>
      <c r="E77" t="s">
        <v>2032</v>
      </c>
      <c r="F77">
        <v>95700</v>
      </c>
      <c r="G77">
        <v>546922699</v>
      </c>
      <c r="H77">
        <v>0.96730158158711022</v>
      </c>
      <c r="I77">
        <v>0.9663492063492064</v>
      </c>
      <c r="J77">
        <v>33835517.571428575</v>
      </c>
      <c r="K77">
        <v>155230</v>
      </c>
      <c r="L77">
        <v>2</v>
      </c>
      <c r="M77">
        <v>260</v>
      </c>
      <c r="N77">
        <v>0.96412698412698417</v>
      </c>
      <c r="O77">
        <v>32087086.142857142</v>
      </c>
      <c r="P77">
        <v>156349</v>
      </c>
      <c r="Q77">
        <v>2</v>
      </c>
      <c r="R77">
        <v>261</v>
      </c>
      <c r="S77" t="s">
        <v>3008</v>
      </c>
    </row>
    <row r="78" spans="1:19" x14ac:dyDescent="0.25">
      <c r="A78" t="s">
        <v>1979</v>
      </c>
      <c r="B78">
        <v>3</v>
      </c>
      <c r="C78">
        <v>3</v>
      </c>
      <c r="D78">
        <v>0</v>
      </c>
      <c r="E78" t="s">
        <v>2032</v>
      </c>
      <c r="F78">
        <v>107640</v>
      </c>
      <c r="G78">
        <v>376239555.66666669</v>
      </c>
      <c r="H78">
        <v>0.96703704198201501</v>
      </c>
      <c r="I78">
        <v>0.96259259259259256</v>
      </c>
      <c r="J78">
        <v>29641703.5</v>
      </c>
      <c r="K78">
        <v>190540</v>
      </c>
      <c r="L78">
        <v>2</v>
      </c>
      <c r="M78">
        <v>290</v>
      </c>
      <c r="N78">
        <v>0.96185185185185185</v>
      </c>
      <c r="O78">
        <v>28671716.333333332</v>
      </c>
      <c r="P78">
        <v>191779</v>
      </c>
      <c r="Q78">
        <v>2</v>
      </c>
      <c r="R78">
        <v>291</v>
      </c>
      <c r="S78" t="s">
        <v>3009</v>
      </c>
    </row>
    <row r="79" spans="1:19" x14ac:dyDescent="0.25">
      <c r="A79" t="s">
        <v>1979</v>
      </c>
      <c r="B79">
        <v>3</v>
      </c>
      <c r="C79">
        <v>4</v>
      </c>
      <c r="D79">
        <v>0</v>
      </c>
      <c r="E79" t="s">
        <v>2032</v>
      </c>
      <c r="F79">
        <v>119580</v>
      </c>
      <c r="G79">
        <v>407791604.22222221</v>
      </c>
      <c r="H79">
        <v>0.97086419661839807</v>
      </c>
      <c r="I79">
        <v>0.96296296296296291</v>
      </c>
      <c r="J79">
        <v>30837749.777777776</v>
      </c>
      <c r="K79">
        <v>226744</v>
      </c>
      <c r="L79">
        <v>2</v>
      </c>
      <c r="M79">
        <v>318</v>
      </c>
      <c r="N79">
        <v>0.95876543209876541</v>
      </c>
      <c r="O79">
        <v>31047962.333333332</v>
      </c>
      <c r="P79">
        <v>228095</v>
      </c>
      <c r="Q79">
        <v>2</v>
      </c>
      <c r="R79">
        <v>319</v>
      </c>
      <c r="S79" t="s">
        <v>3010</v>
      </c>
    </row>
    <row r="80" spans="1:19" x14ac:dyDescent="0.25">
      <c r="A80" t="s">
        <v>1979</v>
      </c>
      <c r="B80">
        <v>3</v>
      </c>
      <c r="C80">
        <v>2</v>
      </c>
      <c r="D80">
        <v>0</v>
      </c>
      <c r="E80" t="s">
        <v>2034</v>
      </c>
      <c r="F80">
        <v>96886</v>
      </c>
      <c r="G80">
        <v>602267636.5</v>
      </c>
      <c r="H80">
        <v>0.95222221811612451</v>
      </c>
      <c r="I80">
        <v>0.96259259259259256</v>
      </c>
      <c r="J80">
        <v>31864960.166666668</v>
      </c>
      <c r="K80">
        <v>156349</v>
      </c>
      <c r="L80">
        <v>2</v>
      </c>
      <c r="M80">
        <v>261</v>
      </c>
      <c r="N80">
        <v>0.96296296296296291</v>
      </c>
      <c r="O80">
        <v>33995665.5</v>
      </c>
      <c r="P80">
        <v>157472</v>
      </c>
      <c r="Q80">
        <v>2</v>
      </c>
      <c r="R80">
        <v>262</v>
      </c>
      <c r="S80" t="s">
        <v>3011</v>
      </c>
    </row>
    <row r="81" spans="1:19" x14ac:dyDescent="0.25">
      <c r="A81" t="s">
        <v>1979</v>
      </c>
      <c r="B81">
        <v>3</v>
      </c>
      <c r="C81">
        <v>3</v>
      </c>
      <c r="D81">
        <v>0</v>
      </c>
      <c r="E81" t="s">
        <v>2034</v>
      </c>
      <c r="F81">
        <v>108974</v>
      </c>
      <c r="G81">
        <v>407627356.66666669</v>
      </c>
      <c r="H81">
        <v>0.97407407561937964</v>
      </c>
      <c r="I81">
        <v>0.95962962962962961</v>
      </c>
      <c r="J81">
        <v>28958680.166666668</v>
      </c>
      <c r="K81">
        <v>193022</v>
      </c>
      <c r="L81">
        <v>2</v>
      </c>
      <c r="M81">
        <v>292</v>
      </c>
      <c r="N81">
        <v>0.96333333333333337</v>
      </c>
      <c r="O81">
        <v>30476512.333333332</v>
      </c>
      <c r="P81">
        <v>194269</v>
      </c>
      <c r="Q81">
        <v>2</v>
      </c>
      <c r="R81">
        <v>293</v>
      </c>
      <c r="S81" t="s">
        <v>3012</v>
      </c>
    </row>
    <row r="82" spans="1:19" x14ac:dyDescent="0.25">
      <c r="A82" t="s">
        <v>1979</v>
      </c>
      <c r="B82">
        <v>3</v>
      </c>
      <c r="C82">
        <v>4</v>
      </c>
      <c r="D82">
        <v>0</v>
      </c>
      <c r="E82" t="s">
        <v>2034</v>
      </c>
      <c r="F82">
        <v>121062</v>
      </c>
      <c r="G82">
        <v>321444697.77777779</v>
      </c>
      <c r="H82">
        <v>0.97234568993250525</v>
      </c>
      <c r="I82">
        <v>0.96024691358024694</v>
      </c>
      <c r="J82">
        <v>31672288.666666668</v>
      </c>
      <c r="K82">
        <v>229450</v>
      </c>
      <c r="L82">
        <v>2</v>
      </c>
      <c r="M82">
        <v>320</v>
      </c>
      <c r="N82">
        <v>0.96444444444444444</v>
      </c>
      <c r="O82">
        <v>32131119.111111112</v>
      </c>
      <c r="P82">
        <v>230809</v>
      </c>
      <c r="Q82">
        <v>2</v>
      </c>
      <c r="R82">
        <v>321</v>
      </c>
      <c r="S82" t="s">
        <v>3013</v>
      </c>
    </row>
    <row r="83" spans="1:19" x14ac:dyDescent="0.25">
      <c r="A83" t="s">
        <v>1979</v>
      </c>
      <c r="B83">
        <v>3</v>
      </c>
      <c r="C83">
        <v>2</v>
      </c>
      <c r="D83">
        <v>0</v>
      </c>
      <c r="E83" t="s">
        <v>2036</v>
      </c>
      <c r="F83">
        <v>98072</v>
      </c>
      <c r="G83">
        <v>344499502.16666669</v>
      </c>
      <c r="H83">
        <v>0.9614814817905426</v>
      </c>
      <c r="I83">
        <v>0.96518518518518515</v>
      </c>
      <c r="J83">
        <v>33297216.833333332</v>
      </c>
      <c r="K83">
        <v>158599</v>
      </c>
      <c r="L83">
        <v>2</v>
      </c>
      <c r="M83">
        <v>263</v>
      </c>
      <c r="N83">
        <v>0.96407407407407408</v>
      </c>
      <c r="O83">
        <v>32498985.333333332</v>
      </c>
      <c r="P83">
        <v>159730</v>
      </c>
      <c r="Q83">
        <v>2</v>
      </c>
      <c r="R83">
        <v>264</v>
      </c>
      <c r="S83" t="s">
        <v>3014</v>
      </c>
    </row>
    <row r="84" spans="1:19" x14ac:dyDescent="0.25">
      <c r="A84" t="s">
        <v>1979</v>
      </c>
      <c r="B84">
        <v>3</v>
      </c>
      <c r="C84">
        <v>3</v>
      </c>
      <c r="D84">
        <v>0</v>
      </c>
      <c r="E84" t="s">
        <v>2036</v>
      </c>
      <c r="F84">
        <v>110308</v>
      </c>
      <c r="G84">
        <v>385936911.83333331</v>
      </c>
      <c r="H84">
        <v>0.96962963541348779</v>
      </c>
      <c r="I84">
        <v>0.96074074074074067</v>
      </c>
      <c r="J84">
        <v>29768182.666666668</v>
      </c>
      <c r="K84">
        <v>195520</v>
      </c>
      <c r="L84">
        <v>2</v>
      </c>
      <c r="M84">
        <v>294</v>
      </c>
      <c r="N84">
        <v>0.96333333333333337</v>
      </c>
      <c r="O84">
        <v>29779013.666666668</v>
      </c>
      <c r="P84">
        <v>196775</v>
      </c>
      <c r="Q84">
        <v>2</v>
      </c>
      <c r="R84">
        <v>295</v>
      </c>
      <c r="S84" t="s">
        <v>3015</v>
      </c>
    </row>
    <row r="85" spans="1:19" x14ac:dyDescent="0.25">
      <c r="A85" t="s">
        <v>1979</v>
      </c>
      <c r="B85">
        <v>3</v>
      </c>
      <c r="C85">
        <v>4</v>
      </c>
      <c r="D85">
        <v>0</v>
      </c>
      <c r="E85" t="s">
        <v>2036</v>
      </c>
      <c r="F85">
        <v>122544</v>
      </c>
      <c r="G85">
        <v>349877644.1111111</v>
      </c>
      <c r="H85">
        <v>0.96839506758583915</v>
      </c>
      <c r="I85">
        <v>0.9597530864197531</v>
      </c>
      <c r="J85">
        <v>30119094.333333332</v>
      </c>
      <c r="K85">
        <v>232172</v>
      </c>
      <c r="L85">
        <v>2</v>
      </c>
      <c r="M85">
        <v>322</v>
      </c>
      <c r="N85">
        <v>0.96246913580246918</v>
      </c>
      <c r="O85">
        <v>31397258</v>
      </c>
      <c r="P85">
        <v>233539</v>
      </c>
      <c r="Q85">
        <v>2</v>
      </c>
      <c r="R85">
        <v>323</v>
      </c>
      <c r="S85" t="s">
        <v>3016</v>
      </c>
    </row>
    <row r="86" spans="1:19" x14ac:dyDescent="0.25">
      <c r="A86" t="s">
        <v>1979</v>
      </c>
      <c r="B86">
        <v>3</v>
      </c>
      <c r="C86">
        <v>2</v>
      </c>
      <c r="D86">
        <v>0</v>
      </c>
      <c r="E86" t="s">
        <v>2038</v>
      </c>
      <c r="F86">
        <v>99258</v>
      </c>
      <c r="G86">
        <v>500313896.16666669</v>
      </c>
      <c r="H86">
        <v>0.96481481194496155</v>
      </c>
      <c r="I86">
        <v>0.9622222222222222</v>
      </c>
      <c r="J86">
        <v>29500559.833333332</v>
      </c>
      <c r="K86">
        <v>160865</v>
      </c>
      <c r="L86">
        <v>2</v>
      </c>
      <c r="M86">
        <v>265</v>
      </c>
      <c r="N86">
        <v>0.96296296296296291</v>
      </c>
      <c r="O86">
        <v>31282932.666666668</v>
      </c>
      <c r="P86">
        <v>162004</v>
      </c>
      <c r="Q86">
        <v>2</v>
      </c>
      <c r="R86">
        <v>266</v>
      </c>
      <c r="S86" t="s">
        <v>3017</v>
      </c>
    </row>
    <row r="87" spans="1:19" x14ac:dyDescent="0.25">
      <c r="A87" t="s">
        <v>1979</v>
      </c>
      <c r="B87">
        <v>3</v>
      </c>
      <c r="C87">
        <v>3</v>
      </c>
      <c r="D87">
        <v>0</v>
      </c>
      <c r="E87" t="s">
        <v>2038</v>
      </c>
      <c r="F87">
        <v>111642</v>
      </c>
      <c r="G87">
        <v>336483845.66666669</v>
      </c>
      <c r="H87">
        <v>0.97148148218790686</v>
      </c>
      <c r="I87">
        <v>0.96074074074074067</v>
      </c>
      <c r="J87">
        <v>28864868.833333332</v>
      </c>
      <c r="K87">
        <v>198034</v>
      </c>
      <c r="L87">
        <v>2</v>
      </c>
      <c r="M87">
        <v>296</v>
      </c>
      <c r="N87">
        <v>0.96333333333333337</v>
      </c>
      <c r="O87">
        <v>29417450.333333332</v>
      </c>
      <c r="P87">
        <v>199297</v>
      </c>
      <c r="Q87">
        <v>2</v>
      </c>
      <c r="R87">
        <v>297</v>
      </c>
      <c r="S87" t="s">
        <v>3018</v>
      </c>
    </row>
    <row r="88" spans="1:19" x14ac:dyDescent="0.25">
      <c r="A88" t="s">
        <v>1979</v>
      </c>
      <c r="B88">
        <v>3</v>
      </c>
      <c r="C88">
        <v>4</v>
      </c>
      <c r="D88">
        <v>0</v>
      </c>
      <c r="E88" t="s">
        <v>2038</v>
      </c>
      <c r="F88">
        <v>124026</v>
      </c>
      <c r="G88">
        <v>350365894.66666669</v>
      </c>
      <c r="H88">
        <v>0.97185185882780289</v>
      </c>
      <c r="I88">
        <v>0.96024691358024683</v>
      </c>
      <c r="J88">
        <v>32588225.111111112</v>
      </c>
      <c r="K88">
        <v>234910</v>
      </c>
      <c r="L88">
        <v>2</v>
      </c>
      <c r="M88">
        <v>324</v>
      </c>
      <c r="N88">
        <v>0.9622222222222222</v>
      </c>
      <c r="O88">
        <v>31542319.777777776</v>
      </c>
      <c r="P88">
        <v>236285</v>
      </c>
      <c r="Q88">
        <v>2</v>
      </c>
      <c r="R88">
        <v>325</v>
      </c>
      <c r="S88" t="s">
        <v>3019</v>
      </c>
    </row>
    <row r="89" spans="1:19" x14ac:dyDescent="0.25">
      <c r="A89" t="s">
        <v>1979</v>
      </c>
      <c r="B89">
        <v>3</v>
      </c>
      <c r="C89">
        <v>2</v>
      </c>
      <c r="D89">
        <v>0</v>
      </c>
      <c r="E89" t="s">
        <v>2040</v>
      </c>
      <c r="F89">
        <v>100444</v>
      </c>
      <c r="G89">
        <v>361222666</v>
      </c>
      <c r="H89">
        <v>0.95888889829317725</v>
      </c>
      <c r="I89">
        <v>0.9588888888888889</v>
      </c>
      <c r="J89">
        <v>32532674.833333332</v>
      </c>
      <c r="K89">
        <v>162004</v>
      </c>
      <c r="L89">
        <v>2</v>
      </c>
      <c r="M89">
        <v>266</v>
      </c>
      <c r="N89">
        <v>0.96185185185185185</v>
      </c>
      <c r="O89">
        <v>33874616.5</v>
      </c>
      <c r="P89">
        <v>163147</v>
      </c>
      <c r="Q89">
        <v>2</v>
      </c>
      <c r="R89">
        <v>267</v>
      </c>
      <c r="S89" t="s">
        <v>3020</v>
      </c>
    </row>
    <row r="90" spans="1:19" x14ac:dyDescent="0.25">
      <c r="A90" t="s">
        <v>1979</v>
      </c>
      <c r="B90">
        <v>3</v>
      </c>
      <c r="C90">
        <v>3</v>
      </c>
      <c r="D90">
        <v>0</v>
      </c>
      <c r="E90" t="s">
        <v>2040</v>
      </c>
      <c r="F90">
        <v>112976</v>
      </c>
      <c r="G90">
        <v>374283160.16666669</v>
      </c>
      <c r="H90">
        <v>0.97444444894790649</v>
      </c>
      <c r="I90">
        <v>0.96111111111111103</v>
      </c>
      <c r="J90">
        <v>28797307.666666668</v>
      </c>
      <c r="K90">
        <v>200564</v>
      </c>
      <c r="L90">
        <v>2</v>
      </c>
      <c r="M90">
        <v>298</v>
      </c>
      <c r="N90">
        <v>0.9588888888888889</v>
      </c>
      <c r="O90">
        <v>30570413</v>
      </c>
      <c r="P90">
        <v>201835</v>
      </c>
      <c r="Q90">
        <v>2</v>
      </c>
      <c r="R90">
        <v>299</v>
      </c>
      <c r="S90" t="s">
        <v>3021</v>
      </c>
    </row>
    <row r="91" spans="1:19" x14ac:dyDescent="0.25">
      <c r="A91" t="s">
        <v>1979</v>
      </c>
      <c r="B91">
        <v>3</v>
      </c>
      <c r="C91">
        <v>4</v>
      </c>
      <c r="D91">
        <v>0</v>
      </c>
      <c r="E91" t="s">
        <v>2040</v>
      </c>
      <c r="F91">
        <v>125508</v>
      </c>
      <c r="G91">
        <v>385063955.8888889</v>
      </c>
      <c r="H91">
        <v>0.96814814541074967</v>
      </c>
      <c r="I91">
        <v>0.96320987654320989</v>
      </c>
      <c r="J91">
        <v>32601594.444444444</v>
      </c>
      <c r="K91">
        <v>237664</v>
      </c>
      <c r="L91">
        <v>2</v>
      </c>
      <c r="M91">
        <v>326</v>
      </c>
      <c r="N91">
        <v>0.96296296296296302</v>
      </c>
      <c r="O91">
        <v>32770691</v>
      </c>
      <c r="P91">
        <v>239047</v>
      </c>
      <c r="Q91">
        <v>2</v>
      </c>
      <c r="R91">
        <v>327</v>
      </c>
      <c r="S91" t="s">
        <v>3022</v>
      </c>
    </row>
    <row r="92" spans="1:19" x14ac:dyDescent="0.25">
      <c r="A92" t="s">
        <v>1979</v>
      </c>
      <c r="B92">
        <v>3</v>
      </c>
      <c r="C92">
        <v>2</v>
      </c>
      <c r="D92">
        <v>0</v>
      </c>
      <c r="E92" t="s">
        <v>2042</v>
      </c>
      <c r="F92">
        <v>101630</v>
      </c>
      <c r="G92">
        <v>521127652</v>
      </c>
      <c r="H92">
        <v>0.95407406489054358</v>
      </c>
      <c r="I92">
        <v>0.96518518518518515</v>
      </c>
      <c r="J92">
        <v>34691948.166666664</v>
      </c>
      <c r="K92">
        <v>164294</v>
      </c>
      <c r="L92">
        <v>2</v>
      </c>
      <c r="M92">
        <v>268</v>
      </c>
      <c r="N92">
        <v>0.9622222222222222</v>
      </c>
      <c r="O92">
        <v>34375760.166666664</v>
      </c>
      <c r="P92">
        <v>165445</v>
      </c>
      <c r="Q92">
        <v>2</v>
      </c>
      <c r="R92">
        <v>269</v>
      </c>
      <c r="S92" t="s">
        <v>3023</v>
      </c>
    </row>
    <row r="93" spans="1:19" x14ac:dyDescent="0.25">
      <c r="A93" t="s">
        <v>1979</v>
      </c>
      <c r="B93">
        <v>3</v>
      </c>
      <c r="C93">
        <v>3</v>
      </c>
      <c r="D93">
        <v>0</v>
      </c>
      <c r="E93" t="s">
        <v>2042</v>
      </c>
      <c r="F93">
        <v>114310</v>
      </c>
      <c r="G93">
        <v>403803955.33333331</v>
      </c>
      <c r="H93">
        <v>0.96518517533938086</v>
      </c>
      <c r="I93">
        <v>0.96074074074074067</v>
      </c>
      <c r="J93">
        <v>30629667.833333332</v>
      </c>
      <c r="K93">
        <v>201835</v>
      </c>
      <c r="L93">
        <v>2</v>
      </c>
      <c r="M93">
        <v>299</v>
      </c>
      <c r="N93">
        <v>0.96296296296296291</v>
      </c>
      <c r="O93">
        <v>31242520.833333332</v>
      </c>
      <c r="P93">
        <v>203110</v>
      </c>
      <c r="Q93">
        <v>2</v>
      </c>
      <c r="R93">
        <v>300</v>
      </c>
      <c r="S93" t="s">
        <v>3024</v>
      </c>
    </row>
    <row r="94" spans="1:19" x14ac:dyDescent="0.25">
      <c r="A94" t="s">
        <v>1979</v>
      </c>
      <c r="B94">
        <v>3</v>
      </c>
      <c r="C94">
        <v>4</v>
      </c>
      <c r="D94">
        <v>0</v>
      </c>
      <c r="E94" t="s">
        <v>2042</v>
      </c>
      <c r="F94">
        <v>126990</v>
      </c>
      <c r="G94">
        <v>378364040.8888889</v>
      </c>
      <c r="H94">
        <v>0.96617284086015487</v>
      </c>
      <c r="I94">
        <v>0.96271604938271604</v>
      </c>
      <c r="J94">
        <v>32961748.444444444</v>
      </c>
      <c r="K94">
        <v>240434</v>
      </c>
      <c r="L94">
        <v>2</v>
      </c>
      <c r="M94">
        <v>328</v>
      </c>
      <c r="N94">
        <v>0.96123456790123452</v>
      </c>
      <c r="O94">
        <v>32751063</v>
      </c>
      <c r="P94">
        <v>241825</v>
      </c>
      <c r="Q94">
        <v>2</v>
      </c>
      <c r="R94">
        <v>329</v>
      </c>
      <c r="S94" t="s">
        <v>3025</v>
      </c>
    </row>
    <row r="95" spans="1:19" x14ac:dyDescent="0.25">
      <c r="A95" t="s">
        <v>1979</v>
      </c>
      <c r="B95">
        <v>3</v>
      </c>
      <c r="C95">
        <v>2</v>
      </c>
      <c r="D95">
        <v>0</v>
      </c>
      <c r="E95" t="s">
        <v>2044</v>
      </c>
      <c r="F95">
        <v>102816</v>
      </c>
      <c r="G95">
        <v>485672343.16666669</v>
      </c>
      <c r="H95">
        <v>0.95259260137875879</v>
      </c>
      <c r="I95">
        <v>0.96555555555555561</v>
      </c>
      <c r="J95">
        <v>34576549.5</v>
      </c>
      <c r="K95">
        <v>166600</v>
      </c>
      <c r="L95">
        <v>2</v>
      </c>
      <c r="M95">
        <v>270</v>
      </c>
      <c r="N95">
        <v>0.96518518518518515</v>
      </c>
      <c r="O95">
        <v>33329743.833333332</v>
      </c>
      <c r="P95">
        <v>167759</v>
      </c>
      <c r="Q95">
        <v>2</v>
      </c>
      <c r="R95">
        <v>271</v>
      </c>
      <c r="S95" t="s">
        <v>3026</v>
      </c>
    </row>
    <row r="96" spans="1:19" x14ac:dyDescent="0.25">
      <c r="A96" t="s">
        <v>1979</v>
      </c>
      <c r="B96">
        <v>3</v>
      </c>
      <c r="C96">
        <v>3</v>
      </c>
      <c r="D96">
        <v>0</v>
      </c>
      <c r="E96" t="s">
        <v>2044</v>
      </c>
      <c r="F96">
        <v>115644</v>
      </c>
      <c r="G96">
        <v>408921755.83333331</v>
      </c>
      <c r="H96">
        <v>0.97481481234232581</v>
      </c>
      <c r="I96">
        <v>0.96185185185185185</v>
      </c>
      <c r="J96">
        <v>31277420</v>
      </c>
      <c r="K96">
        <v>204389</v>
      </c>
      <c r="L96">
        <v>2</v>
      </c>
      <c r="M96">
        <v>301</v>
      </c>
      <c r="N96">
        <v>0.96185185185185185</v>
      </c>
      <c r="O96">
        <v>28608464.166666668</v>
      </c>
      <c r="P96">
        <v>205672</v>
      </c>
      <c r="Q96">
        <v>2</v>
      </c>
      <c r="R96">
        <v>302</v>
      </c>
      <c r="S96" t="s">
        <v>3027</v>
      </c>
    </row>
    <row r="97" spans="1:19" x14ac:dyDescent="0.25">
      <c r="A97" t="s">
        <v>1979</v>
      </c>
      <c r="B97">
        <v>3</v>
      </c>
      <c r="C97">
        <v>4</v>
      </c>
      <c r="D97">
        <v>0</v>
      </c>
      <c r="E97" t="s">
        <v>2044</v>
      </c>
      <c r="F97">
        <v>128472</v>
      </c>
      <c r="G97">
        <v>407901257.8888889</v>
      </c>
      <c r="H97">
        <v>0.96790124310387504</v>
      </c>
      <c r="I97">
        <v>0.96395061728395059</v>
      </c>
      <c r="J97">
        <v>33231807.333333332</v>
      </c>
      <c r="K97">
        <v>243220</v>
      </c>
      <c r="L97">
        <v>2</v>
      </c>
      <c r="M97">
        <v>330</v>
      </c>
      <c r="N97">
        <v>0.96320987654320989</v>
      </c>
      <c r="O97">
        <v>33654802.111111112</v>
      </c>
      <c r="P97">
        <v>244619</v>
      </c>
      <c r="Q97">
        <v>2</v>
      </c>
      <c r="R97">
        <v>331</v>
      </c>
      <c r="S97" t="s">
        <v>3028</v>
      </c>
    </row>
    <row r="98" spans="1:19" x14ac:dyDescent="0.25">
      <c r="A98" t="s">
        <v>1979</v>
      </c>
      <c r="B98">
        <v>3</v>
      </c>
      <c r="C98">
        <v>2</v>
      </c>
      <c r="D98">
        <v>0</v>
      </c>
      <c r="E98" t="s">
        <v>2046</v>
      </c>
      <c r="F98">
        <v>104002</v>
      </c>
      <c r="G98">
        <v>417541643.83333331</v>
      </c>
      <c r="H98">
        <v>0.95851851503054297</v>
      </c>
      <c r="I98">
        <v>0.96703703703703703</v>
      </c>
      <c r="J98">
        <v>33626644</v>
      </c>
      <c r="K98">
        <v>167759</v>
      </c>
      <c r="L98">
        <v>2</v>
      </c>
      <c r="M98">
        <v>271</v>
      </c>
      <c r="N98">
        <v>0.96407407407407408</v>
      </c>
      <c r="O98">
        <v>32182653.833333332</v>
      </c>
      <c r="P98">
        <v>168922</v>
      </c>
      <c r="Q98">
        <v>2</v>
      </c>
      <c r="R98">
        <v>272</v>
      </c>
      <c r="S98" t="s">
        <v>3029</v>
      </c>
    </row>
    <row r="99" spans="1:19" x14ac:dyDescent="0.25">
      <c r="A99" t="s">
        <v>1979</v>
      </c>
      <c r="B99">
        <v>3</v>
      </c>
      <c r="C99">
        <v>3</v>
      </c>
      <c r="D99">
        <v>0</v>
      </c>
      <c r="E99" t="s">
        <v>2046</v>
      </c>
      <c r="F99">
        <v>116978</v>
      </c>
      <c r="G99">
        <v>460722700.83333331</v>
      </c>
      <c r="H99">
        <v>0.97629629572232568</v>
      </c>
      <c r="I99">
        <v>0.95925925925925926</v>
      </c>
      <c r="J99">
        <v>29449834.833333332</v>
      </c>
      <c r="K99">
        <v>206959</v>
      </c>
      <c r="L99">
        <v>2</v>
      </c>
      <c r="M99">
        <v>303</v>
      </c>
      <c r="N99">
        <v>0.96111111111111103</v>
      </c>
      <c r="O99">
        <v>31191037.5</v>
      </c>
      <c r="P99">
        <v>208250</v>
      </c>
      <c r="Q99">
        <v>2</v>
      </c>
      <c r="R99">
        <v>304</v>
      </c>
      <c r="S99" t="s">
        <v>3030</v>
      </c>
    </row>
    <row r="100" spans="1:19" x14ac:dyDescent="0.25">
      <c r="A100" t="s">
        <v>1979</v>
      </c>
      <c r="B100">
        <v>3</v>
      </c>
      <c r="C100">
        <v>4</v>
      </c>
      <c r="D100">
        <v>0</v>
      </c>
      <c r="E100" t="s">
        <v>2046</v>
      </c>
      <c r="F100">
        <v>129954</v>
      </c>
      <c r="G100">
        <v>398607300.33333331</v>
      </c>
      <c r="H100">
        <v>0.96444444523917305</v>
      </c>
      <c r="I100">
        <v>0.96419753086419757</v>
      </c>
      <c r="J100">
        <v>32955800.222222224</v>
      </c>
      <c r="K100">
        <v>246022</v>
      </c>
      <c r="L100">
        <v>2</v>
      </c>
      <c r="M100">
        <v>332</v>
      </c>
      <c r="N100">
        <v>0.96197530864197534</v>
      </c>
      <c r="O100">
        <v>32985516.555555556</v>
      </c>
      <c r="P100">
        <v>247429</v>
      </c>
      <c r="Q100">
        <v>2</v>
      </c>
      <c r="R100">
        <v>333</v>
      </c>
      <c r="S100" t="s">
        <v>3031</v>
      </c>
    </row>
    <row r="101" spans="1:19" x14ac:dyDescent="0.25">
      <c r="A101" t="s">
        <v>1979</v>
      </c>
      <c r="B101">
        <v>3</v>
      </c>
      <c r="C101">
        <v>2</v>
      </c>
      <c r="D101">
        <v>0</v>
      </c>
      <c r="E101" t="s">
        <v>2048</v>
      </c>
      <c r="F101">
        <v>105188</v>
      </c>
      <c r="G101">
        <v>556250944</v>
      </c>
      <c r="H101">
        <v>0.95851852496465051</v>
      </c>
      <c r="I101">
        <v>0.96518518518518515</v>
      </c>
      <c r="J101">
        <v>33337605.833333332</v>
      </c>
      <c r="K101">
        <v>170089</v>
      </c>
      <c r="L101">
        <v>2</v>
      </c>
      <c r="M101">
        <v>273</v>
      </c>
      <c r="N101">
        <v>0.96111111111111114</v>
      </c>
      <c r="O101">
        <v>31620711.833333332</v>
      </c>
      <c r="P101">
        <v>171260</v>
      </c>
      <c r="Q101">
        <v>2</v>
      </c>
      <c r="R101">
        <v>274</v>
      </c>
      <c r="S101" t="s">
        <v>3032</v>
      </c>
    </row>
    <row r="102" spans="1:19" x14ac:dyDescent="0.25">
      <c r="A102" t="s">
        <v>1979</v>
      </c>
      <c r="B102">
        <v>3</v>
      </c>
      <c r="C102">
        <v>3</v>
      </c>
      <c r="D102">
        <v>0</v>
      </c>
      <c r="E102" t="s">
        <v>2048</v>
      </c>
      <c r="F102">
        <v>118312</v>
      </c>
      <c r="G102">
        <v>431195553.5</v>
      </c>
      <c r="H102">
        <v>0.97777776916821801</v>
      </c>
      <c r="I102">
        <v>0.95962962962962961</v>
      </c>
      <c r="J102">
        <v>30894239.666666668</v>
      </c>
      <c r="K102">
        <v>209545</v>
      </c>
      <c r="L102">
        <v>2</v>
      </c>
      <c r="M102">
        <v>305</v>
      </c>
      <c r="N102">
        <v>0.9588888888888889</v>
      </c>
      <c r="O102">
        <v>31246658.5</v>
      </c>
      <c r="P102">
        <v>210844</v>
      </c>
      <c r="Q102">
        <v>2</v>
      </c>
      <c r="R102">
        <v>306</v>
      </c>
      <c r="S102" t="s">
        <v>3033</v>
      </c>
    </row>
    <row r="103" spans="1:19" x14ac:dyDescent="0.25">
      <c r="A103" t="s">
        <v>1979</v>
      </c>
      <c r="B103">
        <v>3</v>
      </c>
      <c r="C103">
        <v>4</v>
      </c>
      <c r="D103">
        <v>0</v>
      </c>
      <c r="E103" t="s">
        <v>2048</v>
      </c>
      <c r="F103">
        <v>131436</v>
      </c>
      <c r="G103">
        <v>403643403.8888889</v>
      </c>
      <c r="H103">
        <v>0.96839506096310091</v>
      </c>
      <c r="I103">
        <v>0.95876543209876541</v>
      </c>
      <c r="J103">
        <v>33410923.333333332</v>
      </c>
      <c r="K103">
        <v>248840</v>
      </c>
      <c r="L103">
        <v>2</v>
      </c>
      <c r="M103">
        <v>334</v>
      </c>
      <c r="N103">
        <v>0.96074074074074067</v>
      </c>
      <c r="O103">
        <v>32472054.222222224</v>
      </c>
      <c r="P103">
        <v>250255</v>
      </c>
      <c r="Q103">
        <v>2</v>
      </c>
      <c r="R103">
        <v>335</v>
      </c>
      <c r="S103" t="s">
        <v>3034</v>
      </c>
    </row>
    <row r="104" spans="1:19" x14ac:dyDescent="0.25">
      <c r="A104" t="s">
        <v>1979</v>
      </c>
      <c r="B104">
        <v>3</v>
      </c>
      <c r="C104">
        <v>2</v>
      </c>
      <c r="D104">
        <v>0</v>
      </c>
      <c r="E104" t="s">
        <v>2050</v>
      </c>
      <c r="F104">
        <v>106374</v>
      </c>
      <c r="G104">
        <v>418130922</v>
      </c>
      <c r="H104">
        <v>0.96407407522201538</v>
      </c>
      <c r="I104">
        <v>0.9588888888888889</v>
      </c>
      <c r="J104">
        <v>33690388.5</v>
      </c>
      <c r="K104">
        <v>172435</v>
      </c>
      <c r="L104">
        <v>2</v>
      </c>
      <c r="M104">
        <v>275</v>
      </c>
      <c r="N104">
        <v>0.96296296296296291</v>
      </c>
      <c r="O104">
        <v>34289810</v>
      </c>
      <c r="P104">
        <v>173614</v>
      </c>
      <c r="Q104">
        <v>2</v>
      </c>
      <c r="R104">
        <v>276</v>
      </c>
      <c r="S104" t="s">
        <v>3035</v>
      </c>
    </row>
    <row r="105" spans="1:19" x14ac:dyDescent="0.25">
      <c r="A105" t="s">
        <v>1979</v>
      </c>
      <c r="B105">
        <v>3</v>
      </c>
      <c r="C105">
        <v>3</v>
      </c>
      <c r="D105">
        <v>0</v>
      </c>
      <c r="E105" t="s">
        <v>2050</v>
      </c>
      <c r="F105">
        <v>119646</v>
      </c>
      <c r="G105">
        <v>438060071.5</v>
      </c>
      <c r="H105">
        <v>0.97888888915379846</v>
      </c>
      <c r="I105">
        <v>0.95740740740740737</v>
      </c>
      <c r="J105">
        <v>31190483</v>
      </c>
      <c r="K105">
        <v>212147</v>
      </c>
      <c r="L105">
        <v>2</v>
      </c>
      <c r="M105">
        <v>307</v>
      </c>
      <c r="N105">
        <v>0.96037037037037032</v>
      </c>
      <c r="O105">
        <v>33213533.166666668</v>
      </c>
      <c r="P105">
        <v>213454</v>
      </c>
      <c r="Q105">
        <v>2</v>
      </c>
      <c r="R105">
        <v>308</v>
      </c>
      <c r="S105" t="s">
        <v>3036</v>
      </c>
    </row>
    <row r="106" spans="1:19" x14ac:dyDescent="0.25">
      <c r="A106" t="s">
        <v>1979</v>
      </c>
      <c r="B106">
        <v>3</v>
      </c>
      <c r="C106">
        <v>4</v>
      </c>
      <c r="D106">
        <v>0</v>
      </c>
      <c r="E106" t="s">
        <v>2050</v>
      </c>
      <c r="F106">
        <v>132918</v>
      </c>
      <c r="G106">
        <v>466915212.125</v>
      </c>
      <c r="H106">
        <v>0.97111111134290695</v>
      </c>
      <c r="I106">
        <v>0.96194444444444449</v>
      </c>
      <c r="J106">
        <v>33787007.5</v>
      </c>
      <c r="K106">
        <v>251674</v>
      </c>
      <c r="L106">
        <v>2</v>
      </c>
      <c r="M106">
        <v>336</v>
      </c>
      <c r="N106">
        <v>0.96138888888888885</v>
      </c>
      <c r="O106">
        <v>33935036.25</v>
      </c>
      <c r="P106">
        <v>253097</v>
      </c>
      <c r="Q106">
        <v>2</v>
      </c>
      <c r="R106">
        <v>337</v>
      </c>
      <c r="S106" t="s">
        <v>3037</v>
      </c>
    </row>
    <row r="107" spans="1:19" x14ac:dyDescent="0.25">
      <c r="A107" t="s">
        <v>1979</v>
      </c>
      <c r="B107">
        <v>3</v>
      </c>
      <c r="C107">
        <v>2</v>
      </c>
      <c r="D107">
        <v>0</v>
      </c>
      <c r="E107" t="s">
        <v>2052</v>
      </c>
      <c r="F107">
        <v>107560</v>
      </c>
      <c r="G107">
        <v>467565666.66666669</v>
      </c>
      <c r="H107">
        <v>0.96074074506759644</v>
      </c>
      <c r="I107">
        <v>0.96</v>
      </c>
      <c r="J107">
        <v>33026914.333333332</v>
      </c>
      <c r="K107">
        <v>173614</v>
      </c>
      <c r="L107">
        <v>2</v>
      </c>
      <c r="M107">
        <v>276</v>
      </c>
      <c r="N107">
        <v>0.96111111111111103</v>
      </c>
      <c r="O107">
        <v>32158545.833333332</v>
      </c>
      <c r="P107">
        <v>174797</v>
      </c>
      <c r="Q107">
        <v>2</v>
      </c>
      <c r="R107">
        <v>277</v>
      </c>
      <c r="S107" t="s">
        <v>3038</v>
      </c>
    </row>
    <row r="108" spans="1:19" x14ac:dyDescent="0.25">
      <c r="A108" t="s">
        <v>1979</v>
      </c>
      <c r="B108">
        <v>3</v>
      </c>
      <c r="C108">
        <v>3</v>
      </c>
      <c r="D108">
        <v>0</v>
      </c>
      <c r="E108" t="s">
        <v>2052</v>
      </c>
      <c r="F108">
        <v>120980</v>
      </c>
      <c r="G108">
        <v>484955139.66666669</v>
      </c>
      <c r="H108">
        <v>0.97518518567085266</v>
      </c>
      <c r="I108">
        <v>0.95407407407407407</v>
      </c>
      <c r="J108">
        <v>32319539.166666668</v>
      </c>
      <c r="K108">
        <v>214765</v>
      </c>
      <c r="L108">
        <v>2</v>
      </c>
      <c r="M108">
        <v>309</v>
      </c>
      <c r="N108">
        <v>0.96</v>
      </c>
      <c r="O108">
        <v>31330285.5</v>
      </c>
      <c r="P108">
        <v>216080</v>
      </c>
      <c r="Q108">
        <v>2</v>
      </c>
      <c r="R108">
        <v>310</v>
      </c>
      <c r="S108" t="s">
        <v>3039</v>
      </c>
    </row>
    <row r="109" spans="1:19" x14ac:dyDescent="0.25">
      <c r="A109" t="s">
        <v>1979</v>
      </c>
      <c r="B109">
        <v>3</v>
      </c>
      <c r="C109">
        <v>4</v>
      </c>
      <c r="D109">
        <v>0</v>
      </c>
      <c r="E109" t="s">
        <v>2052</v>
      </c>
      <c r="F109">
        <v>134400</v>
      </c>
      <c r="G109">
        <v>424490189.22222221</v>
      </c>
      <c r="H109">
        <v>0.96790122323566008</v>
      </c>
      <c r="I109">
        <v>0.96271604938271604</v>
      </c>
      <c r="J109">
        <v>32905682.777777776</v>
      </c>
      <c r="K109">
        <v>254524</v>
      </c>
      <c r="L109">
        <v>2</v>
      </c>
      <c r="M109">
        <v>338</v>
      </c>
      <c r="N109">
        <v>0.96345679012345675</v>
      </c>
      <c r="O109">
        <v>32790088.555555556</v>
      </c>
      <c r="P109">
        <v>255955</v>
      </c>
      <c r="Q109">
        <v>2</v>
      </c>
      <c r="R109">
        <v>339</v>
      </c>
      <c r="S109" t="s">
        <v>3040</v>
      </c>
    </row>
    <row r="110" spans="1:19" x14ac:dyDescent="0.25">
      <c r="A110" t="s">
        <v>1979</v>
      </c>
      <c r="B110">
        <v>3</v>
      </c>
      <c r="C110">
        <v>2</v>
      </c>
      <c r="D110">
        <v>0</v>
      </c>
      <c r="E110" t="s">
        <v>2054</v>
      </c>
      <c r="F110">
        <v>108746</v>
      </c>
      <c r="G110">
        <v>519430073.66666669</v>
      </c>
      <c r="H110">
        <v>0.96407406528790796</v>
      </c>
      <c r="I110">
        <v>0.96407407407407408</v>
      </c>
      <c r="J110">
        <v>33230285.166666668</v>
      </c>
      <c r="K110">
        <v>175984</v>
      </c>
      <c r="L110">
        <v>2</v>
      </c>
      <c r="M110">
        <v>278</v>
      </c>
      <c r="N110">
        <v>0.96407407407407408</v>
      </c>
      <c r="O110">
        <v>32781779.666666668</v>
      </c>
      <c r="P110">
        <v>177175</v>
      </c>
      <c r="Q110">
        <v>2</v>
      </c>
      <c r="R110">
        <v>279</v>
      </c>
      <c r="S110" t="s">
        <v>3041</v>
      </c>
    </row>
    <row r="111" spans="1:19" x14ac:dyDescent="0.25">
      <c r="A111" t="s">
        <v>1979</v>
      </c>
      <c r="B111">
        <v>3</v>
      </c>
      <c r="C111">
        <v>3</v>
      </c>
      <c r="D111">
        <v>0</v>
      </c>
      <c r="E111" t="s">
        <v>2054</v>
      </c>
      <c r="F111">
        <v>122314</v>
      </c>
      <c r="G111">
        <v>508893540.16666669</v>
      </c>
      <c r="H111">
        <v>0.96703703204790747</v>
      </c>
      <c r="I111">
        <v>0.95851851851851855</v>
      </c>
      <c r="J111">
        <v>31097029.166666668</v>
      </c>
      <c r="K111">
        <v>216080</v>
      </c>
      <c r="L111">
        <v>2</v>
      </c>
      <c r="M111">
        <v>310</v>
      </c>
      <c r="N111">
        <v>0.95703703703703702</v>
      </c>
      <c r="O111">
        <v>31328660.666666668</v>
      </c>
      <c r="P111">
        <v>217399</v>
      </c>
      <c r="Q111">
        <v>2</v>
      </c>
      <c r="R111">
        <v>311</v>
      </c>
      <c r="S111" t="s">
        <v>3042</v>
      </c>
    </row>
    <row r="112" spans="1:19" x14ac:dyDescent="0.25">
      <c r="A112" t="s">
        <v>1979</v>
      </c>
      <c r="B112">
        <v>3</v>
      </c>
      <c r="C112">
        <v>4</v>
      </c>
      <c r="D112">
        <v>0</v>
      </c>
      <c r="E112" t="s">
        <v>2054</v>
      </c>
      <c r="F112">
        <v>135882</v>
      </c>
      <c r="G112">
        <v>429414003</v>
      </c>
      <c r="H112">
        <v>0.96962963210211861</v>
      </c>
      <c r="I112">
        <v>0.96320987654320989</v>
      </c>
      <c r="J112">
        <v>33578896.555555552</v>
      </c>
      <c r="K112">
        <v>257390</v>
      </c>
      <c r="L112">
        <v>2</v>
      </c>
      <c r="M112">
        <v>340</v>
      </c>
      <c r="N112">
        <v>0.96444444444444444</v>
      </c>
      <c r="O112">
        <v>33322193.888888888</v>
      </c>
      <c r="P112">
        <v>258829</v>
      </c>
      <c r="Q112">
        <v>2</v>
      </c>
      <c r="R112">
        <v>341</v>
      </c>
      <c r="S112" t="s">
        <v>3043</v>
      </c>
    </row>
    <row r="113" spans="1:19" x14ac:dyDescent="0.25">
      <c r="A113" t="s">
        <v>1979</v>
      </c>
      <c r="B113">
        <v>3</v>
      </c>
      <c r="C113">
        <v>2</v>
      </c>
      <c r="D113">
        <v>0</v>
      </c>
      <c r="E113" t="s">
        <v>2056</v>
      </c>
      <c r="F113">
        <v>70794</v>
      </c>
      <c r="G113">
        <v>469089723.5</v>
      </c>
      <c r="H113">
        <v>0.95629629492759705</v>
      </c>
      <c r="I113">
        <v>0.9622222222222222</v>
      </c>
      <c r="J113">
        <v>33332457.5</v>
      </c>
      <c r="K113">
        <v>114709</v>
      </c>
      <c r="L113">
        <v>2</v>
      </c>
      <c r="M113">
        <v>221</v>
      </c>
      <c r="N113">
        <v>0.96259259259259256</v>
      </c>
      <c r="O113">
        <v>32424408.333333332</v>
      </c>
      <c r="P113">
        <v>115672</v>
      </c>
      <c r="Q113">
        <v>2</v>
      </c>
      <c r="R113">
        <v>222</v>
      </c>
      <c r="S113" t="s">
        <v>3044</v>
      </c>
    </row>
    <row r="114" spans="1:19" x14ac:dyDescent="0.25">
      <c r="A114" t="s">
        <v>1979</v>
      </c>
      <c r="B114">
        <v>3</v>
      </c>
      <c r="C114">
        <v>3</v>
      </c>
      <c r="D114">
        <v>0</v>
      </c>
      <c r="E114" t="s">
        <v>2056</v>
      </c>
      <c r="F114">
        <v>79626</v>
      </c>
      <c r="G114">
        <v>311813911.33333331</v>
      </c>
      <c r="H114">
        <v>0.97629629572232568</v>
      </c>
      <c r="I114">
        <v>0.96851851851851856</v>
      </c>
      <c r="J114">
        <v>23948945.333333332</v>
      </c>
      <c r="K114">
        <v>141047</v>
      </c>
      <c r="L114">
        <v>2</v>
      </c>
      <c r="M114">
        <v>247</v>
      </c>
      <c r="N114">
        <v>0.97037037037037033</v>
      </c>
      <c r="O114">
        <v>23098766.166666668</v>
      </c>
      <c r="P114">
        <v>142114</v>
      </c>
      <c r="Q114">
        <v>2</v>
      </c>
      <c r="R114">
        <v>248</v>
      </c>
      <c r="S114" t="s">
        <v>3045</v>
      </c>
    </row>
    <row r="115" spans="1:19" x14ac:dyDescent="0.25">
      <c r="A115" t="s">
        <v>1979</v>
      </c>
      <c r="B115">
        <v>3</v>
      </c>
      <c r="C115">
        <v>4</v>
      </c>
      <c r="D115">
        <v>0</v>
      </c>
      <c r="E115" t="s">
        <v>2056</v>
      </c>
      <c r="F115">
        <v>88458</v>
      </c>
      <c r="G115">
        <v>217602983.16666666</v>
      </c>
      <c r="H115">
        <v>0.97259260217348731</v>
      </c>
      <c r="I115">
        <v>0.96074074074074078</v>
      </c>
      <c r="J115">
        <v>23612797</v>
      </c>
      <c r="K115">
        <v>167759</v>
      </c>
      <c r="L115">
        <v>2</v>
      </c>
      <c r="M115">
        <v>271</v>
      </c>
      <c r="N115">
        <v>0.96111111111111114</v>
      </c>
      <c r="O115">
        <v>21972312.666666668</v>
      </c>
      <c r="P115">
        <v>168922</v>
      </c>
      <c r="Q115">
        <v>2</v>
      </c>
      <c r="R115">
        <v>272</v>
      </c>
      <c r="S115" t="s">
        <v>3046</v>
      </c>
    </row>
    <row r="116" spans="1:19" x14ac:dyDescent="0.25">
      <c r="A116" t="s">
        <v>1979</v>
      </c>
      <c r="B116">
        <v>3</v>
      </c>
      <c r="C116">
        <v>2</v>
      </c>
      <c r="D116">
        <v>0</v>
      </c>
      <c r="E116" t="s">
        <v>2058</v>
      </c>
      <c r="F116">
        <v>71980</v>
      </c>
      <c r="G116">
        <v>180049306.66666666</v>
      </c>
      <c r="H116">
        <v>0.94333332777023315</v>
      </c>
      <c r="I116">
        <v>0.9555555555555556</v>
      </c>
      <c r="J116">
        <v>20741962</v>
      </c>
      <c r="K116">
        <v>116639</v>
      </c>
      <c r="L116">
        <v>2</v>
      </c>
      <c r="M116">
        <v>223</v>
      </c>
      <c r="N116">
        <v>0.95925925925925926</v>
      </c>
      <c r="O116">
        <v>19069648.333333332</v>
      </c>
      <c r="P116">
        <v>117610</v>
      </c>
      <c r="Q116">
        <v>2</v>
      </c>
      <c r="R116">
        <v>224</v>
      </c>
      <c r="S116" t="s">
        <v>3047</v>
      </c>
    </row>
    <row r="117" spans="1:19" x14ac:dyDescent="0.25">
      <c r="A117" t="s">
        <v>1979</v>
      </c>
      <c r="B117">
        <v>3</v>
      </c>
      <c r="C117">
        <v>3</v>
      </c>
      <c r="D117">
        <v>0</v>
      </c>
      <c r="E117" t="s">
        <v>2058</v>
      </c>
      <c r="F117">
        <v>80960</v>
      </c>
      <c r="G117">
        <v>284950983.5</v>
      </c>
      <c r="H117">
        <v>0.97999999920527137</v>
      </c>
      <c r="I117">
        <v>0.97074074074074068</v>
      </c>
      <c r="J117">
        <v>24828042</v>
      </c>
      <c r="K117">
        <v>143185</v>
      </c>
      <c r="L117">
        <v>2</v>
      </c>
      <c r="M117">
        <v>249</v>
      </c>
      <c r="N117">
        <v>0.96777777777777785</v>
      </c>
      <c r="O117">
        <v>24125707.5</v>
      </c>
      <c r="P117">
        <v>144260</v>
      </c>
      <c r="Q117">
        <v>2</v>
      </c>
      <c r="R117">
        <v>250</v>
      </c>
      <c r="S117" t="s">
        <v>3048</v>
      </c>
    </row>
    <row r="118" spans="1:19" x14ac:dyDescent="0.25">
      <c r="A118" t="s">
        <v>1979</v>
      </c>
      <c r="B118">
        <v>3</v>
      </c>
      <c r="C118">
        <v>4</v>
      </c>
      <c r="D118">
        <v>0</v>
      </c>
      <c r="E118" t="s">
        <v>2058</v>
      </c>
      <c r="F118">
        <v>89940</v>
      </c>
      <c r="G118">
        <v>277185458.77777779</v>
      </c>
      <c r="H118">
        <v>0.96222221189075041</v>
      </c>
      <c r="I118">
        <v>0.96395061728395059</v>
      </c>
      <c r="J118">
        <v>23441461.666666668</v>
      </c>
      <c r="K118">
        <v>170089</v>
      </c>
      <c r="L118">
        <v>2</v>
      </c>
      <c r="M118">
        <v>273</v>
      </c>
      <c r="N118">
        <v>0.9622222222222222</v>
      </c>
      <c r="O118">
        <v>23966547.888888888</v>
      </c>
      <c r="P118">
        <v>171260</v>
      </c>
      <c r="Q118">
        <v>2</v>
      </c>
      <c r="R118">
        <v>274</v>
      </c>
      <c r="S118" t="s">
        <v>3049</v>
      </c>
    </row>
    <row r="119" spans="1:19" x14ac:dyDescent="0.25">
      <c r="A119" t="s">
        <v>1979</v>
      </c>
      <c r="B119">
        <v>3</v>
      </c>
      <c r="C119">
        <v>2</v>
      </c>
      <c r="D119">
        <v>0</v>
      </c>
      <c r="E119" t="s">
        <v>2060</v>
      </c>
      <c r="F119">
        <v>73166</v>
      </c>
      <c r="G119">
        <v>167403777.5</v>
      </c>
      <c r="H119">
        <v>0.9614814817905426</v>
      </c>
      <c r="I119">
        <v>0.96148148148148149</v>
      </c>
      <c r="J119">
        <v>19435738.166666668</v>
      </c>
      <c r="K119">
        <v>118585</v>
      </c>
      <c r="L119">
        <v>2</v>
      </c>
      <c r="M119">
        <v>225</v>
      </c>
      <c r="N119">
        <v>0.95740740740740748</v>
      </c>
      <c r="O119">
        <v>19238180.166666668</v>
      </c>
      <c r="P119">
        <v>119564</v>
      </c>
      <c r="Q119">
        <v>2</v>
      </c>
      <c r="R119">
        <v>226</v>
      </c>
      <c r="S119" t="s">
        <v>3050</v>
      </c>
    </row>
    <row r="120" spans="1:19" x14ac:dyDescent="0.25">
      <c r="A120" t="s">
        <v>1979</v>
      </c>
      <c r="B120">
        <v>3</v>
      </c>
      <c r="C120">
        <v>3</v>
      </c>
      <c r="D120">
        <v>0</v>
      </c>
      <c r="E120" t="s">
        <v>2060</v>
      </c>
      <c r="F120">
        <v>82294</v>
      </c>
      <c r="G120">
        <v>299415776.5</v>
      </c>
      <c r="H120">
        <v>0.98185184597969055</v>
      </c>
      <c r="I120">
        <v>0.96740740740740738</v>
      </c>
      <c r="J120">
        <v>25061772.333333332</v>
      </c>
      <c r="K120">
        <v>145339</v>
      </c>
      <c r="L120">
        <v>2</v>
      </c>
      <c r="M120">
        <v>251</v>
      </c>
      <c r="N120">
        <v>0.96925925925925926</v>
      </c>
      <c r="O120">
        <v>24174206.833333332</v>
      </c>
      <c r="P120">
        <v>146422</v>
      </c>
      <c r="Q120">
        <v>2</v>
      </c>
      <c r="R120">
        <v>252</v>
      </c>
      <c r="S120" t="s">
        <v>3051</v>
      </c>
    </row>
    <row r="121" spans="1:19" x14ac:dyDescent="0.25">
      <c r="A121" t="s">
        <v>1979</v>
      </c>
      <c r="B121">
        <v>3</v>
      </c>
      <c r="C121">
        <v>4</v>
      </c>
      <c r="D121">
        <v>0</v>
      </c>
      <c r="E121" t="s">
        <v>2060</v>
      </c>
      <c r="F121">
        <v>91422</v>
      </c>
      <c r="G121">
        <v>256959384.77777779</v>
      </c>
      <c r="H121">
        <v>0.96740740537643433</v>
      </c>
      <c r="I121">
        <v>0.96</v>
      </c>
      <c r="J121">
        <v>23853768.111111112</v>
      </c>
      <c r="K121">
        <v>172435</v>
      </c>
      <c r="L121">
        <v>2</v>
      </c>
      <c r="M121">
        <v>275</v>
      </c>
      <c r="N121">
        <v>0.9622222222222222</v>
      </c>
      <c r="O121">
        <v>24610718.222222224</v>
      </c>
      <c r="P121">
        <v>173614</v>
      </c>
      <c r="Q121">
        <v>2</v>
      </c>
      <c r="R121">
        <v>276</v>
      </c>
      <c r="S121" t="s">
        <v>3052</v>
      </c>
    </row>
    <row r="122" spans="1:19" x14ac:dyDescent="0.25">
      <c r="A122" t="s">
        <v>1979</v>
      </c>
      <c r="B122">
        <v>3</v>
      </c>
      <c r="C122">
        <v>2</v>
      </c>
      <c r="D122">
        <v>0</v>
      </c>
      <c r="E122" t="s">
        <v>2062</v>
      </c>
      <c r="F122">
        <v>74352</v>
      </c>
      <c r="G122">
        <v>193874743.16666666</v>
      </c>
      <c r="H122">
        <v>0.94259258111317956</v>
      </c>
      <c r="I122">
        <v>0.95592592592592596</v>
      </c>
      <c r="J122">
        <v>19409170.5</v>
      </c>
      <c r="K122">
        <v>120547</v>
      </c>
      <c r="L122">
        <v>2</v>
      </c>
      <c r="M122">
        <v>227</v>
      </c>
      <c r="N122">
        <v>0.95444444444444443</v>
      </c>
      <c r="O122">
        <v>19807711</v>
      </c>
      <c r="P122">
        <v>121534</v>
      </c>
      <c r="Q122">
        <v>2</v>
      </c>
      <c r="R122">
        <v>228</v>
      </c>
      <c r="S122" t="s">
        <v>3053</v>
      </c>
    </row>
    <row r="123" spans="1:19" x14ac:dyDescent="0.25">
      <c r="A123" t="s">
        <v>1979</v>
      </c>
      <c r="B123">
        <v>3</v>
      </c>
      <c r="C123">
        <v>3</v>
      </c>
      <c r="D123">
        <v>0</v>
      </c>
      <c r="E123" t="s">
        <v>2062</v>
      </c>
      <c r="F123">
        <v>83628</v>
      </c>
      <c r="G123">
        <v>290603895.66666669</v>
      </c>
      <c r="H123">
        <v>0.98185183604558313</v>
      </c>
      <c r="I123">
        <v>0.96814814814814809</v>
      </c>
      <c r="J123">
        <v>22801298.833333332</v>
      </c>
      <c r="K123">
        <v>147509</v>
      </c>
      <c r="L123">
        <v>2</v>
      </c>
      <c r="M123">
        <v>253</v>
      </c>
      <c r="N123">
        <v>0.97185185185185186</v>
      </c>
      <c r="O123">
        <v>24467897.333333332</v>
      </c>
      <c r="P123">
        <v>148600</v>
      </c>
      <c r="Q123">
        <v>2</v>
      </c>
      <c r="R123">
        <v>254</v>
      </c>
      <c r="S123" t="s">
        <v>3054</v>
      </c>
    </row>
    <row r="124" spans="1:19" x14ac:dyDescent="0.25">
      <c r="A124" t="s">
        <v>1979</v>
      </c>
      <c r="B124">
        <v>3</v>
      </c>
      <c r="C124">
        <v>4</v>
      </c>
      <c r="D124">
        <v>0</v>
      </c>
      <c r="E124" t="s">
        <v>2062</v>
      </c>
      <c r="F124">
        <v>92904</v>
      </c>
      <c r="G124">
        <v>227256564.1111111</v>
      </c>
      <c r="H124">
        <v>0.96938271654976738</v>
      </c>
      <c r="I124">
        <v>0.96098765432098765</v>
      </c>
      <c r="J124">
        <v>24574795.888888888</v>
      </c>
      <c r="K124">
        <v>175984</v>
      </c>
      <c r="L124">
        <v>2</v>
      </c>
      <c r="M124">
        <v>278</v>
      </c>
      <c r="N124">
        <v>0.96345679012345675</v>
      </c>
      <c r="O124">
        <v>24161595.111111112</v>
      </c>
      <c r="P124">
        <v>177175</v>
      </c>
      <c r="Q124">
        <v>2</v>
      </c>
      <c r="R124">
        <v>279</v>
      </c>
      <c r="S124" t="s">
        <v>3055</v>
      </c>
    </row>
    <row r="125" spans="1:19" x14ac:dyDescent="0.25">
      <c r="A125" t="s">
        <v>1979</v>
      </c>
      <c r="B125">
        <v>3</v>
      </c>
      <c r="C125">
        <v>2</v>
      </c>
      <c r="D125">
        <v>0</v>
      </c>
      <c r="E125" t="s">
        <v>2064</v>
      </c>
      <c r="F125">
        <v>75538</v>
      </c>
      <c r="G125">
        <v>157467776.83333334</v>
      </c>
      <c r="H125">
        <v>0.96074074506759644</v>
      </c>
      <c r="I125">
        <v>0.96296296296296302</v>
      </c>
      <c r="J125">
        <v>19983679.166666668</v>
      </c>
      <c r="K125">
        <v>122525</v>
      </c>
      <c r="L125">
        <v>2</v>
      </c>
      <c r="M125">
        <v>229</v>
      </c>
      <c r="N125">
        <v>0.95925925925925926</v>
      </c>
      <c r="O125">
        <v>19686820</v>
      </c>
      <c r="P125">
        <v>123520</v>
      </c>
      <c r="Q125">
        <v>2</v>
      </c>
      <c r="R125">
        <v>230</v>
      </c>
      <c r="S125" t="s">
        <v>3056</v>
      </c>
    </row>
    <row r="126" spans="1:19" x14ac:dyDescent="0.25">
      <c r="A126" t="s">
        <v>1979</v>
      </c>
      <c r="B126">
        <v>3</v>
      </c>
      <c r="C126">
        <v>3</v>
      </c>
      <c r="D126">
        <v>0</v>
      </c>
      <c r="E126" t="s">
        <v>2064</v>
      </c>
      <c r="F126">
        <v>84962</v>
      </c>
      <c r="G126">
        <v>252030294.5</v>
      </c>
      <c r="H126">
        <v>0.97296296556790673</v>
      </c>
      <c r="I126">
        <v>0.96703703703703703</v>
      </c>
      <c r="J126">
        <v>23394778.333333332</v>
      </c>
      <c r="K126">
        <v>150794</v>
      </c>
      <c r="L126">
        <v>2</v>
      </c>
      <c r="M126">
        <v>256</v>
      </c>
      <c r="N126">
        <v>0.96851851851851856</v>
      </c>
      <c r="O126">
        <v>24696149</v>
      </c>
      <c r="P126">
        <v>151897</v>
      </c>
      <c r="Q126">
        <v>2</v>
      </c>
      <c r="R126">
        <v>257</v>
      </c>
      <c r="S126" t="s">
        <v>3057</v>
      </c>
    </row>
    <row r="127" spans="1:19" x14ac:dyDescent="0.25">
      <c r="A127" t="s">
        <v>1979</v>
      </c>
      <c r="B127">
        <v>3</v>
      </c>
      <c r="C127">
        <v>4</v>
      </c>
      <c r="D127">
        <v>0</v>
      </c>
      <c r="E127" t="s">
        <v>2064</v>
      </c>
      <c r="F127">
        <v>94386</v>
      </c>
      <c r="G127">
        <v>243749319.1111111</v>
      </c>
      <c r="H127">
        <v>0.96098765399720931</v>
      </c>
      <c r="I127">
        <v>0.95728395061728389</v>
      </c>
      <c r="J127">
        <v>24813611.333333332</v>
      </c>
      <c r="K127">
        <v>178370</v>
      </c>
      <c r="L127">
        <v>2</v>
      </c>
      <c r="M127">
        <v>280</v>
      </c>
      <c r="N127">
        <v>0.96296296296296291</v>
      </c>
      <c r="O127">
        <v>24350484.555555556</v>
      </c>
      <c r="P127">
        <v>179569</v>
      </c>
      <c r="Q127">
        <v>2</v>
      </c>
      <c r="R127">
        <v>281</v>
      </c>
      <c r="S127" t="s">
        <v>3058</v>
      </c>
    </row>
    <row r="128" spans="1:19" x14ac:dyDescent="0.25">
      <c r="A128" t="s">
        <v>1979</v>
      </c>
      <c r="B128">
        <v>3</v>
      </c>
      <c r="C128">
        <v>2</v>
      </c>
      <c r="D128">
        <v>0</v>
      </c>
      <c r="E128" t="s">
        <v>2066</v>
      </c>
      <c r="F128">
        <v>76724</v>
      </c>
      <c r="G128">
        <v>219836103.66666666</v>
      </c>
      <c r="H128">
        <v>0.95185185472170508</v>
      </c>
      <c r="I128">
        <v>0.95962962962962961</v>
      </c>
      <c r="J128">
        <v>19862805.166666668</v>
      </c>
      <c r="K128">
        <v>124519</v>
      </c>
      <c r="L128">
        <v>2</v>
      </c>
      <c r="M128">
        <v>231</v>
      </c>
      <c r="N128">
        <v>0.95555555555555549</v>
      </c>
      <c r="O128">
        <v>20367193</v>
      </c>
      <c r="P128">
        <v>125522</v>
      </c>
      <c r="Q128">
        <v>2</v>
      </c>
      <c r="R128">
        <v>232</v>
      </c>
      <c r="S128" t="s">
        <v>3059</v>
      </c>
    </row>
    <row r="129" spans="1:19" x14ac:dyDescent="0.25">
      <c r="A129" t="s">
        <v>1979</v>
      </c>
      <c r="B129">
        <v>3</v>
      </c>
      <c r="C129">
        <v>3</v>
      </c>
      <c r="D129">
        <v>0</v>
      </c>
      <c r="E129" t="s">
        <v>2066</v>
      </c>
      <c r="F129">
        <v>86296</v>
      </c>
      <c r="G129">
        <v>338526287</v>
      </c>
      <c r="H129">
        <v>0.97851851582527161</v>
      </c>
      <c r="I129">
        <v>0.9655555555555555</v>
      </c>
      <c r="J129">
        <v>24086116.166666668</v>
      </c>
      <c r="K129">
        <v>153004</v>
      </c>
      <c r="L129">
        <v>2</v>
      </c>
      <c r="M129">
        <v>258</v>
      </c>
      <c r="N129">
        <v>0.97185185185185186</v>
      </c>
      <c r="O129">
        <v>24656965.333333332</v>
      </c>
      <c r="P129">
        <v>154115</v>
      </c>
      <c r="Q129">
        <v>2</v>
      </c>
      <c r="R129">
        <v>259</v>
      </c>
      <c r="S129" t="s">
        <v>3060</v>
      </c>
    </row>
    <row r="130" spans="1:19" x14ac:dyDescent="0.25">
      <c r="A130" t="s">
        <v>1979</v>
      </c>
      <c r="B130">
        <v>3</v>
      </c>
      <c r="C130">
        <v>4</v>
      </c>
      <c r="D130">
        <v>0</v>
      </c>
      <c r="E130" t="s">
        <v>2066</v>
      </c>
      <c r="F130">
        <v>95868</v>
      </c>
      <c r="G130">
        <v>238066622.66666666</v>
      </c>
      <c r="H130">
        <v>0.96172839403152466</v>
      </c>
      <c r="I130">
        <v>0.95901234567901228</v>
      </c>
      <c r="J130">
        <v>25032895</v>
      </c>
      <c r="K130">
        <v>181979</v>
      </c>
      <c r="L130">
        <v>2</v>
      </c>
      <c r="M130">
        <v>283</v>
      </c>
      <c r="N130">
        <v>0.96345679012345675</v>
      </c>
      <c r="O130">
        <v>25472929.666666668</v>
      </c>
      <c r="P130">
        <v>183190</v>
      </c>
      <c r="Q130">
        <v>2</v>
      </c>
      <c r="R130">
        <v>284</v>
      </c>
      <c r="S130" t="s">
        <v>3061</v>
      </c>
    </row>
    <row r="131" spans="1:19" x14ac:dyDescent="0.25">
      <c r="A131" t="s">
        <v>1979</v>
      </c>
      <c r="B131">
        <v>3</v>
      </c>
      <c r="C131">
        <v>2</v>
      </c>
      <c r="D131">
        <v>0</v>
      </c>
      <c r="E131" t="s">
        <v>2068</v>
      </c>
      <c r="F131">
        <v>77910</v>
      </c>
      <c r="G131">
        <v>160518503.66666666</v>
      </c>
      <c r="H131">
        <v>0.95481480161348975</v>
      </c>
      <c r="I131">
        <v>0.9622222222222222</v>
      </c>
      <c r="J131">
        <v>20121766.666666668</v>
      </c>
      <c r="K131">
        <v>125522</v>
      </c>
      <c r="L131">
        <v>2</v>
      </c>
      <c r="M131">
        <v>232</v>
      </c>
      <c r="N131">
        <v>0.95296296296296301</v>
      </c>
      <c r="O131">
        <v>20408655</v>
      </c>
      <c r="P131">
        <v>126529</v>
      </c>
      <c r="Q131">
        <v>2</v>
      </c>
      <c r="R131">
        <v>233</v>
      </c>
      <c r="S131" t="s">
        <v>3062</v>
      </c>
    </row>
    <row r="132" spans="1:19" x14ac:dyDescent="0.25">
      <c r="A132" t="s">
        <v>1979</v>
      </c>
      <c r="B132">
        <v>3</v>
      </c>
      <c r="C132">
        <v>3</v>
      </c>
      <c r="D132">
        <v>0</v>
      </c>
      <c r="E132" t="s">
        <v>2068</v>
      </c>
      <c r="F132">
        <v>87630</v>
      </c>
      <c r="G132">
        <v>285278720.83333331</v>
      </c>
      <c r="H132">
        <v>0.98111110925674438</v>
      </c>
      <c r="I132">
        <v>0.96629629629629632</v>
      </c>
      <c r="J132">
        <v>24256105</v>
      </c>
      <c r="K132">
        <v>155230</v>
      </c>
      <c r="L132">
        <v>2</v>
      </c>
      <c r="M132">
        <v>260</v>
      </c>
      <c r="N132">
        <v>0.96925925925925926</v>
      </c>
      <c r="O132">
        <v>22880412.5</v>
      </c>
      <c r="P132">
        <v>156349</v>
      </c>
      <c r="Q132">
        <v>2</v>
      </c>
      <c r="R132">
        <v>261</v>
      </c>
      <c r="S132" t="s">
        <v>3063</v>
      </c>
    </row>
    <row r="133" spans="1:19" x14ac:dyDescent="0.25">
      <c r="A133" t="s">
        <v>1979</v>
      </c>
      <c r="B133">
        <v>3</v>
      </c>
      <c r="C133">
        <v>4</v>
      </c>
      <c r="D133">
        <v>0</v>
      </c>
      <c r="E133" t="s">
        <v>2068</v>
      </c>
      <c r="F133">
        <v>97350</v>
      </c>
      <c r="G133">
        <v>217131568.77777779</v>
      </c>
      <c r="H133">
        <v>0.96888887882232666</v>
      </c>
      <c r="I133">
        <v>0.95580246913580247</v>
      </c>
      <c r="J133">
        <v>25539381.222222224</v>
      </c>
      <c r="K133">
        <v>184405</v>
      </c>
      <c r="L133">
        <v>2</v>
      </c>
      <c r="M133">
        <v>285</v>
      </c>
      <c r="N133">
        <v>0.95925925925925926</v>
      </c>
      <c r="O133">
        <v>25099275.555555556</v>
      </c>
      <c r="P133">
        <v>185624</v>
      </c>
      <c r="Q133">
        <v>2</v>
      </c>
      <c r="R133">
        <v>286</v>
      </c>
      <c r="S133" t="s">
        <v>3064</v>
      </c>
    </row>
    <row r="134" spans="1:19" x14ac:dyDescent="0.25">
      <c r="A134" t="s">
        <v>1979</v>
      </c>
      <c r="B134">
        <v>3</v>
      </c>
      <c r="C134">
        <v>2</v>
      </c>
      <c r="D134">
        <v>0</v>
      </c>
      <c r="E134" t="s">
        <v>2070</v>
      </c>
      <c r="F134">
        <v>79096</v>
      </c>
      <c r="G134">
        <v>281847612.80000001</v>
      </c>
      <c r="H134">
        <v>0.95422222614288332</v>
      </c>
      <c r="I134">
        <v>0.96977777777777774</v>
      </c>
      <c r="J134">
        <v>27121330.199999999</v>
      </c>
      <c r="K134">
        <v>127540</v>
      </c>
      <c r="L134">
        <v>2</v>
      </c>
      <c r="M134">
        <v>234</v>
      </c>
      <c r="N134">
        <v>0.96666666666666667</v>
      </c>
      <c r="O134">
        <v>28888408.600000001</v>
      </c>
      <c r="P134">
        <v>128555</v>
      </c>
      <c r="Q134">
        <v>2</v>
      </c>
      <c r="R134">
        <v>235</v>
      </c>
      <c r="S134" t="s">
        <v>3065</v>
      </c>
    </row>
    <row r="135" spans="1:19" x14ac:dyDescent="0.25">
      <c r="A135" t="s">
        <v>1979</v>
      </c>
      <c r="B135">
        <v>3</v>
      </c>
      <c r="C135">
        <v>3</v>
      </c>
      <c r="D135">
        <v>0</v>
      </c>
      <c r="E135" t="s">
        <v>2070</v>
      </c>
      <c r="F135">
        <v>88964</v>
      </c>
      <c r="G135">
        <v>272686274</v>
      </c>
      <c r="H135">
        <v>0.97703704237937927</v>
      </c>
      <c r="I135">
        <v>0.97222222222222221</v>
      </c>
      <c r="J135">
        <v>24366435.166666668</v>
      </c>
      <c r="K135">
        <v>157472</v>
      </c>
      <c r="L135">
        <v>2</v>
      </c>
      <c r="M135">
        <v>262</v>
      </c>
      <c r="N135">
        <v>0.96740740740740738</v>
      </c>
      <c r="O135">
        <v>25668180.333333332</v>
      </c>
      <c r="P135">
        <v>158599</v>
      </c>
      <c r="Q135">
        <v>2</v>
      </c>
      <c r="R135">
        <v>263</v>
      </c>
      <c r="S135" t="s">
        <v>3066</v>
      </c>
    </row>
    <row r="136" spans="1:19" x14ac:dyDescent="0.25">
      <c r="A136" t="s">
        <v>1979</v>
      </c>
      <c r="B136">
        <v>3</v>
      </c>
      <c r="C136">
        <v>4</v>
      </c>
      <c r="D136">
        <v>0</v>
      </c>
      <c r="E136" t="s">
        <v>2070</v>
      </c>
      <c r="F136">
        <v>98832</v>
      </c>
      <c r="G136">
        <v>293282032.44444442</v>
      </c>
      <c r="H136">
        <v>0.96345678302976823</v>
      </c>
      <c r="I136">
        <v>0.96074074074074078</v>
      </c>
      <c r="J136">
        <v>26546991.777777776</v>
      </c>
      <c r="K136">
        <v>186847</v>
      </c>
      <c r="L136">
        <v>2</v>
      </c>
      <c r="M136">
        <v>287</v>
      </c>
      <c r="N136">
        <v>0.96395061728395059</v>
      </c>
      <c r="O136">
        <v>26572358.111111112</v>
      </c>
      <c r="P136">
        <v>188074</v>
      </c>
      <c r="Q136">
        <v>2</v>
      </c>
      <c r="R136">
        <v>288</v>
      </c>
      <c r="S136" t="s">
        <v>3067</v>
      </c>
    </row>
    <row r="137" spans="1:19" x14ac:dyDescent="0.25">
      <c r="A137" t="s">
        <v>1979</v>
      </c>
      <c r="B137">
        <v>3</v>
      </c>
      <c r="C137">
        <v>2</v>
      </c>
      <c r="D137">
        <v>0</v>
      </c>
      <c r="E137" t="s">
        <v>2072</v>
      </c>
      <c r="F137">
        <v>80282</v>
      </c>
      <c r="G137">
        <v>312910609.16666669</v>
      </c>
      <c r="H137">
        <v>0.96259259184201562</v>
      </c>
      <c r="I137">
        <v>0.96333333333333337</v>
      </c>
      <c r="J137">
        <v>29730064</v>
      </c>
      <c r="K137">
        <v>129574</v>
      </c>
      <c r="L137">
        <v>2</v>
      </c>
      <c r="M137">
        <v>236</v>
      </c>
      <c r="N137">
        <v>0.97037037037037033</v>
      </c>
      <c r="O137">
        <v>29599520.666666668</v>
      </c>
      <c r="P137">
        <v>130597</v>
      </c>
      <c r="Q137">
        <v>2</v>
      </c>
      <c r="R137">
        <v>237</v>
      </c>
      <c r="S137" t="s">
        <v>3068</v>
      </c>
    </row>
    <row r="138" spans="1:19" x14ac:dyDescent="0.25">
      <c r="A138" t="s">
        <v>1979</v>
      </c>
      <c r="B138">
        <v>3</v>
      </c>
      <c r="C138">
        <v>3</v>
      </c>
      <c r="D138">
        <v>0</v>
      </c>
      <c r="E138" t="s">
        <v>2072</v>
      </c>
      <c r="F138">
        <v>90298</v>
      </c>
      <c r="G138">
        <v>336129766.33333331</v>
      </c>
      <c r="H138">
        <v>0.96962962547938025</v>
      </c>
      <c r="I138">
        <v>0.96037037037037043</v>
      </c>
      <c r="J138">
        <v>27588519.666666668</v>
      </c>
      <c r="K138">
        <v>159730</v>
      </c>
      <c r="L138">
        <v>2</v>
      </c>
      <c r="M138">
        <v>264</v>
      </c>
      <c r="N138">
        <v>0.96037037037037032</v>
      </c>
      <c r="O138">
        <v>26492447</v>
      </c>
      <c r="P138">
        <v>160865</v>
      </c>
      <c r="Q138">
        <v>2</v>
      </c>
      <c r="R138">
        <v>265</v>
      </c>
      <c r="S138" t="s">
        <v>3069</v>
      </c>
    </row>
    <row r="139" spans="1:19" x14ac:dyDescent="0.25">
      <c r="A139" t="s">
        <v>1979</v>
      </c>
      <c r="B139">
        <v>3</v>
      </c>
      <c r="C139">
        <v>4</v>
      </c>
      <c r="D139">
        <v>0</v>
      </c>
      <c r="E139" t="s">
        <v>2072</v>
      </c>
      <c r="F139">
        <v>100314</v>
      </c>
      <c r="G139">
        <v>312394031.22222221</v>
      </c>
      <c r="H139">
        <v>0.96938272317250573</v>
      </c>
      <c r="I139">
        <v>0.96419753086419757</v>
      </c>
      <c r="J139">
        <v>26925853.111111112</v>
      </c>
      <c r="K139">
        <v>189305</v>
      </c>
      <c r="L139">
        <v>2</v>
      </c>
      <c r="M139">
        <v>289</v>
      </c>
      <c r="N139">
        <v>0.96493827160493828</v>
      </c>
      <c r="O139">
        <v>26110694.666666668</v>
      </c>
      <c r="P139">
        <v>190540</v>
      </c>
      <c r="Q139">
        <v>2</v>
      </c>
      <c r="R139">
        <v>290</v>
      </c>
      <c r="S139" t="s">
        <v>3070</v>
      </c>
    </row>
    <row r="140" spans="1:19" x14ac:dyDescent="0.25">
      <c r="A140" t="s">
        <v>1979</v>
      </c>
      <c r="B140">
        <v>3</v>
      </c>
      <c r="C140">
        <v>2</v>
      </c>
      <c r="D140">
        <v>0</v>
      </c>
      <c r="E140" t="s">
        <v>2074</v>
      </c>
      <c r="F140">
        <v>81468</v>
      </c>
      <c r="G140">
        <v>394266064</v>
      </c>
      <c r="H140">
        <v>0.96148149172465003</v>
      </c>
      <c r="I140">
        <v>0.96777777777777774</v>
      </c>
      <c r="J140">
        <v>30714814</v>
      </c>
      <c r="K140">
        <v>131624</v>
      </c>
      <c r="L140">
        <v>2</v>
      </c>
      <c r="M140">
        <v>238</v>
      </c>
      <c r="N140">
        <v>0.96777777777777785</v>
      </c>
      <c r="O140">
        <v>31068405.833333332</v>
      </c>
      <c r="P140">
        <v>132655</v>
      </c>
      <c r="Q140">
        <v>2</v>
      </c>
      <c r="R140">
        <v>239</v>
      </c>
      <c r="S140" t="s">
        <v>3071</v>
      </c>
    </row>
    <row r="141" spans="1:19" x14ac:dyDescent="0.25">
      <c r="A141" t="s">
        <v>1979</v>
      </c>
      <c r="B141">
        <v>3</v>
      </c>
      <c r="C141">
        <v>3</v>
      </c>
      <c r="D141">
        <v>0</v>
      </c>
      <c r="E141" t="s">
        <v>2074</v>
      </c>
      <c r="F141">
        <v>91632</v>
      </c>
      <c r="G141">
        <v>328557052.33333331</v>
      </c>
      <c r="H141">
        <v>0.97259260217348731</v>
      </c>
      <c r="I141">
        <v>0.96296296296296291</v>
      </c>
      <c r="J141">
        <v>25644018.833333332</v>
      </c>
      <c r="K141">
        <v>162004</v>
      </c>
      <c r="L141">
        <v>2</v>
      </c>
      <c r="M141">
        <v>266</v>
      </c>
      <c r="N141">
        <v>0.96185185185185185</v>
      </c>
      <c r="O141">
        <v>26366136.5</v>
      </c>
      <c r="P141">
        <v>163147</v>
      </c>
      <c r="Q141">
        <v>2</v>
      </c>
      <c r="R141">
        <v>267</v>
      </c>
      <c r="S141" t="s">
        <v>3072</v>
      </c>
    </row>
    <row r="142" spans="1:19" x14ac:dyDescent="0.25">
      <c r="A142" t="s">
        <v>1979</v>
      </c>
      <c r="B142">
        <v>3</v>
      </c>
      <c r="C142">
        <v>4</v>
      </c>
      <c r="D142">
        <v>0</v>
      </c>
      <c r="E142" t="s">
        <v>2074</v>
      </c>
      <c r="F142">
        <v>101796</v>
      </c>
      <c r="G142">
        <v>268208235.1111111</v>
      </c>
      <c r="H142">
        <v>0.96691357427173186</v>
      </c>
      <c r="I142">
        <v>0.96049382716049381</v>
      </c>
      <c r="J142">
        <v>27749328</v>
      </c>
      <c r="K142">
        <v>193022</v>
      </c>
      <c r="L142">
        <v>2</v>
      </c>
      <c r="M142">
        <v>292</v>
      </c>
      <c r="N142">
        <v>0.96641975308641981</v>
      </c>
      <c r="O142">
        <v>26938694.888888888</v>
      </c>
      <c r="P142">
        <v>194269</v>
      </c>
      <c r="Q142">
        <v>2</v>
      </c>
      <c r="R142">
        <v>293</v>
      </c>
      <c r="S142" t="s">
        <v>3073</v>
      </c>
    </row>
    <row r="143" spans="1:19" x14ac:dyDescent="0.25">
      <c r="A143" t="s">
        <v>1979</v>
      </c>
      <c r="B143">
        <v>3</v>
      </c>
      <c r="C143">
        <v>2</v>
      </c>
      <c r="D143">
        <v>0</v>
      </c>
      <c r="E143" t="s">
        <v>2076</v>
      </c>
      <c r="F143">
        <v>82654</v>
      </c>
      <c r="G143">
        <v>381144109.33333331</v>
      </c>
      <c r="H143">
        <v>0.96074074506759644</v>
      </c>
      <c r="I143">
        <v>0.9655555555555555</v>
      </c>
      <c r="J143">
        <v>31272532.5</v>
      </c>
      <c r="K143">
        <v>133690</v>
      </c>
      <c r="L143">
        <v>2</v>
      </c>
      <c r="M143">
        <v>240</v>
      </c>
      <c r="N143">
        <v>0.96888888888888891</v>
      </c>
      <c r="O143">
        <v>30116573.166666668</v>
      </c>
      <c r="P143">
        <v>134729</v>
      </c>
      <c r="Q143">
        <v>2</v>
      </c>
      <c r="R143">
        <v>241</v>
      </c>
      <c r="S143" t="s">
        <v>3074</v>
      </c>
    </row>
    <row r="144" spans="1:19" x14ac:dyDescent="0.25">
      <c r="A144" t="s">
        <v>1979</v>
      </c>
      <c r="B144">
        <v>3</v>
      </c>
      <c r="C144">
        <v>3</v>
      </c>
      <c r="D144">
        <v>0</v>
      </c>
      <c r="E144" t="s">
        <v>2076</v>
      </c>
      <c r="F144">
        <v>92966</v>
      </c>
      <c r="G144">
        <v>354547079.16666669</v>
      </c>
      <c r="H144">
        <v>0.97444444894790649</v>
      </c>
      <c r="I144">
        <v>0.95925925925925926</v>
      </c>
      <c r="J144">
        <v>26250842.333333332</v>
      </c>
      <c r="K144">
        <v>164294</v>
      </c>
      <c r="L144">
        <v>2</v>
      </c>
      <c r="M144">
        <v>268</v>
      </c>
      <c r="N144">
        <v>0.96111111111111103</v>
      </c>
      <c r="O144">
        <v>27210595</v>
      </c>
      <c r="P144">
        <v>165445</v>
      </c>
      <c r="Q144">
        <v>2</v>
      </c>
      <c r="R144">
        <v>269</v>
      </c>
      <c r="S144" t="s">
        <v>3075</v>
      </c>
    </row>
    <row r="145" spans="1:19" x14ac:dyDescent="0.25">
      <c r="A145" t="s">
        <v>1979</v>
      </c>
      <c r="B145">
        <v>3</v>
      </c>
      <c r="C145">
        <v>4</v>
      </c>
      <c r="D145">
        <v>0</v>
      </c>
      <c r="E145" t="s">
        <v>2076</v>
      </c>
      <c r="F145">
        <v>103278</v>
      </c>
      <c r="G145">
        <v>308834908.77777779</v>
      </c>
      <c r="H145">
        <v>0.96888888544506502</v>
      </c>
      <c r="I145">
        <v>0.96691358024691354</v>
      </c>
      <c r="J145">
        <v>27243332.888888888</v>
      </c>
      <c r="K145">
        <v>195520</v>
      </c>
      <c r="L145">
        <v>2</v>
      </c>
      <c r="M145">
        <v>294</v>
      </c>
      <c r="N145">
        <v>0.96395061728395059</v>
      </c>
      <c r="O145">
        <v>27183097.555555556</v>
      </c>
      <c r="P145">
        <v>196775</v>
      </c>
      <c r="Q145">
        <v>2</v>
      </c>
      <c r="R145">
        <v>295</v>
      </c>
      <c r="S145" t="s">
        <v>3076</v>
      </c>
    </row>
    <row r="146" spans="1:19" x14ac:dyDescent="0.25">
      <c r="A146" t="s">
        <v>1979</v>
      </c>
      <c r="B146">
        <v>3</v>
      </c>
      <c r="C146">
        <v>2</v>
      </c>
      <c r="D146">
        <v>0</v>
      </c>
      <c r="E146" t="s">
        <v>2078</v>
      </c>
      <c r="F146">
        <v>83840</v>
      </c>
      <c r="G146">
        <v>299725704</v>
      </c>
      <c r="H146">
        <v>0.97148148218790686</v>
      </c>
      <c r="I146">
        <v>0.96925925925925926</v>
      </c>
      <c r="J146">
        <v>30776312.666666668</v>
      </c>
      <c r="K146">
        <v>135772</v>
      </c>
      <c r="L146">
        <v>2</v>
      </c>
      <c r="M146">
        <v>242</v>
      </c>
      <c r="N146">
        <v>0.96925925925925926</v>
      </c>
      <c r="O146">
        <v>30621034</v>
      </c>
      <c r="P146">
        <v>136819</v>
      </c>
      <c r="Q146">
        <v>2</v>
      </c>
      <c r="R146">
        <v>243</v>
      </c>
      <c r="S146" t="s">
        <v>3077</v>
      </c>
    </row>
    <row r="147" spans="1:19" x14ac:dyDescent="0.25">
      <c r="A147" t="s">
        <v>1979</v>
      </c>
      <c r="B147">
        <v>3</v>
      </c>
      <c r="C147">
        <v>3</v>
      </c>
      <c r="D147">
        <v>0</v>
      </c>
      <c r="E147" t="s">
        <v>2078</v>
      </c>
      <c r="F147">
        <v>94300</v>
      </c>
      <c r="G147">
        <v>330781473.5</v>
      </c>
      <c r="H147">
        <v>0.9714814921220144</v>
      </c>
      <c r="I147">
        <v>0.96</v>
      </c>
      <c r="J147">
        <v>26581799.666666668</v>
      </c>
      <c r="K147">
        <v>166600</v>
      </c>
      <c r="L147">
        <v>2</v>
      </c>
      <c r="M147">
        <v>270</v>
      </c>
      <c r="N147">
        <v>0.96259259259259256</v>
      </c>
      <c r="O147">
        <v>26273913.333333332</v>
      </c>
      <c r="P147">
        <v>167759</v>
      </c>
      <c r="Q147">
        <v>2</v>
      </c>
      <c r="R147">
        <v>271</v>
      </c>
      <c r="S147" t="s">
        <v>3078</v>
      </c>
    </row>
    <row r="148" spans="1:19" x14ac:dyDescent="0.25">
      <c r="A148" t="s">
        <v>1979</v>
      </c>
      <c r="B148">
        <v>3</v>
      </c>
      <c r="C148">
        <v>4</v>
      </c>
      <c r="D148">
        <v>0</v>
      </c>
      <c r="E148" t="s">
        <v>2078</v>
      </c>
      <c r="F148">
        <v>104760</v>
      </c>
      <c r="G148">
        <v>290286374.44444442</v>
      </c>
      <c r="H148">
        <v>0.96716049644682145</v>
      </c>
      <c r="I148">
        <v>0.96271604938271604</v>
      </c>
      <c r="J148">
        <v>27302298.666666668</v>
      </c>
      <c r="K148">
        <v>198034</v>
      </c>
      <c r="L148">
        <v>2</v>
      </c>
      <c r="M148">
        <v>296</v>
      </c>
      <c r="N148">
        <v>0.96049382716049381</v>
      </c>
      <c r="O148">
        <v>26542581</v>
      </c>
      <c r="P148">
        <v>199297</v>
      </c>
      <c r="Q148">
        <v>2</v>
      </c>
      <c r="R148">
        <v>297</v>
      </c>
      <c r="S148" t="s">
        <v>3079</v>
      </c>
    </row>
    <row r="149" spans="1:19" x14ac:dyDescent="0.25">
      <c r="A149" t="s">
        <v>1979</v>
      </c>
      <c r="B149">
        <v>3</v>
      </c>
      <c r="C149">
        <v>2</v>
      </c>
      <c r="D149">
        <v>0</v>
      </c>
      <c r="E149" t="s">
        <v>2080</v>
      </c>
      <c r="F149">
        <v>85026</v>
      </c>
      <c r="G149">
        <v>346746970.5</v>
      </c>
      <c r="H149">
        <v>0.96629629532496131</v>
      </c>
      <c r="I149">
        <v>0.9681481481481482</v>
      </c>
      <c r="J149">
        <v>28961590.166666668</v>
      </c>
      <c r="K149">
        <v>137870</v>
      </c>
      <c r="L149">
        <v>2</v>
      </c>
      <c r="M149">
        <v>244</v>
      </c>
      <c r="N149">
        <v>0.96962962962962962</v>
      </c>
      <c r="O149">
        <v>30881677.166666668</v>
      </c>
      <c r="P149">
        <v>138925</v>
      </c>
      <c r="Q149">
        <v>2</v>
      </c>
      <c r="R149">
        <v>245</v>
      </c>
      <c r="S149" t="s">
        <v>3080</v>
      </c>
    </row>
    <row r="150" spans="1:19" x14ac:dyDescent="0.25">
      <c r="A150" t="s">
        <v>1979</v>
      </c>
      <c r="B150">
        <v>3</v>
      </c>
      <c r="C150">
        <v>3</v>
      </c>
      <c r="D150">
        <v>0</v>
      </c>
      <c r="E150" t="s">
        <v>2080</v>
      </c>
      <c r="F150">
        <v>95634</v>
      </c>
      <c r="G150">
        <v>392853175.16666669</v>
      </c>
      <c r="H150">
        <v>0.9737037022908529</v>
      </c>
      <c r="I150">
        <v>0.96148148148148149</v>
      </c>
      <c r="J150">
        <v>26504246.166666668</v>
      </c>
      <c r="K150">
        <v>168922</v>
      </c>
      <c r="L150">
        <v>2</v>
      </c>
      <c r="M150">
        <v>272</v>
      </c>
      <c r="N150">
        <v>0.96074074074074067</v>
      </c>
      <c r="O150">
        <v>27355682.333333332</v>
      </c>
      <c r="P150">
        <v>170089</v>
      </c>
      <c r="Q150">
        <v>2</v>
      </c>
      <c r="R150">
        <v>273</v>
      </c>
      <c r="S150" t="s">
        <v>3081</v>
      </c>
    </row>
    <row r="151" spans="1:19" x14ac:dyDescent="0.25">
      <c r="A151" t="s">
        <v>1979</v>
      </c>
      <c r="B151">
        <v>3</v>
      </c>
      <c r="C151">
        <v>4</v>
      </c>
      <c r="D151">
        <v>0</v>
      </c>
      <c r="E151" t="s">
        <v>2080</v>
      </c>
      <c r="F151">
        <v>106242</v>
      </c>
      <c r="G151">
        <v>323012391.8888889</v>
      </c>
      <c r="H151">
        <v>0.96938270992702913</v>
      </c>
      <c r="I151">
        <v>0.95925925925925926</v>
      </c>
      <c r="J151">
        <v>27374198</v>
      </c>
      <c r="K151">
        <v>200564</v>
      </c>
      <c r="L151">
        <v>2</v>
      </c>
      <c r="M151">
        <v>298</v>
      </c>
      <c r="N151">
        <v>0.96543209876543212</v>
      </c>
      <c r="O151">
        <v>26987988</v>
      </c>
      <c r="P151">
        <v>201835</v>
      </c>
      <c r="Q151">
        <v>2</v>
      </c>
      <c r="R151">
        <v>299</v>
      </c>
      <c r="S151" t="s">
        <v>3082</v>
      </c>
    </row>
    <row r="152" spans="1:19" x14ac:dyDescent="0.25">
      <c r="A152" t="s">
        <v>1979</v>
      </c>
      <c r="B152">
        <v>3</v>
      </c>
      <c r="C152">
        <v>2</v>
      </c>
      <c r="D152">
        <v>0</v>
      </c>
      <c r="E152" t="s">
        <v>2082</v>
      </c>
      <c r="F152">
        <v>86212</v>
      </c>
      <c r="G152">
        <v>421627975.16666669</v>
      </c>
      <c r="H152">
        <v>0.96888887882232666</v>
      </c>
      <c r="I152">
        <v>0.96259259259259256</v>
      </c>
      <c r="J152">
        <v>31342532.333333332</v>
      </c>
      <c r="K152">
        <v>139984</v>
      </c>
      <c r="L152">
        <v>2</v>
      </c>
      <c r="M152">
        <v>246</v>
      </c>
      <c r="N152">
        <v>0.96592592592592597</v>
      </c>
      <c r="O152">
        <v>33895732.666666664</v>
      </c>
      <c r="P152">
        <v>141047</v>
      </c>
      <c r="Q152">
        <v>2</v>
      </c>
      <c r="R152">
        <v>247</v>
      </c>
      <c r="S152" t="s">
        <v>3083</v>
      </c>
    </row>
    <row r="153" spans="1:19" x14ac:dyDescent="0.25">
      <c r="A153" t="s">
        <v>1979</v>
      </c>
      <c r="B153">
        <v>3</v>
      </c>
      <c r="C153">
        <v>3</v>
      </c>
      <c r="D153">
        <v>0</v>
      </c>
      <c r="E153" t="s">
        <v>2082</v>
      </c>
      <c r="F153">
        <v>96968</v>
      </c>
      <c r="G153">
        <v>317199895</v>
      </c>
      <c r="H153">
        <v>0.97296298543612159</v>
      </c>
      <c r="I153">
        <v>0.96111111111111103</v>
      </c>
      <c r="J153">
        <v>26894627</v>
      </c>
      <c r="K153">
        <v>171260</v>
      </c>
      <c r="L153">
        <v>2</v>
      </c>
      <c r="M153">
        <v>274</v>
      </c>
      <c r="N153">
        <v>0.96037037037037032</v>
      </c>
      <c r="O153">
        <v>27545250.333333332</v>
      </c>
      <c r="P153">
        <v>172435</v>
      </c>
      <c r="Q153">
        <v>2</v>
      </c>
      <c r="R153">
        <v>275</v>
      </c>
      <c r="S153" t="s">
        <v>3084</v>
      </c>
    </row>
    <row r="154" spans="1:19" x14ac:dyDescent="0.25">
      <c r="A154" t="s">
        <v>1979</v>
      </c>
      <c r="B154">
        <v>3</v>
      </c>
      <c r="C154">
        <v>4</v>
      </c>
      <c r="D154">
        <v>0</v>
      </c>
      <c r="E154" t="s">
        <v>2082</v>
      </c>
      <c r="F154">
        <v>107724</v>
      </c>
      <c r="G154">
        <v>286809325.22222221</v>
      </c>
      <c r="H154">
        <v>0.97061728106604683</v>
      </c>
      <c r="I154">
        <v>0.96320987654320989</v>
      </c>
      <c r="J154">
        <v>27985009.555555556</v>
      </c>
      <c r="K154">
        <v>204389</v>
      </c>
      <c r="L154">
        <v>2</v>
      </c>
      <c r="M154">
        <v>301</v>
      </c>
      <c r="N154">
        <v>0.95950617283950612</v>
      </c>
      <c r="O154">
        <v>27845476.666666668</v>
      </c>
      <c r="P154">
        <v>205672</v>
      </c>
      <c r="Q154">
        <v>2</v>
      </c>
      <c r="R154">
        <v>302</v>
      </c>
      <c r="S154" t="s">
        <v>3085</v>
      </c>
    </row>
    <row r="155" spans="1:19" x14ac:dyDescent="0.25">
      <c r="A155" t="s">
        <v>1979</v>
      </c>
      <c r="B155">
        <v>3</v>
      </c>
      <c r="C155">
        <v>2</v>
      </c>
      <c r="D155">
        <v>0</v>
      </c>
      <c r="E155" t="s">
        <v>2084</v>
      </c>
      <c r="F155">
        <v>87398</v>
      </c>
      <c r="G155">
        <v>337062378.33333331</v>
      </c>
      <c r="H155">
        <v>0.96518516540527344</v>
      </c>
      <c r="I155">
        <v>0.97</v>
      </c>
      <c r="J155">
        <v>32122007.333333332</v>
      </c>
      <c r="K155">
        <v>141047</v>
      </c>
      <c r="L155">
        <v>2</v>
      </c>
      <c r="M155">
        <v>247</v>
      </c>
      <c r="N155">
        <v>0.96740740740740738</v>
      </c>
      <c r="O155">
        <v>31763761.833333332</v>
      </c>
      <c r="P155">
        <v>142114</v>
      </c>
      <c r="Q155">
        <v>2</v>
      </c>
      <c r="R155">
        <v>248</v>
      </c>
      <c r="S155" t="s">
        <v>3086</v>
      </c>
    </row>
    <row r="156" spans="1:19" x14ac:dyDescent="0.25">
      <c r="A156" t="s">
        <v>1979</v>
      </c>
      <c r="B156">
        <v>3</v>
      </c>
      <c r="C156">
        <v>3</v>
      </c>
      <c r="D156">
        <v>0</v>
      </c>
      <c r="E156" t="s">
        <v>2084</v>
      </c>
      <c r="F156">
        <v>98302</v>
      </c>
      <c r="G156">
        <v>391100896.33333331</v>
      </c>
      <c r="H156">
        <v>0.96888889869054162</v>
      </c>
      <c r="I156">
        <v>0.95851851851851855</v>
      </c>
      <c r="J156">
        <v>27772406.5</v>
      </c>
      <c r="K156">
        <v>173614</v>
      </c>
      <c r="L156">
        <v>2</v>
      </c>
      <c r="M156">
        <v>276</v>
      </c>
      <c r="N156">
        <v>0.96148148148148149</v>
      </c>
      <c r="O156">
        <v>26944756.5</v>
      </c>
      <c r="P156">
        <v>174797</v>
      </c>
      <c r="Q156">
        <v>2</v>
      </c>
      <c r="R156">
        <v>277</v>
      </c>
      <c r="S156" t="s">
        <v>3087</v>
      </c>
    </row>
    <row r="157" spans="1:19" x14ac:dyDescent="0.25">
      <c r="A157" t="s">
        <v>1979</v>
      </c>
      <c r="B157">
        <v>3</v>
      </c>
      <c r="C157">
        <v>4</v>
      </c>
      <c r="D157">
        <v>0</v>
      </c>
      <c r="E157" t="s">
        <v>2084</v>
      </c>
      <c r="F157">
        <v>109206</v>
      </c>
      <c r="G157">
        <v>292480605</v>
      </c>
      <c r="H157">
        <v>0.96938272317250573</v>
      </c>
      <c r="I157">
        <v>0.95827160493827157</v>
      </c>
      <c r="J157">
        <v>27958842.555555556</v>
      </c>
      <c r="K157">
        <v>206959</v>
      </c>
      <c r="L157">
        <v>2</v>
      </c>
      <c r="M157">
        <v>303</v>
      </c>
      <c r="N157">
        <v>0.96567901234567899</v>
      </c>
      <c r="O157">
        <v>28052426.444444444</v>
      </c>
      <c r="P157">
        <v>208250</v>
      </c>
      <c r="Q157">
        <v>2</v>
      </c>
      <c r="R157">
        <v>304</v>
      </c>
      <c r="S157" t="s">
        <v>3088</v>
      </c>
    </row>
    <row r="158" spans="1:19" x14ac:dyDescent="0.25">
      <c r="A158" t="s">
        <v>1979</v>
      </c>
      <c r="B158">
        <v>3</v>
      </c>
      <c r="C158">
        <v>2</v>
      </c>
      <c r="D158">
        <v>0</v>
      </c>
      <c r="E158" t="s">
        <v>2086</v>
      </c>
      <c r="F158">
        <v>88584</v>
      </c>
      <c r="G158">
        <v>424638927.16666669</v>
      </c>
      <c r="H158">
        <v>0.96148147185643518</v>
      </c>
      <c r="I158">
        <v>0.96629629629629632</v>
      </c>
      <c r="J158">
        <v>31629017.666666668</v>
      </c>
      <c r="K158">
        <v>143185</v>
      </c>
      <c r="L158">
        <v>2</v>
      </c>
      <c r="M158">
        <v>249</v>
      </c>
      <c r="N158">
        <v>0.97037037037037033</v>
      </c>
      <c r="O158">
        <v>33403748.333333332</v>
      </c>
      <c r="P158">
        <v>144260</v>
      </c>
      <c r="Q158">
        <v>2</v>
      </c>
      <c r="R158">
        <v>250</v>
      </c>
      <c r="S158" t="s">
        <v>3089</v>
      </c>
    </row>
    <row r="159" spans="1:19" x14ac:dyDescent="0.25">
      <c r="A159" t="s">
        <v>1979</v>
      </c>
      <c r="B159">
        <v>3</v>
      </c>
      <c r="C159">
        <v>3</v>
      </c>
      <c r="D159">
        <v>0</v>
      </c>
      <c r="E159" t="s">
        <v>2086</v>
      </c>
      <c r="F159">
        <v>99636</v>
      </c>
      <c r="G159">
        <v>312164099.66666669</v>
      </c>
      <c r="H159">
        <v>0.97703704237937927</v>
      </c>
      <c r="I159">
        <v>0.95814814814814819</v>
      </c>
      <c r="J159">
        <v>26610072.5</v>
      </c>
      <c r="K159">
        <v>175984</v>
      </c>
      <c r="L159">
        <v>2</v>
      </c>
      <c r="M159">
        <v>278</v>
      </c>
      <c r="N159">
        <v>0.96074074074074067</v>
      </c>
      <c r="O159">
        <v>28167989.666666668</v>
      </c>
      <c r="P159">
        <v>177175</v>
      </c>
      <c r="Q159">
        <v>2</v>
      </c>
      <c r="R159">
        <v>279</v>
      </c>
      <c r="S159" t="s">
        <v>3090</v>
      </c>
    </row>
    <row r="160" spans="1:19" x14ac:dyDescent="0.25">
      <c r="A160" t="s">
        <v>1979</v>
      </c>
      <c r="B160">
        <v>3</v>
      </c>
      <c r="C160">
        <v>4</v>
      </c>
      <c r="D160">
        <v>0</v>
      </c>
      <c r="E160" t="s">
        <v>2086</v>
      </c>
      <c r="F160">
        <v>110688</v>
      </c>
      <c r="G160">
        <v>290749386.1111111</v>
      </c>
      <c r="H160">
        <v>0.96814815865622628</v>
      </c>
      <c r="I160">
        <v>0.96049382716049381</v>
      </c>
      <c r="J160">
        <v>28703610.444444444</v>
      </c>
      <c r="K160">
        <v>209545</v>
      </c>
      <c r="L160">
        <v>2</v>
      </c>
      <c r="M160">
        <v>305</v>
      </c>
      <c r="N160">
        <v>0.96074074074074067</v>
      </c>
      <c r="O160">
        <v>28252059.333333332</v>
      </c>
      <c r="P160">
        <v>210844</v>
      </c>
      <c r="Q160">
        <v>2</v>
      </c>
      <c r="R160">
        <v>306</v>
      </c>
      <c r="S160" t="s">
        <v>3091</v>
      </c>
    </row>
    <row r="161" spans="1:19" x14ac:dyDescent="0.25">
      <c r="A161" t="s">
        <v>1979</v>
      </c>
      <c r="B161">
        <v>3</v>
      </c>
      <c r="C161">
        <v>2</v>
      </c>
      <c r="D161">
        <v>0</v>
      </c>
      <c r="E161" t="s">
        <v>2088</v>
      </c>
      <c r="F161">
        <v>89770</v>
      </c>
      <c r="G161">
        <v>324623963.33333331</v>
      </c>
      <c r="H161">
        <v>0.9622222284475962</v>
      </c>
      <c r="I161">
        <v>0.96444444444444444</v>
      </c>
      <c r="J161">
        <v>33613349.833333336</v>
      </c>
      <c r="K161">
        <v>145339</v>
      </c>
      <c r="L161">
        <v>2</v>
      </c>
      <c r="M161">
        <v>251</v>
      </c>
      <c r="N161">
        <v>0.96629629629629632</v>
      </c>
      <c r="O161">
        <v>32180026.833333332</v>
      </c>
      <c r="P161">
        <v>146422</v>
      </c>
      <c r="Q161">
        <v>2</v>
      </c>
      <c r="R161">
        <v>252</v>
      </c>
      <c r="S161" t="s">
        <v>3092</v>
      </c>
    </row>
    <row r="162" spans="1:19" x14ac:dyDescent="0.25">
      <c r="A162" t="s">
        <v>1979</v>
      </c>
      <c r="B162">
        <v>3</v>
      </c>
      <c r="C162">
        <v>3</v>
      </c>
      <c r="D162">
        <v>0</v>
      </c>
      <c r="E162" t="s">
        <v>2088</v>
      </c>
      <c r="F162">
        <v>100970</v>
      </c>
      <c r="G162">
        <v>377407226</v>
      </c>
      <c r="H162">
        <v>0.97481481234232581</v>
      </c>
      <c r="I162">
        <v>0.96518518518518515</v>
      </c>
      <c r="J162">
        <v>27629221.5</v>
      </c>
      <c r="K162">
        <v>178370</v>
      </c>
      <c r="L162">
        <v>2</v>
      </c>
      <c r="M162">
        <v>280</v>
      </c>
      <c r="N162">
        <v>0.96037037037037032</v>
      </c>
      <c r="O162">
        <v>27613187.5</v>
      </c>
      <c r="P162">
        <v>179569</v>
      </c>
      <c r="Q162">
        <v>2</v>
      </c>
      <c r="R162">
        <v>281</v>
      </c>
      <c r="S162" t="s">
        <v>3093</v>
      </c>
    </row>
    <row r="163" spans="1:19" x14ac:dyDescent="0.25">
      <c r="A163" t="s">
        <v>1979</v>
      </c>
      <c r="B163">
        <v>3</v>
      </c>
      <c r="C163">
        <v>4</v>
      </c>
      <c r="D163">
        <v>0</v>
      </c>
      <c r="E163" t="s">
        <v>2088</v>
      </c>
      <c r="F163">
        <v>112170</v>
      </c>
      <c r="G163">
        <v>288420484.69999999</v>
      </c>
      <c r="H163">
        <v>0.96955555081367495</v>
      </c>
      <c r="I163">
        <v>0.96355555555555561</v>
      </c>
      <c r="J163">
        <v>28032604.800000001</v>
      </c>
      <c r="K163">
        <v>212147</v>
      </c>
      <c r="L163">
        <v>2</v>
      </c>
      <c r="M163">
        <v>307</v>
      </c>
      <c r="N163">
        <v>0.9588888888888889</v>
      </c>
      <c r="O163">
        <v>29213398.100000001</v>
      </c>
      <c r="P163">
        <v>213454</v>
      </c>
      <c r="Q163">
        <v>2</v>
      </c>
      <c r="R163">
        <v>308</v>
      </c>
      <c r="S163" t="s">
        <v>3094</v>
      </c>
    </row>
    <row r="164" spans="1:19" x14ac:dyDescent="0.25">
      <c r="A164" t="s">
        <v>1979</v>
      </c>
      <c r="B164">
        <v>3</v>
      </c>
      <c r="C164">
        <v>2</v>
      </c>
      <c r="D164">
        <v>0</v>
      </c>
      <c r="E164" t="s">
        <v>2090</v>
      </c>
      <c r="F164">
        <v>90956</v>
      </c>
      <c r="G164">
        <v>337320383.33333331</v>
      </c>
      <c r="H164">
        <v>0.95740741491317749</v>
      </c>
      <c r="I164">
        <v>0.96703703703703703</v>
      </c>
      <c r="J164">
        <v>32341832.333333332</v>
      </c>
      <c r="K164">
        <v>147509</v>
      </c>
      <c r="L164">
        <v>2</v>
      </c>
      <c r="M164">
        <v>253</v>
      </c>
      <c r="N164">
        <v>0.96296296296296302</v>
      </c>
      <c r="O164">
        <v>32469939.166666668</v>
      </c>
      <c r="P164">
        <v>148600</v>
      </c>
      <c r="Q164">
        <v>2</v>
      </c>
      <c r="R164">
        <v>254</v>
      </c>
      <c r="S164" t="s">
        <v>3095</v>
      </c>
    </row>
    <row r="165" spans="1:19" x14ac:dyDescent="0.25">
      <c r="A165" t="s">
        <v>1979</v>
      </c>
      <c r="B165">
        <v>3</v>
      </c>
      <c r="C165">
        <v>3</v>
      </c>
      <c r="D165">
        <v>0</v>
      </c>
      <c r="E165" t="s">
        <v>2090</v>
      </c>
      <c r="F165">
        <v>102304</v>
      </c>
      <c r="G165">
        <v>398030721.5</v>
      </c>
      <c r="H165">
        <v>0.96777776877085364</v>
      </c>
      <c r="I165">
        <v>0.95518518518518525</v>
      </c>
      <c r="J165">
        <v>27764465</v>
      </c>
      <c r="K165">
        <v>180772</v>
      </c>
      <c r="L165">
        <v>2</v>
      </c>
      <c r="M165">
        <v>282</v>
      </c>
      <c r="N165">
        <v>0.95851851851851855</v>
      </c>
      <c r="O165">
        <v>27275526.333333332</v>
      </c>
      <c r="P165">
        <v>181979</v>
      </c>
      <c r="Q165">
        <v>2</v>
      </c>
      <c r="R165">
        <v>283</v>
      </c>
      <c r="S165" t="s">
        <v>3096</v>
      </c>
    </row>
    <row r="166" spans="1:19" x14ac:dyDescent="0.25">
      <c r="A166" t="s">
        <v>1979</v>
      </c>
      <c r="B166">
        <v>3</v>
      </c>
      <c r="C166">
        <v>4</v>
      </c>
      <c r="D166">
        <v>0</v>
      </c>
      <c r="E166" t="s">
        <v>2090</v>
      </c>
      <c r="F166">
        <v>113652</v>
      </c>
      <c r="G166">
        <v>338401318.38461536</v>
      </c>
      <c r="H166">
        <v>0.968547000334813</v>
      </c>
      <c r="I166">
        <v>0.96290598290598295</v>
      </c>
      <c r="J166">
        <v>29580164.307692308</v>
      </c>
      <c r="K166">
        <v>214765</v>
      </c>
      <c r="L166">
        <v>2</v>
      </c>
      <c r="M166">
        <v>309</v>
      </c>
      <c r="N166">
        <v>0.96170940170940167</v>
      </c>
      <c r="O166">
        <v>29802293.923076924</v>
      </c>
      <c r="P166">
        <v>216080</v>
      </c>
      <c r="Q166">
        <v>2</v>
      </c>
      <c r="R166">
        <v>310</v>
      </c>
      <c r="S166" t="s">
        <v>3097</v>
      </c>
    </row>
    <row r="167" spans="1:19" x14ac:dyDescent="0.25">
      <c r="A167" t="s">
        <v>1979</v>
      </c>
      <c r="B167">
        <v>3</v>
      </c>
      <c r="C167">
        <v>2</v>
      </c>
      <c r="D167">
        <v>0</v>
      </c>
      <c r="E167" t="s">
        <v>2092</v>
      </c>
      <c r="F167">
        <v>39148</v>
      </c>
      <c r="G167">
        <v>362163310.33333331</v>
      </c>
      <c r="H167">
        <v>0.96629629532496131</v>
      </c>
      <c r="I167">
        <v>0.96629629629629632</v>
      </c>
      <c r="J167">
        <v>30578505</v>
      </c>
      <c r="K167">
        <v>63530</v>
      </c>
      <c r="L167">
        <v>2</v>
      </c>
      <c r="M167">
        <v>160</v>
      </c>
      <c r="N167">
        <v>0.96592592592592597</v>
      </c>
      <c r="O167">
        <v>30618963.166666668</v>
      </c>
      <c r="P167">
        <v>64249</v>
      </c>
      <c r="Q167">
        <v>2</v>
      </c>
      <c r="R167">
        <v>161</v>
      </c>
      <c r="S167" t="s">
        <v>3098</v>
      </c>
    </row>
    <row r="168" spans="1:19" x14ac:dyDescent="0.25">
      <c r="A168" t="s">
        <v>1979</v>
      </c>
      <c r="B168">
        <v>3</v>
      </c>
      <c r="C168">
        <v>4</v>
      </c>
      <c r="D168">
        <v>0</v>
      </c>
      <c r="E168" t="s">
        <v>2092</v>
      </c>
      <c r="F168">
        <v>48916</v>
      </c>
      <c r="G168">
        <v>66700013.25</v>
      </c>
      <c r="H168">
        <v>0.96888888627290726</v>
      </c>
      <c r="I168">
        <v>0.96708333333333329</v>
      </c>
      <c r="J168">
        <v>16346549.9375</v>
      </c>
      <c r="K168">
        <v>92797</v>
      </c>
      <c r="L168">
        <v>2</v>
      </c>
      <c r="M168">
        <v>197</v>
      </c>
      <c r="N168">
        <v>0.96583333333333332</v>
      </c>
      <c r="O168">
        <v>15779271.75</v>
      </c>
      <c r="P168">
        <v>93664</v>
      </c>
      <c r="Q168">
        <v>2</v>
      </c>
      <c r="R168">
        <v>198</v>
      </c>
      <c r="S168" t="s">
        <v>3099</v>
      </c>
    </row>
    <row r="169" spans="1:19" x14ac:dyDescent="0.25">
      <c r="A169" t="s">
        <v>1979</v>
      </c>
      <c r="B169">
        <v>3</v>
      </c>
      <c r="C169">
        <v>2</v>
      </c>
      <c r="D169">
        <v>0</v>
      </c>
      <c r="E169" t="s">
        <v>2094</v>
      </c>
      <c r="F169">
        <v>94768</v>
      </c>
      <c r="G169">
        <v>82469189.5</v>
      </c>
      <c r="H169">
        <v>0.95777777830759681</v>
      </c>
      <c r="I169">
        <v>0.95222222222222219</v>
      </c>
      <c r="J169">
        <v>14388816</v>
      </c>
      <c r="K169">
        <v>153004</v>
      </c>
      <c r="L169">
        <v>2</v>
      </c>
      <c r="M169">
        <v>258</v>
      </c>
      <c r="N169">
        <v>0.95444444444444443</v>
      </c>
      <c r="O169">
        <v>15637696.666666666</v>
      </c>
      <c r="P169">
        <v>154115</v>
      </c>
      <c r="Q169">
        <v>2</v>
      </c>
      <c r="R169">
        <v>259</v>
      </c>
      <c r="S169" t="s">
        <v>3100</v>
      </c>
    </row>
    <row r="170" spans="1:19" x14ac:dyDescent="0.25">
      <c r="A170" t="s">
        <v>1979</v>
      </c>
      <c r="B170">
        <v>3</v>
      </c>
      <c r="C170">
        <v>3</v>
      </c>
      <c r="D170">
        <v>0</v>
      </c>
      <c r="E170" t="s">
        <v>2094</v>
      </c>
      <c r="F170">
        <v>106592</v>
      </c>
      <c r="G170">
        <v>335717633.16666669</v>
      </c>
      <c r="H170">
        <v>0.97296296556790673</v>
      </c>
      <c r="I170">
        <v>0.95407407407407407</v>
      </c>
      <c r="J170">
        <v>27110299</v>
      </c>
      <c r="K170">
        <v>189305</v>
      </c>
      <c r="L170">
        <v>2</v>
      </c>
      <c r="M170">
        <v>289</v>
      </c>
      <c r="N170">
        <v>0.9588888888888889</v>
      </c>
      <c r="O170">
        <v>28612854.5</v>
      </c>
      <c r="P170">
        <v>190540</v>
      </c>
      <c r="Q170">
        <v>2</v>
      </c>
      <c r="R170">
        <v>290</v>
      </c>
      <c r="S170" t="s">
        <v>3101</v>
      </c>
    </row>
    <row r="171" spans="1:19" x14ac:dyDescent="0.25">
      <c r="A171" t="s">
        <v>1979</v>
      </c>
      <c r="B171">
        <v>3</v>
      </c>
      <c r="C171">
        <v>2</v>
      </c>
      <c r="D171">
        <v>0</v>
      </c>
      <c r="E171" t="s">
        <v>2096</v>
      </c>
      <c r="F171">
        <v>95986</v>
      </c>
      <c r="G171">
        <v>312724984</v>
      </c>
      <c r="H171">
        <v>0.97301587462425232</v>
      </c>
      <c r="I171">
        <v>0.96047619047619048</v>
      </c>
      <c r="J171">
        <v>30938223.714285713</v>
      </c>
      <c r="K171">
        <v>155230</v>
      </c>
      <c r="L171">
        <v>2</v>
      </c>
      <c r="M171">
        <v>260</v>
      </c>
      <c r="N171">
        <v>0.96174603174603179</v>
      </c>
      <c r="O171">
        <v>30470593.642857142</v>
      </c>
      <c r="P171">
        <v>156349</v>
      </c>
      <c r="Q171">
        <v>2</v>
      </c>
      <c r="R171">
        <v>261</v>
      </c>
      <c r="S171" t="s">
        <v>3102</v>
      </c>
    </row>
    <row r="172" spans="1:19" x14ac:dyDescent="0.25">
      <c r="A172" t="s">
        <v>1979</v>
      </c>
      <c r="B172">
        <v>3</v>
      </c>
      <c r="C172">
        <v>3</v>
      </c>
      <c r="D172">
        <v>0</v>
      </c>
      <c r="E172" t="s">
        <v>2096</v>
      </c>
      <c r="F172">
        <v>107962</v>
      </c>
      <c r="G172">
        <v>324190974.5</v>
      </c>
      <c r="H172">
        <v>0.97259260217348731</v>
      </c>
      <c r="I172">
        <v>0.96148148148148149</v>
      </c>
      <c r="J172">
        <v>28161173.833333332</v>
      </c>
      <c r="K172">
        <v>191779</v>
      </c>
      <c r="L172">
        <v>2</v>
      </c>
      <c r="M172">
        <v>291</v>
      </c>
      <c r="N172">
        <v>0.96518518518518515</v>
      </c>
      <c r="O172">
        <v>27445310.833333332</v>
      </c>
      <c r="P172">
        <v>193022</v>
      </c>
      <c r="Q172">
        <v>2</v>
      </c>
      <c r="R172">
        <v>292</v>
      </c>
      <c r="S172" t="s">
        <v>3103</v>
      </c>
    </row>
    <row r="173" spans="1:19" x14ac:dyDescent="0.25">
      <c r="A173" t="s">
        <v>1979</v>
      </c>
      <c r="B173">
        <v>3</v>
      </c>
      <c r="C173">
        <v>2</v>
      </c>
      <c r="D173">
        <v>0</v>
      </c>
      <c r="E173" t="s">
        <v>2098</v>
      </c>
      <c r="F173">
        <v>97204</v>
      </c>
      <c r="G173">
        <v>328960659.71428573</v>
      </c>
      <c r="H173">
        <v>0.970476188829967</v>
      </c>
      <c r="I173">
        <v>0.96015873015873021</v>
      </c>
      <c r="J173">
        <v>30697712.357142858</v>
      </c>
      <c r="K173">
        <v>157472</v>
      </c>
      <c r="L173">
        <v>2</v>
      </c>
      <c r="M173">
        <v>262</v>
      </c>
      <c r="N173">
        <v>0.95904761904761904</v>
      </c>
      <c r="O173">
        <v>30878630.214285713</v>
      </c>
      <c r="P173">
        <v>158599</v>
      </c>
      <c r="Q173">
        <v>2</v>
      </c>
      <c r="R173">
        <v>263</v>
      </c>
      <c r="S173" t="s">
        <v>3104</v>
      </c>
    </row>
    <row r="174" spans="1:19" x14ac:dyDescent="0.25">
      <c r="A174" t="s">
        <v>1979</v>
      </c>
      <c r="B174">
        <v>3</v>
      </c>
      <c r="C174">
        <v>3</v>
      </c>
      <c r="D174">
        <v>0</v>
      </c>
      <c r="E174" t="s">
        <v>2098</v>
      </c>
      <c r="F174">
        <v>109332</v>
      </c>
      <c r="G174">
        <v>343651631</v>
      </c>
      <c r="H174">
        <v>0.97481481234232581</v>
      </c>
      <c r="I174">
        <v>0.96111111111111114</v>
      </c>
      <c r="J174">
        <v>26579538.833333332</v>
      </c>
      <c r="K174">
        <v>193022</v>
      </c>
      <c r="L174">
        <v>2</v>
      </c>
      <c r="M174">
        <v>292</v>
      </c>
      <c r="N174">
        <v>0.96074074074074078</v>
      </c>
      <c r="O174">
        <v>27335691.666666668</v>
      </c>
      <c r="P174">
        <v>194269</v>
      </c>
      <c r="Q174">
        <v>2</v>
      </c>
      <c r="R174">
        <v>293</v>
      </c>
      <c r="S174" t="s">
        <v>3105</v>
      </c>
    </row>
    <row r="175" spans="1:19" x14ac:dyDescent="0.25">
      <c r="A175" t="s">
        <v>1979</v>
      </c>
      <c r="B175">
        <v>3</v>
      </c>
      <c r="C175">
        <v>2</v>
      </c>
      <c r="D175">
        <v>0</v>
      </c>
      <c r="E175" t="s">
        <v>2100</v>
      </c>
      <c r="F175">
        <v>98422</v>
      </c>
      <c r="G175">
        <v>374694642</v>
      </c>
      <c r="H175">
        <v>0.97079364742551533</v>
      </c>
      <c r="I175">
        <v>0.96285714285714286</v>
      </c>
      <c r="J175">
        <v>30484834.571428571</v>
      </c>
      <c r="K175">
        <v>159730</v>
      </c>
      <c r="L175">
        <v>2</v>
      </c>
      <c r="M175">
        <v>264</v>
      </c>
      <c r="N175">
        <v>0.96047619047619048</v>
      </c>
      <c r="O175">
        <v>31706480.285714287</v>
      </c>
      <c r="P175">
        <v>160865</v>
      </c>
      <c r="Q175">
        <v>2</v>
      </c>
      <c r="R175">
        <v>265</v>
      </c>
      <c r="S175" t="s">
        <v>3106</v>
      </c>
    </row>
    <row r="176" spans="1:19" x14ac:dyDescent="0.25">
      <c r="A176" t="s">
        <v>1979</v>
      </c>
      <c r="B176">
        <v>3</v>
      </c>
      <c r="C176">
        <v>3</v>
      </c>
      <c r="D176">
        <v>0</v>
      </c>
      <c r="E176" t="s">
        <v>2100</v>
      </c>
      <c r="F176">
        <v>110702</v>
      </c>
      <c r="G176">
        <v>360539576.16666669</v>
      </c>
      <c r="H176">
        <v>0.96481482187906897</v>
      </c>
      <c r="I176">
        <v>0.95851851851851855</v>
      </c>
      <c r="J176">
        <v>27386183</v>
      </c>
      <c r="K176">
        <v>195520</v>
      </c>
      <c r="L176">
        <v>2</v>
      </c>
      <c r="M176">
        <v>294</v>
      </c>
      <c r="N176">
        <v>0.9622222222222222</v>
      </c>
      <c r="O176">
        <v>28509727</v>
      </c>
      <c r="P176">
        <v>196775</v>
      </c>
      <c r="Q176">
        <v>2</v>
      </c>
      <c r="R176">
        <v>295</v>
      </c>
      <c r="S176" t="s">
        <v>3107</v>
      </c>
    </row>
    <row r="177" spans="1:19" x14ac:dyDescent="0.25">
      <c r="A177" t="s">
        <v>1979</v>
      </c>
      <c r="B177">
        <v>3</v>
      </c>
      <c r="C177">
        <v>2</v>
      </c>
      <c r="D177">
        <v>0</v>
      </c>
      <c r="E177" t="s">
        <v>2102</v>
      </c>
      <c r="F177">
        <v>99640</v>
      </c>
      <c r="G177">
        <v>316038384.78571427</v>
      </c>
      <c r="H177">
        <v>0.97476191180092953</v>
      </c>
      <c r="I177">
        <v>0.95841269841269838</v>
      </c>
      <c r="J177">
        <v>31125509.357142858</v>
      </c>
      <c r="K177">
        <v>160865</v>
      </c>
      <c r="L177">
        <v>2</v>
      </c>
      <c r="M177">
        <v>265</v>
      </c>
      <c r="N177">
        <v>0.95920634920634917</v>
      </c>
      <c r="O177">
        <v>30860344.785714287</v>
      </c>
      <c r="P177">
        <v>162004</v>
      </c>
      <c r="Q177">
        <v>2</v>
      </c>
      <c r="R177">
        <v>266</v>
      </c>
      <c r="S177" t="s">
        <v>3108</v>
      </c>
    </row>
    <row r="178" spans="1:19" x14ac:dyDescent="0.25">
      <c r="A178" t="s">
        <v>1979</v>
      </c>
      <c r="B178">
        <v>3</v>
      </c>
      <c r="C178">
        <v>3</v>
      </c>
      <c r="D178">
        <v>0</v>
      </c>
      <c r="E178" t="s">
        <v>2102</v>
      </c>
      <c r="F178">
        <v>112072</v>
      </c>
      <c r="G178">
        <v>390284546.33333331</v>
      </c>
      <c r="H178">
        <v>0.97148148218790686</v>
      </c>
      <c r="I178">
        <v>0.95703703703703702</v>
      </c>
      <c r="J178">
        <v>26767785.666666668</v>
      </c>
      <c r="K178">
        <v>198034</v>
      </c>
      <c r="L178">
        <v>2</v>
      </c>
      <c r="M178">
        <v>296</v>
      </c>
      <c r="N178">
        <v>0.95777777777777784</v>
      </c>
      <c r="O178">
        <v>27922400.166666668</v>
      </c>
      <c r="P178">
        <v>199297</v>
      </c>
      <c r="Q178">
        <v>2</v>
      </c>
      <c r="R178">
        <v>297</v>
      </c>
      <c r="S178" t="s">
        <v>3109</v>
      </c>
    </row>
    <row r="179" spans="1:19" x14ac:dyDescent="0.25">
      <c r="A179" t="s">
        <v>1979</v>
      </c>
      <c r="B179">
        <v>3</v>
      </c>
      <c r="C179">
        <v>2</v>
      </c>
      <c r="D179">
        <v>0</v>
      </c>
      <c r="E179" t="s">
        <v>2104</v>
      </c>
      <c r="F179">
        <v>100858</v>
      </c>
      <c r="G179">
        <v>349239483.21428573</v>
      </c>
      <c r="H179">
        <v>0.97492063471249168</v>
      </c>
      <c r="I179">
        <v>0.96</v>
      </c>
      <c r="J179">
        <v>31046439.071428571</v>
      </c>
      <c r="K179">
        <v>163147</v>
      </c>
      <c r="L179">
        <v>2</v>
      </c>
      <c r="M179">
        <v>267</v>
      </c>
      <c r="N179">
        <v>0.96063492063492062</v>
      </c>
      <c r="O179">
        <v>30396324.285714287</v>
      </c>
      <c r="P179">
        <v>164294</v>
      </c>
      <c r="Q179">
        <v>2</v>
      </c>
      <c r="R179">
        <v>268</v>
      </c>
      <c r="S179" t="s">
        <v>3110</v>
      </c>
    </row>
    <row r="180" spans="1:19" x14ac:dyDescent="0.25">
      <c r="A180" t="s">
        <v>1979</v>
      </c>
      <c r="B180">
        <v>3</v>
      </c>
      <c r="C180">
        <v>3</v>
      </c>
      <c r="D180">
        <v>0</v>
      </c>
      <c r="E180" t="s">
        <v>2104</v>
      </c>
      <c r="F180">
        <v>113442</v>
      </c>
      <c r="G180">
        <v>412405847.5</v>
      </c>
      <c r="H180">
        <v>0.97111110885938012</v>
      </c>
      <c r="I180">
        <v>0.96666666666666667</v>
      </c>
      <c r="J180">
        <v>27311811.5</v>
      </c>
      <c r="K180">
        <v>200564</v>
      </c>
      <c r="L180">
        <v>2</v>
      </c>
      <c r="M180">
        <v>298</v>
      </c>
      <c r="N180">
        <v>0.96481481481481479</v>
      </c>
      <c r="O180">
        <v>28502852.833333332</v>
      </c>
      <c r="P180">
        <v>201835</v>
      </c>
      <c r="Q180">
        <v>2</v>
      </c>
      <c r="R180">
        <v>299</v>
      </c>
      <c r="S180" t="s">
        <v>3111</v>
      </c>
    </row>
    <row r="181" spans="1:19" x14ac:dyDescent="0.25">
      <c r="A181" t="s">
        <v>1979</v>
      </c>
      <c r="B181">
        <v>3</v>
      </c>
      <c r="C181">
        <v>2</v>
      </c>
      <c r="D181">
        <v>0</v>
      </c>
      <c r="E181" t="s">
        <v>2106</v>
      </c>
      <c r="F181">
        <v>102076</v>
      </c>
      <c r="G181">
        <v>341933111.78571427</v>
      </c>
      <c r="H181">
        <v>0.9682539616312299</v>
      </c>
      <c r="I181">
        <v>0.95857142857142863</v>
      </c>
      <c r="J181">
        <v>31158786.928571429</v>
      </c>
      <c r="K181">
        <v>165445</v>
      </c>
      <c r="L181">
        <v>2</v>
      </c>
      <c r="M181">
        <v>269</v>
      </c>
      <c r="N181">
        <v>0.95761904761904759</v>
      </c>
      <c r="O181">
        <v>30704995.785714287</v>
      </c>
      <c r="P181">
        <v>166600</v>
      </c>
      <c r="Q181">
        <v>2</v>
      </c>
      <c r="R181">
        <v>270</v>
      </c>
      <c r="S181" t="s">
        <v>3112</v>
      </c>
    </row>
    <row r="182" spans="1:19" x14ac:dyDescent="0.25">
      <c r="A182" t="s">
        <v>1979</v>
      </c>
      <c r="B182">
        <v>3</v>
      </c>
      <c r="C182">
        <v>3</v>
      </c>
      <c r="D182">
        <v>0</v>
      </c>
      <c r="E182" t="s">
        <v>2106</v>
      </c>
      <c r="F182">
        <v>114812</v>
      </c>
      <c r="G182">
        <v>372770605.5</v>
      </c>
      <c r="H182">
        <v>0.97740740577379859</v>
      </c>
      <c r="I182">
        <v>0.96481481481481479</v>
      </c>
      <c r="J182">
        <v>27836555.5</v>
      </c>
      <c r="K182">
        <v>203110</v>
      </c>
      <c r="L182">
        <v>2</v>
      </c>
      <c r="M182">
        <v>300</v>
      </c>
      <c r="N182">
        <v>0.97259259259259256</v>
      </c>
      <c r="O182">
        <v>28368489.166666668</v>
      </c>
      <c r="P182">
        <v>204389</v>
      </c>
      <c r="Q182">
        <v>2</v>
      </c>
      <c r="R182">
        <v>301</v>
      </c>
      <c r="S182" t="s">
        <v>3113</v>
      </c>
    </row>
    <row r="183" spans="1:19" x14ac:dyDescent="0.25">
      <c r="A183" t="s">
        <v>1979</v>
      </c>
      <c r="B183">
        <v>3</v>
      </c>
      <c r="C183">
        <v>2</v>
      </c>
      <c r="D183">
        <v>0</v>
      </c>
      <c r="E183" t="s">
        <v>2108</v>
      </c>
      <c r="F183">
        <v>103294</v>
      </c>
      <c r="G183">
        <v>316479189.5</v>
      </c>
      <c r="H183">
        <v>0.97333333747727535</v>
      </c>
      <c r="I183">
        <v>0.9601587301587301</v>
      </c>
      <c r="J183">
        <v>31304252.928571429</v>
      </c>
      <c r="K183">
        <v>166600</v>
      </c>
      <c r="L183">
        <v>2</v>
      </c>
      <c r="M183">
        <v>270</v>
      </c>
      <c r="N183">
        <v>0.95666666666666667</v>
      </c>
      <c r="O183">
        <v>31783032.285714287</v>
      </c>
      <c r="P183">
        <v>167759</v>
      </c>
      <c r="Q183">
        <v>2</v>
      </c>
      <c r="R183">
        <v>271</v>
      </c>
      <c r="S183" t="s">
        <v>3114</v>
      </c>
    </row>
    <row r="184" spans="1:19" x14ac:dyDescent="0.25">
      <c r="A184" t="s">
        <v>1979</v>
      </c>
      <c r="B184">
        <v>3</v>
      </c>
      <c r="C184">
        <v>3</v>
      </c>
      <c r="D184">
        <v>0</v>
      </c>
      <c r="E184" t="s">
        <v>2108</v>
      </c>
      <c r="F184">
        <v>116182</v>
      </c>
      <c r="G184">
        <v>434966868.5</v>
      </c>
      <c r="H184">
        <v>0.97999999920527137</v>
      </c>
      <c r="I184">
        <v>0.96777777777777785</v>
      </c>
      <c r="J184">
        <v>29018191.333333332</v>
      </c>
      <c r="K184">
        <v>205672</v>
      </c>
      <c r="L184">
        <v>2</v>
      </c>
      <c r="M184">
        <v>302</v>
      </c>
      <c r="N184">
        <v>0.96777777777777785</v>
      </c>
      <c r="O184">
        <v>29519729.833333332</v>
      </c>
      <c r="P184">
        <v>206959</v>
      </c>
      <c r="Q184">
        <v>2</v>
      </c>
      <c r="R184">
        <v>303</v>
      </c>
      <c r="S184" t="s">
        <v>3115</v>
      </c>
    </row>
    <row r="185" spans="1:19" x14ac:dyDescent="0.25">
      <c r="A185" t="s">
        <v>1979</v>
      </c>
      <c r="B185">
        <v>3</v>
      </c>
      <c r="C185">
        <v>2</v>
      </c>
      <c r="D185">
        <v>0</v>
      </c>
      <c r="E185" t="s">
        <v>2110</v>
      </c>
      <c r="F185">
        <v>104512</v>
      </c>
      <c r="G185">
        <v>350276724.78571427</v>
      </c>
      <c r="H185">
        <v>0.96904761450631283</v>
      </c>
      <c r="I185">
        <v>0.96047619047619048</v>
      </c>
      <c r="J185">
        <v>31971767.928571429</v>
      </c>
      <c r="K185">
        <v>168922</v>
      </c>
      <c r="L185">
        <v>2</v>
      </c>
      <c r="M185">
        <v>272</v>
      </c>
      <c r="N185">
        <v>0.95920634920634917</v>
      </c>
      <c r="O185">
        <v>31734267.214285713</v>
      </c>
      <c r="P185">
        <v>170089</v>
      </c>
      <c r="Q185">
        <v>2</v>
      </c>
      <c r="R185">
        <v>273</v>
      </c>
      <c r="S185" t="s">
        <v>3116</v>
      </c>
    </row>
    <row r="186" spans="1:19" x14ac:dyDescent="0.25">
      <c r="A186" t="s">
        <v>1979</v>
      </c>
      <c r="B186">
        <v>3</v>
      </c>
      <c r="C186">
        <v>3</v>
      </c>
      <c r="D186">
        <v>0</v>
      </c>
      <c r="E186" t="s">
        <v>2110</v>
      </c>
      <c r="F186">
        <v>117552</v>
      </c>
      <c r="G186">
        <v>381863201.66666669</v>
      </c>
      <c r="H186">
        <v>0.97962961594263709</v>
      </c>
      <c r="I186">
        <v>0.96666666666666667</v>
      </c>
      <c r="J186">
        <v>28060552.333333332</v>
      </c>
      <c r="K186">
        <v>208250</v>
      </c>
      <c r="L186">
        <v>2</v>
      </c>
      <c r="M186">
        <v>304</v>
      </c>
      <c r="N186">
        <v>0.96481481481481479</v>
      </c>
      <c r="O186">
        <v>28633885</v>
      </c>
      <c r="P186">
        <v>209545</v>
      </c>
      <c r="Q186">
        <v>2</v>
      </c>
      <c r="R186">
        <v>305</v>
      </c>
      <c r="S186" t="s">
        <v>3117</v>
      </c>
    </row>
    <row r="187" spans="1:19" x14ac:dyDescent="0.25">
      <c r="A187" t="s">
        <v>1979</v>
      </c>
      <c r="B187">
        <v>3</v>
      </c>
      <c r="C187">
        <v>2</v>
      </c>
      <c r="D187">
        <v>0</v>
      </c>
      <c r="E187" t="s">
        <v>2112</v>
      </c>
      <c r="F187">
        <v>105730</v>
      </c>
      <c r="G187">
        <v>372085213.71428573</v>
      </c>
      <c r="H187">
        <v>0.97269842028617859</v>
      </c>
      <c r="I187">
        <v>0.96</v>
      </c>
      <c r="J187">
        <v>31321023.357142858</v>
      </c>
      <c r="K187">
        <v>171260</v>
      </c>
      <c r="L187">
        <v>2</v>
      </c>
      <c r="M187">
        <v>274</v>
      </c>
      <c r="N187">
        <v>0.9642857142857143</v>
      </c>
      <c r="O187">
        <v>31562542.642857142</v>
      </c>
      <c r="P187">
        <v>172435</v>
      </c>
      <c r="Q187">
        <v>2</v>
      </c>
      <c r="R187">
        <v>275</v>
      </c>
      <c r="S187" t="s">
        <v>3118</v>
      </c>
    </row>
    <row r="188" spans="1:19" x14ac:dyDescent="0.25">
      <c r="A188" t="s">
        <v>1979</v>
      </c>
      <c r="B188">
        <v>3</v>
      </c>
      <c r="C188">
        <v>3</v>
      </c>
      <c r="D188">
        <v>0</v>
      </c>
      <c r="E188" t="s">
        <v>2112</v>
      </c>
      <c r="F188">
        <v>118922</v>
      </c>
      <c r="G188">
        <v>419035039</v>
      </c>
      <c r="H188">
        <v>0.97148148218790686</v>
      </c>
      <c r="I188">
        <v>0.97555555555555551</v>
      </c>
      <c r="J188">
        <v>29426796.166666668</v>
      </c>
      <c r="K188">
        <v>210844</v>
      </c>
      <c r="L188">
        <v>2</v>
      </c>
      <c r="M188">
        <v>306</v>
      </c>
      <c r="N188">
        <v>0.97074074074074079</v>
      </c>
      <c r="O188">
        <v>29317303</v>
      </c>
      <c r="P188">
        <v>212147</v>
      </c>
      <c r="Q188">
        <v>2</v>
      </c>
      <c r="R188">
        <v>307</v>
      </c>
      <c r="S188" t="s">
        <v>3119</v>
      </c>
    </row>
    <row r="189" spans="1:19" x14ac:dyDescent="0.25">
      <c r="A189" t="s">
        <v>1979</v>
      </c>
      <c r="B189">
        <v>3</v>
      </c>
      <c r="C189">
        <v>2</v>
      </c>
      <c r="D189">
        <v>0</v>
      </c>
      <c r="E189" t="s">
        <v>2114</v>
      </c>
      <c r="F189">
        <v>106948</v>
      </c>
      <c r="G189">
        <v>398357607.28571427</v>
      </c>
      <c r="H189">
        <v>0.96555556144033161</v>
      </c>
      <c r="I189">
        <v>0.96476190476190471</v>
      </c>
      <c r="J189">
        <v>31680240.428571429</v>
      </c>
      <c r="K189">
        <v>173614</v>
      </c>
      <c r="L189">
        <v>2</v>
      </c>
      <c r="M189">
        <v>276</v>
      </c>
      <c r="N189">
        <v>0.96238095238095234</v>
      </c>
      <c r="O189">
        <v>31831765.357142858</v>
      </c>
      <c r="P189">
        <v>174797</v>
      </c>
      <c r="Q189">
        <v>2</v>
      </c>
      <c r="R189">
        <v>277</v>
      </c>
      <c r="S189" t="s">
        <v>3120</v>
      </c>
    </row>
    <row r="190" spans="1:19" x14ac:dyDescent="0.25">
      <c r="A190" t="s">
        <v>1979</v>
      </c>
      <c r="B190">
        <v>3</v>
      </c>
      <c r="C190">
        <v>3</v>
      </c>
      <c r="D190">
        <v>0</v>
      </c>
      <c r="E190" t="s">
        <v>2114</v>
      </c>
      <c r="F190">
        <v>120292</v>
      </c>
      <c r="G190">
        <v>421247575.33333331</v>
      </c>
      <c r="H190">
        <v>0.97444444894790649</v>
      </c>
      <c r="I190">
        <v>0.97037037037037033</v>
      </c>
      <c r="J190">
        <v>29049386.166666668</v>
      </c>
      <c r="K190">
        <v>213454</v>
      </c>
      <c r="L190">
        <v>2</v>
      </c>
      <c r="M190">
        <v>308</v>
      </c>
      <c r="N190">
        <v>0.9681481481481482</v>
      </c>
      <c r="O190">
        <v>29998956.666666668</v>
      </c>
      <c r="P190">
        <v>214765</v>
      </c>
      <c r="Q190">
        <v>2</v>
      </c>
      <c r="R190">
        <v>309</v>
      </c>
      <c r="S190" t="s">
        <v>3121</v>
      </c>
    </row>
    <row r="191" spans="1:19" x14ac:dyDescent="0.25">
      <c r="A191" t="s">
        <v>1979</v>
      </c>
      <c r="B191">
        <v>3</v>
      </c>
      <c r="C191">
        <v>2</v>
      </c>
      <c r="D191">
        <v>0</v>
      </c>
      <c r="E191" t="s">
        <v>2116</v>
      </c>
      <c r="F191">
        <v>108166</v>
      </c>
      <c r="G191">
        <v>371466543.71428573</v>
      </c>
      <c r="H191">
        <v>0.97317460605076378</v>
      </c>
      <c r="I191">
        <v>0.9642857142857143</v>
      </c>
      <c r="J191">
        <v>32299260.642857142</v>
      </c>
      <c r="K191">
        <v>174797</v>
      </c>
      <c r="L191">
        <v>2</v>
      </c>
      <c r="M191">
        <v>277</v>
      </c>
      <c r="N191">
        <v>0.96317460317460313</v>
      </c>
      <c r="O191">
        <v>31503061</v>
      </c>
      <c r="P191">
        <v>175984</v>
      </c>
      <c r="Q191">
        <v>2</v>
      </c>
      <c r="R191">
        <v>278</v>
      </c>
      <c r="S191" t="s">
        <v>3122</v>
      </c>
    </row>
    <row r="192" spans="1:19" x14ac:dyDescent="0.25">
      <c r="A192" t="s">
        <v>1979</v>
      </c>
      <c r="B192">
        <v>3</v>
      </c>
      <c r="C192">
        <v>3</v>
      </c>
      <c r="D192">
        <v>0</v>
      </c>
      <c r="E192" t="s">
        <v>2116</v>
      </c>
      <c r="F192">
        <v>121662</v>
      </c>
      <c r="G192">
        <v>552272145.33333337</v>
      </c>
      <c r="H192">
        <v>0.97666666905085242</v>
      </c>
      <c r="I192">
        <v>0.96962962962962962</v>
      </c>
      <c r="J192">
        <v>30233981.666666668</v>
      </c>
      <c r="K192">
        <v>216080</v>
      </c>
      <c r="L192">
        <v>2</v>
      </c>
      <c r="M192">
        <v>310</v>
      </c>
      <c r="N192">
        <v>0.96925925925925926</v>
      </c>
      <c r="O192">
        <v>29636838</v>
      </c>
      <c r="P192">
        <v>217399</v>
      </c>
      <c r="Q192">
        <v>2</v>
      </c>
      <c r="R192">
        <v>311</v>
      </c>
      <c r="S192" t="s">
        <v>3123</v>
      </c>
    </row>
    <row r="193" spans="1:19" x14ac:dyDescent="0.25">
      <c r="A193" t="s">
        <v>1979</v>
      </c>
      <c r="B193">
        <v>3</v>
      </c>
      <c r="C193">
        <v>2</v>
      </c>
      <c r="D193">
        <v>0</v>
      </c>
      <c r="E193" t="s">
        <v>2118</v>
      </c>
      <c r="F193">
        <v>109384</v>
      </c>
      <c r="G193">
        <v>394555032.9285714</v>
      </c>
      <c r="H193">
        <v>0.97253969311714172</v>
      </c>
      <c r="I193">
        <v>0.96111111111111114</v>
      </c>
      <c r="J193">
        <v>32793348.642857142</v>
      </c>
      <c r="K193">
        <v>177175</v>
      </c>
      <c r="L193">
        <v>2</v>
      </c>
      <c r="M193">
        <v>279</v>
      </c>
      <c r="N193">
        <v>0.96444444444444444</v>
      </c>
      <c r="O193">
        <v>31688981.428571429</v>
      </c>
      <c r="P193">
        <v>178370</v>
      </c>
      <c r="Q193">
        <v>2</v>
      </c>
      <c r="R193">
        <v>280</v>
      </c>
      <c r="S193" t="s">
        <v>3124</v>
      </c>
    </row>
    <row r="194" spans="1:19" x14ac:dyDescent="0.25">
      <c r="A194" t="s">
        <v>1979</v>
      </c>
      <c r="B194">
        <v>3</v>
      </c>
      <c r="C194">
        <v>3</v>
      </c>
      <c r="D194">
        <v>0</v>
      </c>
      <c r="E194" t="s">
        <v>2118</v>
      </c>
      <c r="F194">
        <v>123032</v>
      </c>
      <c r="G194">
        <v>487926266.66666669</v>
      </c>
      <c r="H194">
        <v>0.97703703244527185</v>
      </c>
      <c r="I194">
        <v>0.97037037037037044</v>
      </c>
      <c r="J194">
        <v>30340774.833333332</v>
      </c>
      <c r="K194">
        <v>217399</v>
      </c>
      <c r="L194">
        <v>2</v>
      </c>
      <c r="M194">
        <v>311</v>
      </c>
      <c r="N194">
        <v>0.97</v>
      </c>
      <c r="O194">
        <v>29516118</v>
      </c>
      <c r="P194">
        <v>218722</v>
      </c>
      <c r="Q194">
        <v>2</v>
      </c>
      <c r="R194">
        <v>312</v>
      </c>
      <c r="S194" t="s">
        <v>3125</v>
      </c>
    </row>
    <row r="195" spans="1:19" x14ac:dyDescent="0.25">
      <c r="A195" t="s">
        <v>1979</v>
      </c>
      <c r="B195">
        <v>3</v>
      </c>
      <c r="C195">
        <v>2</v>
      </c>
      <c r="D195">
        <v>0</v>
      </c>
      <c r="E195" t="s">
        <v>2120</v>
      </c>
      <c r="F195">
        <v>110602</v>
      </c>
      <c r="G195">
        <v>368732562.71428573</v>
      </c>
      <c r="H195">
        <v>0.97301587036677772</v>
      </c>
      <c r="I195">
        <v>0.96412698412698417</v>
      </c>
      <c r="J195">
        <v>31632313.142857142</v>
      </c>
      <c r="K195">
        <v>179569</v>
      </c>
      <c r="L195">
        <v>2</v>
      </c>
      <c r="M195">
        <v>281</v>
      </c>
      <c r="N195">
        <v>0.96396825396825392</v>
      </c>
      <c r="O195">
        <v>31365507.285714287</v>
      </c>
      <c r="P195">
        <v>180772</v>
      </c>
      <c r="Q195">
        <v>2</v>
      </c>
      <c r="R195">
        <v>282</v>
      </c>
      <c r="S195" t="s">
        <v>3126</v>
      </c>
    </row>
    <row r="196" spans="1:19" x14ac:dyDescent="0.25">
      <c r="A196" t="s">
        <v>1979</v>
      </c>
      <c r="B196">
        <v>3</v>
      </c>
      <c r="C196">
        <v>3</v>
      </c>
      <c r="D196">
        <v>0</v>
      </c>
      <c r="E196" t="s">
        <v>2120</v>
      </c>
      <c r="F196">
        <v>124402</v>
      </c>
      <c r="G196">
        <v>496918487.5</v>
      </c>
      <c r="H196">
        <v>0.97111111879348755</v>
      </c>
      <c r="I196">
        <v>0.96962962962962962</v>
      </c>
      <c r="J196">
        <v>31770558.666666668</v>
      </c>
      <c r="K196">
        <v>220049</v>
      </c>
      <c r="L196">
        <v>2</v>
      </c>
      <c r="M196">
        <v>313</v>
      </c>
      <c r="N196">
        <v>0.97037037037037044</v>
      </c>
      <c r="O196">
        <v>31849205.833333332</v>
      </c>
      <c r="P196">
        <v>221380</v>
      </c>
      <c r="Q196">
        <v>2</v>
      </c>
      <c r="R196">
        <v>314</v>
      </c>
      <c r="S196" t="s">
        <v>3127</v>
      </c>
    </row>
    <row r="197" spans="1:19" x14ac:dyDescent="0.25">
      <c r="A197" t="s">
        <v>1979</v>
      </c>
      <c r="B197">
        <v>3</v>
      </c>
      <c r="C197">
        <v>2</v>
      </c>
      <c r="D197">
        <v>0</v>
      </c>
      <c r="E197" t="s">
        <v>2122</v>
      </c>
      <c r="F197">
        <v>111820</v>
      </c>
      <c r="G197">
        <v>424649662.14285713</v>
      </c>
      <c r="H197">
        <v>0.9660317557198661</v>
      </c>
      <c r="I197">
        <v>0.96285714285714286</v>
      </c>
      <c r="J197">
        <v>32746873.785714287</v>
      </c>
      <c r="K197">
        <v>180772</v>
      </c>
      <c r="L197">
        <v>2</v>
      </c>
      <c r="M197">
        <v>282</v>
      </c>
      <c r="N197">
        <v>0.9642857142857143</v>
      </c>
      <c r="O197">
        <v>32592796.5</v>
      </c>
      <c r="P197">
        <v>181979</v>
      </c>
      <c r="Q197">
        <v>2</v>
      </c>
      <c r="R197">
        <v>283</v>
      </c>
      <c r="S197" t="s">
        <v>3128</v>
      </c>
    </row>
    <row r="198" spans="1:19" x14ac:dyDescent="0.25">
      <c r="A198" t="s">
        <v>1979</v>
      </c>
      <c r="B198">
        <v>3</v>
      </c>
      <c r="C198">
        <v>3</v>
      </c>
      <c r="D198">
        <v>0</v>
      </c>
      <c r="E198" t="s">
        <v>2122</v>
      </c>
      <c r="F198">
        <v>125772</v>
      </c>
      <c r="G198">
        <v>571449888.83333337</v>
      </c>
      <c r="H198">
        <v>0.97518519560496009</v>
      </c>
      <c r="I198">
        <v>0.96296296296296291</v>
      </c>
      <c r="J198">
        <v>30630208</v>
      </c>
      <c r="K198">
        <v>222715</v>
      </c>
      <c r="L198">
        <v>2</v>
      </c>
      <c r="M198">
        <v>315</v>
      </c>
      <c r="N198">
        <v>0.97444444444444445</v>
      </c>
      <c r="O198">
        <v>29554954</v>
      </c>
      <c r="P198">
        <v>224054</v>
      </c>
      <c r="Q198">
        <v>2</v>
      </c>
      <c r="R198">
        <v>316</v>
      </c>
      <c r="S198" t="s">
        <v>3129</v>
      </c>
    </row>
    <row r="199" spans="1:19" x14ac:dyDescent="0.25">
      <c r="A199" t="s">
        <v>1979</v>
      </c>
      <c r="B199">
        <v>3</v>
      </c>
      <c r="C199">
        <v>2</v>
      </c>
      <c r="D199">
        <v>0</v>
      </c>
      <c r="E199" t="s">
        <v>2124</v>
      </c>
      <c r="F199">
        <v>72844</v>
      </c>
      <c r="G199">
        <v>393657520</v>
      </c>
      <c r="H199">
        <v>0.97476190754345482</v>
      </c>
      <c r="I199">
        <v>0.96126984126984127</v>
      </c>
      <c r="J199">
        <v>32401283.071428571</v>
      </c>
      <c r="K199">
        <v>117610</v>
      </c>
      <c r="L199">
        <v>2</v>
      </c>
      <c r="M199">
        <v>224</v>
      </c>
      <c r="N199">
        <v>0.96206349206349207</v>
      </c>
      <c r="O199">
        <v>31928469.214285713</v>
      </c>
      <c r="P199">
        <v>118585</v>
      </c>
      <c r="Q199">
        <v>2</v>
      </c>
      <c r="R199">
        <v>225</v>
      </c>
      <c r="S199" t="s">
        <v>3130</v>
      </c>
    </row>
    <row r="200" spans="1:19" x14ac:dyDescent="0.25">
      <c r="A200" t="s">
        <v>1979</v>
      </c>
      <c r="B200">
        <v>3</v>
      </c>
      <c r="C200">
        <v>3</v>
      </c>
      <c r="D200">
        <v>0</v>
      </c>
      <c r="E200" t="s">
        <v>2124</v>
      </c>
      <c r="F200">
        <v>81932</v>
      </c>
      <c r="G200">
        <v>258797062.66666666</v>
      </c>
      <c r="H200">
        <v>0.97222221891085303</v>
      </c>
      <c r="I200">
        <v>0.95407407407407407</v>
      </c>
      <c r="J200">
        <v>23832055.666666668</v>
      </c>
      <c r="K200">
        <v>145339</v>
      </c>
      <c r="L200">
        <v>2</v>
      </c>
      <c r="M200">
        <v>251</v>
      </c>
      <c r="N200">
        <v>0.96074074074074067</v>
      </c>
      <c r="O200">
        <v>23866754.5</v>
      </c>
      <c r="P200">
        <v>146422</v>
      </c>
      <c r="Q200">
        <v>2</v>
      </c>
      <c r="R200">
        <v>252</v>
      </c>
      <c r="S200" t="s">
        <v>3131</v>
      </c>
    </row>
    <row r="201" spans="1:19" x14ac:dyDescent="0.25">
      <c r="A201" t="s">
        <v>1979</v>
      </c>
      <c r="B201">
        <v>3</v>
      </c>
      <c r="C201">
        <v>4</v>
      </c>
      <c r="D201">
        <v>0</v>
      </c>
      <c r="E201" t="s">
        <v>2124</v>
      </c>
      <c r="F201">
        <v>91020</v>
      </c>
      <c r="G201">
        <v>250472950.1111111</v>
      </c>
      <c r="H201">
        <v>0.97209876113467741</v>
      </c>
      <c r="I201">
        <v>0.96246913580246907</v>
      </c>
      <c r="J201">
        <v>26797991.777777776</v>
      </c>
      <c r="K201">
        <v>172435</v>
      </c>
      <c r="L201">
        <v>2</v>
      </c>
      <c r="M201">
        <v>275</v>
      </c>
      <c r="N201">
        <v>0.96395061728395059</v>
      </c>
      <c r="O201">
        <v>27301314.777777776</v>
      </c>
      <c r="P201">
        <v>173614</v>
      </c>
      <c r="Q201">
        <v>2</v>
      </c>
      <c r="R201">
        <v>276</v>
      </c>
      <c r="S201" t="s">
        <v>3132</v>
      </c>
    </row>
    <row r="202" spans="1:19" x14ac:dyDescent="0.25">
      <c r="A202" t="s">
        <v>1979</v>
      </c>
      <c r="B202">
        <v>3</v>
      </c>
      <c r="C202">
        <v>2</v>
      </c>
      <c r="D202">
        <v>0</v>
      </c>
      <c r="E202" t="s">
        <v>2126</v>
      </c>
      <c r="F202">
        <v>74062</v>
      </c>
      <c r="G202">
        <v>282849301.83333331</v>
      </c>
      <c r="H202">
        <v>0.96111110846201575</v>
      </c>
      <c r="I202">
        <v>0.96259259259259256</v>
      </c>
      <c r="J202">
        <v>26824317.166666668</v>
      </c>
      <c r="K202">
        <v>119564</v>
      </c>
      <c r="L202">
        <v>2</v>
      </c>
      <c r="M202">
        <v>226</v>
      </c>
      <c r="N202">
        <v>0.9588888888888889</v>
      </c>
      <c r="O202">
        <v>25004194.833333332</v>
      </c>
      <c r="P202">
        <v>120547</v>
      </c>
      <c r="Q202">
        <v>2</v>
      </c>
      <c r="R202">
        <v>227</v>
      </c>
      <c r="S202" t="s">
        <v>3133</v>
      </c>
    </row>
    <row r="203" spans="1:19" x14ac:dyDescent="0.25">
      <c r="A203" t="s">
        <v>1979</v>
      </c>
      <c r="B203">
        <v>3</v>
      </c>
      <c r="C203">
        <v>3</v>
      </c>
      <c r="D203">
        <v>0</v>
      </c>
      <c r="E203" t="s">
        <v>2126</v>
      </c>
      <c r="F203">
        <v>83302</v>
      </c>
      <c r="G203">
        <v>282734179.16666669</v>
      </c>
      <c r="H203">
        <v>0.96555554866790771</v>
      </c>
      <c r="I203">
        <v>0.9655555555555555</v>
      </c>
      <c r="J203">
        <v>24974446.166666668</v>
      </c>
      <c r="K203">
        <v>147509</v>
      </c>
      <c r="L203">
        <v>2</v>
      </c>
      <c r="M203">
        <v>253</v>
      </c>
      <c r="N203">
        <v>0.95444444444444443</v>
      </c>
      <c r="O203">
        <v>24440597.666666668</v>
      </c>
      <c r="P203">
        <v>148600</v>
      </c>
      <c r="Q203">
        <v>2</v>
      </c>
      <c r="R203">
        <v>254</v>
      </c>
      <c r="S203" t="s">
        <v>3134</v>
      </c>
    </row>
    <row r="204" spans="1:19" x14ac:dyDescent="0.25">
      <c r="A204" t="s">
        <v>1979</v>
      </c>
      <c r="B204">
        <v>3</v>
      </c>
      <c r="C204">
        <v>4</v>
      </c>
      <c r="D204">
        <v>0</v>
      </c>
      <c r="E204" t="s">
        <v>2126</v>
      </c>
      <c r="F204">
        <v>92542</v>
      </c>
      <c r="G204">
        <v>264188176.66666666</v>
      </c>
      <c r="H204">
        <v>0.96913579437467789</v>
      </c>
      <c r="I204">
        <v>0.9622222222222222</v>
      </c>
      <c r="J204">
        <v>27355368.111111112</v>
      </c>
      <c r="K204">
        <v>174797</v>
      </c>
      <c r="L204">
        <v>2</v>
      </c>
      <c r="M204">
        <v>277</v>
      </c>
      <c r="N204">
        <v>0.96419753086419757</v>
      </c>
      <c r="O204">
        <v>27427568.222222224</v>
      </c>
      <c r="P204">
        <v>175984</v>
      </c>
      <c r="Q204">
        <v>2</v>
      </c>
      <c r="R204">
        <v>278</v>
      </c>
      <c r="S204" t="s">
        <v>3135</v>
      </c>
    </row>
    <row r="205" spans="1:19" x14ac:dyDescent="0.25">
      <c r="A205" t="s">
        <v>1979</v>
      </c>
      <c r="B205">
        <v>3</v>
      </c>
      <c r="C205">
        <v>2</v>
      </c>
      <c r="D205">
        <v>0</v>
      </c>
      <c r="E205" t="s">
        <v>2128</v>
      </c>
      <c r="F205">
        <v>75280</v>
      </c>
      <c r="G205">
        <v>315664775.16666669</v>
      </c>
      <c r="H205">
        <v>0.95629628499348962</v>
      </c>
      <c r="I205">
        <v>0.96111111111111114</v>
      </c>
      <c r="J205">
        <v>27976555.833333332</v>
      </c>
      <c r="K205">
        <v>121534</v>
      </c>
      <c r="L205">
        <v>2</v>
      </c>
      <c r="M205">
        <v>228</v>
      </c>
      <c r="N205">
        <v>0.9622222222222222</v>
      </c>
      <c r="O205">
        <v>27490215.166666668</v>
      </c>
      <c r="P205">
        <v>122525</v>
      </c>
      <c r="Q205">
        <v>2</v>
      </c>
      <c r="R205">
        <v>229</v>
      </c>
      <c r="S205" t="s">
        <v>3136</v>
      </c>
    </row>
    <row r="206" spans="1:19" x14ac:dyDescent="0.25">
      <c r="A206" t="s">
        <v>1979</v>
      </c>
      <c r="B206">
        <v>3</v>
      </c>
      <c r="C206">
        <v>3</v>
      </c>
      <c r="D206">
        <v>0</v>
      </c>
      <c r="E206" t="s">
        <v>2128</v>
      </c>
      <c r="F206">
        <v>84672</v>
      </c>
      <c r="G206">
        <v>266548815.66666666</v>
      </c>
      <c r="H206">
        <v>0.97111110885938012</v>
      </c>
      <c r="I206">
        <v>0.96037037037037032</v>
      </c>
      <c r="J206">
        <v>23933167</v>
      </c>
      <c r="K206">
        <v>149695</v>
      </c>
      <c r="L206">
        <v>2</v>
      </c>
      <c r="M206">
        <v>255</v>
      </c>
      <c r="N206">
        <v>0.95481481481481478</v>
      </c>
      <c r="O206">
        <v>24787588.833333332</v>
      </c>
      <c r="P206">
        <v>150794</v>
      </c>
      <c r="Q206">
        <v>2</v>
      </c>
      <c r="R206">
        <v>256</v>
      </c>
      <c r="S206" t="s">
        <v>3137</v>
      </c>
    </row>
    <row r="207" spans="1:19" x14ac:dyDescent="0.25">
      <c r="A207" t="s">
        <v>1979</v>
      </c>
      <c r="B207">
        <v>3</v>
      </c>
      <c r="C207">
        <v>4</v>
      </c>
      <c r="D207">
        <v>0</v>
      </c>
      <c r="E207" t="s">
        <v>2128</v>
      </c>
      <c r="F207">
        <v>94064</v>
      </c>
      <c r="G207">
        <v>236880185.77777779</v>
      </c>
      <c r="H207">
        <v>0.9679012364811368</v>
      </c>
      <c r="I207">
        <v>0.96567901234567899</v>
      </c>
      <c r="J207">
        <v>27553706.888888888</v>
      </c>
      <c r="K207">
        <v>178370</v>
      </c>
      <c r="L207">
        <v>2</v>
      </c>
      <c r="M207">
        <v>280</v>
      </c>
      <c r="N207">
        <v>0.96493827160493828</v>
      </c>
      <c r="O207">
        <v>26267770.777777776</v>
      </c>
      <c r="P207">
        <v>179569</v>
      </c>
      <c r="Q207">
        <v>2</v>
      </c>
      <c r="R207">
        <v>281</v>
      </c>
      <c r="S207" t="s">
        <v>3138</v>
      </c>
    </row>
    <row r="208" spans="1:19" x14ac:dyDescent="0.25">
      <c r="A208" t="s">
        <v>1979</v>
      </c>
      <c r="B208">
        <v>3</v>
      </c>
      <c r="C208">
        <v>2</v>
      </c>
      <c r="D208">
        <v>0</v>
      </c>
      <c r="E208" t="s">
        <v>2130</v>
      </c>
      <c r="F208">
        <v>76498</v>
      </c>
      <c r="G208">
        <v>274565885</v>
      </c>
      <c r="H208">
        <v>0.95851853489875793</v>
      </c>
      <c r="I208">
        <v>0.96592592592592597</v>
      </c>
      <c r="J208">
        <v>26777595.333333332</v>
      </c>
      <c r="K208">
        <v>123520</v>
      </c>
      <c r="L208">
        <v>2</v>
      </c>
      <c r="M208">
        <v>230</v>
      </c>
      <c r="N208">
        <v>0.96074074074074078</v>
      </c>
      <c r="O208">
        <v>24505659.5</v>
      </c>
      <c r="P208">
        <v>124519</v>
      </c>
      <c r="Q208">
        <v>2</v>
      </c>
      <c r="R208">
        <v>231</v>
      </c>
      <c r="S208" t="s">
        <v>3139</v>
      </c>
    </row>
    <row r="209" spans="1:19" x14ac:dyDescent="0.25">
      <c r="A209" t="s">
        <v>1979</v>
      </c>
      <c r="B209">
        <v>3</v>
      </c>
      <c r="C209">
        <v>3</v>
      </c>
      <c r="D209">
        <v>0</v>
      </c>
      <c r="E209" t="s">
        <v>2130</v>
      </c>
      <c r="F209">
        <v>86042</v>
      </c>
      <c r="G209">
        <v>287541184.33333331</v>
      </c>
      <c r="H209">
        <v>0.97296296556790673</v>
      </c>
      <c r="I209">
        <v>0.95481481481481478</v>
      </c>
      <c r="J209">
        <v>24640113.333333332</v>
      </c>
      <c r="K209">
        <v>151897</v>
      </c>
      <c r="L209">
        <v>2</v>
      </c>
      <c r="M209">
        <v>257</v>
      </c>
      <c r="N209">
        <v>0.96074074074074067</v>
      </c>
      <c r="O209">
        <v>23504320.166666668</v>
      </c>
      <c r="P209">
        <v>153004</v>
      </c>
      <c r="Q209">
        <v>2</v>
      </c>
      <c r="R209">
        <v>258</v>
      </c>
      <c r="S209" t="s">
        <v>3140</v>
      </c>
    </row>
    <row r="210" spans="1:19" x14ac:dyDescent="0.25">
      <c r="A210" t="s">
        <v>1979</v>
      </c>
      <c r="B210">
        <v>3</v>
      </c>
      <c r="C210">
        <v>4</v>
      </c>
      <c r="D210">
        <v>0</v>
      </c>
      <c r="E210" t="s">
        <v>2130</v>
      </c>
      <c r="F210">
        <v>95586</v>
      </c>
      <c r="G210">
        <v>331390010.33333331</v>
      </c>
      <c r="H210">
        <v>0.97283950779173112</v>
      </c>
      <c r="I210">
        <v>0.95901234567901239</v>
      </c>
      <c r="J210">
        <v>27544531</v>
      </c>
      <c r="K210">
        <v>180772</v>
      </c>
      <c r="L210">
        <v>2</v>
      </c>
      <c r="M210">
        <v>282</v>
      </c>
      <c r="N210">
        <v>0.96444444444444444</v>
      </c>
      <c r="O210">
        <v>26881048</v>
      </c>
      <c r="P210">
        <v>181979</v>
      </c>
      <c r="Q210">
        <v>2</v>
      </c>
      <c r="R210">
        <v>283</v>
      </c>
      <c r="S210" t="s">
        <v>3141</v>
      </c>
    </row>
    <row r="211" spans="1:19" x14ac:dyDescent="0.25">
      <c r="A211" t="s">
        <v>1979</v>
      </c>
      <c r="B211">
        <v>3</v>
      </c>
      <c r="C211">
        <v>2</v>
      </c>
      <c r="D211">
        <v>0</v>
      </c>
      <c r="E211" t="s">
        <v>2132</v>
      </c>
      <c r="F211">
        <v>77716</v>
      </c>
      <c r="G211">
        <v>381911587.33333331</v>
      </c>
      <c r="H211">
        <v>0.96111110846201575</v>
      </c>
      <c r="I211">
        <v>0.96370370370370373</v>
      </c>
      <c r="J211">
        <v>28625281.166666668</v>
      </c>
      <c r="K211">
        <v>125522</v>
      </c>
      <c r="L211">
        <v>2</v>
      </c>
      <c r="M211">
        <v>232</v>
      </c>
      <c r="N211">
        <v>0.96185185185185185</v>
      </c>
      <c r="O211">
        <v>27443077.5</v>
      </c>
      <c r="P211">
        <v>126529</v>
      </c>
      <c r="Q211">
        <v>2</v>
      </c>
      <c r="R211">
        <v>233</v>
      </c>
      <c r="S211" t="s">
        <v>3142</v>
      </c>
    </row>
    <row r="212" spans="1:19" x14ac:dyDescent="0.25">
      <c r="A212" t="s">
        <v>1979</v>
      </c>
      <c r="B212">
        <v>3</v>
      </c>
      <c r="C212">
        <v>3</v>
      </c>
      <c r="D212">
        <v>0</v>
      </c>
      <c r="E212" t="s">
        <v>2132</v>
      </c>
      <c r="F212">
        <v>87412</v>
      </c>
      <c r="G212">
        <v>323532653.16666669</v>
      </c>
      <c r="H212">
        <v>0.96555555860201514</v>
      </c>
      <c r="I212">
        <v>0.9588888888888889</v>
      </c>
      <c r="J212">
        <v>24226043.333333332</v>
      </c>
      <c r="K212">
        <v>155230</v>
      </c>
      <c r="L212">
        <v>2</v>
      </c>
      <c r="M212">
        <v>260</v>
      </c>
      <c r="N212">
        <v>0.9588888888888889</v>
      </c>
      <c r="O212">
        <v>24497271.666666668</v>
      </c>
      <c r="P212">
        <v>156349</v>
      </c>
      <c r="Q212">
        <v>2</v>
      </c>
      <c r="R212">
        <v>261</v>
      </c>
      <c r="S212" t="s">
        <v>3143</v>
      </c>
    </row>
    <row r="213" spans="1:19" x14ac:dyDescent="0.25">
      <c r="A213" t="s">
        <v>1979</v>
      </c>
      <c r="B213">
        <v>3</v>
      </c>
      <c r="C213">
        <v>4</v>
      </c>
      <c r="D213">
        <v>0</v>
      </c>
      <c r="E213" t="s">
        <v>2132</v>
      </c>
      <c r="F213">
        <v>97108</v>
      </c>
      <c r="G213">
        <v>321183863.8888889</v>
      </c>
      <c r="H213">
        <v>0.96839505434036255</v>
      </c>
      <c r="I213">
        <v>0.96320987654320989</v>
      </c>
      <c r="J213">
        <v>27712536.888888888</v>
      </c>
      <c r="K213">
        <v>183190</v>
      </c>
      <c r="L213">
        <v>2</v>
      </c>
      <c r="M213">
        <v>284</v>
      </c>
      <c r="N213">
        <v>0.96419753086419757</v>
      </c>
      <c r="O213">
        <v>28712269.222222224</v>
      </c>
      <c r="P213">
        <v>184405</v>
      </c>
      <c r="Q213">
        <v>2</v>
      </c>
      <c r="R213">
        <v>285</v>
      </c>
      <c r="S213" t="s">
        <v>3144</v>
      </c>
    </row>
    <row r="214" spans="1:19" x14ac:dyDescent="0.25">
      <c r="A214" t="s">
        <v>1979</v>
      </c>
      <c r="B214">
        <v>3</v>
      </c>
      <c r="C214">
        <v>2</v>
      </c>
      <c r="D214">
        <v>0</v>
      </c>
      <c r="E214" t="s">
        <v>2134</v>
      </c>
      <c r="F214">
        <v>78934</v>
      </c>
      <c r="G214">
        <v>337990143.33333331</v>
      </c>
      <c r="H214">
        <v>0.94629628459612525</v>
      </c>
      <c r="I214">
        <v>0.96185185185185185</v>
      </c>
      <c r="J214">
        <v>28175066.166666668</v>
      </c>
      <c r="K214">
        <v>127540</v>
      </c>
      <c r="L214">
        <v>2</v>
      </c>
      <c r="M214">
        <v>234</v>
      </c>
      <c r="N214">
        <v>0.95851851851851855</v>
      </c>
      <c r="O214">
        <v>28820861.833333332</v>
      </c>
      <c r="P214">
        <v>128555</v>
      </c>
      <c r="Q214">
        <v>2</v>
      </c>
      <c r="R214">
        <v>235</v>
      </c>
      <c r="S214" t="s">
        <v>3145</v>
      </c>
    </row>
    <row r="215" spans="1:19" x14ac:dyDescent="0.25">
      <c r="A215" t="s">
        <v>1979</v>
      </c>
      <c r="B215">
        <v>3</v>
      </c>
      <c r="C215">
        <v>3</v>
      </c>
      <c r="D215">
        <v>0</v>
      </c>
      <c r="E215" t="s">
        <v>2134</v>
      </c>
      <c r="F215">
        <v>88782</v>
      </c>
      <c r="G215">
        <v>271101716.33333331</v>
      </c>
      <c r="H215">
        <v>0.97074073553085327</v>
      </c>
      <c r="I215">
        <v>0.96370370370370373</v>
      </c>
      <c r="J215">
        <v>26510923</v>
      </c>
      <c r="K215">
        <v>157472</v>
      </c>
      <c r="L215">
        <v>2</v>
      </c>
      <c r="M215">
        <v>262</v>
      </c>
      <c r="N215">
        <v>0.95222222222222219</v>
      </c>
      <c r="O215">
        <v>25149007.5</v>
      </c>
      <c r="P215">
        <v>158599</v>
      </c>
      <c r="Q215">
        <v>2</v>
      </c>
      <c r="R215">
        <v>263</v>
      </c>
      <c r="S215" t="s">
        <v>3146</v>
      </c>
    </row>
    <row r="216" spans="1:19" x14ac:dyDescent="0.25">
      <c r="A216" t="s">
        <v>1979</v>
      </c>
      <c r="B216">
        <v>3</v>
      </c>
      <c r="C216">
        <v>2</v>
      </c>
      <c r="D216">
        <v>0</v>
      </c>
      <c r="E216" t="s">
        <v>2136</v>
      </c>
      <c r="F216">
        <v>80152</v>
      </c>
      <c r="G216">
        <v>246148723.8888889</v>
      </c>
      <c r="H216">
        <v>0.97456789678997469</v>
      </c>
      <c r="I216">
        <v>0.95876543209876541</v>
      </c>
      <c r="J216">
        <v>27606016.333333332</v>
      </c>
      <c r="K216">
        <v>129574</v>
      </c>
      <c r="L216">
        <v>2</v>
      </c>
      <c r="M216">
        <v>236</v>
      </c>
      <c r="N216">
        <v>0.96419753086419757</v>
      </c>
      <c r="O216">
        <v>27707572.333333332</v>
      </c>
      <c r="P216">
        <v>130597</v>
      </c>
      <c r="Q216">
        <v>2</v>
      </c>
      <c r="R216">
        <v>237</v>
      </c>
      <c r="S216" t="s">
        <v>3147</v>
      </c>
    </row>
    <row r="217" spans="1:19" x14ac:dyDescent="0.25">
      <c r="A217" t="s">
        <v>1979</v>
      </c>
      <c r="B217">
        <v>3</v>
      </c>
      <c r="C217">
        <v>3</v>
      </c>
      <c r="D217">
        <v>0</v>
      </c>
      <c r="E217" t="s">
        <v>2136</v>
      </c>
      <c r="F217">
        <v>90152</v>
      </c>
      <c r="G217">
        <v>266681871.16666666</v>
      </c>
      <c r="H217">
        <v>0.97851851582527161</v>
      </c>
      <c r="I217">
        <v>0.95592592592592596</v>
      </c>
      <c r="J217">
        <v>24846944.5</v>
      </c>
      <c r="K217">
        <v>159730</v>
      </c>
      <c r="L217">
        <v>2</v>
      </c>
      <c r="M217">
        <v>264</v>
      </c>
      <c r="N217">
        <v>0.96259259259259256</v>
      </c>
      <c r="O217">
        <v>25186289.666666668</v>
      </c>
      <c r="P217">
        <v>160865</v>
      </c>
      <c r="Q217">
        <v>2</v>
      </c>
      <c r="R217">
        <v>265</v>
      </c>
      <c r="S217" t="s">
        <v>3148</v>
      </c>
    </row>
    <row r="218" spans="1:19" x14ac:dyDescent="0.25">
      <c r="A218" t="s">
        <v>1979</v>
      </c>
      <c r="B218">
        <v>3</v>
      </c>
      <c r="C218">
        <v>2</v>
      </c>
      <c r="D218">
        <v>0</v>
      </c>
      <c r="E218" t="s">
        <v>2138</v>
      </c>
      <c r="F218">
        <v>81370</v>
      </c>
      <c r="G218">
        <v>263929109.55555555</v>
      </c>
      <c r="H218">
        <v>0.97555555237664116</v>
      </c>
      <c r="I218">
        <v>0.96592592592592597</v>
      </c>
      <c r="J218">
        <v>24585181.111111112</v>
      </c>
      <c r="K218">
        <v>131624</v>
      </c>
      <c r="L218">
        <v>2</v>
      </c>
      <c r="M218">
        <v>238</v>
      </c>
      <c r="N218">
        <v>0.96123456790123452</v>
      </c>
      <c r="O218">
        <v>27803084</v>
      </c>
      <c r="P218">
        <v>132655</v>
      </c>
      <c r="Q218">
        <v>2</v>
      </c>
      <c r="R218">
        <v>239</v>
      </c>
      <c r="S218" t="s">
        <v>3149</v>
      </c>
    </row>
    <row r="219" spans="1:19" x14ac:dyDescent="0.25">
      <c r="A219" t="s">
        <v>1979</v>
      </c>
      <c r="B219">
        <v>3</v>
      </c>
      <c r="C219">
        <v>3</v>
      </c>
      <c r="D219">
        <v>0</v>
      </c>
      <c r="E219" t="s">
        <v>2138</v>
      </c>
      <c r="F219">
        <v>91522</v>
      </c>
      <c r="G219">
        <v>299585322.5</v>
      </c>
      <c r="H219">
        <v>0.96925925215085351</v>
      </c>
      <c r="I219">
        <v>0.96</v>
      </c>
      <c r="J219">
        <v>25333273.166666668</v>
      </c>
      <c r="K219">
        <v>162004</v>
      </c>
      <c r="L219">
        <v>2</v>
      </c>
      <c r="M219">
        <v>266</v>
      </c>
      <c r="N219">
        <v>0.96037037037037032</v>
      </c>
      <c r="O219">
        <v>25810273.833333332</v>
      </c>
      <c r="P219">
        <v>163147</v>
      </c>
      <c r="Q219">
        <v>2</v>
      </c>
      <c r="R219">
        <v>267</v>
      </c>
      <c r="S219" t="s">
        <v>3150</v>
      </c>
    </row>
    <row r="220" spans="1:19" x14ac:dyDescent="0.25">
      <c r="A220" t="s">
        <v>1979</v>
      </c>
      <c r="B220">
        <v>3</v>
      </c>
      <c r="C220">
        <v>2</v>
      </c>
      <c r="D220">
        <v>0</v>
      </c>
      <c r="E220" t="s">
        <v>2140</v>
      </c>
      <c r="F220">
        <v>82588</v>
      </c>
      <c r="G220">
        <v>265833289.66666666</v>
      </c>
      <c r="H220">
        <v>0.97679012351565886</v>
      </c>
      <c r="I220">
        <v>0.96172839506172836</v>
      </c>
      <c r="J220">
        <v>27477028.666666668</v>
      </c>
      <c r="K220">
        <v>133690</v>
      </c>
      <c r="L220">
        <v>2</v>
      </c>
      <c r="M220">
        <v>240</v>
      </c>
      <c r="N220">
        <v>0.96345679012345675</v>
      </c>
      <c r="O220">
        <v>28007234.666666668</v>
      </c>
      <c r="P220">
        <v>134729</v>
      </c>
      <c r="Q220">
        <v>2</v>
      </c>
      <c r="R220">
        <v>241</v>
      </c>
      <c r="S220" t="s">
        <v>3151</v>
      </c>
    </row>
    <row r="221" spans="1:19" x14ac:dyDescent="0.25">
      <c r="A221" t="s">
        <v>1979</v>
      </c>
      <c r="B221">
        <v>3</v>
      </c>
      <c r="C221">
        <v>3</v>
      </c>
      <c r="D221">
        <v>0</v>
      </c>
      <c r="E221" t="s">
        <v>2140</v>
      </c>
      <c r="F221">
        <v>92892</v>
      </c>
      <c r="G221">
        <v>301495043</v>
      </c>
      <c r="H221">
        <v>0.96925927201906836</v>
      </c>
      <c r="I221">
        <v>0.96148148148148149</v>
      </c>
      <c r="J221">
        <v>25963820</v>
      </c>
      <c r="K221">
        <v>164294</v>
      </c>
      <c r="L221">
        <v>2</v>
      </c>
      <c r="M221">
        <v>268</v>
      </c>
      <c r="N221">
        <v>0.96518518518518515</v>
      </c>
      <c r="O221">
        <v>24765953.5</v>
      </c>
      <c r="P221">
        <v>165445</v>
      </c>
      <c r="Q221">
        <v>2</v>
      </c>
      <c r="R221">
        <v>269</v>
      </c>
      <c r="S221" t="s">
        <v>3152</v>
      </c>
    </row>
    <row r="222" spans="1:19" x14ac:dyDescent="0.25">
      <c r="A222" t="s">
        <v>1979</v>
      </c>
      <c r="B222">
        <v>3</v>
      </c>
      <c r="C222">
        <v>2</v>
      </c>
      <c r="D222">
        <v>0</v>
      </c>
      <c r="E222" t="s">
        <v>2142</v>
      </c>
      <c r="F222">
        <v>83806</v>
      </c>
      <c r="G222">
        <v>279160666.77777779</v>
      </c>
      <c r="H222">
        <v>0.97111111217074919</v>
      </c>
      <c r="I222">
        <v>0.96246913580246918</v>
      </c>
      <c r="J222">
        <v>27811802.555555556</v>
      </c>
      <c r="K222">
        <v>135772</v>
      </c>
      <c r="L222">
        <v>2</v>
      </c>
      <c r="M222">
        <v>242</v>
      </c>
      <c r="N222">
        <v>0.9622222222222222</v>
      </c>
      <c r="O222">
        <v>26743097.666666668</v>
      </c>
      <c r="P222">
        <v>136819</v>
      </c>
      <c r="Q222">
        <v>2</v>
      </c>
      <c r="R222">
        <v>243</v>
      </c>
      <c r="S222" t="s">
        <v>3153</v>
      </c>
    </row>
    <row r="223" spans="1:19" x14ac:dyDescent="0.25">
      <c r="A223" t="s">
        <v>1979</v>
      </c>
      <c r="B223">
        <v>3</v>
      </c>
      <c r="C223">
        <v>3</v>
      </c>
      <c r="D223">
        <v>0</v>
      </c>
      <c r="E223" t="s">
        <v>2142</v>
      </c>
      <c r="F223">
        <v>94262</v>
      </c>
      <c r="G223">
        <v>295602844.83333331</v>
      </c>
      <c r="H223">
        <v>0.96925924221674598</v>
      </c>
      <c r="I223">
        <v>0.95629629629629631</v>
      </c>
      <c r="J223">
        <v>25546319.333333332</v>
      </c>
      <c r="K223">
        <v>166600</v>
      </c>
      <c r="L223">
        <v>2</v>
      </c>
      <c r="M223">
        <v>270</v>
      </c>
      <c r="N223">
        <v>0.96259259259259256</v>
      </c>
      <c r="O223">
        <v>27472525.5</v>
      </c>
      <c r="P223">
        <v>167759</v>
      </c>
      <c r="Q223">
        <v>2</v>
      </c>
      <c r="R223">
        <v>271</v>
      </c>
      <c r="S223" t="s">
        <v>3154</v>
      </c>
    </row>
    <row r="224" spans="1:19" x14ac:dyDescent="0.25">
      <c r="A224" t="s">
        <v>1979</v>
      </c>
      <c r="B224">
        <v>3</v>
      </c>
      <c r="C224">
        <v>2</v>
      </c>
      <c r="D224">
        <v>0</v>
      </c>
      <c r="E224" t="s">
        <v>2144</v>
      </c>
      <c r="F224">
        <v>85024</v>
      </c>
      <c r="G224">
        <v>242950403.55555555</v>
      </c>
      <c r="H224">
        <v>0.97827160358428955</v>
      </c>
      <c r="I224">
        <v>0.95950617283950612</v>
      </c>
      <c r="J224">
        <v>27287889.888888888</v>
      </c>
      <c r="K224">
        <v>137870</v>
      </c>
      <c r="L224">
        <v>2</v>
      </c>
      <c r="M224">
        <v>244</v>
      </c>
      <c r="N224">
        <v>0.96148148148148149</v>
      </c>
      <c r="O224">
        <v>28372220.111111112</v>
      </c>
      <c r="P224">
        <v>138925</v>
      </c>
      <c r="Q224">
        <v>2</v>
      </c>
      <c r="R224">
        <v>245</v>
      </c>
      <c r="S224" t="s">
        <v>3155</v>
      </c>
    </row>
    <row r="225" spans="1:19" x14ac:dyDescent="0.25">
      <c r="A225" t="s">
        <v>1979</v>
      </c>
      <c r="B225">
        <v>3</v>
      </c>
      <c r="C225">
        <v>3</v>
      </c>
      <c r="D225">
        <v>0</v>
      </c>
      <c r="E225" t="s">
        <v>2144</v>
      </c>
      <c r="F225">
        <v>95632</v>
      </c>
      <c r="G225">
        <v>281652795.33333331</v>
      </c>
      <c r="H225">
        <v>0.97518518567085266</v>
      </c>
      <c r="I225">
        <v>0.96296296296296302</v>
      </c>
      <c r="J225">
        <v>25523508.333333332</v>
      </c>
      <c r="K225">
        <v>168922</v>
      </c>
      <c r="L225">
        <v>2</v>
      </c>
      <c r="M225">
        <v>272</v>
      </c>
      <c r="N225">
        <v>0.95851851851851855</v>
      </c>
      <c r="O225">
        <v>26002417</v>
      </c>
      <c r="P225">
        <v>170089</v>
      </c>
      <c r="Q225">
        <v>2</v>
      </c>
      <c r="R225">
        <v>273</v>
      </c>
      <c r="S225" t="s">
        <v>3156</v>
      </c>
    </row>
    <row r="226" spans="1:19" x14ac:dyDescent="0.25">
      <c r="A226" t="s">
        <v>1979</v>
      </c>
      <c r="B226">
        <v>3</v>
      </c>
      <c r="C226">
        <v>2</v>
      </c>
      <c r="D226">
        <v>0</v>
      </c>
      <c r="E226" t="s">
        <v>2146</v>
      </c>
      <c r="F226">
        <v>86242</v>
      </c>
      <c r="G226">
        <v>302450344.22222221</v>
      </c>
      <c r="H226">
        <v>0.97209876775741577</v>
      </c>
      <c r="I226">
        <v>0.96493827160493828</v>
      </c>
      <c r="J226">
        <v>28033742.111111112</v>
      </c>
      <c r="K226">
        <v>139984</v>
      </c>
      <c r="L226">
        <v>2</v>
      </c>
      <c r="M226">
        <v>246</v>
      </c>
      <c r="N226">
        <v>0.96197530864197534</v>
      </c>
      <c r="O226">
        <v>27678684.666666668</v>
      </c>
      <c r="P226">
        <v>141047</v>
      </c>
      <c r="Q226">
        <v>2</v>
      </c>
      <c r="R226">
        <v>247</v>
      </c>
      <c r="S226" t="s">
        <v>3157</v>
      </c>
    </row>
    <row r="227" spans="1:19" x14ac:dyDescent="0.25">
      <c r="A227" t="s">
        <v>1979</v>
      </c>
      <c r="B227">
        <v>3</v>
      </c>
      <c r="C227">
        <v>3</v>
      </c>
      <c r="D227">
        <v>0</v>
      </c>
      <c r="E227" t="s">
        <v>2146</v>
      </c>
      <c r="F227">
        <v>97002</v>
      </c>
      <c r="G227">
        <v>319233356.66666669</v>
      </c>
      <c r="H227">
        <v>0.97333333889643348</v>
      </c>
      <c r="I227">
        <v>0.95629629629629631</v>
      </c>
      <c r="J227">
        <v>27202261</v>
      </c>
      <c r="K227">
        <v>171260</v>
      </c>
      <c r="L227">
        <v>2</v>
      </c>
      <c r="M227">
        <v>274</v>
      </c>
      <c r="N227">
        <v>0.95666666666666667</v>
      </c>
      <c r="O227">
        <v>27032432</v>
      </c>
      <c r="P227">
        <v>172435</v>
      </c>
      <c r="Q227">
        <v>2</v>
      </c>
      <c r="R227">
        <v>275</v>
      </c>
      <c r="S227" t="s">
        <v>3158</v>
      </c>
    </row>
    <row r="228" spans="1:19" x14ac:dyDescent="0.25">
      <c r="A228" t="s">
        <v>1979</v>
      </c>
      <c r="B228">
        <v>3</v>
      </c>
      <c r="C228">
        <v>2</v>
      </c>
      <c r="D228">
        <v>0</v>
      </c>
      <c r="E228" t="s">
        <v>2148</v>
      </c>
      <c r="F228">
        <v>87460</v>
      </c>
      <c r="G228">
        <v>297232699</v>
      </c>
      <c r="H228">
        <v>0.97580248117446899</v>
      </c>
      <c r="I228">
        <v>0.96197530864197534</v>
      </c>
      <c r="J228">
        <v>29058547.777777776</v>
      </c>
      <c r="K228">
        <v>141047</v>
      </c>
      <c r="L228">
        <v>2</v>
      </c>
      <c r="M228">
        <v>247</v>
      </c>
      <c r="N228">
        <v>0.96543209876543212</v>
      </c>
      <c r="O228">
        <v>28966304.111111112</v>
      </c>
      <c r="P228">
        <v>142114</v>
      </c>
      <c r="Q228">
        <v>2</v>
      </c>
      <c r="R228">
        <v>248</v>
      </c>
      <c r="S228" t="s">
        <v>3159</v>
      </c>
    </row>
    <row r="229" spans="1:19" x14ac:dyDescent="0.25">
      <c r="A229" t="s">
        <v>1979</v>
      </c>
      <c r="B229">
        <v>3</v>
      </c>
      <c r="C229">
        <v>3</v>
      </c>
      <c r="D229">
        <v>0</v>
      </c>
      <c r="E229" t="s">
        <v>2148</v>
      </c>
      <c r="F229">
        <v>98372</v>
      </c>
      <c r="G229">
        <v>326373855.66666669</v>
      </c>
      <c r="H229">
        <v>0.96851851542790734</v>
      </c>
      <c r="I229">
        <v>0.95777777777777773</v>
      </c>
      <c r="J229">
        <v>25680774.333333332</v>
      </c>
      <c r="K229">
        <v>173614</v>
      </c>
      <c r="L229">
        <v>2</v>
      </c>
      <c r="M229">
        <v>276</v>
      </c>
      <c r="N229">
        <v>0.95925925925925926</v>
      </c>
      <c r="O229">
        <v>26522462</v>
      </c>
      <c r="P229">
        <v>174797</v>
      </c>
      <c r="Q229">
        <v>2</v>
      </c>
      <c r="R229">
        <v>277</v>
      </c>
      <c r="S229" t="s">
        <v>3160</v>
      </c>
    </row>
    <row r="230" spans="1:19" x14ac:dyDescent="0.25">
      <c r="A230" t="s">
        <v>1979</v>
      </c>
      <c r="B230">
        <v>3</v>
      </c>
      <c r="C230">
        <v>2</v>
      </c>
      <c r="D230">
        <v>0</v>
      </c>
      <c r="E230" t="s">
        <v>2150</v>
      </c>
      <c r="F230">
        <v>88678</v>
      </c>
      <c r="G230">
        <v>312908909.22222221</v>
      </c>
      <c r="H230">
        <v>0.97283950116899276</v>
      </c>
      <c r="I230">
        <v>0.96074074074074078</v>
      </c>
      <c r="J230">
        <v>28852312.777777776</v>
      </c>
      <c r="K230">
        <v>143185</v>
      </c>
      <c r="L230">
        <v>2</v>
      </c>
      <c r="M230">
        <v>249</v>
      </c>
      <c r="N230">
        <v>0.96246913580246918</v>
      </c>
      <c r="O230">
        <v>28935160.111111112</v>
      </c>
      <c r="P230">
        <v>144260</v>
      </c>
      <c r="Q230">
        <v>2</v>
      </c>
      <c r="R230">
        <v>250</v>
      </c>
      <c r="S230" t="s">
        <v>3161</v>
      </c>
    </row>
    <row r="231" spans="1:19" x14ac:dyDescent="0.25">
      <c r="A231" t="s">
        <v>1979</v>
      </c>
      <c r="B231">
        <v>3</v>
      </c>
      <c r="C231">
        <v>3</v>
      </c>
      <c r="D231">
        <v>0</v>
      </c>
      <c r="E231" t="s">
        <v>2150</v>
      </c>
      <c r="F231">
        <v>99742</v>
      </c>
      <c r="G231">
        <v>354762182.66666669</v>
      </c>
      <c r="H231">
        <v>0.97037038207054138</v>
      </c>
      <c r="I231">
        <v>0.9555555555555556</v>
      </c>
      <c r="J231">
        <v>26291287.166666668</v>
      </c>
      <c r="K231">
        <v>177175</v>
      </c>
      <c r="L231">
        <v>2</v>
      </c>
      <c r="M231">
        <v>279</v>
      </c>
      <c r="N231">
        <v>0.95814814814814819</v>
      </c>
      <c r="O231">
        <v>27107603.5</v>
      </c>
      <c r="P231">
        <v>178370</v>
      </c>
      <c r="Q231">
        <v>2</v>
      </c>
      <c r="R231">
        <v>280</v>
      </c>
      <c r="S231" t="s">
        <v>3162</v>
      </c>
    </row>
    <row r="232" spans="1:19" x14ac:dyDescent="0.25">
      <c r="A232" t="s">
        <v>1979</v>
      </c>
      <c r="B232">
        <v>3</v>
      </c>
      <c r="C232">
        <v>2</v>
      </c>
      <c r="D232">
        <v>0</v>
      </c>
      <c r="E232" t="s">
        <v>2152</v>
      </c>
      <c r="F232">
        <v>89896</v>
      </c>
      <c r="G232">
        <v>306725723.44444442</v>
      </c>
      <c r="H232">
        <v>0.96938271654976738</v>
      </c>
      <c r="I232">
        <v>0.96024691358024694</v>
      </c>
      <c r="J232">
        <v>28604724.666666668</v>
      </c>
      <c r="K232">
        <v>145339</v>
      </c>
      <c r="L232">
        <v>2</v>
      </c>
      <c r="M232">
        <v>251</v>
      </c>
      <c r="N232">
        <v>0.96246913580246918</v>
      </c>
      <c r="O232">
        <v>29915549.444444444</v>
      </c>
      <c r="P232">
        <v>146422</v>
      </c>
      <c r="Q232">
        <v>2</v>
      </c>
      <c r="R232">
        <v>252</v>
      </c>
      <c r="S232" t="s">
        <v>3163</v>
      </c>
    </row>
    <row r="233" spans="1:19" x14ac:dyDescent="0.25">
      <c r="A233" t="s">
        <v>1979</v>
      </c>
      <c r="B233">
        <v>3</v>
      </c>
      <c r="C233">
        <v>3</v>
      </c>
      <c r="D233">
        <v>0</v>
      </c>
      <c r="E233" t="s">
        <v>2152</v>
      </c>
      <c r="F233">
        <v>101112</v>
      </c>
      <c r="G233">
        <v>310762161.5</v>
      </c>
      <c r="H233">
        <v>0.9699999988079071</v>
      </c>
      <c r="I233">
        <v>0.96037037037037032</v>
      </c>
      <c r="J233">
        <v>26183112.5</v>
      </c>
      <c r="K233">
        <v>179569</v>
      </c>
      <c r="L233">
        <v>2</v>
      </c>
      <c r="M233">
        <v>281</v>
      </c>
      <c r="N233">
        <v>0.95740740740740737</v>
      </c>
      <c r="O233">
        <v>27622461.5</v>
      </c>
      <c r="P233">
        <v>180772</v>
      </c>
      <c r="Q233">
        <v>2</v>
      </c>
      <c r="R233">
        <v>282</v>
      </c>
      <c r="S233" t="s">
        <v>3164</v>
      </c>
    </row>
    <row r="234" spans="1:19" x14ac:dyDescent="0.25">
      <c r="A234" t="s">
        <v>1979</v>
      </c>
      <c r="B234">
        <v>3</v>
      </c>
      <c r="C234">
        <v>2</v>
      </c>
      <c r="D234">
        <v>0</v>
      </c>
      <c r="E234" t="s">
        <v>2154</v>
      </c>
      <c r="F234">
        <v>91114</v>
      </c>
      <c r="G234">
        <v>299268717.8888889</v>
      </c>
      <c r="H234">
        <v>0.97777777910232544</v>
      </c>
      <c r="I234">
        <v>0.96296296296296291</v>
      </c>
      <c r="J234">
        <v>28457949</v>
      </c>
      <c r="K234">
        <v>147509</v>
      </c>
      <c r="L234">
        <v>2</v>
      </c>
      <c r="M234">
        <v>253</v>
      </c>
      <c r="N234">
        <v>0.96666666666666667</v>
      </c>
      <c r="O234">
        <v>29867357</v>
      </c>
      <c r="P234">
        <v>148600</v>
      </c>
      <c r="Q234">
        <v>2</v>
      </c>
      <c r="R234">
        <v>254</v>
      </c>
      <c r="S234" t="s">
        <v>3165</v>
      </c>
    </row>
    <row r="235" spans="1:19" x14ac:dyDescent="0.25">
      <c r="A235" t="s">
        <v>1979</v>
      </c>
      <c r="B235">
        <v>3</v>
      </c>
      <c r="C235">
        <v>3</v>
      </c>
      <c r="D235">
        <v>0</v>
      </c>
      <c r="E235" t="s">
        <v>2154</v>
      </c>
      <c r="F235">
        <v>102482</v>
      </c>
      <c r="G235">
        <v>337849737.66666669</v>
      </c>
      <c r="H235">
        <v>0.97518519560496009</v>
      </c>
      <c r="I235">
        <v>0.95481481481481478</v>
      </c>
      <c r="J235">
        <v>26263262.833333332</v>
      </c>
      <c r="K235">
        <v>181979</v>
      </c>
      <c r="L235">
        <v>2</v>
      </c>
      <c r="M235">
        <v>283</v>
      </c>
      <c r="N235">
        <v>0.96296296296296291</v>
      </c>
      <c r="O235">
        <v>27023608.666666668</v>
      </c>
      <c r="P235">
        <v>183190</v>
      </c>
      <c r="Q235">
        <v>2</v>
      </c>
      <c r="R235">
        <v>284</v>
      </c>
      <c r="S235" t="s">
        <v>3166</v>
      </c>
    </row>
    <row r="236" spans="1:19" x14ac:dyDescent="0.25">
      <c r="A236" t="s">
        <v>1979</v>
      </c>
      <c r="B236">
        <v>3</v>
      </c>
      <c r="C236">
        <v>2</v>
      </c>
      <c r="D236">
        <v>0</v>
      </c>
      <c r="E236" t="s">
        <v>2156</v>
      </c>
      <c r="F236">
        <v>92332</v>
      </c>
      <c r="G236">
        <v>322109014.1111111</v>
      </c>
      <c r="H236">
        <v>0.96790122985839844</v>
      </c>
      <c r="I236">
        <v>0.96074074074074078</v>
      </c>
      <c r="J236">
        <v>29831769.777777776</v>
      </c>
      <c r="K236">
        <v>149695</v>
      </c>
      <c r="L236">
        <v>2</v>
      </c>
      <c r="M236">
        <v>255</v>
      </c>
      <c r="N236">
        <v>0.96024691358024694</v>
      </c>
      <c r="O236">
        <v>28435838</v>
      </c>
      <c r="P236">
        <v>150794</v>
      </c>
      <c r="Q236">
        <v>2</v>
      </c>
      <c r="R236">
        <v>256</v>
      </c>
      <c r="S236" t="s">
        <v>3167</v>
      </c>
    </row>
    <row r="237" spans="1:19" x14ac:dyDescent="0.25">
      <c r="A237" t="s">
        <v>1979</v>
      </c>
      <c r="B237">
        <v>3</v>
      </c>
      <c r="C237">
        <v>3</v>
      </c>
      <c r="D237">
        <v>0</v>
      </c>
      <c r="E237" t="s">
        <v>2156</v>
      </c>
      <c r="F237">
        <v>103852</v>
      </c>
      <c r="G237">
        <v>339049630</v>
      </c>
      <c r="H237">
        <v>0.9714814921220144</v>
      </c>
      <c r="I237">
        <v>0.9622222222222222</v>
      </c>
      <c r="J237">
        <v>27355420.833333332</v>
      </c>
      <c r="K237">
        <v>184405</v>
      </c>
      <c r="L237">
        <v>2</v>
      </c>
      <c r="M237">
        <v>285</v>
      </c>
      <c r="N237">
        <v>0.96111111111111114</v>
      </c>
      <c r="O237">
        <v>27121873.5</v>
      </c>
      <c r="P237">
        <v>185624</v>
      </c>
      <c r="Q237">
        <v>2</v>
      </c>
      <c r="R237">
        <v>286</v>
      </c>
      <c r="S237" t="s">
        <v>3168</v>
      </c>
    </row>
    <row r="238" spans="1:19" x14ac:dyDescent="0.25">
      <c r="A238" t="s">
        <v>1979</v>
      </c>
      <c r="B238">
        <v>3</v>
      </c>
      <c r="C238">
        <v>2</v>
      </c>
      <c r="D238">
        <v>0</v>
      </c>
      <c r="E238" t="s">
        <v>2158</v>
      </c>
      <c r="F238">
        <v>93550</v>
      </c>
      <c r="G238">
        <v>311441859.8888889</v>
      </c>
      <c r="H238">
        <v>0.97580246792899239</v>
      </c>
      <c r="I238">
        <v>0.96148148148148149</v>
      </c>
      <c r="J238">
        <v>29813791.777777776</v>
      </c>
      <c r="K238">
        <v>151897</v>
      </c>
      <c r="L238">
        <v>2</v>
      </c>
      <c r="M238">
        <v>257</v>
      </c>
      <c r="N238">
        <v>0.9646913580246913</v>
      </c>
      <c r="O238">
        <v>29885036.444444444</v>
      </c>
      <c r="P238">
        <v>153004</v>
      </c>
      <c r="Q238">
        <v>2</v>
      </c>
      <c r="R238">
        <v>258</v>
      </c>
      <c r="S238" t="s">
        <v>3169</v>
      </c>
    </row>
    <row r="239" spans="1:19" x14ac:dyDescent="0.25">
      <c r="A239" t="s">
        <v>1979</v>
      </c>
      <c r="B239">
        <v>3</v>
      </c>
      <c r="C239">
        <v>3</v>
      </c>
      <c r="D239">
        <v>0</v>
      </c>
      <c r="E239" t="s">
        <v>2158</v>
      </c>
      <c r="F239">
        <v>105222</v>
      </c>
      <c r="G239">
        <v>323421571.33333331</v>
      </c>
      <c r="H239">
        <v>0.96703704198201501</v>
      </c>
      <c r="I239">
        <v>0.95666666666666667</v>
      </c>
      <c r="J239">
        <v>27705376</v>
      </c>
      <c r="K239">
        <v>186847</v>
      </c>
      <c r="L239">
        <v>2</v>
      </c>
      <c r="M239">
        <v>287</v>
      </c>
      <c r="N239">
        <v>0.95703703703703702</v>
      </c>
      <c r="O239">
        <v>27321477.166666668</v>
      </c>
      <c r="P239">
        <v>188074</v>
      </c>
      <c r="Q239">
        <v>2</v>
      </c>
      <c r="R239">
        <v>288</v>
      </c>
      <c r="S239" t="s">
        <v>3170</v>
      </c>
    </row>
    <row r="240" spans="1:19" x14ac:dyDescent="0.25">
      <c r="A240" t="s">
        <v>1979</v>
      </c>
      <c r="B240">
        <v>3</v>
      </c>
      <c r="C240">
        <v>2</v>
      </c>
      <c r="D240">
        <v>0</v>
      </c>
      <c r="E240" t="s">
        <v>2160</v>
      </c>
      <c r="F240">
        <v>40334</v>
      </c>
      <c r="G240">
        <v>284354962.44444442</v>
      </c>
      <c r="H240">
        <v>0.97209876775741577</v>
      </c>
      <c r="I240">
        <v>0.96197530864197534</v>
      </c>
      <c r="J240">
        <v>28487107</v>
      </c>
      <c r="K240">
        <v>64972</v>
      </c>
      <c r="L240">
        <v>2</v>
      </c>
      <c r="M240">
        <v>162</v>
      </c>
      <c r="N240">
        <v>0.96024691358024694</v>
      </c>
      <c r="O240">
        <v>28173982.333333332</v>
      </c>
      <c r="P240">
        <v>65699</v>
      </c>
      <c r="Q240">
        <v>2</v>
      </c>
      <c r="R240">
        <v>163</v>
      </c>
      <c r="S240" t="s">
        <v>3171</v>
      </c>
    </row>
    <row r="241" spans="1:19" x14ac:dyDescent="0.25">
      <c r="A241" t="s">
        <v>1979</v>
      </c>
      <c r="B241">
        <v>3</v>
      </c>
      <c r="C241">
        <v>4</v>
      </c>
      <c r="D241">
        <v>0</v>
      </c>
      <c r="E241" t="s">
        <v>2160</v>
      </c>
      <c r="F241">
        <v>50398</v>
      </c>
      <c r="G241">
        <v>69691070.125</v>
      </c>
      <c r="H241">
        <v>0.96569444239139557</v>
      </c>
      <c r="I241">
        <v>0.96555555555555561</v>
      </c>
      <c r="J241">
        <v>16788331.1875</v>
      </c>
      <c r="K241">
        <v>95410</v>
      </c>
      <c r="L241">
        <v>2</v>
      </c>
      <c r="M241">
        <v>200</v>
      </c>
      <c r="N241">
        <v>0.96569444444444441</v>
      </c>
      <c r="O241">
        <v>16278022.5625</v>
      </c>
      <c r="P241">
        <v>96289</v>
      </c>
      <c r="Q241">
        <v>2</v>
      </c>
      <c r="R241">
        <v>201</v>
      </c>
      <c r="S241" t="s">
        <v>3172</v>
      </c>
    </row>
    <row r="242" spans="1:19" x14ac:dyDescent="0.25">
      <c r="A242" t="s">
        <v>1979</v>
      </c>
      <c r="B242">
        <v>3</v>
      </c>
      <c r="C242">
        <v>2</v>
      </c>
      <c r="D242">
        <v>0</v>
      </c>
      <c r="E242" t="s">
        <v>2162</v>
      </c>
      <c r="F242">
        <v>97394</v>
      </c>
      <c r="G242">
        <v>86056350.666666672</v>
      </c>
      <c r="H242">
        <v>0.96000000834465027</v>
      </c>
      <c r="I242">
        <v>0.95370370370370372</v>
      </c>
      <c r="J242">
        <v>15863724.5</v>
      </c>
      <c r="K242">
        <v>157472</v>
      </c>
      <c r="L242">
        <v>2</v>
      </c>
      <c r="M242">
        <v>262</v>
      </c>
      <c r="N242">
        <v>0.95333333333333337</v>
      </c>
      <c r="O242">
        <v>14838255.666666666</v>
      </c>
      <c r="P242">
        <v>158599</v>
      </c>
      <c r="Q242">
        <v>2</v>
      </c>
      <c r="R242">
        <v>263</v>
      </c>
      <c r="S242" t="s">
        <v>3173</v>
      </c>
    </row>
    <row r="243" spans="1:19" x14ac:dyDescent="0.25">
      <c r="A243" t="s">
        <v>1979</v>
      </c>
      <c r="B243">
        <v>3</v>
      </c>
      <c r="C243">
        <v>3</v>
      </c>
      <c r="D243">
        <v>0</v>
      </c>
      <c r="E243" t="s">
        <v>2162</v>
      </c>
      <c r="F243">
        <v>109546</v>
      </c>
      <c r="G243">
        <v>301910645.83333331</v>
      </c>
      <c r="H243">
        <v>0.982962965965271</v>
      </c>
      <c r="I243">
        <v>0.96962962962962962</v>
      </c>
      <c r="J243">
        <v>27431559.666666668</v>
      </c>
      <c r="K243">
        <v>194269</v>
      </c>
      <c r="L243">
        <v>2</v>
      </c>
      <c r="M243">
        <v>293</v>
      </c>
      <c r="N243">
        <v>0.97111111111111115</v>
      </c>
      <c r="O243">
        <v>25376343</v>
      </c>
      <c r="P243">
        <v>195520</v>
      </c>
      <c r="Q243">
        <v>2</v>
      </c>
      <c r="R243">
        <v>294</v>
      </c>
      <c r="S243" t="s">
        <v>3174</v>
      </c>
    </row>
    <row r="244" spans="1:19" x14ac:dyDescent="0.25">
      <c r="A244" t="s">
        <v>1979</v>
      </c>
      <c r="B244">
        <v>3</v>
      </c>
      <c r="C244">
        <v>2</v>
      </c>
      <c r="D244">
        <v>0</v>
      </c>
      <c r="E244" t="s">
        <v>2164</v>
      </c>
      <c r="F244">
        <v>98644</v>
      </c>
      <c r="G244">
        <v>312338828.14285713</v>
      </c>
      <c r="H244">
        <v>0.96412698711667744</v>
      </c>
      <c r="I244">
        <v>0.95079365079365075</v>
      </c>
      <c r="J244">
        <v>29903831.5</v>
      </c>
      <c r="K244">
        <v>159730</v>
      </c>
      <c r="L244">
        <v>2</v>
      </c>
      <c r="M244">
        <v>264</v>
      </c>
      <c r="N244">
        <v>0.94793650793650797</v>
      </c>
      <c r="O244">
        <v>29667834.571428571</v>
      </c>
      <c r="P244">
        <v>160865</v>
      </c>
      <c r="Q244">
        <v>2</v>
      </c>
      <c r="R244">
        <v>265</v>
      </c>
      <c r="S244" t="s">
        <v>3175</v>
      </c>
    </row>
    <row r="245" spans="1:19" x14ac:dyDescent="0.25">
      <c r="A245" t="s">
        <v>1979</v>
      </c>
      <c r="B245">
        <v>3</v>
      </c>
      <c r="C245">
        <v>3</v>
      </c>
      <c r="D245">
        <v>0</v>
      </c>
      <c r="E245" t="s">
        <v>2164</v>
      </c>
      <c r="F245">
        <v>110952</v>
      </c>
      <c r="G245">
        <v>327363572.5</v>
      </c>
      <c r="H245">
        <v>0.98333331942558289</v>
      </c>
      <c r="I245">
        <v>0.96777777777777785</v>
      </c>
      <c r="J245">
        <v>26533718.166666668</v>
      </c>
      <c r="K245">
        <v>196775</v>
      </c>
      <c r="L245">
        <v>2</v>
      </c>
      <c r="M245">
        <v>295</v>
      </c>
      <c r="N245">
        <v>0.96962962962962962</v>
      </c>
      <c r="O245">
        <v>25258454.666666668</v>
      </c>
      <c r="P245">
        <v>198034</v>
      </c>
      <c r="Q245">
        <v>2</v>
      </c>
      <c r="R245">
        <v>296</v>
      </c>
      <c r="S245" t="s">
        <v>3176</v>
      </c>
    </row>
    <row r="246" spans="1:19" x14ac:dyDescent="0.25">
      <c r="A246" t="s">
        <v>1979</v>
      </c>
      <c r="B246">
        <v>3</v>
      </c>
      <c r="C246">
        <v>2</v>
      </c>
      <c r="D246">
        <v>0</v>
      </c>
      <c r="E246" t="s">
        <v>2166</v>
      </c>
      <c r="F246">
        <v>99894</v>
      </c>
      <c r="G246">
        <v>331712037.28571427</v>
      </c>
      <c r="H246">
        <v>0.97190475889614647</v>
      </c>
      <c r="I246">
        <v>0.95301587301587298</v>
      </c>
      <c r="J246">
        <v>30461424.571428571</v>
      </c>
      <c r="K246">
        <v>162004</v>
      </c>
      <c r="L246">
        <v>2</v>
      </c>
      <c r="M246">
        <v>266</v>
      </c>
      <c r="N246">
        <v>0.95047619047619047</v>
      </c>
      <c r="O246">
        <v>28941589.714285713</v>
      </c>
      <c r="P246">
        <v>163147</v>
      </c>
      <c r="Q246">
        <v>2</v>
      </c>
      <c r="R246">
        <v>267</v>
      </c>
      <c r="S246" t="s">
        <v>3177</v>
      </c>
    </row>
    <row r="247" spans="1:19" x14ac:dyDescent="0.25">
      <c r="A247" t="s">
        <v>1979</v>
      </c>
      <c r="B247">
        <v>3</v>
      </c>
      <c r="C247">
        <v>3</v>
      </c>
      <c r="D247">
        <v>0</v>
      </c>
      <c r="E247" t="s">
        <v>2166</v>
      </c>
      <c r="F247">
        <v>112358</v>
      </c>
      <c r="G247">
        <v>325875679.66666669</v>
      </c>
      <c r="H247">
        <v>0.9844444294770559</v>
      </c>
      <c r="I247">
        <v>0.97111111111111104</v>
      </c>
      <c r="J247">
        <v>25189092.666666668</v>
      </c>
      <c r="K247">
        <v>199297</v>
      </c>
      <c r="L247">
        <v>2</v>
      </c>
      <c r="M247">
        <v>297</v>
      </c>
      <c r="N247">
        <v>0.9714814814814815</v>
      </c>
      <c r="O247">
        <v>26052216.166666668</v>
      </c>
      <c r="P247">
        <v>200564</v>
      </c>
      <c r="Q247">
        <v>2</v>
      </c>
      <c r="R247">
        <v>298</v>
      </c>
      <c r="S247" t="s">
        <v>3178</v>
      </c>
    </row>
    <row r="248" spans="1:19" x14ac:dyDescent="0.25">
      <c r="A248" t="s">
        <v>1979</v>
      </c>
      <c r="B248">
        <v>3</v>
      </c>
      <c r="C248">
        <v>2</v>
      </c>
      <c r="D248">
        <v>0</v>
      </c>
      <c r="E248" t="s">
        <v>2168</v>
      </c>
      <c r="F248">
        <v>101144</v>
      </c>
      <c r="G248">
        <v>318282216.14285713</v>
      </c>
      <c r="H248">
        <v>0.96730158584458492</v>
      </c>
      <c r="I248">
        <v>0.94666666666666666</v>
      </c>
      <c r="J248">
        <v>29828099.285714287</v>
      </c>
      <c r="K248">
        <v>163147</v>
      </c>
      <c r="L248">
        <v>2</v>
      </c>
      <c r="M248">
        <v>267</v>
      </c>
      <c r="N248">
        <v>0.94920634920634916</v>
      </c>
      <c r="O248">
        <v>30055077.285714287</v>
      </c>
      <c r="P248">
        <v>164294</v>
      </c>
      <c r="Q248">
        <v>2</v>
      </c>
      <c r="R248">
        <v>268</v>
      </c>
      <c r="S248" t="s">
        <v>3179</v>
      </c>
    </row>
    <row r="249" spans="1:19" x14ac:dyDescent="0.25">
      <c r="A249" t="s">
        <v>1979</v>
      </c>
      <c r="B249">
        <v>3</v>
      </c>
      <c r="C249">
        <v>3</v>
      </c>
      <c r="D249">
        <v>0</v>
      </c>
      <c r="E249" t="s">
        <v>2168</v>
      </c>
      <c r="F249">
        <v>113764</v>
      </c>
      <c r="G249">
        <v>371994072.66666669</v>
      </c>
      <c r="H249">
        <v>0.98444443941116333</v>
      </c>
      <c r="I249">
        <v>0.96407407407407408</v>
      </c>
      <c r="J249">
        <v>26898806.166666668</v>
      </c>
      <c r="K249">
        <v>201835</v>
      </c>
      <c r="L249">
        <v>2</v>
      </c>
      <c r="M249">
        <v>299</v>
      </c>
      <c r="N249">
        <v>0.97370370370370374</v>
      </c>
      <c r="O249">
        <v>26862268.333333332</v>
      </c>
      <c r="P249">
        <v>203110</v>
      </c>
      <c r="Q249">
        <v>2</v>
      </c>
      <c r="R249">
        <v>300</v>
      </c>
      <c r="S249" t="s">
        <v>3180</v>
      </c>
    </row>
    <row r="250" spans="1:19" x14ac:dyDescent="0.25">
      <c r="A250" t="s">
        <v>1979</v>
      </c>
      <c r="B250">
        <v>3</v>
      </c>
      <c r="C250">
        <v>2</v>
      </c>
      <c r="D250">
        <v>0</v>
      </c>
      <c r="E250" t="s">
        <v>2170</v>
      </c>
      <c r="F250">
        <v>102394</v>
      </c>
      <c r="G250">
        <v>403794899</v>
      </c>
      <c r="H250">
        <v>0.96841270157269066</v>
      </c>
      <c r="I250">
        <v>0.94984126984126982</v>
      </c>
      <c r="J250">
        <v>30941251.642857142</v>
      </c>
      <c r="K250">
        <v>165445</v>
      </c>
      <c r="L250">
        <v>2</v>
      </c>
      <c r="M250">
        <v>269</v>
      </c>
      <c r="N250">
        <v>0.94936507936507941</v>
      </c>
      <c r="O250">
        <v>30265637.714285713</v>
      </c>
      <c r="P250">
        <v>166600</v>
      </c>
      <c r="Q250">
        <v>2</v>
      </c>
      <c r="R250">
        <v>270</v>
      </c>
      <c r="S250" t="s">
        <v>3181</v>
      </c>
    </row>
    <row r="251" spans="1:19" x14ac:dyDescent="0.25">
      <c r="A251" t="s">
        <v>1979</v>
      </c>
      <c r="B251">
        <v>3</v>
      </c>
      <c r="C251">
        <v>3</v>
      </c>
      <c r="D251">
        <v>0</v>
      </c>
      <c r="E251" t="s">
        <v>2170</v>
      </c>
      <c r="F251">
        <v>115170</v>
      </c>
      <c r="G251">
        <v>296621522.16666669</v>
      </c>
      <c r="H251">
        <v>0.98037036259969079</v>
      </c>
      <c r="I251">
        <v>0.97111111111111115</v>
      </c>
      <c r="J251">
        <v>26927585</v>
      </c>
      <c r="K251">
        <v>204389</v>
      </c>
      <c r="L251">
        <v>2</v>
      </c>
      <c r="M251">
        <v>301</v>
      </c>
      <c r="N251">
        <v>0.96777777777777785</v>
      </c>
      <c r="O251">
        <v>27604226.833333332</v>
      </c>
      <c r="P251">
        <v>205672</v>
      </c>
      <c r="Q251">
        <v>2</v>
      </c>
      <c r="R251">
        <v>302</v>
      </c>
      <c r="S251" t="s">
        <v>3182</v>
      </c>
    </row>
    <row r="252" spans="1:19" x14ac:dyDescent="0.25">
      <c r="A252" t="s">
        <v>1979</v>
      </c>
      <c r="B252">
        <v>3</v>
      </c>
      <c r="C252">
        <v>2</v>
      </c>
      <c r="D252">
        <v>0</v>
      </c>
      <c r="E252" t="s">
        <v>2172</v>
      </c>
      <c r="F252">
        <v>103644</v>
      </c>
      <c r="G252">
        <v>342795711.71428573</v>
      </c>
      <c r="H252">
        <v>0.96904761876378742</v>
      </c>
      <c r="I252">
        <v>0.95238095238095233</v>
      </c>
      <c r="J252">
        <v>31356456.785714287</v>
      </c>
      <c r="K252">
        <v>167759</v>
      </c>
      <c r="L252">
        <v>2</v>
      </c>
      <c r="M252">
        <v>271</v>
      </c>
      <c r="N252">
        <v>0.94857142857142862</v>
      </c>
      <c r="O252">
        <v>30533141.714285713</v>
      </c>
      <c r="P252">
        <v>168922</v>
      </c>
      <c r="Q252">
        <v>2</v>
      </c>
      <c r="R252">
        <v>272</v>
      </c>
      <c r="S252" t="s">
        <v>3183</v>
      </c>
    </row>
    <row r="253" spans="1:19" x14ac:dyDescent="0.25">
      <c r="A253" t="s">
        <v>1979</v>
      </c>
      <c r="B253">
        <v>3</v>
      </c>
      <c r="C253">
        <v>3</v>
      </c>
      <c r="D253">
        <v>0</v>
      </c>
      <c r="E253" t="s">
        <v>2172</v>
      </c>
      <c r="F253">
        <v>116576</v>
      </c>
      <c r="G253">
        <v>347039531.83333331</v>
      </c>
      <c r="H253">
        <v>0.98666665951410926</v>
      </c>
      <c r="I253">
        <v>0.96333333333333337</v>
      </c>
      <c r="J253">
        <v>28145882.166666668</v>
      </c>
      <c r="K253">
        <v>206959</v>
      </c>
      <c r="L253">
        <v>2</v>
      </c>
      <c r="M253">
        <v>303</v>
      </c>
      <c r="N253">
        <v>0.97185185185185186</v>
      </c>
      <c r="O253">
        <v>27346664.666666668</v>
      </c>
      <c r="P253">
        <v>208250</v>
      </c>
      <c r="Q253">
        <v>2</v>
      </c>
      <c r="R253">
        <v>304</v>
      </c>
      <c r="S253" t="s">
        <v>3184</v>
      </c>
    </row>
    <row r="254" spans="1:19" x14ac:dyDescent="0.25">
      <c r="A254" t="s">
        <v>1979</v>
      </c>
      <c r="B254">
        <v>3</v>
      </c>
      <c r="C254">
        <v>2</v>
      </c>
      <c r="D254">
        <v>0</v>
      </c>
      <c r="E254" t="s">
        <v>2174</v>
      </c>
      <c r="F254">
        <v>104894</v>
      </c>
      <c r="G254">
        <v>368373325.85714287</v>
      </c>
      <c r="H254">
        <v>0.96714285441807335</v>
      </c>
      <c r="I254">
        <v>0.95301587301587298</v>
      </c>
      <c r="J254">
        <v>31526041.357142858</v>
      </c>
      <c r="K254">
        <v>170089</v>
      </c>
      <c r="L254">
        <v>2</v>
      </c>
      <c r="M254">
        <v>273</v>
      </c>
      <c r="N254">
        <v>0.95603174603174601</v>
      </c>
      <c r="O254">
        <v>31138227.571428571</v>
      </c>
      <c r="P254">
        <v>171260</v>
      </c>
      <c r="Q254">
        <v>2</v>
      </c>
      <c r="R254">
        <v>274</v>
      </c>
      <c r="S254" t="s">
        <v>3185</v>
      </c>
    </row>
    <row r="255" spans="1:19" x14ac:dyDescent="0.25">
      <c r="A255" t="s">
        <v>1979</v>
      </c>
      <c r="B255">
        <v>3</v>
      </c>
      <c r="C255">
        <v>3</v>
      </c>
      <c r="D255">
        <v>0</v>
      </c>
      <c r="E255" t="s">
        <v>2174</v>
      </c>
      <c r="F255">
        <v>117982</v>
      </c>
      <c r="G255">
        <v>335265398</v>
      </c>
      <c r="H255">
        <v>0.9822222193082174</v>
      </c>
      <c r="I255">
        <v>0.96925925925925926</v>
      </c>
      <c r="J255">
        <v>27395800.5</v>
      </c>
      <c r="K255">
        <v>209545</v>
      </c>
      <c r="L255">
        <v>2</v>
      </c>
      <c r="M255">
        <v>305</v>
      </c>
      <c r="N255">
        <v>0.96851851851851856</v>
      </c>
      <c r="O255">
        <v>28344362.333333332</v>
      </c>
      <c r="P255">
        <v>210844</v>
      </c>
      <c r="Q255">
        <v>2</v>
      </c>
      <c r="R255">
        <v>306</v>
      </c>
      <c r="S255" t="s">
        <v>3186</v>
      </c>
    </row>
    <row r="256" spans="1:19" x14ac:dyDescent="0.25">
      <c r="A256" t="s">
        <v>1979</v>
      </c>
      <c r="B256">
        <v>3</v>
      </c>
      <c r="C256">
        <v>2</v>
      </c>
      <c r="D256">
        <v>0</v>
      </c>
      <c r="E256" t="s">
        <v>2176</v>
      </c>
      <c r="F256">
        <v>106144</v>
      </c>
      <c r="G256">
        <v>350069453.4285714</v>
      </c>
      <c r="H256">
        <v>0.96587300300598145</v>
      </c>
      <c r="I256">
        <v>0.95190476190476192</v>
      </c>
      <c r="J256">
        <v>31744097.928571429</v>
      </c>
      <c r="K256">
        <v>171260</v>
      </c>
      <c r="L256">
        <v>2</v>
      </c>
      <c r="M256">
        <v>274</v>
      </c>
      <c r="N256">
        <v>0.95444444444444443</v>
      </c>
      <c r="O256">
        <v>31497295.428571429</v>
      </c>
      <c r="P256">
        <v>172435</v>
      </c>
      <c r="Q256">
        <v>2</v>
      </c>
      <c r="R256">
        <v>275</v>
      </c>
      <c r="S256" t="s">
        <v>3187</v>
      </c>
    </row>
    <row r="257" spans="1:19" x14ac:dyDescent="0.25">
      <c r="A257" t="s">
        <v>1979</v>
      </c>
      <c r="B257">
        <v>3</v>
      </c>
      <c r="C257">
        <v>3</v>
      </c>
      <c r="D257">
        <v>0</v>
      </c>
      <c r="E257" t="s">
        <v>2176</v>
      </c>
      <c r="F257">
        <v>119388</v>
      </c>
      <c r="G257">
        <v>344615594.66666669</v>
      </c>
      <c r="H257">
        <v>0.98333333929379785</v>
      </c>
      <c r="I257">
        <v>0.96962962962962962</v>
      </c>
      <c r="J257">
        <v>28142765</v>
      </c>
      <c r="K257">
        <v>210844</v>
      </c>
      <c r="L257">
        <v>2</v>
      </c>
      <c r="M257">
        <v>306</v>
      </c>
      <c r="N257">
        <v>0.96962962962962962</v>
      </c>
      <c r="O257">
        <v>27673828.666666668</v>
      </c>
      <c r="P257">
        <v>212147</v>
      </c>
      <c r="Q257">
        <v>2</v>
      </c>
      <c r="R257">
        <v>307</v>
      </c>
      <c r="S257" t="s">
        <v>3188</v>
      </c>
    </row>
    <row r="258" spans="1:19" x14ac:dyDescent="0.25">
      <c r="A258" t="s">
        <v>1979</v>
      </c>
      <c r="B258">
        <v>3</v>
      </c>
      <c r="C258">
        <v>2</v>
      </c>
      <c r="D258">
        <v>0</v>
      </c>
      <c r="E258" t="s">
        <v>2178</v>
      </c>
      <c r="F258">
        <v>107394</v>
      </c>
      <c r="G258">
        <v>358790760.64285713</v>
      </c>
      <c r="H258">
        <v>0.96444444145475117</v>
      </c>
      <c r="I258">
        <v>0.95619047619047615</v>
      </c>
      <c r="J258">
        <v>31474233.642857142</v>
      </c>
      <c r="K258">
        <v>173614</v>
      </c>
      <c r="L258">
        <v>2</v>
      </c>
      <c r="M258">
        <v>276</v>
      </c>
      <c r="N258">
        <v>0.95301587301587298</v>
      </c>
      <c r="O258">
        <v>29988987</v>
      </c>
      <c r="P258">
        <v>174797</v>
      </c>
      <c r="Q258">
        <v>2</v>
      </c>
      <c r="R258">
        <v>277</v>
      </c>
      <c r="S258" t="s">
        <v>3189</v>
      </c>
    </row>
    <row r="259" spans="1:19" x14ac:dyDescent="0.25">
      <c r="A259" t="s">
        <v>1979</v>
      </c>
      <c r="B259">
        <v>3</v>
      </c>
      <c r="C259">
        <v>3</v>
      </c>
      <c r="D259">
        <v>0</v>
      </c>
      <c r="E259" t="s">
        <v>2178</v>
      </c>
      <c r="F259">
        <v>120794</v>
      </c>
      <c r="G259">
        <v>428230947.66666669</v>
      </c>
      <c r="H259">
        <v>0.97740739583969116</v>
      </c>
      <c r="I259">
        <v>0.96777777777777785</v>
      </c>
      <c r="J259">
        <v>27452679.833333332</v>
      </c>
      <c r="K259">
        <v>213454</v>
      </c>
      <c r="L259">
        <v>2</v>
      </c>
      <c r="M259">
        <v>308</v>
      </c>
      <c r="N259">
        <v>0.9714814814814815</v>
      </c>
      <c r="O259">
        <v>29048698.5</v>
      </c>
      <c r="P259">
        <v>214765</v>
      </c>
      <c r="Q259">
        <v>2</v>
      </c>
      <c r="R259">
        <v>309</v>
      </c>
      <c r="S259" t="s">
        <v>3190</v>
      </c>
    </row>
    <row r="260" spans="1:19" x14ac:dyDescent="0.25">
      <c r="A260" t="s">
        <v>1979</v>
      </c>
      <c r="B260">
        <v>3</v>
      </c>
      <c r="C260">
        <v>2</v>
      </c>
      <c r="D260">
        <v>0</v>
      </c>
      <c r="E260" t="s">
        <v>2180</v>
      </c>
      <c r="F260">
        <v>108644</v>
      </c>
      <c r="G260">
        <v>381996429.71428573</v>
      </c>
      <c r="H260">
        <v>0.96111111555780682</v>
      </c>
      <c r="I260">
        <v>0.95428571428571429</v>
      </c>
      <c r="J260">
        <v>31629998.071428571</v>
      </c>
      <c r="K260">
        <v>175984</v>
      </c>
      <c r="L260">
        <v>2</v>
      </c>
      <c r="M260">
        <v>278</v>
      </c>
      <c r="N260">
        <v>0.95603174603174601</v>
      </c>
      <c r="O260">
        <v>31872200.571428571</v>
      </c>
      <c r="P260">
        <v>177175</v>
      </c>
      <c r="Q260">
        <v>2</v>
      </c>
      <c r="R260">
        <v>279</v>
      </c>
      <c r="S260" t="s">
        <v>3191</v>
      </c>
    </row>
    <row r="261" spans="1:19" x14ac:dyDescent="0.25">
      <c r="A261" t="s">
        <v>1979</v>
      </c>
      <c r="B261">
        <v>3</v>
      </c>
      <c r="C261">
        <v>3</v>
      </c>
      <c r="D261">
        <v>0</v>
      </c>
      <c r="E261" t="s">
        <v>2180</v>
      </c>
      <c r="F261">
        <v>122200</v>
      </c>
      <c r="G261">
        <v>338416872.66666669</v>
      </c>
      <c r="H261">
        <v>0.97851852575937903</v>
      </c>
      <c r="I261">
        <v>0.97111111111111115</v>
      </c>
      <c r="J261">
        <v>29257590.666666668</v>
      </c>
      <c r="K261">
        <v>216080</v>
      </c>
      <c r="L261">
        <v>2</v>
      </c>
      <c r="M261">
        <v>310</v>
      </c>
      <c r="N261">
        <v>0.96851851851851845</v>
      </c>
      <c r="O261">
        <v>27969554.833333332</v>
      </c>
      <c r="P261">
        <v>217399</v>
      </c>
      <c r="Q261">
        <v>2</v>
      </c>
      <c r="R261">
        <v>311</v>
      </c>
      <c r="S261" t="s">
        <v>3192</v>
      </c>
    </row>
    <row r="262" spans="1:19" x14ac:dyDescent="0.25">
      <c r="A262" t="s">
        <v>1979</v>
      </c>
      <c r="B262">
        <v>3</v>
      </c>
      <c r="C262">
        <v>2</v>
      </c>
      <c r="D262">
        <v>0</v>
      </c>
      <c r="E262" t="s">
        <v>2182</v>
      </c>
      <c r="F262">
        <v>109894</v>
      </c>
      <c r="G262">
        <v>393949954.46666664</v>
      </c>
      <c r="H262">
        <v>0.9635555545488993</v>
      </c>
      <c r="I262">
        <v>0.95511111111111113</v>
      </c>
      <c r="J262">
        <v>31616776.466666665</v>
      </c>
      <c r="K262">
        <v>178370</v>
      </c>
      <c r="L262">
        <v>2</v>
      </c>
      <c r="M262">
        <v>280</v>
      </c>
      <c r="N262">
        <v>0.95170370370370372</v>
      </c>
      <c r="O262">
        <v>31757274.600000001</v>
      </c>
      <c r="P262">
        <v>179569</v>
      </c>
      <c r="Q262">
        <v>2</v>
      </c>
      <c r="R262">
        <v>281</v>
      </c>
      <c r="S262" t="s">
        <v>3193</v>
      </c>
    </row>
    <row r="263" spans="1:19" x14ac:dyDescent="0.25">
      <c r="A263" t="s">
        <v>1979</v>
      </c>
      <c r="B263">
        <v>3</v>
      </c>
      <c r="C263">
        <v>3</v>
      </c>
      <c r="D263">
        <v>0</v>
      </c>
      <c r="E263" t="s">
        <v>2182</v>
      </c>
      <c r="F263">
        <v>123606</v>
      </c>
      <c r="G263">
        <v>414363858.66666669</v>
      </c>
      <c r="H263">
        <v>0.98185184597969055</v>
      </c>
      <c r="I263">
        <v>0.97037037037037033</v>
      </c>
      <c r="J263">
        <v>26718059.666666668</v>
      </c>
      <c r="K263">
        <v>218722</v>
      </c>
      <c r="L263">
        <v>2</v>
      </c>
      <c r="M263">
        <v>312</v>
      </c>
      <c r="N263">
        <v>0.97555555555555551</v>
      </c>
      <c r="O263">
        <v>28347347.833333332</v>
      </c>
      <c r="P263">
        <v>220049</v>
      </c>
      <c r="Q263">
        <v>2</v>
      </c>
      <c r="R263">
        <v>313</v>
      </c>
      <c r="S263" t="s">
        <v>3194</v>
      </c>
    </row>
    <row r="264" spans="1:19" x14ac:dyDescent="0.25">
      <c r="A264" t="s">
        <v>1979</v>
      </c>
      <c r="B264">
        <v>3</v>
      </c>
      <c r="C264">
        <v>2</v>
      </c>
      <c r="D264">
        <v>0</v>
      </c>
      <c r="E264" t="s">
        <v>2184</v>
      </c>
      <c r="F264">
        <v>111144</v>
      </c>
      <c r="G264">
        <v>414010183.7368421</v>
      </c>
      <c r="H264">
        <v>0.9665497102235493</v>
      </c>
      <c r="I264">
        <v>0.95707602339181286</v>
      </c>
      <c r="J264">
        <v>32464405.47368421</v>
      </c>
      <c r="K264">
        <v>179569</v>
      </c>
      <c r="L264">
        <v>2</v>
      </c>
      <c r="M264">
        <v>281</v>
      </c>
      <c r="N264">
        <v>0.95637426900584799</v>
      </c>
      <c r="O264">
        <v>33287897.368421052</v>
      </c>
      <c r="P264">
        <v>180772</v>
      </c>
      <c r="Q264">
        <v>2</v>
      </c>
      <c r="R264">
        <v>282</v>
      </c>
      <c r="S264" t="s">
        <v>3195</v>
      </c>
    </row>
    <row r="265" spans="1:19" x14ac:dyDescent="0.25">
      <c r="A265" t="s">
        <v>1979</v>
      </c>
      <c r="B265">
        <v>3</v>
      </c>
      <c r="C265">
        <v>3</v>
      </c>
      <c r="D265">
        <v>0</v>
      </c>
      <c r="E265" t="s">
        <v>2184</v>
      </c>
      <c r="F265">
        <v>125012</v>
      </c>
      <c r="G265">
        <v>381305933</v>
      </c>
      <c r="H265">
        <v>0.98037036259969079</v>
      </c>
      <c r="I265">
        <v>0.97111111111111115</v>
      </c>
      <c r="J265">
        <v>27973839.833333332</v>
      </c>
      <c r="K265">
        <v>221380</v>
      </c>
      <c r="L265">
        <v>2</v>
      </c>
      <c r="M265">
        <v>314</v>
      </c>
      <c r="N265">
        <v>0.97037037037037033</v>
      </c>
      <c r="O265">
        <v>28284114</v>
      </c>
      <c r="P265">
        <v>222715</v>
      </c>
      <c r="Q265">
        <v>2</v>
      </c>
      <c r="R265">
        <v>315</v>
      </c>
      <c r="S265" t="s">
        <v>3196</v>
      </c>
    </row>
    <row r="266" spans="1:19" x14ac:dyDescent="0.25">
      <c r="A266" t="s">
        <v>1979</v>
      </c>
      <c r="B266">
        <v>3</v>
      </c>
      <c r="C266">
        <v>2</v>
      </c>
      <c r="D266">
        <v>0</v>
      </c>
      <c r="E266" t="s">
        <v>2186</v>
      </c>
      <c r="F266">
        <v>112394</v>
      </c>
      <c r="G266">
        <v>412673460</v>
      </c>
      <c r="H266">
        <v>0.96888887882232666</v>
      </c>
      <c r="I266">
        <v>0.95486111111111116</v>
      </c>
      <c r="J266">
        <v>33329462.3125</v>
      </c>
      <c r="K266">
        <v>181979</v>
      </c>
      <c r="L266">
        <v>2</v>
      </c>
      <c r="M266">
        <v>283</v>
      </c>
      <c r="N266">
        <v>0.95486111111111116</v>
      </c>
      <c r="O266">
        <v>33281268.4375</v>
      </c>
      <c r="P266">
        <v>183190</v>
      </c>
      <c r="Q266">
        <v>2</v>
      </c>
      <c r="R266">
        <v>284</v>
      </c>
      <c r="S266" t="s">
        <v>3197</v>
      </c>
    </row>
    <row r="267" spans="1:19" x14ac:dyDescent="0.25">
      <c r="A267" t="s">
        <v>1979</v>
      </c>
      <c r="B267">
        <v>3</v>
      </c>
      <c r="C267">
        <v>3</v>
      </c>
      <c r="D267">
        <v>0</v>
      </c>
      <c r="E267" t="s">
        <v>2186</v>
      </c>
      <c r="F267">
        <v>126418</v>
      </c>
      <c r="G267">
        <v>347032127</v>
      </c>
      <c r="H267">
        <v>0.98222219944000244</v>
      </c>
      <c r="I267">
        <v>0.97962962962962963</v>
      </c>
      <c r="J267">
        <v>22274260.5</v>
      </c>
      <c r="K267">
        <v>224054</v>
      </c>
      <c r="L267">
        <v>2</v>
      </c>
      <c r="M267">
        <v>316</v>
      </c>
      <c r="N267">
        <v>0.97740740740740739</v>
      </c>
      <c r="O267">
        <v>22087505</v>
      </c>
      <c r="P267">
        <v>225397</v>
      </c>
      <c r="Q267">
        <v>2</v>
      </c>
      <c r="R267">
        <v>317</v>
      </c>
      <c r="S267" t="s">
        <v>3198</v>
      </c>
    </row>
    <row r="268" spans="1:19" x14ac:dyDescent="0.25">
      <c r="A268" t="s">
        <v>1979</v>
      </c>
      <c r="B268">
        <v>3</v>
      </c>
      <c r="C268">
        <v>2</v>
      </c>
      <c r="D268">
        <v>0</v>
      </c>
      <c r="E268" t="s">
        <v>2188</v>
      </c>
      <c r="F268">
        <v>113644</v>
      </c>
      <c r="G268">
        <v>406810885.14285713</v>
      </c>
      <c r="H268">
        <v>0.96904761450631283</v>
      </c>
      <c r="I268">
        <v>0.95396825396825391</v>
      </c>
      <c r="J268">
        <v>33662537.214285716</v>
      </c>
      <c r="K268">
        <v>184405</v>
      </c>
      <c r="L268">
        <v>2</v>
      </c>
      <c r="M268">
        <v>285</v>
      </c>
      <c r="N268">
        <v>0.95285714285714285</v>
      </c>
      <c r="O268">
        <v>33015730.142857142</v>
      </c>
      <c r="P268">
        <v>185624</v>
      </c>
      <c r="Q268">
        <v>2</v>
      </c>
      <c r="R268">
        <v>286</v>
      </c>
      <c r="S268" t="s">
        <v>3199</v>
      </c>
    </row>
    <row r="269" spans="1:19" x14ac:dyDescent="0.25">
      <c r="A269" t="s">
        <v>1979</v>
      </c>
      <c r="B269">
        <v>3</v>
      </c>
      <c r="C269">
        <v>3</v>
      </c>
      <c r="D269">
        <v>0</v>
      </c>
      <c r="E269" t="s">
        <v>2188</v>
      </c>
      <c r="F269">
        <v>127824</v>
      </c>
      <c r="G269">
        <v>272298917.16666669</v>
      </c>
      <c r="H269">
        <v>0.98111109932263696</v>
      </c>
      <c r="I269">
        <v>0.97666666666666668</v>
      </c>
      <c r="J269">
        <v>22315371.666666668</v>
      </c>
      <c r="K269">
        <v>226744</v>
      </c>
      <c r="L269">
        <v>2</v>
      </c>
      <c r="M269">
        <v>318</v>
      </c>
      <c r="N269">
        <v>0.97518518518518515</v>
      </c>
      <c r="O269">
        <v>22868297.333333332</v>
      </c>
      <c r="P269">
        <v>228095</v>
      </c>
      <c r="Q269">
        <v>2</v>
      </c>
      <c r="R269">
        <v>319</v>
      </c>
      <c r="S269" t="s">
        <v>3200</v>
      </c>
    </row>
    <row r="270" spans="1:19" x14ac:dyDescent="0.25">
      <c r="A270" t="s">
        <v>1979</v>
      </c>
      <c r="B270">
        <v>3</v>
      </c>
      <c r="C270">
        <v>2</v>
      </c>
      <c r="D270">
        <v>0</v>
      </c>
      <c r="E270" t="s">
        <v>2190</v>
      </c>
      <c r="F270">
        <v>114894</v>
      </c>
      <c r="G270">
        <v>386577938.4285714</v>
      </c>
      <c r="H270">
        <v>0.96365079709461754</v>
      </c>
      <c r="I270">
        <v>0.95301587301587298</v>
      </c>
      <c r="J270">
        <v>34111159.785714284</v>
      </c>
      <c r="K270">
        <v>185624</v>
      </c>
      <c r="L270">
        <v>2</v>
      </c>
      <c r="M270">
        <v>286</v>
      </c>
      <c r="N270">
        <v>0.95619047619047626</v>
      </c>
      <c r="O270">
        <v>33353309.357142858</v>
      </c>
      <c r="P270">
        <v>186847</v>
      </c>
      <c r="Q270">
        <v>2</v>
      </c>
      <c r="R270">
        <v>287</v>
      </c>
      <c r="S270" t="s">
        <v>3201</v>
      </c>
    </row>
    <row r="271" spans="1:19" x14ac:dyDescent="0.25">
      <c r="A271" t="s">
        <v>1979</v>
      </c>
      <c r="B271">
        <v>3</v>
      </c>
      <c r="C271">
        <v>3</v>
      </c>
      <c r="D271">
        <v>0</v>
      </c>
      <c r="E271" t="s">
        <v>2190</v>
      </c>
      <c r="F271">
        <v>129230</v>
      </c>
      <c r="G271">
        <v>336971372</v>
      </c>
      <c r="H271">
        <v>0.98629629611968994</v>
      </c>
      <c r="I271">
        <v>0.97740740740740739</v>
      </c>
      <c r="J271">
        <v>22052329.833333332</v>
      </c>
      <c r="K271">
        <v>229450</v>
      </c>
      <c r="L271">
        <v>2</v>
      </c>
      <c r="M271">
        <v>320</v>
      </c>
      <c r="N271">
        <v>0.97407407407407409</v>
      </c>
      <c r="O271">
        <v>21204631</v>
      </c>
      <c r="P271">
        <v>230809</v>
      </c>
      <c r="Q271">
        <v>2</v>
      </c>
      <c r="R271">
        <v>321</v>
      </c>
      <c r="S271" t="s">
        <v>3202</v>
      </c>
    </row>
    <row r="272" spans="1:19" x14ac:dyDescent="0.25">
      <c r="A272" t="s">
        <v>1979</v>
      </c>
      <c r="B272">
        <v>3</v>
      </c>
      <c r="C272">
        <v>2</v>
      </c>
      <c r="D272">
        <v>0</v>
      </c>
      <c r="E272" t="s">
        <v>2192</v>
      </c>
      <c r="F272">
        <v>74894</v>
      </c>
      <c r="G272">
        <v>427627510.28571427</v>
      </c>
      <c r="H272">
        <v>0.96841269731521606</v>
      </c>
      <c r="I272">
        <v>0.9547619047619047</v>
      </c>
      <c r="J272">
        <v>33473084.785714287</v>
      </c>
      <c r="K272">
        <v>121534</v>
      </c>
      <c r="L272">
        <v>2</v>
      </c>
      <c r="M272">
        <v>228</v>
      </c>
      <c r="N272">
        <v>0.95158730158730154</v>
      </c>
      <c r="O272">
        <v>33764749.357142858</v>
      </c>
      <c r="P272">
        <v>122525</v>
      </c>
      <c r="Q272">
        <v>2</v>
      </c>
      <c r="R272">
        <v>229</v>
      </c>
      <c r="S272" t="s">
        <v>3203</v>
      </c>
    </row>
    <row r="273" spans="1:19" x14ac:dyDescent="0.25">
      <c r="A273" t="s">
        <v>1979</v>
      </c>
      <c r="B273">
        <v>3</v>
      </c>
      <c r="C273">
        <v>3</v>
      </c>
      <c r="D273">
        <v>0</v>
      </c>
      <c r="E273" t="s">
        <v>2192</v>
      </c>
      <c r="F273">
        <v>84238</v>
      </c>
      <c r="G273">
        <v>343884853.83333331</v>
      </c>
      <c r="H273">
        <v>0.97444443901379907</v>
      </c>
      <c r="I273">
        <v>0.96444444444444444</v>
      </c>
      <c r="J273">
        <v>25274349.833333332</v>
      </c>
      <c r="K273">
        <v>148600</v>
      </c>
      <c r="L273">
        <v>2</v>
      </c>
      <c r="M273">
        <v>254</v>
      </c>
      <c r="N273">
        <v>0.9714814814814815</v>
      </c>
      <c r="O273">
        <v>23802088.333333332</v>
      </c>
      <c r="P273">
        <v>149695</v>
      </c>
      <c r="Q273">
        <v>2</v>
      </c>
      <c r="R273">
        <v>255</v>
      </c>
      <c r="S273" t="s">
        <v>3204</v>
      </c>
    </row>
    <row r="274" spans="1:19" x14ac:dyDescent="0.25">
      <c r="A274" t="s">
        <v>1979</v>
      </c>
      <c r="B274">
        <v>3</v>
      </c>
      <c r="C274">
        <v>2</v>
      </c>
      <c r="D274">
        <v>0</v>
      </c>
      <c r="E274" t="s">
        <v>2194</v>
      </c>
      <c r="F274">
        <v>76144</v>
      </c>
      <c r="G274">
        <v>277469512.35714287</v>
      </c>
      <c r="H274">
        <v>0.97238095317568096</v>
      </c>
      <c r="I274">
        <v>0.96396825396825403</v>
      </c>
      <c r="J274">
        <v>27062735.785714287</v>
      </c>
      <c r="K274">
        <v>123520</v>
      </c>
      <c r="L274">
        <v>2</v>
      </c>
      <c r="M274">
        <v>230</v>
      </c>
      <c r="N274">
        <v>0.96174603174603179</v>
      </c>
      <c r="O274">
        <v>26583672.071428571</v>
      </c>
      <c r="P274">
        <v>124519</v>
      </c>
      <c r="Q274">
        <v>2</v>
      </c>
      <c r="R274">
        <v>231</v>
      </c>
      <c r="S274" t="s">
        <v>3205</v>
      </c>
    </row>
    <row r="275" spans="1:19" x14ac:dyDescent="0.25">
      <c r="A275" t="s">
        <v>1979</v>
      </c>
      <c r="B275">
        <v>3</v>
      </c>
      <c r="C275">
        <v>3</v>
      </c>
      <c r="D275">
        <v>0</v>
      </c>
      <c r="E275" t="s">
        <v>2194</v>
      </c>
      <c r="F275">
        <v>85644</v>
      </c>
      <c r="G275">
        <v>303171668</v>
      </c>
      <c r="H275">
        <v>0.96777777870496118</v>
      </c>
      <c r="I275">
        <v>0.96962962962962962</v>
      </c>
      <c r="J275">
        <v>24799208.666666668</v>
      </c>
      <c r="K275">
        <v>151897</v>
      </c>
      <c r="L275">
        <v>2</v>
      </c>
      <c r="M275">
        <v>257</v>
      </c>
      <c r="N275">
        <v>0.97037037037037044</v>
      </c>
      <c r="O275">
        <v>25416208.833333332</v>
      </c>
      <c r="P275">
        <v>153004</v>
      </c>
      <c r="Q275">
        <v>2</v>
      </c>
      <c r="R275">
        <v>258</v>
      </c>
      <c r="S275" t="s">
        <v>3206</v>
      </c>
    </row>
    <row r="276" spans="1:19" x14ac:dyDescent="0.25">
      <c r="A276" t="s">
        <v>1979</v>
      </c>
      <c r="B276">
        <v>3</v>
      </c>
      <c r="C276">
        <v>2</v>
      </c>
      <c r="D276">
        <v>0</v>
      </c>
      <c r="E276" t="s">
        <v>2196</v>
      </c>
      <c r="F276">
        <v>77394</v>
      </c>
      <c r="G276">
        <v>259564113.42857143</v>
      </c>
      <c r="H276">
        <v>0.96888888307980126</v>
      </c>
      <c r="I276">
        <v>0.96476190476190471</v>
      </c>
      <c r="J276">
        <v>26357988.642857142</v>
      </c>
      <c r="K276">
        <v>125522</v>
      </c>
      <c r="L276">
        <v>2</v>
      </c>
      <c r="M276">
        <v>232</v>
      </c>
      <c r="N276">
        <v>0.96301587301587299</v>
      </c>
      <c r="O276">
        <v>26548234.214285713</v>
      </c>
      <c r="P276">
        <v>126529</v>
      </c>
      <c r="Q276">
        <v>2</v>
      </c>
      <c r="R276">
        <v>233</v>
      </c>
      <c r="S276" t="s">
        <v>3207</v>
      </c>
    </row>
    <row r="277" spans="1:19" x14ac:dyDescent="0.25">
      <c r="A277" t="s">
        <v>1979</v>
      </c>
      <c r="B277">
        <v>3</v>
      </c>
      <c r="C277">
        <v>3</v>
      </c>
      <c r="D277">
        <v>0</v>
      </c>
      <c r="E277" t="s">
        <v>2196</v>
      </c>
      <c r="F277">
        <v>87050</v>
      </c>
      <c r="G277">
        <v>311834054.83333331</v>
      </c>
      <c r="H277">
        <v>0.97259258230527246</v>
      </c>
      <c r="I277">
        <v>0.96666666666666667</v>
      </c>
      <c r="J277">
        <v>25186995</v>
      </c>
      <c r="K277">
        <v>154115</v>
      </c>
      <c r="L277">
        <v>2</v>
      </c>
      <c r="M277">
        <v>259</v>
      </c>
      <c r="N277">
        <v>0.97074074074074079</v>
      </c>
      <c r="O277">
        <v>24099287.666666668</v>
      </c>
      <c r="P277">
        <v>155230</v>
      </c>
      <c r="Q277">
        <v>2</v>
      </c>
      <c r="R277">
        <v>260</v>
      </c>
      <c r="S277" t="s">
        <v>3208</v>
      </c>
    </row>
    <row r="278" spans="1:19" x14ac:dyDescent="0.25">
      <c r="A278" t="s">
        <v>1979</v>
      </c>
      <c r="B278">
        <v>3</v>
      </c>
      <c r="C278">
        <v>2</v>
      </c>
      <c r="D278">
        <v>0</v>
      </c>
      <c r="E278" t="s">
        <v>2198</v>
      </c>
      <c r="F278">
        <v>78644</v>
      </c>
      <c r="G278">
        <v>265127251.85714287</v>
      </c>
      <c r="H278">
        <v>0.96412697860172814</v>
      </c>
      <c r="I278">
        <v>0.96412698412698417</v>
      </c>
      <c r="J278">
        <v>27399269.428571429</v>
      </c>
      <c r="K278">
        <v>127540</v>
      </c>
      <c r="L278">
        <v>2</v>
      </c>
      <c r="M278">
        <v>234</v>
      </c>
      <c r="N278">
        <v>0.96492063492063496</v>
      </c>
      <c r="O278">
        <v>26376110.428571429</v>
      </c>
      <c r="P278">
        <v>128555</v>
      </c>
      <c r="Q278">
        <v>2</v>
      </c>
      <c r="R278">
        <v>235</v>
      </c>
      <c r="S278" t="s">
        <v>3209</v>
      </c>
    </row>
    <row r="279" spans="1:19" x14ac:dyDescent="0.25">
      <c r="A279" t="s">
        <v>1979</v>
      </c>
      <c r="B279">
        <v>3</v>
      </c>
      <c r="C279">
        <v>3</v>
      </c>
      <c r="D279">
        <v>0</v>
      </c>
      <c r="E279" t="s">
        <v>2198</v>
      </c>
      <c r="F279">
        <v>88456</v>
      </c>
      <c r="G279">
        <v>297625713.83333331</v>
      </c>
      <c r="H279">
        <v>0.97370371222496033</v>
      </c>
      <c r="I279">
        <v>0.97222222222222221</v>
      </c>
      <c r="J279">
        <v>24588138.166666668</v>
      </c>
      <c r="K279">
        <v>156349</v>
      </c>
      <c r="L279">
        <v>2</v>
      </c>
      <c r="M279">
        <v>261</v>
      </c>
      <c r="N279">
        <v>0.96888888888888891</v>
      </c>
      <c r="O279">
        <v>24579608.166666668</v>
      </c>
      <c r="P279">
        <v>157472</v>
      </c>
      <c r="Q279">
        <v>2</v>
      </c>
      <c r="R279">
        <v>262</v>
      </c>
      <c r="S279" t="s">
        <v>3210</v>
      </c>
    </row>
    <row r="280" spans="1:19" x14ac:dyDescent="0.25">
      <c r="A280" t="s">
        <v>1979</v>
      </c>
      <c r="B280">
        <v>3</v>
      </c>
      <c r="C280">
        <v>2</v>
      </c>
      <c r="D280">
        <v>0</v>
      </c>
      <c r="E280" t="s">
        <v>2200</v>
      </c>
      <c r="F280">
        <v>79894</v>
      </c>
      <c r="G280">
        <v>273790937.64285713</v>
      </c>
      <c r="H280">
        <v>0.96634920580046513</v>
      </c>
      <c r="I280">
        <v>0.96301587301587299</v>
      </c>
      <c r="J280">
        <v>27297914.428571429</v>
      </c>
      <c r="K280">
        <v>129574</v>
      </c>
      <c r="L280">
        <v>2</v>
      </c>
      <c r="M280">
        <v>236</v>
      </c>
      <c r="N280">
        <v>0.96285714285714286</v>
      </c>
      <c r="O280">
        <v>26783993.5</v>
      </c>
      <c r="P280">
        <v>130597</v>
      </c>
      <c r="Q280">
        <v>2</v>
      </c>
      <c r="R280">
        <v>237</v>
      </c>
      <c r="S280" t="s">
        <v>3211</v>
      </c>
    </row>
    <row r="281" spans="1:19" x14ac:dyDescent="0.25">
      <c r="A281" t="s">
        <v>1979</v>
      </c>
      <c r="B281">
        <v>3</v>
      </c>
      <c r="C281">
        <v>3</v>
      </c>
      <c r="D281">
        <v>0</v>
      </c>
      <c r="E281" t="s">
        <v>2200</v>
      </c>
      <c r="F281">
        <v>89862</v>
      </c>
      <c r="G281">
        <v>348508256.5</v>
      </c>
      <c r="H281">
        <v>0.97407406568527222</v>
      </c>
      <c r="I281">
        <v>0.96592592592592597</v>
      </c>
      <c r="J281">
        <v>25727724.166666668</v>
      </c>
      <c r="K281">
        <v>158599</v>
      </c>
      <c r="L281">
        <v>2</v>
      </c>
      <c r="M281">
        <v>263</v>
      </c>
      <c r="N281">
        <v>0.97296296296296292</v>
      </c>
      <c r="O281">
        <v>25572964.333333332</v>
      </c>
      <c r="P281">
        <v>159730</v>
      </c>
      <c r="Q281">
        <v>2</v>
      </c>
      <c r="R281">
        <v>264</v>
      </c>
      <c r="S281" t="s">
        <v>3212</v>
      </c>
    </row>
    <row r="282" spans="1:19" x14ac:dyDescent="0.25">
      <c r="A282" t="s">
        <v>1979</v>
      </c>
      <c r="B282">
        <v>3</v>
      </c>
      <c r="C282">
        <v>2</v>
      </c>
      <c r="D282">
        <v>0</v>
      </c>
      <c r="E282" t="s">
        <v>2202</v>
      </c>
      <c r="F282">
        <v>81144</v>
      </c>
      <c r="G282">
        <v>280431681.5714286</v>
      </c>
      <c r="H282">
        <v>0.97412698609488346</v>
      </c>
      <c r="I282">
        <v>0.95920634920634917</v>
      </c>
      <c r="J282">
        <v>27283676.071428571</v>
      </c>
      <c r="K282">
        <v>131624</v>
      </c>
      <c r="L282">
        <v>2</v>
      </c>
      <c r="M282">
        <v>238</v>
      </c>
      <c r="N282">
        <v>0.95809523809523811</v>
      </c>
      <c r="O282">
        <v>27532450.357142858</v>
      </c>
      <c r="P282">
        <v>132655</v>
      </c>
      <c r="Q282">
        <v>2</v>
      </c>
      <c r="R282">
        <v>239</v>
      </c>
      <c r="S282" t="s">
        <v>3213</v>
      </c>
    </row>
    <row r="283" spans="1:19" x14ac:dyDescent="0.25">
      <c r="A283" t="s">
        <v>1979</v>
      </c>
      <c r="B283">
        <v>3</v>
      </c>
      <c r="C283">
        <v>3</v>
      </c>
      <c r="D283">
        <v>0</v>
      </c>
      <c r="E283" t="s">
        <v>2202</v>
      </c>
      <c r="F283">
        <v>91268</v>
      </c>
      <c r="G283">
        <v>328845315.33333331</v>
      </c>
      <c r="H283">
        <v>0.97370371222496033</v>
      </c>
      <c r="I283">
        <v>0.97</v>
      </c>
      <c r="J283">
        <v>26957245.833333332</v>
      </c>
      <c r="K283">
        <v>162004</v>
      </c>
      <c r="L283">
        <v>2</v>
      </c>
      <c r="M283">
        <v>266</v>
      </c>
      <c r="N283">
        <v>0.97074074074074079</v>
      </c>
      <c r="O283">
        <v>24342721.5</v>
      </c>
      <c r="P283">
        <v>163147</v>
      </c>
      <c r="Q283">
        <v>2</v>
      </c>
      <c r="R283">
        <v>267</v>
      </c>
      <c r="S283" t="s">
        <v>3214</v>
      </c>
    </row>
    <row r="284" spans="1:19" x14ac:dyDescent="0.25">
      <c r="A284" t="s">
        <v>1979</v>
      </c>
      <c r="B284">
        <v>3</v>
      </c>
      <c r="C284">
        <v>2</v>
      </c>
      <c r="D284">
        <v>0</v>
      </c>
      <c r="E284" t="s">
        <v>2204</v>
      </c>
      <c r="F284">
        <v>82394</v>
      </c>
      <c r="G284">
        <v>317362529.28571427</v>
      </c>
      <c r="H284">
        <v>0.96952380452837261</v>
      </c>
      <c r="I284">
        <v>0.95968253968253969</v>
      </c>
      <c r="J284">
        <v>27612096.714285713</v>
      </c>
      <c r="K284">
        <v>133690</v>
      </c>
      <c r="L284">
        <v>2</v>
      </c>
      <c r="M284">
        <v>240</v>
      </c>
      <c r="N284">
        <v>0.95730158730158732</v>
      </c>
      <c r="O284">
        <v>27776267.857142858</v>
      </c>
      <c r="P284">
        <v>134729</v>
      </c>
      <c r="Q284">
        <v>2</v>
      </c>
      <c r="R284">
        <v>241</v>
      </c>
      <c r="S284" t="s">
        <v>3215</v>
      </c>
    </row>
    <row r="285" spans="1:19" x14ac:dyDescent="0.25">
      <c r="A285" t="s">
        <v>1979</v>
      </c>
      <c r="B285">
        <v>3</v>
      </c>
      <c r="C285">
        <v>3</v>
      </c>
      <c r="D285">
        <v>0</v>
      </c>
      <c r="E285" t="s">
        <v>2204</v>
      </c>
      <c r="F285">
        <v>92674</v>
      </c>
      <c r="G285">
        <v>364752754.16666669</v>
      </c>
      <c r="H285">
        <v>0.97814814249674475</v>
      </c>
      <c r="I285">
        <v>0.97111111111111115</v>
      </c>
      <c r="J285">
        <v>25390620.166666668</v>
      </c>
      <c r="K285">
        <v>164294</v>
      </c>
      <c r="L285">
        <v>2</v>
      </c>
      <c r="M285">
        <v>268</v>
      </c>
      <c r="N285">
        <v>0.96777777777777785</v>
      </c>
      <c r="O285">
        <v>25227398.333333332</v>
      </c>
      <c r="P285">
        <v>165445</v>
      </c>
      <c r="Q285">
        <v>2</v>
      </c>
      <c r="R285">
        <v>269</v>
      </c>
      <c r="S285" t="s">
        <v>3216</v>
      </c>
    </row>
    <row r="286" spans="1:19" x14ac:dyDescent="0.25">
      <c r="A286" t="s">
        <v>1979</v>
      </c>
      <c r="B286">
        <v>3</v>
      </c>
      <c r="C286">
        <v>2</v>
      </c>
      <c r="D286">
        <v>0</v>
      </c>
      <c r="E286" t="s">
        <v>2206</v>
      </c>
      <c r="F286">
        <v>83644</v>
      </c>
      <c r="G286">
        <v>305609691.9285714</v>
      </c>
      <c r="H286">
        <v>0.96761904444013325</v>
      </c>
      <c r="I286">
        <v>0.95539682539682536</v>
      </c>
      <c r="J286">
        <v>27110817.714285713</v>
      </c>
      <c r="K286">
        <v>135772</v>
      </c>
      <c r="L286">
        <v>2</v>
      </c>
      <c r="M286">
        <v>242</v>
      </c>
      <c r="N286">
        <v>0.95603174603174601</v>
      </c>
      <c r="O286">
        <v>27627484.285714287</v>
      </c>
      <c r="P286">
        <v>136819</v>
      </c>
      <c r="Q286">
        <v>2</v>
      </c>
      <c r="R286">
        <v>243</v>
      </c>
      <c r="S286" t="s">
        <v>3217</v>
      </c>
    </row>
    <row r="287" spans="1:19" x14ac:dyDescent="0.25">
      <c r="A287" t="s">
        <v>1979</v>
      </c>
      <c r="B287">
        <v>3</v>
      </c>
      <c r="C287">
        <v>3</v>
      </c>
      <c r="D287">
        <v>0</v>
      </c>
      <c r="E287" t="s">
        <v>2206</v>
      </c>
      <c r="F287">
        <v>94080</v>
      </c>
      <c r="G287">
        <v>328920181.66666669</v>
      </c>
      <c r="H287">
        <v>0.9729629556337992</v>
      </c>
      <c r="I287">
        <v>0.97074074074074079</v>
      </c>
      <c r="J287">
        <v>24985504.666666668</v>
      </c>
      <c r="K287">
        <v>166600</v>
      </c>
      <c r="L287">
        <v>2</v>
      </c>
      <c r="M287">
        <v>270</v>
      </c>
      <c r="N287">
        <v>0.96592592592592597</v>
      </c>
      <c r="O287">
        <v>26513809.166666668</v>
      </c>
      <c r="P287">
        <v>167759</v>
      </c>
      <c r="Q287">
        <v>2</v>
      </c>
      <c r="R287">
        <v>271</v>
      </c>
      <c r="S287" t="s">
        <v>3218</v>
      </c>
    </row>
    <row r="288" spans="1:19" x14ac:dyDescent="0.25">
      <c r="A288" t="s">
        <v>1979</v>
      </c>
      <c r="B288">
        <v>3</v>
      </c>
      <c r="C288">
        <v>2</v>
      </c>
      <c r="D288">
        <v>0</v>
      </c>
      <c r="E288" t="s">
        <v>2208</v>
      </c>
      <c r="F288">
        <v>84894</v>
      </c>
      <c r="G288">
        <v>297897405.21428573</v>
      </c>
      <c r="H288">
        <v>0.96761904444013325</v>
      </c>
      <c r="I288">
        <v>0.95253968253968258</v>
      </c>
      <c r="J288">
        <v>27200593.857142858</v>
      </c>
      <c r="K288">
        <v>136819</v>
      </c>
      <c r="L288">
        <v>2</v>
      </c>
      <c r="M288">
        <v>243</v>
      </c>
      <c r="N288">
        <v>0.95507936507936508</v>
      </c>
      <c r="O288">
        <v>26058623.714285713</v>
      </c>
      <c r="P288">
        <v>137870</v>
      </c>
      <c r="Q288">
        <v>2</v>
      </c>
      <c r="R288">
        <v>244</v>
      </c>
      <c r="S288" t="s">
        <v>3219</v>
      </c>
    </row>
    <row r="289" spans="1:19" x14ac:dyDescent="0.25">
      <c r="A289" t="s">
        <v>1979</v>
      </c>
      <c r="B289">
        <v>3</v>
      </c>
      <c r="C289">
        <v>3</v>
      </c>
      <c r="D289">
        <v>0</v>
      </c>
      <c r="E289" t="s">
        <v>2208</v>
      </c>
      <c r="F289">
        <v>95486</v>
      </c>
      <c r="G289">
        <v>313473039.33333331</v>
      </c>
      <c r="H289">
        <v>0.97555555899937951</v>
      </c>
      <c r="I289">
        <v>0.96777777777777785</v>
      </c>
      <c r="J289">
        <v>26856072.666666668</v>
      </c>
      <c r="K289">
        <v>168922</v>
      </c>
      <c r="L289">
        <v>2</v>
      </c>
      <c r="M289">
        <v>272</v>
      </c>
      <c r="N289">
        <v>0.97</v>
      </c>
      <c r="O289">
        <v>25718275.833333332</v>
      </c>
      <c r="P289">
        <v>170089</v>
      </c>
      <c r="Q289">
        <v>2</v>
      </c>
      <c r="R289">
        <v>273</v>
      </c>
      <c r="S289" t="s">
        <v>3220</v>
      </c>
    </row>
    <row r="290" spans="1:19" x14ac:dyDescent="0.25">
      <c r="A290" t="s">
        <v>1979</v>
      </c>
      <c r="B290">
        <v>3</v>
      </c>
      <c r="C290">
        <v>2</v>
      </c>
      <c r="D290">
        <v>0</v>
      </c>
      <c r="E290" t="s">
        <v>2210</v>
      </c>
      <c r="F290">
        <v>86144</v>
      </c>
      <c r="G290">
        <v>282325649.4285714</v>
      </c>
      <c r="H290">
        <v>0.96777777586664471</v>
      </c>
      <c r="I290">
        <v>0.95380952380952377</v>
      </c>
      <c r="J290">
        <v>27379085.214285713</v>
      </c>
      <c r="K290">
        <v>138925</v>
      </c>
      <c r="L290">
        <v>2</v>
      </c>
      <c r="M290">
        <v>245</v>
      </c>
      <c r="N290">
        <v>0.95492063492063495</v>
      </c>
      <c r="O290">
        <v>26721032.285714287</v>
      </c>
      <c r="P290">
        <v>139984</v>
      </c>
      <c r="Q290">
        <v>2</v>
      </c>
      <c r="R290">
        <v>246</v>
      </c>
      <c r="S290" t="s">
        <v>3221</v>
      </c>
    </row>
    <row r="291" spans="1:19" x14ac:dyDescent="0.25">
      <c r="A291" t="s">
        <v>1979</v>
      </c>
      <c r="B291">
        <v>3</v>
      </c>
      <c r="C291">
        <v>3</v>
      </c>
      <c r="D291">
        <v>0</v>
      </c>
      <c r="E291" t="s">
        <v>2210</v>
      </c>
      <c r="F291">
        <v>96892</v>
      </c>
      <c r="G291">
        <v>335532780.5</v>
      </c>
      <c r="H291">
        <v>0.98481482267379761</v>
      </c>
      <c r="I291">
        <v>0.97111111111111104</v>
      </c>
      <c r="J291">
        <v>23676076.166666668</v>
      </c>
      <c r="K291">
        <v>171260</v>
      </c>
      <c r="L291">
        <v>2</v>
      </c>
      <c r="M291">
        <v>274</v>
      </c>
      <c r="N291">
        <v>0.96925925925925926</v>
      </c>
      <c r="O291">
        <v>23611147.833333332</v>
      </c>
      <c r="P291">
        <v>172435</v>
      </c>
      <c r="Q291">
        <v>2</v>
      </c>
      <c r="R291">
        <v>275</v>
      </c>
      <c r="S291" t="s">
        <v>3222</v>
      </c>
    </row>
    <row r="292" spans="1:19" x14ac:dyDescent="0.25">
      <c r="A292" t="s">
        <v>1979</v>
      </c>
      <c r="B292">
        <v>3</v>
      </c>
      <c r="C292">
        <v>2</v>
      </c>
      <c r="D292">
        <v>0</v>
      </c>
      <c r="E292" t="s">
        <v>2212</v>
      </c>
      <c r="F292">
        <v>87394</v>
      </c>
      <c r="G292">
        <v>311585833.0714286</v>
      </c>
      <c r="H292">
        <v>0.96809523871966774</v>
      </c>
      <c r="I292">
        <v>0.95428571428571429</v>
      </c>
      <c r="J292">
        <v>27931674.142857142</v>
      </c>
      <c r="K292">
        <v>141047</v>
      </c>
      <c r="L292">
        <v>2</v>
      </c>
      <c r="M292">
        <v>247</v>
      </c>
      <c r="N292">
        <v>0.95825396825396825</v>
      </c>
      <c r="O292">
        <v>26562689.571428571</v>
      </c>
      <c r="P292">
        <v>142114</v>
      </c>
      <c r="Q292">
        <v>2</v>
      </c>
      <c r="R292">
        <v>248</v>
      </c>
      <c r="S292" t="s">
        <v>3223</v>
      </c>
    </row>
    <row r="293" spans="1:19" x14ac:dyDescent="0.25">
      <c r="A293" t="s">
        <v>1979</v>
      </c>
      <c r="B293">
        <v>3</v>
      </c>
      <c r="C293">
        <v>3</v>
      </c>
      <c r="D293">
        <v>0</v>
      </c>
      <c r="E293" t="s">
        <v>2212</v>
      </c>
      <c r="F293">
        <v>98298</v>
      </c>
      <c r="G293">
        <v>293486884.5</v>
      </c>
      <c r="H293">
        <v>0.98888888955116272</v>
      </c>
      <c r="I293">
        <v>0.97407407407407409</v>
      </c>
      <c r="J293">
        <v>25236916.666666668</v>
      </c>
      <c r="K293">
        <v>173614</v>
      </c>
      <c r="L293">
        <v>2</v>
      </c>
      <c r="M293">
        <v>276</v>
      </c>
      <c r="N293">
        <v>0.97185185185185186</v>
      </c>
      <c r="O293">
        <v>25243239.5</v>
      </c>
      <c r="P293">
        <v>174797</v>
      </c>
      <c r="Q293">
        <v>2</v>
      </c>
      <c r="R293">
        <v>277</v>
      </c>
      <c r="S293" t="s">
        <v>3224</v>
      </c>
    </row>
    <row r="294" spans="1:19" x14ac:dyDescent="0.25">
      <c r="A294" t="s">
        <v>1979</v>
      </c>
      <c r="B294">
        <v>3</v>
      </c>
      <c r="C294">
        <v>2</v>
      </c>
      <c r="D294">
        <v>0</v>
      </c>
      <c r="E294" t="s">
        <v>2214</v>
      </c>
      <c r="F294">
        <v>88644</v>
      </c>
      <c r="G294">
        <v>317818006.5</v>
      </c>
      <c r="H294">
        <v>0.97142857313156128</v>
      </c>
      <c r="I294">
        <v>0.9534920634920635</v>
      </c>
      <c r="J294">
        <v>27656249.214285713</v>
      </c>
      <c r="K294">
        <v>143185</v>
      </c>
      <c r="L294">
        <v>2</v>
      </c>
      <c r="M294">
        <v>249</v>
      </c>
      <c r="N294">
        <v>0.95412698412698416</v>
      </c>
      <c r="O294">
        <v>27809253.928571429</v>
      </c>
      <c r="P294">
        <v>144260</v>
      </c>
      <c r="Q294">
        <v>2</v>
      </c>
      <c r="R294">
        <v>250</v>
      </c>
      <c r="S294" t="s">
        <v>3225</v>
      </c>
    </row>
    <row r="295" spans="1:19" x14ac:dyDescent="0.25">
      <c r="A295" t="s">
        <v>1979</v>
      </c>
      <c r="B295">
        <v>3</v>
      </c>
      <c r="C295">
        <v>3</v>
      </c>
      <c r="D295">
        <v>0</v>
      </c>
      <c r="E295" t="s">
        <v>2214</v>
      </c>
      <c r="F295">
        <v>99704</v>
      </c>
      <c r="G295">
        <v>270250900.16666669</v>
      </c>
      <c r="H295">
        <v>0.982962965965271</v>
      </c>
      <c r="I295">
        <v>0.96481481481481479</v>
      </c>
      <c r="J295">
        <v>25465073.166666668</v>
      </c>
      <c r="K295">
        <v>175984</v>
      </c>
      <c r="L295">
        <v>2</v>
      </c>
      <c r="M295">
        <v>278</v>
      </c>
      <c r="N295">
        <v>0.96703703703703703</v>
      </c>
      <c r="O295">
        <v>24748039.5</v>
      </c>
      <c r="P295">
        <v>177175</v>
      </c>
      <c r="Q295">
        <v>2</v>
      </c>
      <c r="R295">
        <v>279</v>
      </c>
      <c r="S295" t="s">
        <v>3226</v>
      </c>
    </row>
    <row r="296" spans="1:19" x14ac:dyDescent="0.25">
      <c r="A296" t="s">
        <v>1979</v>
      </c>
      <c r="B296">
        <v>3</v>
      </c>
      <c r="C296">
        <v>2</v>
      </c>
      <c r="D296">
        <v>0</v>
      </c>
      <c r="E296" t="s">
        <v>2216</v>
      </c>
      <c r="F296">
        <v>89894</v>
      </c>
      <c r="G296">
        <v>326389983.9285714</v>
      </c>
      <c r="H296">
        <v>0.96904762302126202</v>
      </c>
      <c r="I296">
        <v>0.95380952380952377</v>
      </c>
      <c r="J296">
        <v>27945104.857142858</v>
      </c>
      <c r="K296">
        <v>145339</v>
      </c>
      <c r="L296">
        <v>2</v>
      </c>
      <c r="M296">
        <v>251</v>
      </c>
      <c r="N296">
        <v>0.95317460317460312</v>
      </c>
      <c r="O296">
        <v>29054678.142857142</v>
      </c>
      <c r="P296">
        <v>146422</v>
      </c>
      <c r="Q296">
        <v>2</v>
      </c>
      <c r="R296">
        <v>252</v>
      </c>
      <c r="S296" t="s">
        <v>3227</v>
      </c>
    </row>
    <row r="297" spans="1:19" x14ac:dyDescent="0.25">
      <c r="A297" t="s">
        <v>1979</v>
      </c>
      <c r="B297">
        <v>3</v>
      </c>
      <c r="C297">
        <v>3</v>
      </c>
      <c r="D297">
        <v>0</v>
      </c>
      <c r="E297" t="s">
        <v>2216</v>
      </c>
      <c r="F297">
        <v>101110</v>
      </c>
      <c r="G297">
        <v>265167516.16666666</v>
      </c>
      <c r="H297">
        <v>0.97851852575937903</v>
      </c>
      <c r="I297">
        <v>0.96777777777777785</v>
      </c>
      <c r="J297">
        <v>26136667.166666668</v>
      </c>
      <c r="K297">
        <v>179569</v>
      </c>
      <c r="L297">
        <v>2</v>
      </c>
      <c r="M297">
        <v>281</v>
      </c>
      <c r="N297">
        <v>0.97</v>
      </c>
      <c r="O297">
        <v>26080966.333333332</v>
      </c>
      <c r="P297">
        <v>180772</v>
      </c>
      <c r="Q297">
        <v>2</v>
      </c>
      <c r="R297">
        <v>282</v>
      </c>
      <c r="S297" t="s">
        <v>3228</v>
      </c>
    </row>
    <row r="298" spans="1:19" x14ac:dyDescent="0.25">
      <c r="A298" t="s">
        <v>1979</v>
      </c>
      <c r="B298">
        <v>3</v>
      </c>
      <c r="C298">
        <v>2</v>
      </c>
      <c r="D298">
        <v>0</v>
      </c>
      <c r="E298" t="s">
        <v>2218</v>
      </c>
      <c r="F298">
        <v>91144</v>
      </c>
      <c r="G298">
        <v>287688453.0714286</v>
      </c>
      <c r="H298">
        <v>0.96857143725667683</v>
      </c>
      <c r="I298">
        <v>0.95904761904761904</v>
      </c>
      <c r="J298">
        <v>28482692.285714287</v>
      </c>
      <c r="K298">
        <v>147509</v>
      </c>
      <c r="L298">
        <v>2</v>
      </c>
      <c r="M298">
        <v>253</v>
      </c>
      <c r="N298">
        <v>0.95603174603174601</v>
      </c>
      <c r="O298">
        <v>28248645.714285713</v>
      </c>
      <c r="P298">
        <v>148600</v>
      </c>
      <c r="Q298">
        <v>2</v>
      </c>
      <c r="R298">
        <v>254</v>
      </c>
      <c r="S298" t="s">
        <v>3229</v>
      </c>
    </row>
    <row r="299" spans="1:19" x14ac:dyDescent="0.25">
      <c r="A299" t="s">
        <v>1979</v>
      </c>
      <c r="B299">
        <v>3</v>
      </c>
      <c r="C299">
        <v>3</v>
      </c>
      <c r="D299">
        <v>0</v>
      </c>
      <c r="E299" t="s">
        <v>2218</v>
      </c>
      <c r="F299">
        <v>102516</v>
      </c>
      <c r="G299">
        <v>379165005</v>
      </c>
      <c r="H299">
        <v>0.97962962587674463</v>
      </c>
      <c r="I299">
        <v>0.96777777777777785</v>
      </c>
      <c r="J299">
        <v>26289466.833333332</v>
      </c>
      <c r="K299">
        <v>181979</v>
      </c>
      <c r="L299">
        <v>2</v>
      </c>
      <c r="M299">
        <v>283</v>
      </c>
      <c r="N299">
        <v>0.97259259259259256</v>
      </c>
      <c r="O299">
        <v>26227385.666666668</v>
      </c>
      <c r="P299">
        <v>183190</v>
      </c>
      <c r="Q299">
        <v>2</v>
      </c>
      <c r="R299">
        <v>284</v>
      </c>
      <c r="S299" t="s">
        <v>3230</v>
      </c>
    </row>
    <row r="300" spans="1:19" x14ac:dyDescent="0.25">
      <c r="A300" t="s">
        <v>1979</v>
      </c>
      <c r="B300">
        <v>3</v>
      </c>
      <c r="C300">
        <v>2</v>
      </c>
      <c r="D300">
        <v>0</v>
      </c>
      <c r="E300" t="s">
        <v>2220</v>
      </c>
      <c r="F300">
        <v>92394</v>
      </c>
      <c r="G300">
        <v>387042916.4285714</v>
      </c>
      <c r="H300">
        <v>0.96634921005793983</v>
      </c>
      <c r="I300">
        <v>0.95571428571428574</v>
      </c>
      <c r="J300">
        <v>28954959.714285713</v>
      </c>
      <c r="K300">
        <v>149695</v>
      </c>
      <c r="L300">
        <v>2</v>
      </c>
      <c r="M300">
        <v>255</v>
      </c>
      <c r="N300">
        <v>0.95650793650793653</v>
      </c>
      <c r="O300">
        <v>28443666.571428571</v>
      </c>
      <c r="P300">
        <v>150794</v>
      </c>
      <c r="Q300">
        <v>2</v>
      </c>
      <c r="R300">
        <v>256</v>
      </c>
      <c r="S300" t="s">
        <v>3231</v>
      </c>
    </row>
    <row r="301" spans="1:19" x14ac:dyDescent="0.25">
      <c r="A301" t="s">
        <v>1979</v>
      </c>
      <c r="B301">
        <v>3</v>
      </c>
      <c r="C301">
        <v>3</v>
      </c>
      <c r="D301">
        <v>0</v>
      </c>
      <c r="E301" t="s">
        <v>2220</v>
      </c>
      <c r="F301">
        <v>103922</v>
      </c>
      <c r="G301">
        <v>328450559.33333331</v>
      </c>
      <c r="H301">
        <v>0.97962962587674463</v>
      </c>
      <c r="I301">
        <v>0.96592592592592597</v>
      </c>
      <c r="J301">
        <v>26013520.166666668</v>
      </c>
      <c r="K301">
        <v>184405</v>
      </c>
      <c r="L301">
        <v>2</v>
      </c>
      <c r="M301">
        <v>285</v>
      </c>
      <c r="N301">
        <v>0.96962962962962962</v>
      </c>
      <c r="O301">
        <v>25774435.5</v>
      </c>
      <c r="P301">
        <v>185624</v>
      </c>
      <c r="Q301">
        <v>2</v>
      </c>
      <c r="R301">
        <v>286</v>
      </c>
      <c r="S301" t="s">
        <v>3232</v>
      </c>
    </row>
    <row r="302" spans="1:19" x14ac:dyDescent="0.25">
      <c r="A302" t="s">
        <v>1979</v>
      </c>
      <c r="B302">
        <v>3</v>
      </c>
      <c r="C302">
        <v>2</v>
      </c>
      <c r="D302">
        <v>0</v>
      </c>
      <c r="E302" t="s">
        <v>2222</v>
      </c>
      <c r="F302">
        <v>93644</v>
      </c>
      <c r="G302">
        <v>310786790.5714286</v>
      </c>
      <c r="H302">
        <v>0.9620634913444519</v>
      </c>
      <c r="I302">
        <v>0.95365079365079364</v>
      </c>
      <c r="J302">
        <v>28819489.642857142</v>
      </c>
      <c r="K302">
        <v>151897</v>
      </c>
      <c r="L302">
        <v>2</v>
      </c>
      <c r="M302">
        <v>257</v>
      </c>
      <c r="N302">
        <v>0.95333333333333337</v>
      </c>
      <c r="O302">
        <v>30343324.785714287</v>
      </c>
      <c r="P302">
        <v>153004</v>
      </c>
      <c r="Q302">
        <v>2</v>
      </c>
      <c r="R302">
        <v>258</v>
      </c>
      <c r="S302" t="s">
        <v>3233</v>
      </c>
    </row>
    <row r="303" spans="1:19" x14ac:dyDescent="0.25">
      <c r="A303" t="s">
        <v>1979</v>
      </c>
      <c r="B303">
        <v>3</v>
      </c>
      <c r="C303">
        <v>3</v>
      </c>
      <c r="D303">
        <v>0</v>
      </c>
      <c r="E303" t="s">
        <v>2222</v>
      </c>
      <c r="F303">
        <v>105328</v>
      </c>
      <c r="G303">
        <v>291597519</v>
      </c>
      <c r="H303">
        <v>0.98444444934527076</v>
      </c>
      <c r="I303">
        <v>0.97259259259259256</v>
      </c>
      <c r="J303">
        <v>25429821.833333332</v>
      </c>
      <c r="K303">
        <v>186847</v>
      </c>
      <c r="L303">
        <v>2</v>
      </c>
      <c r="M303">
        <v>287</v>
      </c>
      <c r="N303">
        <v>0.97185185185185186</v>
      </c>
      <c r="O303">
        <v>27053836.166666668</v>
      </c>
      <c r="P303">
        <v>188074</v>
      </c>
      <c r="Q303">
        <v>2</v>
      </c>
      <c r="R303">
        <v>288</v>
      </c>
      <c r="S303" t="s">
        <v>3234</v>
      </c>
    </row>
    <row r="304" spans="1:19" x14ac:dyDescent="0.25">
      <c r="A304" t="s">
        <v>1979</v>
      </c>
      <c r="B304">
        <v>3</v>
      </c>
      <c r="C304">
        <v>2</v>
      </c>
      <c r="D304">
        <v>0</v>
      </c>
      <c r="E304" t="s">
        <v>2224</v>
      </c>
      <c r="F304">
        <v>94894</v>
      </c>
      <c r="G304">
        <v>317108160.71428573</v>
      </c>
      <c r="H304">
        <v>0.96793649877820698</v>
      </c>
      <c r="I304">
        <v>0.95444444444444443</v>
      </c>
      <c r="J304">
        <v>29780063.071428571</v>
      </c>
      <c r="K304">
        <v>153004</v>
      </c>
      <c r="L304">
        <v>2</v>
      </c>
      <c r="M304">
        <v>258</v>
      </c>
      <c r="N304">
        <v>0.95761904761904759</v>
      </c>
      <c r="O304">
        <v>27910183.071428571</v>
      </c>
      <c r="P304">
        <v>154115</v>
      </c>
      <c r="Q304">
        <v>2</v>
      </c>
      <c r="R304">
        <v>259</v>
      </c>
      <c r="S304" t="s">
        <v>3235</v>
      </c>
    </row>
    <row r="305" spans="1:19" x14ac:dyDescent="0.25">
      <c r="A305" t="s">
        <v>1979</v>
      </c>
      <c r="B305">
        <v>3</v>
      </c>
      <c r="C305">
        <v>3</v>
      </c>
      <c r="D305">
        <v>0</v>
      </c>
      <c r="E305" t="s">
        <v>2224</v>
      </c>
      <c r="F305">
        <v>106734</v>
      </c>
      <c r="G305">
        <v>304703109.83333331</v>
      </c>
      <c r="H305">
        <v>0.98481481273969018</v>
      </c>
      <c r="I305">
        <v>0.96888888888888891</v>
      </c>
      <c r="J305">
        <v>26169801.833333332</v>
      </c>
      <c r="K305">
        <v>189305</v>
      </c>
      <c r="L305">
        <v>2</v>
      </c>
      <c r="M305">
        <v>289</v>
      </c>
      <c r="N305">
        <v>0.96888888888888891</v>
      </c>
      <c r="O305">
        <v>26864939.5</v>
      </c>
      <c r="P305">
        <v>190540</v>
      </c>
      <c r="Q305">
        <v>2</v>
      </c>
      <c r="R305">
        <v>290</v>
      </c>
      <c r="S305" t="s">
        <v>3236</v>
      </c>
    </row>
    <row r="306" spans="1:19" x14ac:dyDescent="0.25">
      <c r="A306" t="s">
        <v>1979</v>
      </c>
      <c r="B306">
        <v>3</v>
      </c>
      <c r="C306">
        <v>2</v>
      </c>
      <c r="D306">
        <v>0</v>
      </c>
      <c r="E306" t="s">
        <v>2226</v>
      </c>
      <c r="F306">
        <v>96144</v>
      </c>
      <c r="G306">
        <v>333083886.5</v>
      </c>
      <c r="H306">
        <v>0.97190475463867188</v>
      </c>
      <c r="I306">
        <v>0.95396825396825402</v>
      </c>
      <c r="J306">
        <v>29714964</v>
      </c>
      <c r="K306">
        <v>155230</v>
      </c>
      <c r="L306">
        <v>2</v>
      </c>
      <c r="M306">
        <v>260</v>
      </c>
      <c r="N306">
        <v>0.94888888888888889</v>
      </c>
      <c r="O306">
        <v>30504694.928571429</v>
      </c>
      <c r="P306">
        <v>156349</v>
      </c>
      <c r="Q306">
        <v>2</v>
      </c>
      <c r="R306">
        <v>261</v>
      </c>
      <c r="S306" t="s">
        <v>3237</v>
      </c>
    </row>
    <row r="307" spans="1:19" x14ac:dyDescent="0.25">
      <c r="A307" t="s">
        <v>1979</v>
      </c>
      <c r="B307">
        <v>3</v>
      </c>
      <c r="C307">
        <v>3</v>
      </c>
      <c r="D307">
        <v>0</v>
      </c>
      <c r="E307" t="s">
        <v>2226</v>
      </c>
      <c r="F307">
        <v>108140</v>
      </c>
      <c r="G307">
        <v>318650814.83333331</v>
      </c>
      <c r="H307">
        <v>0.98555554946263635</v>
      </c>
      <c r="I307">
        <v>0.96777777777777785</v>
      </c>
      <c r="J307">
        <v>26641317.833333332</v>
      </c>
      <c r="K307">
        <v>191779</v>
      </c>
      <c r="L307">
        <v>2</v>
      </c>
      <c r="M307">
        <v>291</v>
      </c>
      <c r="N307">
        <v>0.97</v>
      </c>
      <c r="O307">
        <v>25963001.5</v>
      </c>
      <c r="P307">
        <v>193022</v>
      </c>
      <c r="Q307">
        <v>2</v>
      </c>
      <c r="R307">
        <v>292</v>
      </c>
      <c r="S307" t="s">
        <v>3238</v>
      </c>
    </row>
    <row r="308" spans="1:19" x14ac:dyDescent="0.25">
      <c r="A308" t="s">
        <v>1979</v>
      </c>
      <c r="B308">
        <v>3</v>
      </c>
      <c r="C308">
        <v>2</v>
      </c>
      <c r="D308">
        <v>0</v>
      </c>
      <c r="E308" t="s">
        <v>2228</v>
      </c>
      <c r="F308">
        <v>41520</v>
      </c>
      <c r="G308">
        <v>315877968.78571427</v>
      </c>
      <c r="H308">
        <v>0.96746031727109638</v>
      </c>
      <c r="I308">
        <v>0.95253968253968258</v>
      </c>
      <c r="J308">
        <v>28531948.142857142</v>
      </c>
      <c r="K308">
        <v>67165</v>
      </c>
      <c r="L308">
        <v>2</v>
      </c>
      <c r="M308">
        <v>165</v>
      </c>
      <c r="N308">
        <v>0.94936507936507941</v>
      </c>
      <c r="O308">
        <v>29706289.142857142</v>
      </c>
      <c r="P308">
        <v>67904</v>
      </c>
      <c r="Q308">
        <v>2</v>
      </c>
      <c r="R308">
        <v>166</v>
      </c>
      <c r="S308" t="s">
        <v>3239</v>
      </c>
    </row>
    <row r="309" spans="1:19" x14ac:dyDescent="0.25">
      <c r="A309" t="s">
        <v>1979</v>
      </c>
      <c r="B309">
        <v>3</v>
      </c>
      <c r="C309">
        <v>4</v>
      </c>
      <c r="D309">
        <v>0</v>
      </c>
      <c r="E309" t="s">
        <v>2228</v>
      </c>
      <c r="F309">
        <v>51880</v>
      </c>
      <c r="G309">
        <v>66629315.5</v>
      </c>
      <c r="H309">
        <v>0.96513888612389565</v>
      </c>
      <c r="I309">
        <v>0.96625000000000005</v>
      </c>
      <c r="J309">
        <v>16480626.5</v>
      </c>
      <c r="K309">
        <v>98059</v>
      </c>
      <c r="L309">
        <v>2</v>
      </c>
      <c r="M309">
        <v>203</v>
      </c>
      <c r="N309">
        <v>0.96833333333333327</v>
      </c>
      <c r="O309">
        <v>17441310.25</v>
      </c>
      <c r="P309">
        <v>98950</v>
      </c>
      <c r="Q309">
        <v>2</v>
      </c>
      <c r="R309">
        <v>204</v>
      </c>
      <c r="S309" t="s">
        <v>3240</v>
      </c>
    </row>
    <row r="310" spans="1:19" x14ac:dyDescent="0.25">
      <c r="A310" t="s">
        <v>1979</v>
      </c>
      <c r="B310">
        <v>3</v>
      </c>
      <c r="C310">
        <v>2</v>
      </c>
      <c r="D310">
        <v>0</v>
      </c>
      <c r="E310" t="s">
        <v>2230</v>
      </c>
      <c r="F310">
        <v>100020</v>
      </c>
      <c r="G310">
        <v>73197032</v>
      </c>
      <c r="H310">
        <v>0.96703703204790747</v>
      </c>
      <c r="I310">
        <v>0.95851851851851855</v>
      </c>
      <c r="J310">
        <v>13375955.666666666</v>
      </c>
      <c r="K310">
        <v>162004</v>
      </c>
      <c r="L310">
        <v>2</v>
      </c>
      <c r="M310">
        <v>266</v>
      </c>
      <c r="N310">
        <v>0.95777777777777784</v>
      </c>
      <c r="O310">
        <v>14144730.333333334</v>
      </c>
      <c r="P310">
        <v>163147</v>
      </c>
      <c r="Q310">
        <v>2</v>
      </c>
      <c r="R310">
        <v>267</v>
      </c>
      <c r="S310" t="s">
        <v>3241</v>
      </c>
    </row>
    <row r="311" spans="1:19" x14ac:dyDescent="0.25">
      <c r="A311" t="s">
        <v>1979</v>
      </c>
      <c r="B311">
        <v>3</v>
      </c>
      <c r="C311">
        <v>3</v>
      </c>
      <c r="D311">
        <v>0</v>
      </c>
      <c r="E311" t="s">
        <v>2230</v>
      </c>
      <c r="F311">
        <v>112500</v>
      </c>
      <c r="G311">
        <v>230678017</v>
      </c>
      <c r="H311">
        <v>0.99148149291674292</v>
      </c>
      <c r="I311">
        <v>0.97740740740740739</v>
      </c>
      <c r="J311">
        <v>21078363.666666668</v>
      </c>
      <c r="K311">
        <v>199297</v>
      </c>
      <c r="L311">
        <v>2</v>
      </c>
      <c r="M311">
        <v>297</v>
      </c>
      <c r="N311">
        <v>0.9781481481481481</v>
      </c>
      <c r="O311">
        <v>20348699.5</v>
      </c>
      <c r="P311">
        <v>200564</v>
      </c>
      <c r="Q311">
        <v>2</v>
      </c>
      <c r="R311">
        <v>298</v>
      </c>
      <c r="S311" t="s">
        <v>3242</v>
      </c>
    </row>
    <row r="312" spans="1:19" x14ac:dyDescent="0.25">
      <c r="A312" t="s">
        <v>1979</v>
      </c>
      <c r="B312">
        <v>3</v>
      </c>
      <c r="C312">
        <v>2</v>
      </c>
      <c r="D312">
        <v>0</v>
      </c>
      <c r="E312" t="s">
        <v>2232</v>
      </c>
      <c r="F312">
        <v>101302</v>
      </c>
      <c r="G312">
        <v>305477401.78571427</v>
      </c>
      <c r="H312">
        <v>0.97380951898438595</v>
      </c>
      <c r="I312">
        <v>0.96380952380952378</v>
      </c>
      <c r="J312">
        <v>29805855</v>
      </c>
      <c r="K312">
        <v>164294</v>
      </c>
      <c r="L312">
        <v>2</v>
      </c>
      <c r="M312">
        <v>268</v>
      </c>
      <c r="N312">
        <v>0.95904761904761904</v>
      </c>
      <c r="O312">
        <v>31231880.142857142</v>
      </c>
      <c r="P312">
        <v>165445</v>
      </c>
      <c r="Q312">
        <v>2</v>
      </c>
      <c r="R312">
        <v>269</v>
      </c>
      <c r="S312" t="s">
        <v>3243</v>
      </c>
    </row>
    <row r="313" spans="1:19" x14ac:dyDescent="0.25">
      <c r="A313" t="s">
        <v>1979</v>
      </c>
      <c r="B313">
        <v>3</v>
      </c>
      <c r="C313">
        <v>3</v>
      </c>
      <c r="D313">
        <v>0</v>
      </c>
      <c r="E313" t="s">
        <v>2232</v>
      </c>
      <c r="F313">
        <v>113942</v>
      </c>
      <c r="G313">
        <v>247176989</v>
      </c>
      <c r="H313">
        <v>0.98888888955116272</v>
      </c>
      <c r="I313">
        <v>0.97851851851851845</v>
      </c>
      <c r="J313">
        <v>21415891.5</v>
      </c>
      <c r="K313">
        <v>201835</v>
      </c>
      <c r="L313">
        <v>2</v>
      </c>
      <c r="M313">
        <v>299</v>
      </c>
      <c r="N313">
        <v>0.98</v>
      </c>
      <c r="O313">
        <v>21055305.333333332</v>
      </c>
      <c r="P313">
        <v>203110</v>
      </c>
      <c r="Q313">
        <v>2</v>
      </c>
      <c r="R313">
        <v>300</v>
      </c>
      <c r="S313" t="s">
        <v>3244</v>
      </c>
    </row>
    <row r="314" spans="1:19" x14ac:dyDescent="0.25">
      <c r="A314" t="s">
        <v>1979</v>
      </c>
      <c r="B314">
        <v>3</v>
      </c>
      <c r="C314">
        <v>2</v>
      </c>
      <c r="D314">
        <v>0</v>
      </c>
      <c r="E314" t="s">
        <v>2234</v>
      </c>
      <c r="F314">
        <v>102584</v>
      </c>
      <c r="G314">
        <v>315346166.14285713</v>
      </c>
      <c r="H314">
        <v>0.97301587036677772</v>
      </c>
      <c r="I314">
        <v>0.96349206349206351</v>
      </c>
      <c r="J314">
        <v>31344412.142857142</v>
      </c>
      <c r="K314">
        <v>165445</v>
      </c>
      <c r="L314">
        <v>2</v>
      </c>
      <c r="M314">
        <v>269</v>
      </c>
      <c r="N314">
        <v>0.96317460317460324</v>
      </c>
      <c r="O314">
        <v>30702592.142857142</v>
      </c>
      <c r="P314">
        <v>166600</v>
      </c>
      <c r="Q314">
        <v>2</v>
      </c>
      <c r="R314">
        <v>270</v>
      </c>
      <c r="S314" t="s">
        <v>3245</v>
      </c>
    </row>
    <row r="315" spans="1:19" x14ac:dyDescent="0.25">
      <c r="A315" t="s">
        <v>1979</v>
      </c>
      <c r="B315">
        <v>3</v>
      </c>
      <c r="C315">
        <v>3</v>
      </c>
      <c r="D315">
        <v>0</v>
      </c>
      <c r="E315" t="s">
        <v>2234</v>
      </c>
      <c r="F315">
        <v>115384</v>
      </c>
      <c r="G315">
        <v>265658575.83333334</v>
      </c>
      <c r="H315">
        <v>0.982962965965271</v>
      </c>
      <c r="I315">
        <v>0.97851851851851857</v>
      </c>
      <c r="J315">
        <v>21019461.666666668</v>
      </c>
      <c r="K315">
        <v>204389</v>
      </c>
      <c r="L315">
        <v>2</v>
      </c>
      <c r="M315">
        <v>301</v>
      </c>
      <c r="N315">
        <v>0.98148148148148151</v>
      </c>
      <c r="O315">
        <v>21965050</v>
      </c>
      <c r="P315">
        <v>205672</v>
      </c>
      <c r="Q315">
        <v>2</v>
      </c>
      <c r="R315">
        <v>302</v>
      </c>
      <c r="S315" t="s">
        <v>3246</v>
      </c>
    </row>
    <row r="316" spans="1:19" x14ac:dyDescent="0.25">
      <c r="A316" t="s">
        <v>1979</v>
      </c>
      <c r="B316">
        <v>3</v>
      </c>
      <c r="C316">
        <v>2</v>
      </c>
      <c r="D316">
        <v>0</v>
      </c>
      <c r="E316" t="s">
        <v>2236</v>
      </c>
      <c r="F316">
        <v>103866</v>
      </c>
      <c r="G316">
        <v>330325244.35714287</v>
      </c>
      <c r="H316">
        <v>0.97650793620518272</v>
      </c>
      <c r="I316">
        <v>0.96492063492063496</v>
      </c>
      <c r="J316">
        <v>31162091.857142858</v>
      </c>
      <c r="K316">
        <v>167759</v>
      </c>
      <c r="L316">
        <v>2</v>
      </c>
      <c r="M316">
        <v>271</v>
      </c>
      <c r="N316">
        <v>0.96365079365079365</v>
      </c>
      <c r="O316">
        <v>31204777.714285713</v>
      </c>
      <c r="P316">
        <v>168922</v>
      </c>
      <c r="Q316">
        <v>2</v>
      </c>
      <c r="R316">
        <v>272</v>
      </c>
      <c r="S316" t="s">
        <v>3247</v>
      </c>
    </row>
    <row r="317" spans="1:19" x14ac:dyDescent="0.25">
      <c r="A317" t="s">
        <v>1979</v>
      </c>
      <c r="B317">
        <v>3</v>
      </c>
      <c r="C317">
        <v>3</v>
      </c>
      <c r="D317">
        <v>0</v>
      </c>
      <c r="E317" t="s">
        <v>2236</v>
      </c>
      <c r="F317">
        <v>116826</v>
      </c>
      <c r="G317">
        <v>229817059.33333334</v>
      </c>
      <c r="H317">
        <v>0.98888887961705529</v>
      </c>
      <c r="I317">
        <v>0.97851851851851857</v>
      </c>
      <c r="J317">
        <v>20450715.666666668</v>
      </c>
      <c r="K317">
        <v>206959</v>
      </c>
      <c r="L317">
        <v>2</v>
      </c>
      <c r="M317">
        <v>303</v>
      </c>
      <c r="N317">
        <v>0.98</v>
      </c>
      <c r="O317">
        <v>21034427.333333332</v>
      </c>
      <c r="P317">
        <v>208250</v>
      </c>
      <c r="Q317">
        <v>2</v>
      </c>
      <c r="R317">
        <v>304</v>
      </c>
      <c r="S317" t="s">
        <v>3248</v>
      </c>
    </row>
    <row r="318" spans="1:19" x14ac:dyDescent="0.25">
      <c r="A318" t="s">
        <v>1979</v>
      </c>
      <c r="B318">
        <v>3</v>
      </c>
      <c r="C318">
        <v>2</v>
      </c>
      <c r="D318">
        <v>0</v>
      </c>
      <c r="E318" t="s">
        <v>2238</v>
      </c>
      <c r="F318">
        <v>105148</v>
      </c>
      <c r="G318">
        <v>324340354.78571427</v>
      </c>
      <c r="H318">
        <v>0.97571428333009991</v>
      </c>
      <c r="I318">
        <v>0.96571428571428575</v>
      </c>
      <c r="J318">
        <v>30930822.142857142</v>
      </c>
      <c r="K318">
        <v>170089</v>
      </c>
      <c r="L318">
        <v>2</v>
      </c>
      <c r="M318">
        <v>273</v>
      </c>
      <c r="N318">
        <v>0.96730158730158733</v>
      </c>
      <c r="O318">
        <v>30884388.357142858</v>
      </c>
      <c r="P318">
        <v>171260</v>
      </c>
      <c r="Q318">
        <v>2</v>
      </c>
      <c r="R318">
        <v>274</v>
      </c>
      <c r="S318" t="s">
        <v>3249</v>
      </c>
    </row>
    <row r="319" spans="1:19" x14ac:dyDescent="0.25">
      <c r="A319" t="s">
        <v>1979</v>
      </c>
      <c r="B319">
        <v>3</v>
      </c>
      <c r="C319">
        <v>3</v>
      </c>
      <c r="D319">
        <v>0</v>
      </c>
      <c r="E319" t="s">
        <v>2238</v>
      </c>
      <c r="F319">
        <v>118268</v>
      </c>
      <c r="G319">
        <v>247309000.33333334</v>
      </c>
      <c r="H319">
        <v>0.98962962627410889</v>
      </c>
      <c r="I319">
        <v>0.97888888888888892</v>
      </c>
      <c r="J319">
        <v>22432000.666666668</v>
      </c>
      <c r="K319">
        <v>209545</v>
      </c>
      <c r="L319">
        <v>2</v>
      </c>
      <c r="M319">
        <v>305</v>
      </c>
      <c r="N319">
        <v>0.97518518518518515</v>
      </c>
      <c r="O319">
        <v>21439217.166666668</v>
      </c>
      <c r="P319">
        <v>210844</v>
      </c>
      <c r="Q319">
        <v>2</v>
      </c>
      <c r="R319">
        <v>306</v>
      </c>
      <c r="S319" t="s">
        <v>3250</v>
      </c>
    </row>
    <row r="320" spans="1:19" x14ac:dyDescent="0.25">
      <c r="A320" t="s">
        <v>1979</v>
      </c>
      <c r="B320">
        <v>3</v>
      </c>
      <c r="C320">
        <v>2</v>
      </c>
      <c r="D320">
        <v>0</v>
      </c>
      <c r="E320" t="s">
        <v>2240</v>
      </c>
      <c r="F320">
        <v>106430</v>
      </c>
      <c r="G320">
        <v>317987828.5714286</v>
      </c>
      <c r="H320">
        <v>0.97428570474897114</v>
      </c>
      <c r="I320">
        <v>0.96650793650793654</v>
      </c>
      <c r="J320">
        <v>31916522.285714287</v>
      </c>
      <c r="K320">
        <v>172435</v>
      </c>
      <c r="L320">
        <v>2</v>
      </c>
      <c r="M320">
        <v>275</v>
      </c>
      <c r="N320">
        <v>0.96888888888888891</v>
      </c>
      <c r="O320">
        <v>31243649.285714287</v>
      </c>
      <c r="P320">
        <v>173614</v>
      </c>
      <c r="Q320">
        <v>2</v>
      </c>
      <c r="R320">
        <v>276</v>
      </c>
      <c r="S320" t="s">
        <v>3251</v>
      </c>
    </row>
    <row r="321" spans="1:19" x14ac:dyDescent="0.25">
      <c r="A321" t="s">
        <v>1979</v>
      </c>
      <c r="B321">
        <v>3</v>
      </c>
      <c r="C321">
        <v>3</v>
      </c>
      <c r="D321">
        <v>0</v>
      </c>
      <c r="E321" t="s">
        <v>2240</v>
      </c>
      <c r="F321">
        <v>119710</v>
      </c>
      <c r="G321">
        <v>205515647.16666666</v>
      </c>
      <c r="H321">
        <v>0.98814814289410913</v>
      </c>
      <c r="I321">
        <v>0.98148148148148151</v>
      </c>
      <c r="J321">
        <v>20824059.833333332</v>
      </c>
      <c r="K321">
        <v>212147</v>
      </c>
      <c r="L321">
        <v>2</v>
      </c>
      <c r="M321">
        <v>307</v>
      </c>
      <c r="N321">
        <v>0.98074074074074069</v>
      </c>
      <c r="O321">
        <v>21054678.166666668</v>
      </c>
      <c r="P321">
        <v>213454</v>
      </c>
      <c r="Q321">
        <v>2</v>
      </c>
      <c r="R321">
        <v>308</v>
      </c>
      <c r="S321" t="s">
        <v>3252</v>
      </c>
    </row>
    <row r="322" spans="1:19" x14ac:dyDescent="0.25">
      <c r="A322" t="s">
        <v>1979</v>
      </c>
      <c r="B322">
        <v>3</v>
      </c>
      <c r="C322">
        <v>2</v>
      </c>
      <c r="D322">
        <v>0</v>
      </c>
      <c r="E322" t="s">
        <v>2242</v>
      </c>
      <c r="F322">
        <v>107712</v>
      </c>
      <c r="G322">
        <v>321469809.71428573</v>
      </c>
      <c r="H322">
        <v>0.97476189902850563</v>
      </c>
      <c r="I322">
        <v>0.96603174603174602</v>
      </c>
      <c r="J322">
        <v>31981024.571428571</v>
      </c>
      <c r="K322">
        <v>174797</v>
      </c>
      <c r="L322">
        <v>2</v>
      </c>
      <c r="M322">
        <v>277</v>
      </c>
      <c r="N322">
        <v>0.96317460317460313</v>
      </c>
      <c r="O322">
        <v>31490509.071428571</v>
      </c>
      <c r="P322">
        <v>175984</v>
      </c>
      <c r="Q322">
        <v>2</v>
      </c>
      <c r="R322">
        <v>278</v>
      </c>
      <c r="S322" t="s">
        <v>3253</v>
      </c>
    </row>
    <row r="323" spans="1:19" x14ac:dyDescent="0.25">
      <c r="A323" t="s">
        <v>1979</v>
      </c>
      <c r="B323">
        <v>3</v>
      </c>
      <c r="C323">
        <v>3</v>
      </c>
      <c r="D323">
        <v>0</v>
      </c>
      <c r="E323" t="s">
        <v>2242</v>
      </c>
      <c r="F323">
        <v>121152</v>
      </c>
      <c r="G323">
        <v>285094191.16666669</v>
      </c>
      <c r="H323">
        <v>0.98333332935969031</v>
      </c>
      <c r="I323">
        <v>0.97740740740740739</v>
      </c>
      <c r="J323">
        <v>21267305.5</v>
      </c>
      <c r="K323">
        <v>214765</v>
      </c>
      <c r="L323">
        <v>2</v>
      </c>
      <c r="M323">
        <v>309</v>
      </c>
      <c r="N323">
        <v>0.97592592592592586</v>
      </c>
      <c r="O323">
        <v>21709030.5</v>
      </c>
      <c r="P323">
        <v>216080</v>
      </c>
      <c r="Q323">
        <v>2</v>
      </c>
      <c r="R323">
        <v>310</v>
      </c>
      <c r="S323" t="s">
        <v>3254</v>
      </c>
    </row>
    <row r="324" spans="1:19" x14ac:dyDescent="0.25">
      <c r="A324" t="s">
        <v>1979</v>
      </c>
      <c r="B324">
        <v>3</v>
      </c>
      <c r="C324">
        <v>2</v>
      </c>
      <c r="D324">
        <v>0</v>
      </c>
      <c r="E324" t="s">
        <v>2244</v>
      </c>
      <c r="F324">
        <v>108994</v>
      </c>
      <c r="G324">
        <v>375294891.85714287</v>
      </c>
      <c r="H324">
        <v>0.97222223026411869</v>
      </c>
      <c r="I324">
        <v>0.96317460317460313</v>
      </c>
      <c r="J324">
        <v>31914877.357142858</v>
      </c>
      <c r="K324">
        <v>175984</v>
      </c>
      <c r="L324">
        <v>2</v>
      </c>
      <c r="M324">
        <v>278</v>
      </c>
      <c r="N324">
        <v>0.9642857142857143</v>
      </c>
      <c r="O324">
        <v>32017010.714285713</v>
      </c>
      <c r="P324">
        <v>177175</v>
      </c>
      <c r="Q324">
        <v>2</v>
      </c>
      <c r="R324">
        <v>279</v>
      </c>
      <c r="S324" t="s">
        <v>3255</v>
      </c>
    </row>
    <row r="325" spans="1:19" x14ac:dyDescent="0.25">
      <c r="A325" t="s">
        <v>1979</v>
      </c>
      <c r="B325">
        <v>3</v>
      </c>
      <c r="C325">
        <v>3</v>
      </c>
      <c r="D325">
        <v>0</v>
      </c>
      <c r="E325" t="s">
        <v>2244</v>
      </c>
      <c r="F325">
        <v>122594</v>
      </c>
      <c r="G325">
        <v>270569352</v>
      </c>
      <c r="H325">
        <v>0.9899999896685282</v>
      </c>
      <c r="I325">
        <v>0.98074074074074069</v>
      </c>
      <c r="J325">
        <v>21784098.166666668</v>
      </c>
      <c r="K325">
        <v>217399</v>
      </c>
      <c r="L325">
        <v>2</v>
      </c>
      <c r="M325">
        <v>311</v>
      </c>
      <c r="N325">
        <v>0.98</v>
      </c>
      <c r="O325">
        <v>22406507.5</v>
      </c>
      <c r="P325">
        <v>218722</v>
      </c>
      <c r="Q325">
        <v>2</v>
      </c>
      <c r="R325">
        <v>312</v>
      </c>
      <c r="S325" t="s">
        <v>3256</v>
      </c>
    </row>
    <row r="326" spans="1:19" x14ac:dyDescent="0.25">
      <c r="A326" t="s">
        <v>1979</v>
      </c>
      <c r="B326">
        <v>3</v>
      </c>
      <c r="C326">
        <v>2</v>
      </c>
      <c r="D326">
        <v>0</v>
      </c>
      <c r="E326" t="s">
        <v>2246</v>
      </c>
      <c r="F326">
        <v>110276</v>
      </c>
      <c r="G326">
        <v>384765728.35714287</v>
      </c>
      <c r="H326">
        <v>0.97555556041853764</v>
      </c>
      <c r="I326">
        <v>0.96777777777777774</v>
      </c>
      <c r="J326">
        <v>32129464.642857142</v>
      </c>
      <c r="K326">
        <v>178370</v>
      </c>
      <c r="L326">
        <v>2</v>
      </c>
      <c r="M326">
        <v>280</v>
      </c>
      <c r="N326">
        <v>0.96507936507936509</v>
      </c>
      <c r="O326">
        <v>31909314.357142858</v>
      </c>
      <c r="P326">
        <v>179569</v>
      </c>
      <c r="Q326">
        <v>2</v>
      </c>
      <c r="R326">
        <v>281</v>
      </c>
      <c r="S326" t="s">
        <v>3257</v>
      </c>
    </row>
    <row r="327" spans="1:19" x14ac:dyDescent="0.25">
      <c r="A327" t="s">
        <v>1979</v>
      </c>
      <c r="B327">
        <v>3</v>
      </c>
      <c r="C327">
        <v>3</v>
      </c>
      <c r="D327">
        <v>0</v>
      </c>
      <c r="E327" t="s">
        <v>2246</v>
      </c>
      <c r="F327">
        <v>124036</v>
      </c>
      <c r="G327">
        <v>257577747.33333334</v>
      </c>
      <c r="H327">
        <v>0.98592591285705566</v>
      </c>
      <c r="I327">
        <v>0.97888888888888892</v>
      </c>
      <c r="J327">
        <v>21256808.666666668</v>
      </c>
      <c r="K327">
        <v>220049</v>
      </c>
      <c r="L327">
        <v>2</v>
      </c>
      <c r="M327">
        <v>313</v>
      </c>
      <c r="N327">
        <v>0.97962962962962963</v>
      </c>
      <c r="O327">
        <v>21937147.333333332</v>
      </c>
      <c r="P327">
        <v>221380</v>
      </c>
      <c r="Q327">
        <v>2</v>
      </c>
      <c r="R327">
        <v>314</v>
      </c>
      <c r="S327" t="s">
        <v>3258</v>
      </c>
    </row>
    <row r="328" spans="1:19" x14ac:dyDescent="0.25">
      <c r="A328" t="s">
        <v>1979</v>
      </c>
      <c r="B328">
        <v>3</v>
      </c>
      <c r="C328">
        <v>2</v>
      </c>
      <c r="D328">
        <v>0</v>
      </c>
      <c r="E328" t="s">
        <v>2248</v>
      </c>
      <c r="F328">
        <v>111558</v>
      </c>
      <c r="G328">
        <v>355273087.85714287</v>
      </c>
      <c r="H328">
        <v>0.97809523344039917</v>
      </c>
      <c r="I328">
        <v>0.96746031746031746</v>
      </c>
      <c r="J328">
        <v>31013195.642857142</v>
      </c>
      <c r="K328">
        <v>180772</v>
      </c>
      <c r="L328">
        <v>2</v>
      </c>
      <c r="M328">
        <v>282</v>
      </c>
      <c r="N328">
        <v>0.96619047619047616</v>
      </c>
      <c r="O328">
        <v>31881149</v>
      </c>
      <c r="P328">
        <v>181979</v>
      </c>
      <c r="Q328">
        <v>2</v>
      </c>
      <c r="R328">
        <v>283</v>
      </c>
      <c r="S328" t="s">
        <v>3259</v>
      </c>
    </row>
    <row r="329" spans="1:19" x14ac:dyDescent="0.25">
      <c r="A329" t="s">
        <v>1979</v>
      </c>
      <c r="B329">
        <v>3</v>
      </c>
      <c r="C329">
        <v>3</v>
      </c>
      <c r="D329">
        <v>0</v>
      </c>
      <c r="E329" t="s">
        <v>2248</v>
      </c>
      <c r="F329">
        <v>125478</v>
      </c>
      <c r="G329">
        <v>275139766.5</v>
      </c>
      <c r="H329">
        <v>0.98703703284263611</v>
      </c>
      <c r="I329">
        <v>0.97555555555555551</v>
      </c>
      <c r="J329">
        <v>22932637.666666668</v>
      </c>
      <c r="K329">
        <v>222715</v>
      </c>
      <c r="L329">
        <v>2</v>
      </c>
      <c r="M329">
        <v>315</v>
      </c>
      <c r="N329">
        <v>0.98185185185185186</v>
      </c>
      <c r="O329">
        <v>22667111.833333332</v>
      </c>
      <c r="P329">
        <v>224054</v>
      </c>
      <c r="Q329">
        <v>2</v>
      </c>
      <c r="R329">
        <v>316</v>
      </c>
      <c r="S329" t="s">
        <v>3260</v>
      </c>
    </row>
    <row r="330" spans="1:19" x14ac:dyDescent="0.25">
      <c r="A330" t="s">
        <v>1979</v>
      </c>
      <c r="B330">
        <v>3</v>
      </c>
      <c r="C330">
        <v>2</v>
      </c>
      <c r="D330">
        <v>0</v>
      </c>
      <c r="E330" t="s">
        <v>2250</v>
      </c>
      <c r="F330">
        <v>112840</v>
      </c>
      <c r="G330">
        <v>398467811.78571427</v>
      </c>
      <c r="H330">
        <v>0.97571428333009991</v>
      </c>
      <c r="I330">
        <v>0.96492063492063496</v>
      </c>
      <c r="J330">
        <v>32284457.214285713</v>
      </c>
      <c r="K330">
        <v>183190</v>
      </c>
      <c r="L330">
        <v>2</v>
      </c>
      <c r="M330">
        <v>284</v>
      </c>
      <c r="N330">
        <v>0.9642857142857143</v>
      </c>
      <c r="O330">
        <v>32077486.071428571</v>
      </c>
      <c r="P330">
        <v>184405</v>
      </c>
      <c r="Q330">
        <v>2</v>
      </c>
      <c r="R330">
        <v>285</v>
      </c>
      <c r="S330" t="s">
        <v>3261</v>
      </c>
    </row>
    <row r="331" spans="1:19" x14ac:dyDescent="0.25">
      <c r="A331" t="s">
        <v>1979</v>
      </c>
      <c r="B331">
        <v>3</v>
      </c>
      <c r="C331">
        <v>3</v>
      </c>
      <c r="D331">
        <v>0</v>
      </c>
      <c r="E331" t="s">
        <v>2250</v>
      </c>
      <c r="F331">
        <v>126920</v>
      </c>
      <c r="G331">
        <v>273318527.16666669</v>
      </c>
      <c r="H331">
        <v>0.98777776956558228</v>
      </c>
      <c r="I331">
        <v>0.97333333333333338</v>
      </c>
      <c r="J331">
        <v>22083284</v>
      </c>
      <c r="K331">
        <v>225397</v>
      </c>
      <c r="L331">
        <v>2</v>
      </c>
      <c r="M331">
        <v>317</v>
      </c>
      <c r="N331">
        <v>0.97814814814814821</v>
      </c>
      <c r="O331">
        <v>22049379</v>
      </c>
      <c r="P331">
        <v>226744</v>
      </c>
      <c r="Q331">
        <v>2</v>
      </c>
      <c r="R331">
        <v>318</v>
      </c>
      <c r="S331" t="s">
        <v>3262</v>
      </c>
    </row>
    <row r="332" spans="1:19" x14ac:dyDescent="0.25">
      <c r="A332" t="s">
        <v>1979</v>
      </c>
      <c r="B332">
        <v>3</v>
      </c>
      <c r="C332">
        <v>2</v>
      </c>
      <c r="D332">
        <v>0</v>
      </c>
      <c r="E332" t="s">
        <v>2252</v>
      </c>
      <c r="F332">
        <v>114122</v>
      </c>
      <c r="G332">
        <v>376326075.64285713</v>
      </c>
      <c r="H332">
        <v>0.97412699035235817</v>
      </c>
      <c r="I332">
        <v>0.96206349206349207</v>
      </c>
      <c r="J332">
        <v>32544888.785714287</v>
      </c>
      <c r="K332">
        <v>184405</v>
      </c>
      <c r="L332">
        <v>2</v>
      </c>
      <c r="M332">
        <v>285</v>
      </c>
      <c r="N332">
        <v>0.96460317460317457</v>
      </c>
      <c r="O332">
        <v>32275930.071428571</v>
      </c>
      <c r="P332">
        <v>185624</v>
      </c>
      <c r="Q332">
        <v>2</v>
      </c>
      <c r="R332">
        <v>286</v>
      </c>
      <c r="S332" t="s">
        <v>3263</v>
      </c>
    </row>
    <row r="333" spans="1:19" x14ac:dyDescent="0.25">
      <c r="A333" t="s">
        <v>1979</v>
      </c>
      <c r="B333">
        <v>3</v>
      </c>
      <c r="C333">
        <v>3</v>
      </c>
      <c r="D333">
        <v>0</v>
      </c>
      <c r="E333" t="s">
        <v>2252</v>
      </c>
      <c r="F333">
        <v>128362</v>
      </c>
      <c r="G333">
        <v>286938987</v>
      </c>
      <c r="H333">
        <v>0.98629628618558252</v>
      </c>
      <c r="I333">
        <v>0.97962962962962963</v>
      </c>
      <c r="J333">
        <v>22349720.666666668</v>
      </c>
      <c r="K333">
        <v>226744</v>
      </c>
      <c r="L333">
        <v>2</v>
      </c>
      <c r="M333">
        <v>318</v>
      </c>
      <c r="N333">
        <v>0.97629629629629633</v>
      </c>
      <c r="O333">
        <v>22994383</v>
      </c>
      <c r="P333">
        <v>228095</v>
      </c>
      <c r="Q333">
        <v>2</v>
      </c>
      <c r="R333">
        <v>319</v>
      </c>
      <c r="S333" t="s">
        <v>3264</v>
      </c>
    </row>
    <row r="334" spans="1:19" x14ac:dyDescent="0.25">
      <c r="A334" t="s">
        <v>1979</v>
      </c>
      <c r="B334">
        <v>3</v>
      </c>
      <c r="C334">
        <v>2</v>
      </c>
      <c r="D334">
        <v>0</v>
      </c>
      <c r="E334" t="s">
        <v>2254</v>
      </c>
      <c r="F334">
        <v>115404</v>
      </c>
      <c r="G334">
        <v>368298026</v>
      </c>
      <c r="H334">
        <v>0.97825396486691063</v>
      </c>
      <c r="I334">
        <v>0.96523809523809523</v>
      </c>
      <c r="J334">
        <v>32482264.5</v>
      </c>
      <c r="K334">
        <v>186847</v>
      </c>
      <c r="L334">
        <v>2</v>
      </c>
      <c r="M334">
        <v>287</v>
      </c>
      <c r="N334">
        <v>0.9642857142857143</v>
      </c>
      <c r="O334">
        <v>32546497.285714287</v>
      </c>
      <c r="P334">
        <v>188074</v>
      </c>
      <c r="Q334">
        <v>2</v>
      </c>
      <c r="R334">
        <v>288</v>
      </c>
      <c r="S334" t="s">
        <v>3265</v>
      </c>
    </row>
    <row r="335" spans="1:19" x14ac:dyDescent="0.25">
      <c r="A335" t="s">
        <v>1979</v>
      </c>
      <c r="B335">
        <v>3</v>
      </c>
      <c r="C335">
        <v>3</v>
      </c>
      <c r="D335">
        <v>0</v>
      </c>
      <c r="E335" t="s">
        <v>2254</v>
      </c>
      <c r="F335">
        <v>129804</v>
      </c>
      <c r="G335">
        <v>278608797.83333331</v>
      </c>
      <c r="H335">
        <v>0.98740739623705542</v>
      </c>
      <c r="I335">
        <v>0.9748148148148148</v>
      </c>
      <c r="J335">
        <v>22481991.166666668</v>
      </c>
      <c r="K335">
        <v>229450</v>
      </c>
      <c r="L335">
        <v>2</v>
      </c>
      <c r="M335">
        <v>320</v>
      </c>
      <c r="N335">
        <v>0.97555555555555551</v>
      </c>
      <c r="O335">
        <v>22219610.833333332</v>
      </c>
      <c r="P335">
        <v>230809</v>
      </c>
      <c r="Q335">
        <v>2</v>
      </c>
      <c r="R335">
        <v>321</v>
      </c>
      <c r="S335" t="s">
        <v>3266</v>
      </c>
    </row>
    <row r="336" spans="1:19" x14ac:dyDescent="0.25">
      <c r="A336" t="s">
        <v>1979</v>
      </c>
      <c r="B336">
        <v>3</v>
      </c>
      <c r="C336">
        <v>2</v>
      </c>
      <c r="D336">
        <v>0</v>
      </c>
      <c r="E336" t="s">
        <v>2256</v>
      </c>
      <c r="F336">
        <v>116686</v>
      </c>
      <c r="G336">
        <v>394124548.28571427</v>
      </c>
      <c r="H336">
        <v>0.98158729502132958</v>
      </c>
      <c r="I336">
        <v>0.96634920634920629</v>
      </c>
      <c r="J336">
        <v>32554247.928571429</v>
      </c>
      <c r="K336">
        <v>189305</v>
      </c>
      <c r="L336">
        <v>2</v>
      </c>
      <c r="M336">
        <v>289</v>
      </c>
      <c r="N336">
        <v>0.96460317460317457</v>
      </c>
      <c r="O336">
        <v>32025030.571428571</v>
      </c>
      <c r="P336">
        <v>190540</v>
      </c>
      <c r="Q336">
        <v>2</v>
      </c>
      <c r="R336">
        <v>290</v>
      </c>
      <c r="S336" t="s">
        <v>3267</v>
      </c>
    </row>
    <row r="337" spans="1:19" x14ac:dyDescent="0.25">
      <c r="A337" t="s">
        <v>1979</v>
      </c>
      <c r="B337">
        <v>3</v>
      </c>
      <c r="C337">
        <v>3</v>
      </c>
      <c r="D337">
        <v>0</v>
      </c>
      <c r="E337" t="s">
        <v>2256</v>
      </c>
      <c r="F337">
        <v>131246</v>
      </c>
      <c r="G337">
        <v>520805257.83333331</v>
      </c>
      <c r="H337">
        <v>0.9822222193082174</v>
      </c>
      <c r="I337">
        <v>0.95740740740740737</v>
      </c>
      <c r="J337">
        <v>30480201.833333332</v>
      </c>
      <c r="K337">
        <v>232172</v>
      </c>
      <c r="L337">
        <v>2</v>
      </c>
      <c r="M337">
        <v>322</v>
      </c>
      <c r="N337">
        <v>0.95962962962962961</v>
      </c>
      <c r="O337">
        <v>31717003.333333332</v>
      </c>
      <c r="P337">
        <v>233539</v>
      </c>
      <c r="Q337">
        <v>2</v>
      </c>
      <c r="R337">
        <v>323</v>
      </c>
      <c r="S337" t="s">
        <v>3268</v>
      </c>
    </row>
    <row r="338" spans="1:19" x14ac:dyDescent="0.25">
      <c r="A338" t="s">
        <v>1979</v>
      </c>
      <c r="B338">
        <v>3</v>
      </c>
      <c r="C338">
        <v>2</v>
      </c>
      <c r="D338">
        <v>0</v>
      </c>
      <c r="E338" t="s">
        <v>2258</v>
      </c>
      <c r="F338">
        <v>117968</v>
      </c>
      <c r="G338">
        <v>419330928.71428573</v>
      </c>
      <c r="H338">
        <v>0.96746032152857098</v>
      </c>
      <c r="I338">
        <v>0.95365079365079364</v>
      </c>
      <c r="J338">
        <v>33626448</v>
      </c>
      <c r="K338">
        <v>190540</v>
      </c>
      <c r="L338">
        <v>2</v>
      </c>
      <c r="M338">
        <v>290</v>
      </c>
      <c r="N338">
        <v>0.95730158730158732</v>
      </c>
      <c r="O338">
        <v>34142011.142857142</v>
      </c>
      <c r="P338">
        <v>191779</v>
      </c>
      <c r="Q338">
        <v>2</v>
      </c>
      <c r="R338">
        <v>291</v>
      </c>
      <c r="S338" t="s">
        <v>3269</v>
      </c>
    </row>
    <row r="339" spans="1:19" x14ac:dyDescent="0.25">
      <c r="A339" t="s">
        <v>1979</v>
      </c>
      <c r="B339">
        <v>3</v>
      </c>
      <c r="C339">
        <v>3</v>
      </c>
      <c r="D339">
        <v>0</v>
      </c>
      <c r="E339" t="s">
        <v>2258</v>
      </c>
      <c r="F339">
        <v>132688</v>
      </c>
      <c r="G339">
        <v>442393571</v>
      </c>
      <c r="H339">
        <v>0.96629628539085388</v>
      </c>
      <c r="I339">
        <v>0.94740740740740748</v>
      </c>
      <c r="J339">
        <v>32173717.833333332</v>
      </c>
      <c r="K339">
        <v>234910</v>
      </c>
      <c r="L339">
        <v>2</v>
      </c>
      <c r="M339">
        <v>324</v>
      </c>
      <c r="N339">
        <v>0.94407407407407407</v>
      </c>
      <c r="O339">
        <v>32196662.833333332</v>
      </c>
      <c r="P339">
        <v>236285</v>
      </c>
      <c r="Q339">
        <v>2</v>
      </c>
      <c r="R339">
        <v>325</v>
      </c>
      <c r="S339" t="s">
        <v>3270</v>
      </c>
    </row>
    <row r="340" spans="1:19" x14ac:dyDescent="0.25">
      <c r="A340" t="s">
        <v>1979</v>
      </c>
      <c r="B340">
        <v>3</v>
      </c>
      <c r="C340">
        <v>2</v>
      </c>
      <c r="D340">
        <v>0</v>
      </c>
      <c r="E340" t="s">
        <v>2260</v>
      </c>
      <c r="F340">
        <v>76944</v>
      </c>
      <c r="G340">
        <v>423774043.30000001</v>
      </c>
      <c r="H340">
        <v>0.97111110091209407</v>
      </c>
      <c r="I340">
        <v>0.95799999999999996</v>
      </c>
      <c r="J340">
        <v>31847731.600000001</v>
      </c>
      <c r="K340">
        <v>124519</v>
      </c>
      <c r="L340">
        <v>2</v>
      </c>
      <c r="M340">
        <v>231</v>
      </c>
      <c r="N340">
        <v>0.9575555555555556</v>
      </c>
      <c r="O340">
        <v>32055834.5</v>
      </c>
      <c r="P340">
        <v>125522</v>
      </c>
      <c r="Q340">
        <v>2</v>
      </c>
      <c r="R340">
        <v>232</v>
      </c>
      <c r="S340" t="s">
        <v>3271</v>
      </c>
    </row>
    <row r="341" spans="1:19" x14ac:dyDescent="0.25">
      <c r="A341" t="s">
        <v>1979</v>
      </c>
      <c r="B341">
        <v>3</v>
      </c>
      <c r="C341">
        <v>3</v>
      </c>
      <c r="D341">
        <v>0</v>
      </c>
      <c r="E341" t="s">
        <v>2260</v>
      </c>
      <c r="F341">
        <v>86544</v>
      </c>
      <c r="G341">
        <v>209599234</v>
      </c>
      <c r="H341">
        <v>0.98740739623705542</v>
      </c>
      <c r="I341">
        <v>0.97555555555555562</v>
      </c>
      <c r="J341">
        <v>17096226.333333332</v>
      </c>
      <c r="K341">
        <v>153004</v>
      </c>
      <c r="L341">
        <v>2</v>
      </c>
      <c r="M341">
        <v>258</v>
      </c>
      <c r="N341">
        <v>0.98074074074074069</v>
      </c>
      <c r="O341">
        <v>15850485.833333334</v>
      </c>
      <c r="P341">
        <v>154115</v>
      </c>
      <c r="Q341">
        <v>2</v>
      </c>
      <c r="R341">
        <v>259</v>
      </c>
      <c r="S341" t="s">
        <v>3272</v>
      </c>
    </row>
    <row r="342" spans="1:19" x14ac:dyDescent="0.25">
      <c r="A342" t="s">
        <v>1979</v>
      </c>
      <c r="B342">
        <v>3</v>
      </c>
      <c r="C342">
        <v>2</v>
      </c>
      <c r="D342">
        <v>0</v>
      </c>
      <c r="E342" t="s">
        <v>2262</v>
      </c>
      <c r="F342">
        <v>78226</v>
      </c>
      <c r="G342">
        <v>289916137.85714287</v>
      </c>
      <c r="H342">
        <v>0.96507936290332252</v>
      </c>
      <c r="I342">
        <v>0.95285714285714285</v>
      </c>
      <c r="J342">
        <v>27677634.642857142</v>
      </c>
      <c r="K342">
        <v>126529</v>
      </c>
      <c r="L342">
        <v>2</v>
      </c>
      <c r="M342">
        <v>233</v>
      </c>
      <c r="N342">
        <v>0.95428571428571429</v>
      </c>
      <c r="O342">
        <v>27429218.642857142</v>
      </c>
      <c r="P342">
        <v>127540</v>
      </c>
      <c r="Q342">
        <v>2</v>
      </c>
      <c r="R342">
        <v>234</v>
      </c>
      <c r="S342" t="s">
        <v>3273</v>
      </c>
    </row>
    <row r="343" spans="1:19" x14ac:dyDescent="0.25">
      <c r="A343" t="s">
        <v>1979</v>
      </c>
      <c r="B343">
        <v>3</v>
      </c>
      <c r="C343">
        <v>3</v>
      </c>
      <c r="D343">
        <v>0</v>
      </c>
      <c r="E343" t="s">
        <v>2262</v>
      </c>
      <c r="F343">
        <v>87986</v>
      </c>
      <c r="G343">
        <v>179086781.16666666</v>
      </c>
      <c r="H343">
        <v>0.9851851761341095</v>
      </c>
      <c r="I343">
        <v>0.97629629629629633</v>
      </c>
      <c r="J343">
        <v>16445892.5</v>
      </c>
      <c r="K343">
        <v>155230</v>
      </c>
      <c r="L343">
        <v>2</v>
      </c>
      <c r="M343">
        <v>260</v>
      </c>
      <c r="N343">
        <v>0.97518518518518515</v>
      </c>
      <c r="O343">
        <v>16857183.333333332</v>
      </c>
      <c r="P343">
        <v>156349</v>
      </c>
      <c r="Q343">
        <v>2</v>
      </c>
      <c r="R343">
        <v>261</v>
      </c>
      <c r="S343" t="s">
        <v>3274</v>
      </c>
    </row>
    <row r="344" spans="1:19" x14ac:dyDescent="0.25">
      <c r="A344" t="s">
        <v>1979</v>
      </c>
      <c r="B344">
        <v>3</v>
      </c>
      <c r="C344">
        <v>2</v>
      </c>
      <c r="D344">
        <v>0</v>
      </c>
      <c r="E344" t="s">
        <v>2264</v>
      </c>
      <c r="F344">
        <v>79508</v>
      </c>
      <c r="G344">
        <v>248237559.64285713</v>
      </c>
      <c r="H344">
        <v>0.97158730030059814</v>
      </c>
      <c r="I344">
        <v>0.95380952380952388</v>
      </c>
      <c r="J344">
        <v>27093507</v>
      </c>
      <c r="K344">
        <v>128555</v>
      </c>
      <c r="L344">
        <v>2</v>
      </c>
      <c r="M344">
        <v>235</v>
      </c>
      <c r="N344">
        <v>0.95428571428571429</v>
      </c>
      <c r="O344">
        <v>27961500.857142858</v>
      </c>
      <c r="P344">
        <v>129574</v>
      </c>
      <c r="Q344">
        <v>2</v>
      </c>
      <c r="R344">
        <v>236</v>
      </c>
      <c r="S344" t="s">
        <v>3275</v>
      </c>
    </row>
    <row r="345" spans="1:19" x14ac:dyDescent="0.25">
      <c r="A345" t="s">
        <v>1979</v>
      </c>
      <c r="B345">
        <v>3</v>
      </c>
      <c r="C345">
        <v>3</v>
      </c>
      <c r="D345">
        <v>0</v>
      </c>
      <c r="E345" t="s">
        <v>2264</v>
      </c>
      <c r="F345">
        <v>89428</v>
      </c>
      <c r="G345">
        <v>195687486.16666666</v>
      </c>
      <c r="H345">
        <v>0.98703704277674353</v>
      </c>
      <c r="I345">
        <v>0.97370370370370374</v>
      </c>
      <c r="J345">
        <v>17117402</v>
      </c>
      <c r="K345">
        <v>158599</v>
      </c>
      <c r="L345">
        <v>2</v>
      </c>
      <c r="M345">
        <v>263</v>
      </c>
      <c r="N345">
        <v>0.97666666666666668</v>
      </c>
      <c r="O345">
        <v>16805058.666666668</v>
      </c>
      <c r="P345">
        <v>159730</v>
      </c>
      <c r="Q345">
        <v>2</v>
      </c>
      <c r="R345">
        <v>264</v>
      </c>
      <c r="S345" t="s">
        <v>3276</v>
      </c>
    </row>
    <row r="346" spans="1:19" x14ac:dyDescent="0.25">
      <c r="A346" t="s">
        <v>1979</v>
      </c>
      <c r="B346">
        <v>3</v>
      </c>
      <c r="C346">
        <v>2</v>
      </c>
      <c r="D346">
        <v>0</v>
      </c>
      <c r="E346" t="s">
        <v>2266</v>
      </c>
      <c r="F346">
        <v>80790</v>
      </c>
      <c r="G346">
        <v>335732262.5714286</v>
      </c>
      <c r="H346">
        <v>0.96619047437395367</v>
      </c>
      <c r="I346">
        <v>0.95412698412698416</v>
      </c>
      <c r="J346">
        <v>28254644.642857142</v>
      </c>
      <c r="K346">
        <v>130597</v>
      </c>
      <c r="L346">
        <v>2</v>
      </c>
      <c r="M346">
        <v>237</v>
      </c>
      <c r="N346">
        <v>0.95587301587301587</v>
      </c>
      <c r="O346">
        <v>27883179.928571429</v>
      </c>
      <c r="P346">
        <v>131624</v>
      </c>
      <c r="Q346">
        <v>2</v>
      </c>
      <c r="R346">
        <v>238</v>
      </c>
      <c r="S346" t="s">
        <v>3277</v>
      </c>
    </row>
    <row r="347" spans="1:19" x14ac:dyDescent="0.25">
      <c r="A347" t="s">
        <v>1979</v>
      </c>
      <c r="B347">
        <v>3</v>
      </c>
      <c r="C347">
        <v>3</v>
      </c>
      <c r="D347">
        <v>0</v>
      </c>
      <c r="E347" t="s">
        <v>2266</v>
      </c>
      <c r="F347">
        <v>90870</v>
      </c>
      <c r="G347">
        <v>221272242.33333334</v>
      </c>
      <c r="H347">
        <v>0.982962965965271</v>
      </c>
      <c r="I347">
        <v>0.97629629629629633</v>
      </c>
      <c r="J347">
        <v>17095111.5</v>
      </c>
      <c r="K347">
        <v>160865</v>
      </c>
      <c r="L347">
        <v>2</v>
      </c>
      <c r="M347">
        <v>265</v>
      </c>
      <c r="N347">
        <v>0.97629629629629622</v>
      </c>
      <c r="O347">
        <v>18126862</v>
      </c>
      <c r="P347">
        <v>162004</v>
      </c>
      <c r="Q347">
        <v>2</v>
      </c>
      <c r="R347">
        <v>266</v>
      </c>
      <c r="S347" t="s">
        <v>3278</v>
      </c>
    </row>
    <row r="348" spans="1:19" x14ac:dyDescent="0.25">
      <c r="A348" t="s">
        <v>1979</v>
      </c>
      <c r="B348">
        <v>3</v>
      </c>
      <c r="C348">
        <v>2</v>
      </c>
      <c r="D348">
        <v>0</v>
      </c>
      <c r="E348" t="s">
        <v>2268</v>
      </c>
      <c r="F348">
        <v>82072</v>
      </c>
      <c r="G348">
        <v>310154729.5714286</v>
      </c>
      <c r="H348">
        <v>0.96730159010205952</v>
      </c>
      <c r="I348">
        <v>0.9534920634920635</v>
      </c>
      <c r="J348">
        <v>27933193.5</v>
      </c>
      <c r="K348">
        <v>132655</v>
      </c>
      <c r="L348">
        <v>2</v>
      </c>
      <c r="M348">
        <v>239</v>
      </c>
      <c r="N348">
        <v>0.95253968253968258</v>
      </c>
      <c r="O348">
        <v>28077895.071428571</v>
      </c>
      <c r="P348">
        <v>133690</v>
      </c>
      <c r="Q348">
        <v>2</v>
      </c>
      <c r="R348">
        <v>240</v>
      </c>
      <c r="S348" t="s">
        <v>3279</v>
      </c>
    </row>
    <row r="349" spans="1:19" x14ac:dyDescent="0.25">
      <c r="A349" t="s">
        <v>1979</v>
      </c>
      <c r="B349">
        <v>3</v>
      </c>
      <c r="C349">
        <v>3</v>
      </c>
      <c r="D349">
        <v>0</v>
      </c>
      <c r="E349" t="s">
        <v>2268</v>
      </c>
      <c r="F349">
        <v>92312</v>
      </c>
      <c r="G349">
        <v>170824432</v>
      </c>
      <c r="H349">
        <v>0.98851851622263587</v>
      </c>
      <c r="I349">
        <v>0.97666666666666668</v>
      </c>
      <c r="J349">
        <v>17489886.166666668</v>
      </c>
      <c r="K349">
        <v>163147</v>
      </c>
      <c r="L349">
        <v>2</v>
      </c>
      <c r="M349">
        <v>267</v>
      </c>
      <c r="N349">
        <v>0.97629629629629633</v>
      </c>
      <c r="O349">
        <v>16941741.666666668</v>
      </c>
      <c r="P349">
        <v>164294</v>
      </c>
      <c r="Q349">
        <v>2</v>
      </c>
      <c r="R349">
        <v>268</v>
      </c>
      <c r="S349" t="s">
        <v>3280</v>
      </c>
    </row>
    <row r="350" spans="1:19" x14ac:dyDescent="0.25">
      <c r="A350" t="s">
        <v>1979</v>
      </c>
      <c r="B350">
        <v>3</v>
      </c>
      <c r="C350">
        <v>2</v>
      </c>
      <c r="D350">
        <v>0</v>
      </c>
      <c r="E350" t="s">
        <v>2270</v>
      </c>
      <c r="F350">
        <v>83354</v>
      </c>
      <c r="G350">
        <v>277406790.14285713</v>
      </c>
      <c r="H350">
        <v>0.96904761876378742</v>
      </c>
      <c r="I350">
        <v>0.95317460317460312</v>
      </c>
      <c r="J350">
        <v>27727827.214285713</v>
      </c>
      <c r="K350">
        <v>134729</v>
      </c>
      <c r="L350">
        <v>2</v>
      </c>
      <c r="M350">
        <v>241</v>
      </c>
      <c r="N350">
        <v>0.95507936507936508</v>
      </c>
      <c r="O350">
        <v>28662867.928571429</v>
      </c>
      <c r="P350">
        <v>135772</v>
      </c>
      <c r="Q350">
        <v>2</v>
      </c>
      <c r="R350">
        <v>242</v>
      </c>
      <c r="S350" t="s">
        <v>3281</v>
      </c>
    </row>
    <row r="351" spans="1:19" x14ac:dyDescent="0.25">
      <c r="A351" t="s">
        <v>1979</v>
      </c>
      <c r="B351">
        <v>3</v>
      </c>
      <c r="C351">
        <v>3</v>
      </c>
      <c r="D351">
        <v>0</v>
      </c>
      <c r="E351" t="s">
        <v>2270</v>
      </c>
      <c r="F351">
        <v>93754</v>
      </c>
      <c r="G351">
        <v>199277166.66666666</v>
      </c>
      <c r="H351">
        <v>0.98666665951410926</v>
      </c>
      <c r="I351">
        <v>0.97888888888888892</v>
      </c>
      <c r="J351">
        <v>18462639.5</v>
      </c>
      <c r="K351">
        <v>165445</v>
      </c>
      <c r="L351">
        <v>2</v>
      </c>
      <c r="M351">
        <v>269</v>
      </c>
      <c r="N351">
        <v>0.97962962962962963</v>
      </c>
      <c r="O351">
        <v>17756651.166666668</v>
      </c>
      <c r="P351">
        <v>166600</v>
      </c>
      <c r="Q351">
        <v>2</v>
      </c>
      <c r="R351">
        <v>270</v>
      </c>
      <c r="S351" t="s">
        <v>3282</v>
      </c>
    </row>
    <row r="352" spans="1:19" x14ac:dyDescent="0.25">
      <c r="A352" t="s">
        <v>1979</v>
      </c>
      <c r="B352">
        <v>3</v>
      </c>
      <c r="C352">
        <v>2</v>
      </c>
      <c r="D352">
        <v>0</v>
      </c>
      <c r="E352" t="s">
        <v>2272</v>
      </c>
      <c r="F352">
        <v>84636</v>
      </c>
      <c r="G352">
        <v>320871247.21428573</v>
      </c>
      <c r="H352">
        <v>0.97476190328598022</v>
      </c>
      <c r="I352">
        <v>0.9534920634920635</v>
      </c>
      <c r="J352">
        <v>29173872.428571429</v>
      </c>
      <c r="K352">
        <v>136819</v>
      </c>
      <c r="L352">
        <v>2</v>
      </c>
      <c r="M352">
        <v>243</v>
      </c>
      <c r="N352">
        <v>0.95555555555555549</v>
      </c>
      <c r="O352">
        <v>29255916.428571429</v>
      </c>
      <c r="P352">
        <v>137870</v>
      </c>
      <c r="Q352">
        <v>2</v>
      </c>
      <c r="R352">
        <v>244</v>
      </c>
      <c r="S352" t="s">
        <v>3283</v>
      </c>
    </row>
    <row r="353" spans="1:19" x14ac:dyDescent="0.25">
      <c r="A353" t="s">
        <v>1979</v>
      </c>
      <c r="B353">
        <v>3</v>
      </c>
      <c r="C353">
        <v>3</v>
      </c>
      <c r="D353">
        <v>0</v>
      </c>
      <c r="E353" t="s">
        <v>2272</v>
      </c>
      <c r="F353">
        <v>95196</v>
      </c>
      <c r="G353">
        <v>204995540.66666666</v>
      </c>
      <c r="H353">
        <v>0.98481480280558265</v>
      </c>
      <c r="I353">
        <v>0.97666666666666668</v>
      </c>
      <c r="J353">
        <v>18547180</v>
      </c>
      <c r="K353">
        <v>168922</v>
      </c>
      <c r="L353">
        <v>2</v>
      </c>
      <c r="M353">
        <v>272</v>
      </c>
      <c r="N353">
        <v>0.97851851851851857</v>
      </c>
      <c r="O353">
        <v>17713480.5</v>
      </c>
      <c r="P353">
        <v>170089</v>
      </c>
      <c r="Q353">
        <v>2</v>
      </c>
      <c r="R353">
        <v>273</v>
      </c>
      <c r="S353" t="s">
        <v>3284</v>
      </c>
    </row>
    <row r="354" spans="1:19" x14ac:dyDescent="0.25">
      <c r="A354" t="s">
        <v>1979</v>
      </c>
      <c r="B354">
        <v>3</v>
      </c>
      <c r="C354">
        <v>2</v>
      </c>
      <c r="D354">
        <v>0</v>
      </c>
      <c r="E354" t="s">
        <v>2274</v>
      </c>
      <c r="F354">
        <v>85918</v>
      </c>
      <c r="G354">
        <v>313302969.85714287</v>
      </c>
      <c r="H354">
        <v>0.97063491599900387</v>
      </c>
      <c r="I354">
        <v>0.95333333333333337</v>
      </c>
      <c r="J354">
        <v>29103148.571428571</v>
      </c>
      <c r="K354">
        <v>138925</v>
      </c>
      <c r="L354">
        <v>2</v>
      </c>
      <c r="M354">
        <v>245</v>
      </c>
      <c r="N354">
        <v>0.95158730158730154</v>
      </c>
      <c r="O354">
        <v>29143364.071428571</v>
      </c>
      <c r="P354">
        <v>139984</v>
      </c>
      <c r="Q354">
        <v>2</v>
      </c>
      <c r="R354">
        <v>246</v>
      </c>
      <c r="S354" t="s">
        <v>3285</v>
      </c>
    </row>
    <row r="355" spans="1:19" x14ac:dyDescent="0.25">
      <c r="A355" t="s">
        <v>1979</v>
      </c>
      <c r="B355">
        <v>3</v>
      </c>
      <c r="C355">
        <v>3</v>
      </c>
      <c r="D355">
        <v>0</v>
      </c>
      <c r="E355" t="s">
        <v>2274</v>
      </c>
      <c r="F355">
        <v>96638</v>
      </c>
      <c r="G355">
        <v>193209470.16666666</v>
      </c>
      <c r="H355">
        <v>0.9851851761341095</v>
      </c>
      <c r="I355">
        <v>0.97777777777777775</v>
      </c>
      <c r="J355">
        <v>19048416.666666668</v>
      </c>
      <c r="K355">
        <v>171260</v>
      </c>
      <c r="L355">
        <v>2</v>
      </c>
      <c r="M355">
        <v>274</v>
      </c>
      <c r="N355">
        <v>0.97333333333333338</v>
      </c>
      <c r="O355">
        <v>18653910.666666668</v>
      </c>
      <c r="P355">
        <v>172435</v>
      </c>
      <c r="Q355">
        <v>2</v>
      </c>
      <c r="R355">
        <v>275</v>
      </c>
      <c r="S355" t="s">
        <v>3286</v>
      </c>
    </row>
    <row r="356" spans="1:19" x14ac:dyDescent="0.25">
      <c r="A356" t="s">
        <v>1979</v>
      </c>
      <c r="B356">
        <v>3</v>
      </c>
      <c r="C356">
        <v>2</v>
      </c>
      <c r="D356">
        <v>0</v>
      </c>
      <c r="E356" t="s">
        <v>2276</v>
      </c>
      <c r="F356">
        <v>87200</v>
      </c>
      <c r="G356">
        <v>295295618.82352942</v>
      </c>
      <c r="H356">
        <v>0.97006535880705891</v>
      </c>
      <c r="I356">
        <v>0.95398692810457508</v>
      </c>
      <c r="J356">
        <v>29735787.05882353</v>
      </c>
      <c r="K356">
        <v>141047</v>
      </c>
      <c r="L356">
        <v>2</v>
      </c>
      <c r="M356">
        <v>247</v>
      </c>
      <c r="N356">
        <v>0.95986928104575164</v>
      </c>
      <c r="O356">
        <v>29015435.352941178</v>
      </c>
      <c r="P356">
        <v>142114</v>
      </c>
      <c r="Q356">
        <v>2</v>
      </c>
      <c r="R356">
        <v>248</v>
      </c>
      <c r="S356" t="s">
        <v>3287</v>
      </c>
    </row>
    <row r="357" spans="1:19" x14ac:dyDescent="0.25">
      <c r="A357" t="s">
        <v>1979</v>
      </c>
      <c r="B357">
        <v>3</v>
      </c>
      <c r="C357">
        <v>3</v>
      </c>
      <c r="D357">
        <v>0</v>
      </c>
      <c r="E357" t="s">
        <v>2276</v>
      </c>
      <c r="F357">
        <v>98080</v>
      </c>
      <c r="G357">
        <v>206748865.66666666</v>
      </c>
      <c r="H357">
        <v>0.98814814289410913</v>
      </c>
      <c r="I357">
        <v>0.97740740740740739</v>
      </c>
      <c r="J357">
        <v>17828176.166666668</v>
      </c>
      <c r="K357">
        <v>173614</v>
      </c>
      <c r="L357">
        <v>2</v>
      </c>
      <c r="M357">
        <v>276</v>
      </c>
      <c r="N357">
        <v>0.97592592592592586</v>
      </c>
      <c r="O357">
        <v>19205265.166666668</v>
      </c>
      <c r="P357">
        <v>174797</v>
      </c>
      <c r="Q357">
        <v>2</v>
      </c>
      <c r="R357">
        <v>277</v>
      </c>
      <c r="S357" t="s">
        <v>3288</v>
      </c>
    </row>
    <row r="358" spans="1:19" x14ac:dyDescent="0.25">
      <c r="A358" t="s">
        <v>1979</v>
      </c>
      <c r="B358">
        <v>3</v>
      </c>
      <c r="C358">
        <v>2</v>
      </c>
      <c r="D358">
        <v>0</v>
      </c>
      <c r="E358" t="s">
        <v>2278</v>
      </c>
      <c r="F358">
        <v>88482</v>
      </c>
      <c r="G358">
        <v>320666695.35294116</v>
      </c>
      <c r="H358">
        <v>0.97084967529072486</v>
      </c>
      <c r="I358">
        <v>0.95699346405228758</v>
      </c>
      <c r="J358">
        <v>29520252.294117648</v>
      </c>
      <c r="K358">
        <v>143185</v>
      </c>
      <c r="L358">
        <v>2</v>
      </c>
      <c r="M358">
        <v>249</v>
      </c>
      <c r="N358">
        <v>0.95699346405228758</v>
      </c>
      <c r="O358">
        <v>29927548.235294119</v>
      </c>
      <c r="P358">
        <v>144260</v>
      </c>
      <c r="Q358">
        <v>2</v>
      </c>
      <c r="R358">
        <v>250</v>
      </c>
      <c r="S358" t="s">
        <v>3289</v>
      </c>
    </row>
    <row r="359" spans="1:19" x14ac:dyDescent="0.25">
      <c r="A359" t="s">
        <v>1979</v>
      </c>
      <c r="B359">
        <v>3</v>
      </c>
      <c r="C359">
        <v>3</v>
      </c>
      <c r="D359">
        <v>0</v>
      </c>
      <c r="E359" t="s">
        <v>2278</v>
      </c>
      <c r="F359">
        <v>99522</v>
      </c>
      <c r="G359">
        <v>191851319.66666666</v>
      </c>
      <c r="H359">
        <v>0.98703703284263611</v>
      </c>
      <c r="I359">
        <v>0.97518518518518515</v>
      </c>
      <c r="J359">
        <v>19161794.5</v>
      </c>
      <c r="K359">
        <v>175984</v>
      </c>
      <c r="L359">
        <v>2</v>
      </c>
      <c r="M359">
        <v>278</v>
      </c>
      <c r="N359">
        <v>0.9781481481481481</v>
      </c>
      <c r="O359">
        <v>19596213.5</v>
      </c>
      <c r="P359">
        <v>177175</v>
      </c>
      <c r="Q359">
        <v>2</v>
      </c>
      <c r="R359">
        <v>279</v>
      </c>
      <c r="S359" t="s">
        <v>3290</v>
      </c>
    </row>
    <row r="360" spans="1:19" x14ac:dyDescent="0.25">
      <c r="A360" t="s">
        <v>1979</v>
      </c>
      <c r="B360">
        <v>3</v>
      </c>
      <c r="C360">
        <v>2</v>
      </c>
      <c r="D360">
        <v>0</v>
      </c>
      <c r="E360" t="s">
        <v>2280</v>
      </c>
      <c r="F360">
        <v>89764</v>
      </c>
      <c r="G360">
        <v>324190042.17647058</v>
      </c>
      <c r="H360">
        <v>0.96509804795770082</v>
      </c>
      <c r="I360">
        <v>0.95843137254901956</v>
      </c>
      <c r="J360">
        <v>29726689.235294119</v>
      </c>
      <c r="K360">
        <v>145339</v>
      </c>
      <c r="L360">
        <v>2</v>
      </c>
      <c r="M360">
        <v>251</v>
      </c>
      <c r="N360">
        <v>0.95307189542483661</v>
      </c>
      <c r="O360">
        <v>30193596.352941178</v>
      </c>
      <c r="P360">
        <v>146422</v>
      </c>
      <c r="Q360">
        <v>2</v>
      </c>
      <c r="R360">
        <v>252</v>
      </c>
      <c r="S360" t="s">
        <v>3291</v>
      </c>
    </row>
    <row r="361" spans="1:19" x14ac:dyDescent="0.25">
      <c r="A361" t="s">
        <v>1979</v>
      </c>
      <c r="B361">
        <v>3</v>
      </c>
      <c r="C361">
        <v>3</v>
      </c>
      <c r="D361">
        <v>0</v>
      </c>
      <c r="E361" t="s">
        <v>2280</v>
      </c>
      <c r="F361">
        <v>100964</v>
      </c>
      <c r="G361">
        <v>194704713.33333334</v>
      </c>
      <c r="H361">
        <v>0.98888888955116272</v>
      </c>
      <c r="I361">
        <v>0.97851851851851857</v>
      </c>
      <c r="J361">
        <v>19365603</v>
      </c>
      <c r="K361">
        <v>178370</v>
      </c>
      <c r="L361">
        <v>2</v>
      </c>
      <c r="M361">
        <v>280</v>
      </c>
      <c r="N361">
        <v>0.97592592592592597</v>
      </c>
      <c r="O361">
        <v>18735810.5</v>
      </c>
      <c r="P361">
        <v>179569</v>
      </c>
      <c r="Q361">
        <v>2</v>
      </c>
      <c r="R361">
        <v>281</v>
      </c>
      <c r="S361" t="s">
        <v>3292</v>
      </c>
    </row>
    <row r="362" spans="1:19" x14ac:dyDescent="0.25">
      <c r="A362" t="s">
        <v>1979</v>
      </c>
      <c r="B362">
        <v>3</v>
      </c>
      <c r="C362">
        <v>2</v>
      </c>
      <c r="D362">
        <v>0</v>
      </c>
      <c r="E362" t="s">
        <v>2282</v>
      </c>
      <c r="F362">
        <v>91046</v>
      </c>
      <c r="G362">
        <v>297391910.125</v>
      </c>
      <c r="H362">
        <v>0.9700000025331974</v>
      </c>
      <c r="I362">
        <v>0.95277777777777772</v>
      </c>
      <c r="J362">
        <v>29749431.5625</v>
      </c>
      <c r="K362">
        <v>147509</v>
      </c>
      <c r="L362">
        <v>2</v>
      </c>
      <c r="M362">
        <v>253</v>
      </c>
      <c r="N362">
        <v>0.95527777777777778</v>
      </c>
      <c r="O362">
        <v>30370000.3125</v>
      </c>
      <c r="P362">
        <v>148600</v>
      </c>
      <c r="Q362">
        <v>2</v>
      </c>
      <c r="R362">
        <v>254</v>
      </c>
      <c r="S362" t="s">
        <v>3293</v>
      </c>
    </row>
    <row r="363" spans="1:19" x14ac:dyDescent="0.25">
      <c r="A363" t="s">
        <v>1979</v>
      </c>
      <c r="B363">
        <v>3</v>
      </c>
      <c r="C363">
        <v>3</v>
      </c>
      <c r="D363">
        <v>0</v>
      </c>
      <c r="E363" t="s">
        <v>2282</v>
      </c>
      <c r="F363">
        <v>102406</v>
      </c>
      <c r="G363">
        <v>237037060.33333334</v>
      </c>
      <c r="H363">
        <v>0.98703704277674353</v>
      </c>
      <c r="I363">
        <v>0.9714814814814815</v>
      </c>
      <c r="J363">
        <v>19545781</v>
      </c>
      <c r="K363">
        <v>180772</v>
      </c>
      <c r="L363">
        <v>2</v>
      </c>
      <c r="M363">
        <v>282</v>
      </c>
      <c r="N363">
        <v>0.97703703703703704</v>
      </c>
      <c r="O363">
        <v>19072182.5</v>
      </c>
      <c r="P363">
        <v>181979</v>
      </c>
      <c r="Q363">
        <v>2</v>
      </c>
      <c r="R363">
        <v>283</v>
      </c>
      <c r="S363" t="s">
        <v>3294</v>
      </c>
    </row>
    <row r="364" spans="1:19" x14ac:dyDescent="0.25">
      <c r="A364" t="s">
        <v>1979</v>
      </c>
      <c r="B364">
        <v>3</v>
      </c>
      <c r="C364">
        <v>2</v>
      </c>
      <c r="D364">
        <v>0</v>
      </c>
      <c r="E364" t="s">
        <v>2284</v>
      </c>
      <c r="F364">
        <v>92328</v>
      </c>
      <c r="G364">
        <v>302655941.0714286</v>
      </c>
      <c r="H364">
        <v>0.97285713468279156</v>
      </c>
      <c r="I364">
        <v>0.95984126984126983</v>
      </c>
      <c r="J364">
        <v>30421157.642857142</v>
      </c>
      <c r="K364">
        <v>149695</v>
      </c>
      <c r="L364">
        <v>2</v>
      </c>
      <c r="M364">
        <v>255</v>
      </c>
      <c r="N364">
        <v>0.95904761904761904</v>
      </c>
      <c r="O364">
        <v>29192086.642857142</v>
      </c>
      <c r="P364">
        <v>150794</v>
      </c>
      <c r="Q364">
        <v>2</v>
      </c>
      <c r="R364">
        <v>256</v>
      </c>
      <c r="S364" t="s">
        <v>3295</v>
      </c>
    </row>
    <row r="365" spans="1:19" x14ac:dyDescent="0.25">
      <c r="A365" t="s">
        <v>1979</v>
      </c>
      <c r="B365">
        <v>3</v>
      </c>
      <c r="C365">
        <v>3</v>
      </c>
      <c r="D365">
        <v>0</v>
      </c>
      <c r="E365" t="s">
        <v>2284</v>
      </c>
      <c r="F365">
        <v>103848</v>
      </c>
      <c r="G365">
        <v>202150147.5</v>
      </c>
      <c r="H365">
        <v>0.98629628618558252</v>
      </c>
      <c r="I365">
        <v>0.97592592592592597</v>
      </c>
      <c r="J365">
        <v>19537169.166666668</v>
      </c>
      <c r="K365">
        <v>184405</v>
      </c>
      <c r="L365">
        <v>2</v>
      </c>
      <c r="M365">
        <v>285</v>
      </c>
      <c r="N365">
        <v>0.97629629629629622</v>
      </c>
      <c r="O365">
        <v>18934995.166666668</v>
      </c>
      <c r="P365">
        <v>185624</v>
      </c>
      <c r="Q365">
        <v>2</v>
      </c>
      <c r="R365">
        <v>286</v>
      </c>
      <c r="S365" t="s">
        <v>3296</v>
      </c>
    </row>
    <row r="366" spans="1:19" x14ac:dyDescent="0.25">
      <c r="A366" t="s">
        <v>1979</v>
      </c>
      <c r="B366">
        <v>3</v>
      </c>
      <c r="C366">
        <v>2</v>
      </c>
      <c r="D366">
        <v>0</v>
      </c>
      <c r="E366" t="s">
        <v>2286</v>
      </c>
      <c r="F366">
        <v>93610</v>
      </c>
      <c r="G366">
        <v>300252511</v>
      </c>
      <c r="H366">
        <v>0.97190475463867188</v>
      </c>
      <c r="I366">
        <v>0.96</v>
      </c>
      <c r="J366">
        <v>30654830.5</v>
      </c>
      <c r="K366">
        <v>151897</v>
      </c>
      <c r="L366">
        <v>2</v>
      </c>
      <c r="M366">
        <v>257</v>
      </c>
      <c r="N366">
        <v>0.9622222222222222</v>
      </c>
      <c r="O366">
        <v>31501827.785714287</v>
      </c>
      <c r="P366">
        <v>153004</v>
      </c>
      <c r="Q366">
        <v>2</v>
      </c>
      <c r="R366">
        <v>258</v>
      </c>
      <c r="S366" t="s">
        <v>3297</v>
      </c>
    </row>
    <row r="367" spans="1:19" x14ac:dyDescent="0.25">
      <c r="A367" t="s">
        <v>1979</v>
      </c>
      <c r="B367">
        <v>3</v>
      </c>
      <c r="C367">
        <v>3</v>
      </c>
      <c r="D367">
        <v>0</v>
      </c>
      <c r="E367" t="s">
        <v>2286</v>
      </c>
      <c r="F367">
        <v>105290</v>
      </c>
      <c r="G367">
        <v>211474619</v>
      </c>
      <c r="H367">
        <v>0.98999999960263574</v>
      </c>
      <c r="I367">
        <v>0.9781481481481481</v>
      </c>
      <c r="J367">
        <v>19262297.333333332</v>
      </c>
      <c r="K367">
        <v>186847</v>
      </c>
      <c r="L367">
        <v>2</v>
      </c>
      <c r="M367">
        <v>287</v>
      </c>
      <c r="N367">
        <v>0.97740740740740739</v>
      </c>
      <c r="O367">
        <v>20572851.166666668</v>
      </c>
      <c r="P367">
        <v>188074</v>
      </c>
      <c r="Q367">
        <v>2</v>
      </c>
      <c r="R367">
        <v>288</v>
      </c>
      <c r="S367" t="s">
        <v>3298</v>
      </c>
    </row>
    <row r="368" spans="1:19" x14ac:dyDescent="0.25">
      <c r="A368" t="s">
        <v>1979</v>
      </c>
      <c r="B368">
        <v>3</v>
      </c>
      <c r="C368">
        <v>2</v>
      </c>
      <c r="D368">
        <v>0</v>
      </c>
      <c r="E368" t="s">
        <v>2288</v>
      </c>
      <c r="F368">
        <v>94892</v>
      </c>
      <c r="G368">
        <v>322017803.5</v>
      </c>
      <c r="H368">
        <v>0.9704761930874416</v>
      </c>
      <c r="I368">
        <v>0.9642857142857143</v>
      </c>
      <c r="J368">
        <v>31101805.357142858</v>
      </c>
      <c r="K368">
        <v>153004</v>
      </c>
      <c r="L368">
        <v>2</v>
      </c>
      <c r="M368">
        <v>258</v>
      </c>
      <c r="N368">
        <v>0.96238095238095234</v>
      </c>
      <c r="O368">
        <v>29762007.857142858</v>
      </c>
      <c r="P368">
        <v>154115</v>
      </c>
      <c r="Q368">
        <v>2</v>
      </c>
      <c r="R368">
        <v>259</v>
      </c>
      <c r="S368" t="s">
        <v>3299</v>
      </c>
    </row>
    <row r="369" spans="1:19" x14ac:dyDescent="0.25">
      <c r="A369" t="s">
        <v>1979</v>
      </c>
      <c r="B369">
        <v>3</v>
      </c>
      <c r="C369">
        <v>3</v>
      </c>
      <c r="D369">
        <v>0</v>
      </c>
      <c r="E369" t="s">
        <v>2288</v>
      </c>
      <c r="F369">
        <v>106732</v>
      </c>
      <c r="G369">
        <v>227352841.66666666</v>
      </c>
      <c r="H369">
        <v>0.98666665951410926</v>
      </c>
      <c r="I369">
        <v>0.98185185185185186</v>
      </c>
      <c r="J369">
        <v>20263082.666666668</v>
      </c>
      <c r="K369">
        <v>189305</v>
      </c>
      <c r="L369">
        <v>2</v>
      </c>
      <c r="M369">
        <v>289</v>
      </c>
      <c r="N369">
        <v>0.97777777777777775</v>
      </c>
      <c r="O369">
        <v>20176014.166666668</v>
      </c>
      <c r="P369">
        <v>190540</v>
      </c>
      <c r="Q369">
        <v>2</v>
      </c>
      <c r="R369">
        <v>290</v>
      </c>
      <c r="S369" t="s">
        <v>3300</v>
      </c>
    </row>
    <row r="370" spans="1:19" x14ac:dyDescent="0.25">
      <c r="A370" t="s">
        <v>1979</v>
      </c>
      <c r="B370">
        <v>3</v>
      </c>
      <c r="C370">
        <v>2</v>
      </c>
      <c r="D370">
        <v>0</v>
      </c>
      <c r="E370" t="s">
        <v>2290</v>
      </c>
      <c r="F370">
        <v>96174</v>
      </c>
      <c r="G370">
        <v>319617554.64285713</v>
      </c>
      <c r="H370">
        <v>0.96904761024883812</v>
      </c>
      <c r="I370">
        <v>0.96253968253968258</v>
      </c>
      <c r="J370">
        <v>29448838.714285713</v>
      </c>
      <c r="K370">
        <v>155230</v>
      </c>
      <c r="L370">
        <v>2</v>
      </c>
      <c r="M370">
        <v>260</v>
      </c>
      <c r="N370">
        <v>0.96126984126984127</v>
      </c>
      <c r="O370">
        <v>30661586.5</v>
      </c>
      <c r="P370">
        <v>156349</v>
      </c>
      <c r="Q370">
        <v>2</v>
      </c>
      <c r="R370">
        <v>261</v>
      </c>
      <c r="S370" t="s">
        <v>3301</v>
      </c>
    </row>
    <row r="371" spans="1:19" x14ac:dyDescent="0.25">
      <c r="A371" t="s">
        <v>1979</v>
      </c>
      <c r="B371">
        <v>3</v>
      </c>
      <c r="C371">
        <v>3</v>
      </c>
      <c r="D371">
        <v>0</v>
      </c>
      <c r="E371" t="s">
        <v>2290</v>
      </c>
      <c r="F371">
        <v>108174</v>
      </c>
      <c r="G371">
        <v>224646699.16666666</v>
      </c>
      <c r="H371">
        <v>0.98666665951410926</v>
      </c>
      <c r="I371">
        <v>0.98185185185185186</v>
      </c>
      <c r="J371">
        <v>20064704.666666668</v>
      </c>
      <c r="K371">
        <v>191779</v>
      </c>
      <c r="L371">
        <v>2</v>
      </c>
      <c r="M371">
        <v>291</v>
      </c>
      <c r="N371">
        <v>0.97851851851851857</v>
      </c>
      <c r="O371">
        <v>20368189.5</v>
      </c>
      <c r="P371">
        <v>193022</v>
      </c>
      <c r="Q371">
        <v>2</v>
      </c>
      <c r="R371">
        <v>292</v>
      </c>
      <c r="S371" t="s">
        <v>3302</v>
      </c>
    </row>
    <row r="372" spans="1:19" x14ac:dyDescent="0.25">
      <c r="A372" t="s">
        <v>1979</v>
      </c>
      <c r="B372">
        <v>3</v>
      </c>
      <c r="C372">
        <v>2</v>
      </c>
      <c r="D372">
        <v>0</v>
      </c>
      <c r="E372" t="s">
        <v>2292</v>
      </c>
      <c r="F372">
        <v>97456</v>
      </c>
      <c r="G372">
        <v>326155788.5</v>
      </c>
      <c r="H372">
        <v>0.96857142874172752</v>
      </c>
      <c r="I372">
        <v>0.96396825396825392</v>
      </c>
      <c r="J372">
        <v>30351582.714285713</v>
      </c>
      <c r="K372">
        <v>157472</v>
      </c>
      <c r="L372">
        <v>2</v>
      </c>
      <c r="M372">
        <v>262</v>
      </c>
      <c r="N372">
        <v>0.96619047619047616</v>
      </c>
      <c r="O372">
        <v>30291168</v>
      </c>
      <c r="P372">
        <v>158599</v>
      </c>
      <c r="Q372">
        <v>2</v>
      </c>
      <c r="R372">
        <v>263</v>
      </c>
      <c r="S372" t="s">
        <v>3303</v>
      </c>
    </row>
    <row r="373" spans="1:19" x14ac:dyDescent="0.25">
      <c r="A373" t="s">
        <v>1979</v>
      </c>
      <c r="B373">
        <v>3</v>
      </c>
      <c r="C373">
        <v>3</v>
      </c>
      <c r="D373">
        <v>0</v>
      </c>
      <c r="E373" t="s">
        <v>2292</v>
      </c>
      <c r="F373">
        <v>109616</v>
      </c>
      <c r="G373">
        <v>231031765.16666666</v>
      </c>
      <c r="H373">
        <v>0.98407407601674401</v>
      </c>
      <c r="I373">
        <v>0.97888888888888892</v>
      </c>
      <c r="J373">
        <v>20761257.333333332</v>
      </c>
      <c r="K373">
        <v>194269</v>
      </c>
      <c r="L373">
        <v>2</v>
      </c>
      <c r="M373">
        <v>293</v>
      </c>
      <c r="N373">
        <v>0.9781481481481481</v>
      </c>
      <c r="O373">
        <v>20473161</v>
      </c>
      <c r="P373">
        <v>195520</v>
      </c>
      <c r="Q373">
        <v>2</v>
      </c>
      <c r="R373">
        <v>294</v>
      </c>
      <c r="S373" t="s">
        <v>3304</v>
      </c>
    </row>
    <row r="374" spans="1:19" x14ac:dyDescent="0.25">
      <c r="A374" t="s">
        <v>1979</v>
      </c>
      <c r="B374">
        <v>3</v>
      </c>
      <c r="C374">
        <v>2</v>
      </c>
      <c r="D374">
        <v>0</v>
      </c>
      <c r="E374" t="s">
        <v>2294</v>
      </c>
      <c r="F374">
        <v>98738</v>
      </c>
      <c r="G374">
        <v>303195097.35714287</v>
      </c>
      <c r="H374">
        <v>0.97142856887408668</v>
      </c>
      <c r="I374">
        <v>0.96587301587301588</v>
      </c>
      <c r="J374">
        <v>29882804.785714287</v>
      </c>
      <c r="K374">
        <v>159730</v>
      </c>
      <c r="L374">
        <v>2</v>
      </c>
      <c r="M374">
        <v>264</v>
      </c>
      <c r="N374">
        <v>0.96619047619047616</v>
      </c>
      <c r="O374">
        <v>30936708.285714287</v>
      </c>
      <c r="P374">
        <v>160865</v>
      </c>
      <c r="Q374">
        <v>2</v>
      </c>
      <c r="R374">
        <v>265</v>
      </c>
      <c r="S374" t="s">
        <v>3305</v>
      </c>
    </row>
    <row r="375" spans="1:19" x14ac:dyDescent="0.25">
      <c r="A375" t="s">
        <v>1979</v>
      </c>
      <c r="B375">
        <v>3</v>
      </c>
      <c r="C375">
        <v>3</v>
      </c>
      <c r="D375">
        <v>0</v>
      </c>
      <c r="E375" t="s">
        <v>2294</v>
      </c>
      <c r="F375">
        <v>111058</v>
      </c>
      <c r="G375">
        <v>236894833</v>
      </c>
      <c r="H375">
        <v>0.98851851622263587</v>
      </c>
      <c r="I375">
        <v>0.98185185185185186</v>
      </c>
      <c r="J375">
        <v>19676175.833333332</v>
      </c>
      <c r="K375">
        <v>196775</v>
      </c>
      <c r="L375">
        <v>2</v>
      </c>
      <c r="M375">
        <v>295</v>
      </c>
      <c r="N375">
        <v>0.97925925925925927</v>
      </c>
      <c r="O375">
        <v>20156374.833333332</v>
      </c>
      <c r="P375">
        <v>198034</v>
      </c>
      <c r="Q375">
        <v>2</v>
      </c>
      <c r="R375">
        <v>296</v>
      </c>
      <c r="S375" t="s">
        <v>3306</v>
      </c>
    </row>
    <row r="376" spans="1:19" x14ac:dyDescent="0.25">
      <c r="A376" t="s">
        <v>1979</v>
      </c>
      <c r="B376">
        <v>3</v>
      </c>
      <c r="C376">
        <v>4</v>
      </c>
      <c r="D376">
        <v>0</v>
      </c>
      <c r="E376" t="s">
        <v>2296</v>
      </c>
      <c r="F376">
        <v>53362</v>
      </c>
      <c r="G376">
        <v>376827411.9285714</v>
      </c>
      <c r="H376">
        <v>0.97015873874936787</v>
      </c>
      <c r="I376">
        <v>0.96158730158730155</v>
      </c>
      <c r="J376">
        <v>30449603.428571429</v>
      </c>
      <c r="K376">
        <v>100744</v>
      </c>
      <c r="L376">
        <v>2</v>
      </c>
      <c r="M376">
        <v>206</v>
      </c>
      <c r="N376">
        <v>0.96174603174603179</v>
      </c>
      <c r="O376">
        <v>29525858.357142858</v>
      </c>
      <c r="P376">
        <v>101647</v>
      </c>
      <c r="Q376">
        <v>2</v>
      </c>
      <c r="R376">
        <v>207</v>
      </c>
      <c r="S376" t="s">
        <v>3307</v>
      </c>
    </row>
    <row r="377" spans="1:19" x14ac:dyDescent="0.25">
      <c r="A377" t="s">
        <v>1979</v>
      </c>
      <c r="B377">
        <v>3</v>
      </c>
      <c r="C377">
        <v>2</v>
      </c>
      <c r="D377">
        <v>0</v>
      </c>
      <c r="E377" t="s">
        <v>2296</v>
      </c>
      <c r="F377">
        <v>42706</v>
      </c>
      <c r="G377">
        <v>48156815.5</v>
      </c>
      <c r="H377">
        <v>0.96333332856496179</v>
      </c>
      <c r="I377">
        <v>0.95185185185185184</v>
      </c>
      <c r="J377">
        <v>12913227.166666666</v>
      </c>
      <c r="K377">
        <v>68647</v>
      </c>
      <c r="L377">
        <v>2</v>
      </c>
      <c r="M377">
        <v>167</v>
      </c>
      <c r="N377">
        <v>0.95666666666666667</v>
      </c>
      <c r="O377">
        <v>13158274.666666666</v>
      </c>
      <c r="P377">
        <v>69394</v>
      </c>
      <c r="Q377">
        <v>2</v>
      </c>
      <c r="R377">
        <v>168</v>
      </c>
      <c r="S377" t="s">
        <v>3308</v>
      </c>
    </row>
    <row r="378" spans="1:19" x14ac:dyDescent="0.25">
      <c r="A378" t="s">
        <v>1979</v>
      </c>
      <c r="B378">
        <v>3</v>
      </c>
      <c r="C378">
        <v>2</v>
      </c>
      <c r="D378">
        <v>0</v>
      </c>
      <c r="E378" t="s">
        <v>2298</v>
      </c>
      <c r="F378">
        <v>102646</v>
      </c>
      <c r="G378">
        <v>88357177.0625</v>
      </c>
      <c r="H378">
        <v>0.96819443628191948</v>
      </c>
      <c r="I378">
        <v>0.96458333333333335</v>
      </c>
      <c r="J378">
        <v>17493436.625</v>
      </c>
      <c r="K378">
        <v>166600</v>
      </c>
      <c r="L378">
        <v>2</v>
      </c>
      <c r="M378">
        <v>270</v>
      </c>
      <c r="N378">
        <v>0.96569444444444441</v>
      </c>
      <c r="O378">
        <v>17597027.0625</v>
      </c>
      <c r="P378">
        <v>167759</v>
      </c>
      <c r="Q378">
        <v>2</v>
      </c>
      <c r="R378">
        <v>271</v>
      </c>
      <c r="S378" t="s">
        <v>3309</v>
      </c>
    </row>
    <row r="379" spans="1:19" x14ac:dyDescent="0.25">
      <c r="A379" t="s">
        <v>1979</v>
      </c>
      <c r="B379">
        <v>3</v>
      </c>
      <c r="C379">
        <v>3</v>
      </c>
      <c r="D379">
        <v>0</v>
      </c>
      <c r="E379" t="s">
        <v>2298</v>
      </c>
      <c r="F379">
        <v>115454</v>
      </c>
      <c r="G379">
        <v>347451703.83333331</v>
      </c>
      <c r="H379">
        <v>0.9674073954423269</v>
      </c>
      <c r="I379">
        <v>0.9462962962962963</v>
      </c>
      <c r="J379">
        <v>29393107</v>
      </c>
      <c r="K379">
        <v>204389</v>
      </c>
      <c r="L379">
        <v>2</v>
      </c>
      <c r="M379">
        <v>301</v>
      </c>
      <c r="N379">
        <v>0.94703703703703701</v>
      </c>
      <c r="O379">
        <v>28733362</v>
      </c>
      <c r="P379">
        <v>205672</v>
      </c>
      <c r="Q379">
        <v>2</v>
      </c>
      <c r="R379">
        <v>302</v>
      </c>
      <c r="S379" t="s">
        <v>3310</v>
      </c>
    </row>
    <row r="380" spans="1:19" x14ac:dyDescent="0.25">
      <c r="A380" t="s">
        <v>1979</v>
      </c>
      <c r="B380">
        <v>3</v>
      </c>
      <c r="C380">
        <v>2</v>
      </c>
      <c r="D380">
        <v>0</v>
      </c>
      <c r="E380" t="s">
        <v>2300</v>
      </c>
      <c r="F380">
        <v>103960</v>
      </c>
      <c r="G380">
        <v>293875633.77777779</v>
      </c>
      <c r="H380">
        <v>0.9716049366527133</v>
      </c>
      <c r="I380">
        <v>0.95160493827160497</v>
      </c>
      <c r="J380">
        <v>28751009.555555556</v>
      </c>
      <c r="K380">
        <v>167759</v>
      </c>
      <c r="L380">
        <v>2</v>
      </c>
      <c r="M380">
        <v>271</v>
      </c>
      <c r="N380">
        <v>0.95358024691358023</v>
      </c>
      <c r="O380">
        <v>28075711.777777776</v>
      </c>
      <c r="P380">
        <v>168922</v>
      </c>
      <c r="Q380">
        <v>2</v>
      </c>
      <c r="R380">
        <v>272</v>
      </c>
      <c r="S380" t="s">
        <v>3311</v>
      </c>
    </row>
    <row r="381" spans="1:19" x14ac:dyDescent="0.25">
      <c r="A381" t="s">
        <v>1979</v>
      </c>
      <c r="B381">
        <v>3</v>
      </c>
      <c r="C381">
        <v>3</v>
      </c>
      <c r="D381">
        <v>0</v>
      </c>
      <c r="E381" t="s">
        <v>2300</v>
      </c>
      <c r="F381">
        <v>116932</v>
      </c>
      <c r="G381">
        <v>338895220.5</v>
      </c>
      <c r="H381">
        <v>0.95999998847643531</v>
      </c>
      <c r="I381">
        <v>0.94555555555555559</v>
      </c>
      <c r="J381">
        <v>26018919</v>
      </c>
      <c r="K381">
        <v>206959</v>
      </c>
      <c r="L381">
        <v>2</v>
      </c>
      <c r="M381">
        <v>303</v>
      </c>
      <c r="N381">
        <v>0.94518518518518513</v>
      </c>
      <c r="O381">
        <v>24174210.166666668</v>
      </c>
      <c r="P381">
        <v>208250</v>
      </c>
      <c r="Q381">
        <v>2</v>
      </c>
      <c r="R381">
        <v>304</v>
      </c>
      <c r="S381" t="s">
        <v>3312</v>
      </c>
    </row>
    <row r="382" spans="1:19" x14ac:dyDescent="0.25">
      <c r="A382" t="s">
        <v>1979</v>
      </c>
      <c r="B382">
        <v>3</v>
      </c>
      <c r="C382">
        <v>2</v>
      </c>
      <c r="D382">
        <v>0</v>
      </c>
      <c r="E382" t="s">
        <v>2302</v>
      </c>
      <c r="F382">
        <v>105274</v>
      </c>
      <c r="G382">
        <v>239166560.8888889</v>
      </c>
      <c r="H382">
        <v>0.96493826972113717</v>
      </c>
      <c r="I382">
        <v>0.95604938271604945</v>
      </c>
      <c r="J382">
        <v>25979037.555555556</v>
      </c>
      <c r="K382">
        <v>170089</v>
      </c>
      <c r="L382">
        <v>2</v>
      </c>
      <c r="M382">
        <v>273</v>
      </c>
      <c r="N382">
        <v>0.95333333333333337</v>
      </c>
      <c r="O382">
        <v>25418007.666666668</v>
      </c>
      <c r="P382">
        <v>171260</v>
      </c>
      <c r="Q382">
        <v>2</v>
      </c>
      <c r="R382">
        <v>274</v>
      </c>
      <c r="S382" t="s">
        <v>3313</v>
      </c>
    </row>
    <row r="383" spans="1:19" x14ac:dyDescent="0.25">
      <c r="A383" t="s">
        <v>1979</v>
      </c>
      <c r="B383">
        <v>3</v>
      </c>
      <c r="C383">
        <v>3</v>
      </c>
      <c r="D383">
        <v>0</v>
      </c>
      <c r="E383" t="s">
        <v>2302</v>
      </c>
      <c r="F383">
        <v>118410</v>
      </c>
      <c r="G383">
        <v>285170601.83333331</v>
      </c>
      <c r="H383">
        <v>0.96407406528790796</v>
      </c>
      <c r="I383">
        <v>0.94740740740740736</v>
      </c>
      <c r="J383">
        <v>25668474.5</v>
      </c>
      <c r="K383">
        <v>209545</v>
      </c>
      <c r="L383">
        <v>2</v>
      </c>
      <c r="M383">
        <v>305</v>
      </c>
      <c r="N383">
        <v>0.94370370370370371</v>
      </c>
      <c r="O383">
        <v>26033350.666666668</v>
      </c>
      <c r="P383">
        <v>210844</v>
      </c>
      <c r="Q383">
        <v>2</v>
      </c>
      <c r="R383">
        <v>306</v>
      </c>
      <c r="S383" t="s">
        <v>3314</v>
      </c>
    </row>
    <row r="384" spans="1:19" x14ac:dyDescent="0.25">
      <c r="A384" t="s">
        <v>1979</v>
      </c>
      <c r="B384">
        <v>3</v>
      </c>
      <c r="C384">
        <v>2</v>
      </c>
      <c r="D384">
        <v>0</v>
      </c>
      <c r="E384" t="s">
        <v>2304</v>
      </c>
      <c r="F384">
        <v>106588</v>
      </c>
      <c r="G384">
        <v>244934098.55555555</v>
      </c>
      <c r="H384">
        <v>0.96740739875369597</v>
      </c>
      <c r="I384">
        <v>0.95259259259259255</v>
      </c>
      <c r="J384">
        <v>25658367</v>
      </c>
      <c r="K384">
        <v>172435</v>
      </c>
      <c r="L384">
        <v>2</v>
      </c>
      <c r="M384">
        <v>275</v>
      </c>
      <c r="N384">
        <v>0.95358024691358023</v>
      </c>
      <c r="O384">
        <v>25751698.333333332</v>
      </c>
      <c r="P384">
        <v>173614</v>
      </c>
      <c r="Q384">
        <v>2</v>
      </c>
      <c r="R384">
        <v>276</v>
      </c>
      <c r="S384" t="s">
        <v>3315</v>
      </c>
    </row>
    <row r="385" spans="1:19" x14ac:dyDescent="0.25">
      <c r="A385" t="s">
        <v>1979</v>
      </c>
      <c r="B385">
        <v>3</v>
      </c>
      <c r="C385">
        <v>3</v>
      </c>
      <c r="D385">
        <v>0</v>
      </c>
      <c r="E385" t="s">
        <v>2304</v>
      </c>
      <c r="F385">
        <v>119888</v>
      </c>
      <c r="G385">
        <v>368500293.83333331</v>
      </c>
      <c r="H385">
        <v>0.96333333849906921</v>
      </c>
      <c r="I385">
        <v>0.94222222222222218</v>
      </c>
      <c r="J385">
        <v>25306897.333333332</v>
      </c>
      <c r="K385">
        <v>212147</v>
      </c>
      <c r="L385">
        <v>2</v>
      </c>
      <c r="M385">
        <v>307</v>
      </c>
      <c r="N385">
        <v>0.95</v>
      </c>
      <c r="O385">
        <v>28515477.833333332</v>
      </c>
      <c r="P385">
        <v>213454</v>
      </c>
      <c r="Q385">
        <v>2</v>
      </c>
      <c r="R385">
        <v>308</v>
      </c>
      <c r="S385" t="s">
        <v>3316</v>
      </c>
    </row>
    <row r="386" spans="1:19" x14ac:dyDescent="0.25">
      <c r="A386" t="s">
        <v>1979</v>
      </c>
      <c r="B386">
        <v>3</v>
      </c>
      <c r="C386">
        <v>2</v>
      </c>
      <c r="D386">
        <v>0</v>
      </c>
      <c r="E386" t="s">
        <v>2306</v>
      </c>
      <c r="F386">
        <v>107902</v>
      </c>
      <c r="G386">
        <v>262185614.44444445</v>
      </c>
      <c r="H386">
        <v>0.96839506096310091</v>
      </c>
      <c r="I386">
        <v>0.95308641975308639</v>
      </c>
      <c r="J386">
        <v>25309645</v>
      </c>
      <c r="K386">
        <v>174797</v>
      </c>
      <c r="L386">
        <v>2</v>
      </c>
      <c r="M386">
        <v>277</v>
      </c>
      <c r="N386">
        <v>0.95358024691358023</v>
      </c>
      <c r="O386">
        <v>25833752.333333332</v>
      </c>
      <c r="P386">
        <v>175984</v>
      </c>
      <c r="Q386">
        <v>2</v>
      </c>
      <c r="R386">
        <v>278</v>
      </c>
      <c r="S386" t="s">
        <v>3317</v>
      </c>
    </row>
    <row r="387" spans="1:19" x14ac:dyDescent="0.25">
      <c r="A387" t="s">
        <v>1979</v>
      </c>
      <c r="B387">
        <v>3</v>
      </c>
      <c r="C387">
        <v>3</v>
      </c>
      <c r="D387">
        <v>0</v>
      </c>
      <c r="E387" t="s">
        <v>2306</v>
      </c>
      <c r="F387">
        <v>121366</v>
      </c>
      <c r="G387">
        <v>351084516.16666669</v>
      </c>
      <c r="H387">
        <v>0.96814815203348792</v>
      </c>
      <c r="I387">
        <v>0.94555555555555559</v>
      </c>
      <c r="J387">
        <v>24655110</v>
      </c>
      <c r="K387">
        <v>214765</v>
      </c>
      <c r="L387">
        <v>2</v>
      </c>
      <c r="M387">
        <v>309</v>
      </c>
      <c r="N387">
        <v>0.94851851851851854</v>
      </c>
      <c r="O387">
        <v>27303338.333333332</v>
      </c>
      <c r="P387">
        <v>216080</v>
      </c>
      <c r="Q387">
        <v>2</v>
      </c>
      <c r="R387">
        <v>310</v>
      </c>
      <c r="S387" t="s">
        <v>3318</v>
      </c>
    </row>
    <row r="388" spans="1:19" x14ac:dyDescent="0.25">
      <c r="A388" t="s">
        <v>1979</v>
      </c>
      <c r="B388">
        <v>3</v>
      </c>
      <c r="C388">
        <v>2</v>
      </c>
      <c r="D388">
        <v>0</v>
      </c>
      <c r="E388" t="s">
        <v>2308</v>
      </c>
      <c r="F388">
        <v>109216</v>
      </c>
      <c r="G388">
        <v>261625030.33333334</v>
      </c>
      <c r="H388">
        <v>0.96493827634387541</v>
      </c>
      <c r="I388">
        <v>0.94864197530864203</v>
      </c>
      <c r="J388">
        <v>25885597.111111112</v>
      </c>
      <c r="K388">
        <v>177175</v>
      </c>
      <c r="L388">
        <v>2</v>
      </c>
      <c r="M388">
        <v>279</v>
      </c>
      <c r="N388">
        <v>0.95654320987654318</v>
      </c>
      <c r="O388">
        <v>25515482.333333332</v>
      </c>
      <c r="P388">
        <v>178370</v>
      </c>
      <c r="Q388">
        <v>2</v>
      </c>
      <c r="R388">
        <v>280</v>
      </c>
      <c r="S388" t="s">
        <v>3319</v>
      </c>
    </row>
    <row r="389" spans="1:19" x14ac:dyDescent="0.25">
      <c r="A389" t="s">
        <v>1979</v>
      </c>
      <c r="B389">
        <v>3</v>
      </c>
      <c r="C389">
        <v>3</v>
      </c>
      <c r="D389">
        <v>0</v>
      </c>
      <c r="E389" t="s">
        <v>2308</v>
      </c>
      <c r="F389">
        <v>122844</v>
      </c>
      <c r="G389">
        <v>377983679.16666669</v>
      </c>
      <c r="H389">
        <v>0.96333332856496179</v>
      </c>
      <c r="I389">
        <v>0.9496296296296296</v>
      </c>
      <c r="J389">
        <v>28368757.5</v>
      </c>
      <c r="K389">
        <v>217399</v>
      </c>
      <c r="L389">
        <v>2</v>
      </c>
      <c r="M389">
        <v>311</v>
      </c>
      <c r="N389">
        <v>0.95074074074074078</v>
      </c>
      <c r="O389">
        <v>25611562.666666668</v>
      </c>
      <c r="P389">
        <v>218722</v>
      </c>
      <c r="Q389">
        <v>2</v>
      </c>
      <c r="R389">
        <v>312</v>
      </c>
      <c r="S389" t="s">
        <v>3320</v>
      </c>
    </row>
    <row r="390" spans="1:19" x14ac:dyDescent="0.25">
      <c r="A390" t="s">
        <v>1979</v>
      </c>
      <c r="B390">
        <v>3</v>
      </c>
      <c r="C390">
        <v>2</v>
      </c>
      <c r="D390">
        <v>0</v>
      </c>
      <c r="E390" t="s">
        <v>2310</v>
      </c>
      <c r="F390">
        <v>110530</v>
      </c>
      <c r="G390">
        <v>316299808.55555558</v>
      </c>
      <c r="H390">
        <v>0.96271604961819124</v>
      </c>
      <c r="I390">
        <v>0.95086419753086415</v>
      </c>
      <c r="J390">
        <v>26100875.888888888</v>
      </c>
      <c r="K390">
        <v>178370</v>
      </c>
      <c r="L390">
        <v>2</v>
      </c>
      <c r="M390">
        <v>280</v>
      </c>
      <c r="N390">
        <v>0.95481481481481478</v>
      </c>
      <c r="O390">
        <v>26847687.888888888</v>
      </c>
      <c r="P390">
        <v>179569</v>
      </c>
      <c r="Q390">
        <v>2</v>
      </c>
      <c r="R390">
        <v>281</v>
      </c>
      <c r="S390" t="s">
        <v>3321</v>
      </c>
    </row>
    <row r="391" spans="1:19" x14ac:dyDescent="0.25">
      <c r="A391" t="s">
        <v>1979</v>
      </c>
      <c r="B391">
        <v>3</v>
      </c>
      <c r="C391">
        <v>3</v>
      </c>
      <c r="D391">
        <v>0</v>
      </c>
      <c r="E391" t="s">
        <v>2310</v>
      </c>
      <c r="F391">
        <v>124322</v>
      </c>
      <c r="G391">
        <v>451082788.83333331</v>
      </c>
      <c r="H391">
        <v>0.96296295523643494</v>
      </c>
      <c r="I391">
        <v>0.94518518518518513</v>
      </c>
      <c r="J391">
        <v>26811873</v>
      </c>
      <c r="K391">
        <v>220049</v>
      </c>
      <c r="L391">
        <v>2</v>
      </c>
      <c r="M391">
        <v>313</v>
      </c>
      <c r="N391">
        <v>0.95</v>
      </c>
      <c r="O391">
        <v>28568108.333333332</v>
      </c>
      <c r="P391">
        <v>221380</v>
      </c>
      <c r="Q391">
        <v>2</v>
      </c>
      <c r="R391">
        <v>314</v>
      </c>
      <c r="S391" t="s">
        <v>3322</v>
      </c>
    </row>
    <row r="392" spans="1:19" x14ac:dyDescent="0.25">
      <c r="A392" t="s">
        <v>1979</v>
      </c>
      <c r="B392">
        <v>3</v>
      </c>
      <c r="C392">
        <v>2</v>
      </c>
      <c r="D392">
        <v>0</v>
      </c>
      <c r="E392" t="s">
        <v>2312</v>
      </c>
      <c r="F392">
        <v>111844</v>
      </c>
      <c r="G392">
        <v>265054326</v>
      </c>
      <c r="H392">
        <v>0.95925925175348914</v>
      </c>
      <c r="I392">
        <v>0.95111111111111113</v>
      </c>
      <c r="J392">
        <v>25965198.555555556</v>
      </c>
      <c r="K392">
        <v>180772</v>
      </c>
      <c r="L392">
        <v>2</v>
      </c>
      <c r="M392">
        <v>282</v>
      </c>
      <c r="N392">
        <v>0.9580246913580247</v>
      </c>
      <c r="O392">
        <v>25986856.555555556</v>
      </c>
      <c r="P392">
        <v>181979</v>
      </c>
      <c r="Q392">
        <v>2</v>
      </c>
      <c r="R392">
        <v>283</v>
      </c>
      <c r="S392" t="s">
        <v>3323</v>
      </c>
    </row>
    <row r="393" spans="1:19" x14ac:dyDescent="0.25">
      <c r="A393" t="s">
        <v>1979</v>
      </c>
      <c r="B393">
        <v>3</v>
      </c>
      <c r="C393">
        <v>3</v>
      </c>
      <c r="D393">
        <v>0</v>
      </c>
      <c r="E393" t="s">
        <v>2312</v>
      </c>
      <c r="F393">
        <v>125800</v>
      </c>
      <c r="G393">
        <v>321323308.16666669</v>
      </c>
      <c r="H393">
        <v>0.96925926208496094</v>
      </c>
      <c r="I393">
        <v>0.94481481481481477</v>
      </c>
      <c r="J393">
        <v>28529748.333333332</v>
      </c>
      <c r="K393">
        <v>222715</v>
      </c>
      <c r="L393">
        <v>2</v>
      </c>
      <c r="M393">
        <v>315</v>
      </c>
      <c r="N393">
        <v>0.94592592592592595</v>
      </c>
      <c r="O393">
        <v>28158154.333333332</v>
      </c>
      <c r="P393">
        <v>224054</v>
      </c>
      <c r="Q393">
        <v>2</v>
      </c>
      <c r="R393">
        <v>316</v>
      </c>
      <c r="S393" t="s">
        <v>3324</v>
      </c>
    </row>
    <row r="394" spans="1:19" x14ac:dyDescent="0.25">
      <c r="A394" t="s">
        <v>1979</v>
      </c>
      <c r="B394">
        <v>3</v>
      </c>
      <c r="C394">
        <v>2</v>
      </c>
      <c r="D394">
        <v>0</v>
      </c>
      <c r="E394" t="s">
        <v>2314</v>
      </c>
      <c r="F394">
        <v>113158</v>
      </c>
      <c r="G394">
        <v>295634165</v>
      </c>
      <c r="H394">
        <v>0.96888888544506502</v>
      </c>
      <c r="I394">
        <v>0.95234567901234568</v>
      </c>
      <c r="J394">
        <v>25938654.555555556</v>
      </c>
      <c r="K394">
        <v>183190</v>
      </c>
      <c r="L394">
        <v>2</v>
      </c>
      <c r="M394">
        <v>284</v>
      </c>
      <c r="N394">
        <v>0.95382716049382721</v>
      </c>
      <c r="O394">
        <v>27610235.555555556</v>
      </c>
      <c r="P394">
        <v>184405</v>
      </c>
      <c r="Q394">
        <v>2</v>
      </c>
      <c r="R394">
        <v>285</v>
      </c>
      <c r="S394" t="s">
        <v>3325</v>
      </c>
    </row>
    <row r="395" spans="1:19" x14ac:dyDescent="0.25">
      <c r="A395" t="s">
        <v>1979</v>
      </c>
      <c r="B395">
        <v>3</v>
      </c>
      <c r="C395">
        <v>3</v>
      </c>
      <c r="D395">
        <v>0</v>
      </c>
      <c r="E395" t="s">
        <v>2314</v>
      </c>
      <c r="F395">
        <v>127278</v>
      </c>
      <c r="G395">
        <v>364537972.66666669</v>
      </c>
      <c r="H395">
        <v>0.96555555860201514</v>
      </c>
      <c r="I395">
        <v>0.94592592592592595</v>
      </c>
      <c r="J395">
        <v>28875550</v>
      </c>
      <c r="K395">
        <v>225397</v>
      </c>
      <c r="L395">
        <v>2</v>
      </c>
      <c r="M395">
        <v>317</v>
      </c>
      <c r="N395">
        <v>0.95</v>
      </c>
      <c r="O395">
        <v>27710969.166666668</v>
      </c>
      <c r="P395">
        <v>226744</v>
      </c>
      <c r="Q395">
        <v>2</v>
      </c>
      <c r="R395">
        <v>318</v>
      </c>
      <c r="S395" t="s">
        <v>3326</v>
      </c>
    </row>
    <row r="396" spans="1:19" x14ac:dyDescent="0.25">
      <c r="A396" t="s">
        <v>1979</v>
      </c>
      <c r="B396">
        <v>3</v>
      </c>
      <c r="C396">
        <v>2</v>
      </c>
      <c r="D396">
        <v>0</v>
      </c>
      <c r="E396" t="s">
        <v>2316</v>
      </c>
      <c r="F396">
        <v>114472</v>
      </c>
      <c r="G396">
        <v>275885735.55555558</v>
      </c>
      <c r="H396">
        <v>0.96691358751720857</v>
      </c>
      <c r="I396">
        <v>0.94987654320987658</v>
      </c>
      <c r="J396">
        <v>27531555.666666668</v>
      </c>
      <c r="K396">
        <v>185624</v>
      </c>
      <c r="L396">
        <v>2</v>
      </c>
      <c r="M396">
        <v>286</v>
      </c>
      <c r="N396">
        <v>0.95283950617283952</v>
      </c>
      <c r="O396">
        <v>27096013</v>
      </c>
      <c r="P396">
        <v>186847</v>
      </c>
      <c r="Q396">
        <v>2</v>
      </c>
      <c r="R396">
        <v>287</v>
      </c>
      <c r="S396" t="s">
        <v>3327</v>
      </c>
    </row>
    <row r="397" spans="1:19" x14ac:dyDescent="0.25">
      <c r="A397" t="s">
        <v>1979</v>
      </c>
      <c r="B397">
        <v>3</v>
      </c>
      <c r="C397">
        <v>3</v>
      </c>
      <c r="D397">
        <v>0</v>
      </c>
      <c r="E397" t="s">
        <v>2316</v>
      </c>
      <c r="F397">
        <v>128756</v>
      </c>
      <c r="G397">
        <v>367133168</v>
      </c>
      <c r="H397">
        <v>0.96370371182759607</v>
      </c>
      <c r="I397">
        <v>0.94481481481481477</v>
      </c>
      <c r="J397">
        <v>28243659.666666668</v>
      </c>
      <c r="K397">
        <v>228095</v>
      </c>
      <c r="L397">
        <v>2</v>
      </c>
      <c r="M397">
        <v>319</v>
      </c>
      <c r="N397">
        <v>0.9496296296296296</v>
      </c>
      <c r="O397">
        <v>29204539.333333332</v>
      </c>
      <c r="P397">
        <v>229450</v>
      </c>
      <c r="Q397">
        <v>2</v>
      </c>
      <c r="R397">
        <v>320</v>
      </c>
      <c r="S397" t="s">
        <v>3328</v>
      </c>
    </row>
    <row r="398" spans="1:19" x14ac:dyDescent="0.25">
      <c r="A398" t="s">
        <v>1979</v>
      </c>
      <c r="B398">
        <v>3</v>
      </c>
      <c r="C398">
        <v>2</v>
      </c>
      <c r="D398">
        <v>0</v>
      </c>
      <c r="E398" t="s">
        <v>2318</v>
      </c>
      <c r="F398">
        <v>115786</v>
      </c>
      <c r="G398">
        <v>284161005.1111111</v>
      </c>
      <c r="H398">
        <v>0.96370370520485771</v>
      </c>
      <c r="I398">
        <v>0.95061728395061729</v>
      </c>
      <c r="J398">
        <v>25796255.666666668</v>
      </c>
      <c r="K398">
        <v>186847</v>
      </c>
      <c r="L398">
        <v>2</v>
      </c>
      <c r="M398">
        <v>287</v>
      </c>
      <c r="N398">
        <v>0.95382716049382721</v>
      </c>
      <c r="O398">
        <v>25998551.555555556</v>
      </c>
      <c r="P398">
        <v>188074</v>
      </c>
      <c r="Q398">
        <v>2</v>
      </c>
      <c r="R398">
        <v>288</v>
      </c>
      <c r="S398" t="s">
        <v>3329</v>
      </c>
    </row>
    <row r="399" spans="1:19" x14ac:dyDescent="0.25">
      <c r="A399" t="s">
        <v>1979</v>
      </c>
      <c r="B399">
        <v>3</v>
      </c>
      <c r="C399">
        <v>3</v>
      </c>
      <c r="D399">
        <v>0</v>
      </c>
      <c r="E399" t="s">
        <v>2318</v>
      </c>
      <c r="F399">
        <v>130234</v>
      </c>
      <c r="G399">
        <v>453332869.66666669</v>
      </c>
      <c r="H399">
        <v>0.96814814209938049</v>
      </c>
      <c r="I399">
        <v>0.94740740740740736</v>
      </c>
      <c r="J399">
        <v>28899551.166666668</v>
      </c>
      <c r="K399">
        <v>230809</v>
      </c>
      <c r="L399">
        <v>2</v>
      </c>
      <c r="M399">
        <v>321</v>
      </c>
      <c r="N399">
        <v>0.94777777777777783</v>
      </c>
      <c r="O399">
        <v>27461283.5</v>
      </c>
      <c r="P399">
        <v>232172</v>
      </c>
      <c r="Q399">
        <v>2</v>
      </c>
      <c r="R399">
        <v>322</v>
      </c>
      <c r="S399" t="s">
        <v>3330</v>
      </c>
    </row>
    <row r="400" spans="1:19" x14ac:dyDescent="0.25">
      <c r="A400" t="s">
        <v>1979</v>
      </c>
      <c r="B400">
        <v>3</v>
      </c>
      <c r="C400">
        <v>2</v>
      </c>
      <c r="D400">
        <v>0</v>
      </c>
      <c r="E400" t="s">
        <v>2320</v>
      </c>
      <c r="F400">
        <v>117100</v>
      </c>
      <c r="G400">
        <v>327672203.44444442</v>
      </c>
      <c r="H400">
        <v>0.96691357427173186</v>
      </c>
      <c r="I400">
        <v>0.95160493827160497</v>
      </c>
      <c r="J400">
        <v>26328776</v>
      </c>
      <c r="K400">
        <v>189305</v>
      </c>
      <c r="L400">
        <v>2</v>
      </c>
      <c r="M400">
        <v>289</v>
      </c>
      <c r="N400">
        <v>0.95111111111111113</v>
      </c>
      <c r="O400">
        <v>26747530.555555556</v>
      </c>
      <c r="P400">
        <v>190540</v>
      </c>
      <c r="Q400">
        <v>2</v>
      </c>
      <c r="R400">
        <v>290</v>
      </c>
      <c r="S400" t="s">
        <v>3331</v>
      </c>
    </row>
    <row r="401" spans="1:19" x14ac:dyDescent="0.25">
      <c r="A401" t="s">
        <v>1979</v>
      </c>
      <c r="B401">
        <v>3</v>
      </c>
      <c r="C401">
        <v>3</v>
      </c>
      <c r="D401">
        <v>0</v>
      </c>
      <c r="E401" t="s">
        <v>2320</v>
      </c>
      <c r="F401">
        <v>131712</v>
      </c>
      <c r="G401">
        <v>354089352</v>
      </c>
      <c r="H401">
        <v>0.96259259184201562</v>
      </c>
      <c r="I401">
        <v>0.95037037037037031</v>
      </c>
      <c r="J401">
        <v>28946813</v>
      </c>
      <c r="K401">
        <v>233539</v>
      </c>
      <c r="L401">
        <v>2</v>
      </c>
      <c r="M401">
        <v>323</v>
      </c>
      <c r="N401">
        <v>0.94555555555555548</v>
      </c>
      <c r="O401">
        <v>28274647.833333332</v>
      </c>
      <c r="P401">
        <v>234910</v>
      </c>
      <c r="Q401">
        <v>2</v>
      </c>
      <c r="R401">
        <v>324</v>
      </c>
      <c r="S401" t="s">
        <v>3332</v>
      </c>
    </row>
    <row r="402" spans="1:19" x14ac:dyDescent="0.25">
      <c r="A402" t="s">
        <v>1979</v>
      </c>
      <c r="B402">
        <v>3</v>
      </c>
      <c r="C402">
        <v>2</v>
      </c>
      <c r="D402">
        <v>0</v>
      </c>
      <c r="E402" t="s">
        <v>2322</v>
      </c>
      <c r="F402">
        <v>118414</v>
      </c>
      <c r="G402">
        <v>281806480.375</v>
      </c>
      <c r="H402">
        <v>0.96722222119569778</v>
      </c>
      <c r="I402">
        <v>0.9588888888888889</v>
      </c>
      <c r="J402">
        <v>24994251.625</v>
      </c>
      <c r="K402">
        <v>191779</v>
      </c>
      <c r="L402">
        <v>2</v>
      </c>
      <c r="M402">
        <v>291</v>
      </c>
      <c r="N402">
        <v>0.95472222222222225</v>
      </c>
      <c r="O402">
        <v>26208936.125</v>
      </c>
      <c r="P402">
        <v>193022</v>
      </c>
      <c r="Q402">
        <v>2</v>
      </c>
      <c r="R402">
        <v>292</v>
      </c>
      <c r="S402" t="s">
        <v>3333</v>
      </c>
    </row>
    <row r="403" spans="1:19" x14ac:dyDescent="0.25">
      <c r="A403" t="s">
        <v>1979</v>
      </c>
      <c r="B403">
        <v>3</v>
      </c>
      <c r="C403">
        <v>3</v>
      </c>
      <c r="D403">
        <v>0</v>
      </c>
      <c r="E403" t="s">
        <v>2322</v>
      </c>
      <c r="F403">
        <v>133190</v>
      </c>
      <c r="G403">
        <v>455010660.5</v>
      </c>
      <c r="H403">
        <v>0.96333333849906921</v>
      </c>
      <c r="I403">
        <v>0.94666666666666666</v>
      </c>
      <c r="J403">
        <v>27260920.333333332</v>
      </c>
      <c r="K403">
        <v>236285</v>
      </c>
      <c r="L403">
        <v>2</v>
      </c>
      <c r="M403">
        <v>325</v>
      </c>
      <c r="N403">
        <v>0.94925925925925925</v>
      </c>
      <c r="O403">
        <v>26604440.5</v>
      </c>
      <c r="P403">
        <v>237664</v>
      </c>
      <c r="Q403">
        <v>2</v>
      </c>
      <c r="R403">
        <v>326</v>
      </c>
      <c r="S403" t="s">
        <v>3334</v>
      </c>
    </row>
    <row r="404" spans="1:19" x14ac:dyDescent="0.25">
      <c r="A404" t="s">
        <v>1979</v>
      </c>
      <c r="B404">
        <v>3</v>
      </c>
      <c r="C404">
        <v>2</v>
      </c>
      <c r="D404">
        <v>0</v>
      </c>
      <c r="E404" t="s">
        <v>2324</v>
      </c>
      <c r="F404">
        <v>119728</v>
      </c>
      <c r="G404">
        <v>281615028.16666669</v>
      </c>
      <c r="H404">
        <v>0.96777776877085364</v>
      </c>
      <c r="I404">
        <v>0.95259259259259266</v>
      </c>
      <c r="J404">
        <v>23425982</v>
      </c>
      <c r="K404">
        <v>194269</v>
      </c>
      <c r="L404">
        <v>2</v>
      </c>
      <c r="M404">
        <v>293</v>
      </c>
      <c r="N404">
        <v>0.95370370370370372</v>
      </c>
      <c r="O404">
        <v>23035832.166666668</v>
      </c>
      <c r="P404">
        <v>195520</v>
      </c>
      <c r="Q404">
        <v>2</v>
      </c>
      <c r="R404">
        <v>294</v>
      </c>
      <c r="S404" t="s">
        <v>3335</v>
      </c>
    </row>
    <row r="405" spans="1:19" x14ac:dyDescent="0.25">
      <c r="A405" t="s">
        <v>1979</v>
      </c>
      <c r="B405">
        <v>3</v>
      </c>
      <c r="C405">
        <v>3</v>
      </c>
      <c r="D405">
        <v>0</v>
      </c>
      <c r="E405" t="s">
        <v>2324</v>
      </c>
      <c r="F405">
        <v>134668</v>
      </c>
      <c r="G405">
        <v>431876692.16666669</v>
      </c>
      <c r="H405">
        <v>0.96629628539085388</v>
      </c>
      <c r="I405">
        <v>0.94481481481481477</v>
      </c>
      <c r="J405">
        <v>28858876.5</v>
      </c>
      <c r="K405">
        <v>239047</v>
      </c>
      <c r="L405">
        <v>2</v>
      </c>
      <c r="M405">
        <v>327</v>
      </c>
      <c r="N405">
        <v>0.942962962962963</v>
      </c>
      <c r="O405">
        <v>29152980.333333332</v>
      </c>
      <c r="P405">
        <v>240434</v>
      </c>
      <c r="Q405">
        <v>2</v>
      </c>
      <c r="R405">
        <v>328</v>
      </c>
      <c r="S405" t="s">
        <v>3336</v>
      </c>
    </row>
    <row r="406" spans="1:19" x14ac:dyDescent="0.25">
      <c r="A406" t="s">
        <v>1979</v>
      </c>
      <c r="B406">
        <v>3</v>
      </c>
      <c r="C406">
        <v>2</v>
      </c>
      <c r="D406">
        <v>0</v>
      </c>
      <c r="E406" t="s">
        <v>2552</v>
      </c>
      <c r="F406">
        <v>121042</v>
      </c>
      <c r="G406">
        <v>265587102.16666666</v>
      </c>
      <c r="H406">
        <v>0.96777776877085364</v>
      </c>
      <c r="I406">
        <v>0.95851851851851855</v>
      </c>
      <c r="J406">
        <v>21824083.333333332</v>
      </c>
      <c r="K406">
        <v>195520</v>
      </c>
      <c r="L406">
        <v>2</v>
      </c>
      <c r="M406">
        <v>294</v>
      </c>
      <c r="N406">
        <v>0.95407407407407407</v>
      </c>
      <c r="O406">
        <v>22962111.5</v>
      </c>
      <c r="P406">
        <v>196775</v>
      </c>
      <c r="Q406">
        <v>2</v>
      </c>
      <c r="R406">
        <v>295</v>
      </c>
      <c r="S406" t="s">
        <v>3337</v>
      </c>
    </row>
    <row r="407" spans="1:19" x14ac:dyDescent="0.25">
      <c r="A407" t="s">
        <v>1979</v>
      </c>
      <c r="B407">
        <v>3</v>
      </c>
      <c r="C407">
        <v>3</v>
      </c>
      <c r="D407">
        <v>0</v>
      </c>
      <c r="E407" t="s">
        <v>2552</v>
      </c>
      <c r="F407">
        <v>136146</v>
      </c>
      <c r="G407">
        <v>464332722</v>
      </c>
      <c r="H407">
        <v>0.96666666865348816</v>
      </c>
      <c r="I407">
        <v>0.94925925925925925</v>
      </c>
      <c r="J407">
        <v>26010846</v>
      </c>
      <c r="K407">
        <v>241825</v>
      </c>
      <c r="L407">
        <v>2</v>
      </c>
      <c r="M407">
        <v>329</v>
      </c>
      <c r="N407">
        <v>0.94666666666666666</v>
      </c>
      <c r="O407">
        <v>28465276.666666668</v>
      </c>
      <c r="P407">
        <v>243220</v>
      </c>
      <c r="Q407">
        <v>2</v>
      </c>
      <c r="R407">
        <v>330</v>
      </c>
      <c r="S407" t="s">
        <v>3338</v>
      </c>
    </row>
    <row r="408" spans="1:19" x14ac:dyDescent="0.25">
      <c r="A408" t="s">
        <v>1979</v>
      </c>
      <c r="B408">
        <v>3</v>
      </c>
      <c r="C408">
        <v>2</v>
      </c>
      <c r="D408">
        <v>0</v>
      </c>
      <c r="E408" t="s">
        <v>2326</v>
      </c>
      <c r="F408">
        <v>78994</v>
      </c>
      <c r="G408">
        <v>295037761.66666669</v>
      </c>
      <c r="H408">
        <v>0.96333332856496179</v>
      </c>
      <c r="I408">
        <v>0.95296296296296301</v>
      </c>
      <c r="J408">
        <v>23368658.333333332</v>
      </c>
      <c r="K408">
        <v>127540</v>
      </c>
      <c r="L408">
        <v>2</v>
      </c>
      <c r="M408">
        <v>234</v>
      </c>
      <c r="N408">
        <v>0.95148148148148148</v>
      </c>
      <c r="O408">
        <v>22976189.5</v>
      </c>
      <c r="P408">
        <v>128555</v>
      </c>
      <c r="Q408">
        <v>2</v>
      </c>
      <c r="R408">
        <v>235</v>
      </c>
      <c r="S408" t="s">
        <v>3339</v>
      </c>
    </row>
    <row r="409" spans="1:19" x14ac:dyDescent="0.25">
      <c r="A409" t="s">
        <v>1979</v>
      </c>
      <c r="B409">
        <v>3</v>
      </c>
      <c r="C409">
        <v>3</v>
      </c>
      <c r="D409">
        <v>0</v>
      </c>
      <c r="E409" t="s">
        <v>2326</v>
      </c>
      <c r="F409">
        <v>88850</v>
      </c>
      <c r="G409">
        <v>305965057.83333331</v>
      </c>
      <c r="H409">
        <v>0.97370369235674537</v>
      </c>
      <c r="I409">
        <v>0.94592592592592595</v>
      </c>
      <c r="J409">
        <v>27665273.833333332</v>
      </c>
      <c r="K409">
        <v>157472</v>
      </c>
      <c r="L409">
        <v>2</v>
      </c>
      <c r="M409">
        <v>262</v>
      </c>
      <c r="N409">
        <v>0.94666666666666666</v>
      </c>
      <c r="O409">
        <v>25762573</v>
      </c>
      <c r="P409">
        <v>158599</v>
      </c>
      <c r="Q409">
        <v>2</v>
      </c>
      <c r="R409">
        <v>263</v>
      </c>
      <c r="S409" t="s">
        <v>3340</v>
      </c>
    </row>
    <row r="410" spans="1:19" x14ac:dyDescent="0.25">
      <c r="A410" t="s">
        <v>1979</v>
      </c>
      <c r="B410">
        <v>3</v>
      </c>
      <c r="C410">
        <v>2</v>
      </c>
      <c r="D410">
        <v>0</v>
      </c>
      <c r="E410" t="s">
        <v>2328</v>
      </c>
      <c r="F410">
        <v>80308</v>
      </c>
      <c r="G410">
        <v>306522848.77777779</v>
      </c>
      <c r="H410">
        <v>0.96962961885664201</v>
      </c>
      <c r="I410">
        <v>0.95506172839506176</v>
      </c>
      <c r="J410">
        <v>28738557.555555556</v>
      </c>
      <c r="K410">
        <v>129574</v>
      </c>
      <c r="L410">
        <v>2</v>
      </c>
      <c r="M410">
        <v>236</v>
      </c>
      <c r="N410">
        <v>0.95703703703703702</v>
      </c>
      <c r="O410">
        <v>28450475.222222224</v>
      </c>
      <c r="P410">
        <v>130597</v>
      </c>
      <c r="Q410">
        <v>2</v>
      </c>
      <c r="R410">
        <v>237</v>
      </c>
      <c r="S410" t="s">
        <v>3341</v>
      </c>
    </row>
    <row r="411" spans="1:19" x14ac:dyDescent="0.25">
      <c r="A411" t="s">
        <v>1979</v>
      </c>
      <c r="B411">
        <v>3</v>
      </c>
      <c r="C411">
        <v>3</v>
      </c>
      <c r="D411">
        <v>0</v>
      </c>
      <c r="E411" t="s">
        <v>2328</v>
      </c>
      <c r="F411">
        <v>90328</v>
      </c>
      <c r="G411">
        <v>301134797.66666669</v>
      </c>
      <c r="H411">
        <v>0.97407406568527222</v>
      </c>
      <c r="I411">
        <v>0.94518518518518513</v>
      </c>
      <c r="J411">
        <v>26792391</v>
      </c>
      <c r="K411">
        <v>159730</v>
      </c>
      <c r="L411">
        <v>2</v>
      </c>
      <c r="M411">
        <v>264</v>
      </c>
      <c r="N411">
        <v>0.94814814814814818</v>
      </c>
      <c r="O411">
        <v>27200822</v>
      </c>
      <c r="P411">
        <v>160865</v>
      </c>
      <c r="Q411">
        <v>2</v>
      </c>
      <c r="R411">
        <v>265</v>
      </c>
      <c r="S411" t="s">
        <v>3342</v>
      </c>
    </row>
    <row r="412" spans="1:19" x14ac:dyDescent="0.25">
      <c r="A412" t="s">
        <v>1979</v>
      </c>
      <c r="B412">
        <v>3</v>
      </c>
      <c r="C412">
        <v>2</v>
      </c>
      <c r="D412">
        <v>0</v>
      </c>
      <c r="E412" t="s">
        <v>2330</v>
      </c>
      <c r="F412">
        <v>81622</v>
      </c>
      <c r="G412">
        <v>335007787.55555558</v>
      </c>
      <c r="H412">
        <v>0.96716048982408309</v>
      </c>
      <c r="I412">
        <v>0.94913580246913576</v>
      </c>
      <c r="J412">
        <v>27719958.888888888</v>
      </c>
      <c r="K412">
        <v>131624</v>
      </c>
      <c r="L412">
        <v>2</v>
      </c>
      <c r="M412">
        <v>238</v>
      </c>
      <c r="N412">
        <v>0.95259259259259266</v>
      </c>
      <c r="O412">
        <v>28345666.111111112</v>
      </c>
      <c r="P412">
        <v>132655</v>
      </c>
      <c r="Q412">
        <v>2</v>
      </c>
      <c r="R412">
        <v>239</v>
      </c>
      <c r="S412" t="s">
        <v>3343</v>
      </c>
    </row>
    <row r="413" spans="1:19" x14ac:dyDescent="0.25">
      <c r="A413" t="s">
        <v>1979</v>
      </c>
      <c r="B413">
        <v>3</v>
      </c>
      <c r="C413">
        <v>3</v>
      </c>
      <c r="D413">
        <v>0</v>
      </c>
      <c r="E413" t="s">
        <v>2330</v>
      </c>
      <c r="F413">
        <v>91806</v>
      </c>
      <c r="G413">
        <v>309790011.16666669</v>
      </c>
      <c r="H413">
        <v>0.97777777910232544</v>
      </c>
      <c r="I413">
        <v>0.94777777777777783</v>
      </c>
      <c r="J413">
        <v>26935767.166666668</v>
      </c>
      <c r="K413">
        <v>162004</v>
      </c>
      <c r="L413">
        <v>2</v>
      </c>
      <c r="M413">
        <v>266</v>
      </c>
      <c r="N413">
        <v>0.94444444444444442</v>
      </c>
      <c r="O413">
        <v>27210768.333333332</v>
      </c>
      <c r="P413">
        <v>163147</v>
      </c>
      <c r="Q413">
        <v>2</v>
      </c>
      <c r="R413">
        <v>267</v>
      </c>
      <c r="S413" t="s">
        <v>3344</v>
      </c>
    </row>
    <row r="414" spans="1:19" x14ac:dyDescent="0.25">
      <c r="A414" t="s">
        <v>1979</v>
      </c>
      <c r="B414">
        <v>3</v>
      </c>
      <c r="C414">
        <v>2</v>
      </c>
      <c r="D414">
        <v>0</v>
      </c>
      <c r="E414" t="s">
        <v>2332</v>
      </c>
      <c r="F414">
        <v>82936</v>
      </c>
      <c r="G414">
        <v>317209658.77777779</v>
      </c>
      <c r="H414">
        <v>0.97160494327545166</v>
      </c>
      <c r="I414">
        <v>0.95481481481481478</v>
      </c>
      <c r="J414">
        <v>28381403.888888888</v>
      </c>
      <c r="K414">
        <v>133690</v>
      </c>
      <c r="L414">
        <v>2</v>
      </c>
      <c r="M414">
        <v>240</v>
      </c>
      <c r="N414">
        <v>0.95259259259259255</v>
      </c>
      <c r="O414">
        <v>27088847.666666668</v>
      </c>
      <c r="P414">
        <v>134729</v>
      </c>
      <c r="Q414">
        <v>2</v>
      </c>
      <c r="R414">
        <v>241</v>
      </c>
      <c r="S414" t="s">
        <v>3345</v>
      </c>
    </row>
    <row r="415" spans="1:19" x14ac:dyDescent="0.25">
      <c r="A415" t="s">
        <v>1979</v>
      </c>
      <c r="B415">
        <v>3</v>
      </c>
      <c r="C415">
        <v>3</v>
      </c>
      <c r="D415">
        <v>0</v>
      </c>
      <c r="E415" t="s">
        <v>2332</v>
      </c>
      <c r="F415">
        <v>93284</v>
      </c>
      <c r="G415">
        <v>305692228.33333331</v>
      </c>
      <c r="H415">
        <v>0.96629629532496131</v>
      </c>
      <c r="I415">
        <v>0.94777777777777772</v>
      </c>
      <c r="J415">
        <v>25707159.833333332</v>
      </c>
      <c r="K415">
        <v>165445</v>
      </c>
      <c r="L415">
        <v>2</v>
      </c>
      <c r="M415">
        <v>269</v>
      </c>
      <c r="N415">
        <v>0.94777777777777783</v>
      </c>
      <c r="O415">
        <v>24867373.833333332</v>
      </c>
      <c r="P415">
        <v>166600</v>
      </c>
      <c r="Q415">
        <v>2</v>
      </c>
      <c r="R415">
        <v>270</v>
      </c>
      <c r="S415" t="s">
        <v>3346</v>
      </c>
    </row>
    <row r="416" spans="1:19" x14ac:dyDescent="0.25">
      <c r="A416" t="s">
        <v>1979</v>
      </c>
      <c r="B416">
        <v>3</v>
      </c>
      <c r="C416">
        <v>2</v>
      </c>
      <c r="D416">
        <v>0</v>
      </c>
      <c r="E416" t="s">
        <v>2334</v>
      </c>
      <c r="F416">
        <v>84250</v>
      </c>
      <c r="G416">
        <v>317571638.77777779</v>
      </c>
      <c r="H416">
        <v>0.96814815203348792</v>
      </c>
      <c r="I416">
        <v>0.95086419753086415</v>
      </c>
      <c r="J416">
        <v>29245729.666666668</v>
      </c>
      <c r="K416">
        <v>135772</v>
      </c>
      <c r="L416">
        <v>2</v>
      </c>
      <c r="M416">
        <v>242</v>
      </c>
      <c r="N416">
        <v>0.95481481481481478</v>
      </c>
      <c r="O416">
        <v>29198753.666666668</v>
      </c>
      <c r="P416">
        <v>136819</v>
      </c>
      <c r="Q416">
        <v>2</v>
      </c>
      <c r="R416">
        <v>243</v>
      </c>
      <c r="S416" t="s">
        <v>3347</v>
      </c>
    </row>
    <row r="417" spans="1:19" x14ac:dyDescent="0.25">
      <c r="A417" t="s">
        <v>1979</v>
      </c>
      <c r="B417">
        <v>3</v>
      </c>
      <c r="C417">
        <v>3</v>
      </c>
      <c r="D417">
        <v>0</v>
      </c>
      <c r="E417" t="s">
        <v>2334</v>
      </c>
      <c r="F417">
        <v>94762</v>
      </c>
      <c r="G417">
        <v>300214383</v>
      </c>
      <c r="H417">
        <v>0.97481481234232581</v>
      </c>
      <c r="I417">
        <v>0.95074074074074078</v>
      </c>
      <c r="J417">
        <v>27823522</v>
      </c>
      <c r="K417">
        <v>167759</v>
      </c>
      <c r="L417">
        <v>2</v>
      </c>
      <c r="M417">
        <v>271</v>
      </c>
      <c r="N417">
        <v>0.95037037037037031</v>
      </c>
      <c r="O417">
        <v>27461087</v>
      </c>
      <c r="P417">
        <v>168922</v>
      </c>
      <c r="Q417">
        <v>2</v>
      </c>
      <c r="R417">
        <v>272</v>
      </c>
      <c r="S417" t="s">
        <v>3348</v>
      </c>
    </row>
    <row r="418" spans="1:19" x14ac:dyDescent="0.25">
      <c r="A418" t="s">
        <v>1979</v>
      </c>
      <c r="B418">
        <v>3</v>
      </c>
      <c r="C418">
        <v>2</v>
      </c>
      <c r="D418">
        <v>0</v>
      </c>
      <c r="E418" t="s">
        <v>2336</v>
      </c>
      <c r="F418">
        <v>85564</v>
      </c>
      <c r="G418">
        <v>248156710.33333334</v>
      </c>
      <c r="H418">
        <v>0.97555555237664116</v>
      </c>
      <c r="I418">
        <v>0.95308641975308639</v>
      </c>
      <c r="J418">
        <v>28663494.777777776</v>
      </c>
      <c r="K418">
        <v>138925</v>
      </c>
      <c r="L418">
        <v>2</v>
      </c>
      <c r="M418">
        <v>245</v>
      </c>
      <c r="N418">
        <v>0.95604938271604933</v>
      </c>
      <c r="O418">
        <v>28938417.666666668</v>
      </c>
      <c r="P418">
        <v>139984</v>
      </c>
      <c r="Q418">
        <v>2</v>
      </c>
      <c r="R418">
        <v>246</v>
      </c>
      <c r="S418" t="s">
        <v>3349</v>
      </c>
    </row>
    <row r="419" spans="1:19" x14ac:dyDescent="0.25">
      <c r="A419" t="s">
        <v>1979</v>
      </c>
      <c r="B419">
        <v>3</v>
      </c>
      <c r="C419">
        <v>3</v>
      </c>
      <c r="D419">
        <v>0</v>
      </c>
      <c r="E419" t="s">
        <v>2336</v>
      </c>
      <c r="F419">
        <v>96240</v>
      </c>
      <c r="G419">
        <v>308034256.66666669</v>
      </c>
      <c r="H419">
        <v>0.97333332896232605</v>
      </c>
      <c r="I419">
        <v>0.93925925925925924</v>
      </c>
      <c r="J419">
        <v>27527588.5</v>
      </c>
      <c r="K419">
        <v>170089</v>
      </c>
      <c r="L419">
        <v>2</v>
      </c>
      <c r="M419">
        <v>273</v>
      </c>
      <c r="N419">
        <v>0.94888888888888889</v>
      </c>
      <c r="O419">
        <v>23700734.166666668</v>
      </c>
      <c r="P419">
        <v>171260</v>
      </c>
      <c r="Q419">
        <v>2</v>
      </c>
      <c r="R419">
        <v>274</v>
      </c>
      <c r="S419" t="s">
        <v>3350</v>
      </c>
    </row>
    <row r="420" spans="1:19" x14ac:dyDescent="0.25">
      <c r="A420" t="s">
        <v>1979</v>
      </c>
      <c r="B420">
        <v>3</v>
      </c>
      <c r="C420">
        <v>2</v>
      </c>
      <c r="D420">
        <v>0</v>
      </c>
      <c r="E420" t="s">
        <v>2338</v>
      </c>
      <c r="F420">
        <v>86878</v>
      </c>
      <c r="G420">
        <v>274627299.44444442</v>
      </c>
      <c r="H420">
        <v>0.97308641672134399</v>
      </c>
      <c r="I420">
        <v>0.95481481481481478</v>
      </c>
      <c r="J420">
        <v>29309030.888888888</v>
      </c>
      <c r="K420">
        <v>141047</v>
      </c>
      <c r="L420">
        <v>2</v>
      </c>
      <c r="M420">
        <v>247</v>
      </c>
      <c r="N420">
        <v>0.95407407407407407</v>
      </c>
      <c r="O420">
        <v>28990804.444444444</v>
      </c>
      <c r="P420">
        <v>142114</v>
      </c>
      <c r="Q420">
        <v>2</v>
      </c>
      <c r="R420">
        <v>248</v>
      </c>
      <c r="S420" t="s">
        <v>3351</v>
      </c>
    </row>
    <row r="421" spans="1:19" x14ac:dyDescent="0.25">
      <c r="A421" t="s">
        <v>1979</v>
      </c>
      <c r="B421">
        <v>3</v>
      </c>
      <c r="C421">
        <v>3</v>
      </c>
      <c r="D421">
        <v>0</v>
      </c>
      <c r="E421" t="s">
        <v>2338</v>
      </c>
      <c r="F421">
        <v>97718</v>
      </c>
      <c r="G421">
        <v>340334612</v>
      </c>
      <c r="H421">
        <v>0.97518518567085266</v>
      </c>
      <c r="I421">
        <v>0.95148148148148148</v>
      </c>
      <c r="J421">
        <v>28720635</v>
      </c>
      <c r="K421">
        <v>172435</v>
      </c>
      <c r="L421">
        <v>2</v>
      </c>
      <c r="M421">
        <v>275</v>
      </c>
      <c r="N421">
        <v>0.95259259259259266</v>
      </c>
      <c r="O421">
        <v>26642060.666666668</v>
      </c>
      <c r="P421">
        <v>173614</v>
      </c>
      <c r="Q421">
        <v>2</v>
      </c>
      <c r="R421">
        <v>276</v>
      </c>
      <c r="S421" t="s">
        <v>3352</v>
      </c>
    </row>
    <row r="422" spans="1:19" x14ac:dyDescent="0.25">
      <c r="A422" t="s">
        <v>1979</v>
      </c>
      <c r="B422">
        <v>3</v>
      </c>
      <c r="C422">
        <v>2</v>
      </c>
      <c r="D422">
        <v>0</v>
      </c>
      <c r="E422" t="s">
        <v>2340</v>
      </c>
      <c r="F422">
        <v>88192</v>
      </c>
      <c r="G422">
        <v>370723404.44444442</v>
      </c>
      <c r="H422">
        <v>0.97456791003545129</v>
      </c>
      <c r="I422">
        <v>0.9555555555555556</v>
      </c>
      <c r="J422">
        <v>29341672.333333332</v>
      </c>
      <c r="K422">
        <v>143185</v>
      </c>
      <c r="L422">
        <v>2</v>
      </c>
      <c r="M422">
        <v>249</v>
      </c>
      <c r="N422">
        <v>0.95358024691358023</v>
      </c>
      <c r="O422">
        <v>28819578.777777776</v>
      </c>
      <c r="P422">
        <v>144260</v>
      </c>
      <c r="Q422">
        <v>2</v>
      </c>
      <c r="R422">
        <v>250</v>
      </c>
      <c r="S422" t="s">
        <v>3353</v>
      </c>
    </row>
    <row r="423" spans="1:19" x14ac:dyDescent="0.25">
      <c r="A423" t="s">
        <v>1979</v>
      </c>
      <c r="B423">
        <v>3</v>
      </c>
      <c r="C423">
        <v>3</v>
      </c>
      <c r="D423">
        <v>0</v>
      </c>
      <c r="E423" t="s">
        <v>2340</v>
      </c>
      <c r="F423">
        <v>99196</v>
      </c>
      <c r="G423">
        <v>331421051.16666669</v>
      </c>
      <c r="H423">
        <v>0.97148147225379944</v>
      </c>
      <c r="I423">
        <v>0.95148148148148148</v>
      </c>
      <c r="J423">
        <v>26892370.333333332</v>
      </c>
      <c r="K423">
        <v>175984</v>
      </c>
      <c r="L423">
        <v>2</v>
      </c>
      <c r="M423">
        <v>278</v>
      </c>
      <c r="N423">
        <v>0.94518518518518513</v>
      </c>
      <c r="O423">
        <v>26182867.666666668</v>
      </c>
      <c r="P423">
        <v>177175</v>
      </c>
      <c r="Q423">
        <v>2</v>
      </c>
      <c r="R423">
        <v>279</v>
      </c>
      <c r="S423" t="s">
        <v>3354</v>
      </c>
    </row>
    <row r="424" spans="1:19" x14ac:dyDescent="0.25">
      <c r="A424" t="s">
        <v>1979</v>
      </c>
      <c r="B424">
        <v>3</v>
      </c>
      <c r="C424">
        <v>2</v>
      </c>
      <c r="D424">
        <v>0</v>
      </c>
      <c r="E424" t="s">
        <v>2342</v>
      </c>
      <c r="F424">
        <v>89506</v>
      </c>
      <c r="G424">
        <v>332836043.66666669</v>
      </c>
      <c r="H424">
        <v>0.97530864344702828</v>
      </c>
      <c r="I424">
        <v>0.95358024691358023</v>
      </c>
      <c r="J424">
        <v>29740938.666666668</v>
      </c>
      <c r="K424">
        <v>145339</v>
      </c>
      <c r="L424">
        <v>2</v>
      </c>
      <c r="M424">
        <v>251</v>
      </c>
      <c r="N424">
        <v>0.95481481481481478</v>
      </c>
      <c r="O424">
        <v>30409634.111111112</v>
      </c>
      <c r="P424">
        <v>146422</v>
      </c>
      <c r="Q424">
        <v>2</v>
      </c>
      <c r="R424">
        <v>252</v>
      </c>
      <c r="S424" t="s">
        <v>3355</v>
      </c>
    </row>
    <row r="425" spans="1:19" x14ac:dyDescent="0.25">
      <c r="A425" t="s">
        <v>1979</v>
      </c>
      <c r="B425">
        <v>3</v>
      </c>
      <c r="C425">
        <v>3</v>
      </c>
      <c r="D425">
        <v>0</v>
      </c>
      <c r="E425" t="s">
        <v>2342</v>
      </c>
      <c r="F425">
        <v>100674</v>
      </c>
      <c r="G425">
        <v>295940546</v>
      </c>
      <c r="H425">
        <v>0.97777777910232544</v>
      </c>
      <c r="I425">
        <v>0.94814814814814818</v>
      </c>
      <c r="J425">
        <v>27552579.666666668</v>
      </c>
      <c r="K425">
        <v>178370</v>
      </c>
      <c r="L425">
        <v>2</v>
      </c>
      <c r="M425">
        <v>280</v>
      </c>
      <c r="N425">
        <v>0.94370370370370371</v>
      </c>
      <c r="O425">
        <v>26674306.5</v>
      </c>
      <c r="P425">
        <v>179569</v>
      </c>
      <c r="Q425">
        <v>2</v>
      </c>
      <c r="R425">
        <v>281</v>
      </c>
      <c r="S425" t="s">
        <v>3356</v>
      </c>
    </row>
    <row r="426" spans="1:19" x14ac:dyDescent="0.25">
      <c r="A426" t="s">
        <v>1979</v>
      </c>
      <c r="B426">
        <v>3</v>
      </c>
      <c r="C426">
        <v>2</v>
      </c>
      <c r="D426">
        <v>0</v>
      </c>
      <c r="E426" t="s">
        <v>2344</v>
      </c>
      <c r="F426">
        <v>90820</v>
      </c>
      <c r="G426">
        <v>316791137.77777779</v>
      </c>
      <c r="H426">
        <v>0.96716049644682145</v>
      </c>
      <c r="I426">
        <v>0.95234567901234568</v>
      </c>
      <c r="J426">
        <v>29159172.333333332</v>
      </c>
      <c r="K426">
        <v>146422</v>
      </c>
      <c r="L426">
        <v>2</v>
      </c>
      <c r="M426">
        <v>252</v>
      </c>
      <c r="N426">
        <v>0.95629629629629631</v>
      </c>
      <c r="O426">
        <v>30822135.888888888</v>
      </c>
      <c r="P426">
        <v>147509</v>
      </c>
      <c r="Q426">
        <v>2</v>
      </c>
      <c r="R426">
        <v>253</v>
      </c>
      <c r="S426" t="s">
        <v>3357</v>
      </c>
    </row>
    <row r="427" spans="1:19" x14ac:dyDescent="0.25">
      <c r="A427" t="s">
        <v>1979</v>
      </c>
      <c r="B427">
        <v>3</v>
      </c>
      <c r="C427">
        <v>3</v>
      </c>
      <c r="D427">
        <v>0</v>
      </c>
      <c r="E427" t="s">
        <v>2344</v>
      </c>
      <c r="F427">
        <v>102152</v>
      </c>
      <c r="G427">
        <v>306824189.33333331</v>
      </c>
      <c r="H427">
        <v>0.97037038207054138</v>
      </c>
      <c r="I427">
        <v>0.94148148148148147</v>
      </c>
      <c r="J427">
        <v>28570652.5</v>
      </c>
      <c r="K427">
        <v>180772</v>
      </c>
      <c r="L427">
        <v>2</v>
      </c>
      <c r="M427">
        <v>282</v>
      </c>
      <c r="N427">
        <v>0.94444444444444442</v>
      </c>
      <c r="O427">
        <v>26171798.833333332</v>
      </c>
      <c r="P427">
        <v>181979</v>
      </c>
      <c r="Q427">
        <v>2</v>
      </c>
      <c r="R427">
        <v>283</v>
      </c>
      <c r="S427" t="s">
        <v>3358</v>
      </c>
    </row>
    <row r="428" spans="1:19" x14ac:dyDescent="0.25">
      <c r="A428" t="s">
        <v>1979</v>
      </c>
      <c r="B428">
        <v>3</v>
      </c>
      <c r="C428">
        <v>2</v>
      </c>
      <c r="D428">
        <v>0</v>
      </c>
      <c r="E428" t="s">
        <v>2346</v>
      </c>
      <c r="F428">
        <v>92134</v>
      </c>
      <c r="G428">
        <v>289951153.90909094</v>
      </c>
      <c r="H428">
        <v>0.97313130985606799</v>
      </c>
      <c r="I428">
        <v>0.9492929292929293</v>
      </c>
      <c r="J428">
        <v>31853264.09090909</v>
      </c>
      <c r="K428">
        <v>148600</v>
      </c>
      <c r="L428">
        <v>2</v>
      </c>
      <c r="M428">
        <v>254</v>
      </c>
      <c r="N428">
        <v>0.95696969696969703</v>
      </c>
      <c r="O428">
        <v>30927566.636363637</v>
      </c>
      <c r="P428">
        <v>149695</v>
      </c>
      <c r="Q428">
        <v>2</v>
      </c>
      <c r="R428">
        <v>255</v>
      </c>
      <c r="S428" t="s">
        <v>3359</v>
      </c>
    </row>
    <row r="429" spans="1:19" x14ac:dyDescent="0.25">
      <c r="A429" t="s">
        <v>1979</v>
      </c>
      <c r="B429">
        <v>3</v>
      </c>
      <c r="C429">
        <v>3</v>
      </c>
      <c r="D429">
        <v>0</v>
      </c>
      <c r="E429" t="s">
        <v>2346</v>
      </c>
      <c r="F429">
        <v>103630</v>
      </c>
      <c r="G429">
        <v>324632093.16666669</v>
      </c>
      <c r="H429">
        <v>0.97185185551643372</v>
      </c>
      <c r="I429">
        <v>0.94518518518518513</v>
      </c>
      <c r="J429">
        <v>29649091.333333332</v>
      </c>
      <c r="K429">
        <v>183190</v>
      </c>
      <c r="L429">
        <v>2</v>
      </c>
      <c r="M429">
        <v>284</v>
      </c>
      <c r="N429">
        <v>0.94444444444444442</v>
      </c>
      <c r="O429">
        <v>29358078.5</v>
      </c>
      <c r="P429">
        <v>184405</v>
      </c>
      <c r="Q429">
        <v>2</v>
      </c>
      <c r="R429">
        <v>285</v>
      </c>
      <c r="S429" t="s">
        <v>3360</v>
      </c>
    </row>
    <row r="430" spans="1:19" x14ac:dyDescent="0.25">
      <c r="A430" t="s">
        <v>1979</v>
      </c>
      <c r="B430">
        <v>3</v>
      </c>
      <c r="C430">
        <v>2</v>
      </c>
      <c r="D430">
        <v>0</v>
      </c>
      <c r="E430" t="s">
        <v>2348</v>
      </c>
      <c r="F430">
        <v>93448</v>
      </c>
      <c r="G430">
        <v>292490699.5</v>
      </c>
      <c r="H430">
        <v>0.97296296556790673</v>
      </c>
      <c r="I430">
        <v>0.95518518518518514</v>
      </c>
      <c r="J430">
        <v>32587204.833333332</v>
      </c>
      <c r="K430">
        <v>150794</v>
      </c>
      <c r="L430">
        <v>2</v>
      </c>
      <c r="M430">
        <v>256</v>
      </c>
      <c r="N430">
        <v>0.95611111111111113</v>
      </c>
      <c r="O430">
        <v>31576445.666666668</v>
      </c>
      <c r="P430">
        <v>151897</v>
      </c>
      <c r="Q430">
        <v>2</v>
      </c>
      <c r="R430">
        <v>257</v>
      </c>
      <c r="S430" t="s">
        <v>3361</v>
      </c>
    </row>
    <row r="431" spans="1:19" x14ac:dyDescent="0.25">
      <c r="A431" t="s">
        <v>1979</v>
      </c>
      <c r="B431">
        <v>3</v>
      </c>
      <c r="C431">
        <v>3</v>
      </c>
      <c r="D431">
        <v>0</v>
      </c>
      <c r="E431" t="s">
        <v>2348</v>
      </c>
      <c r="F431">
        <v>105108</v>
      </c>
      <c r="G431">
        <v>318743068.16666669</v>
      </c>
      <c r="H431">
        <v>0.97481482227643335</v>
      </c>
      <c r="I431">
        <v>0.94740740740740736</v>
      </c>
      <c r="J431">
        <v>28839944.833333332</v>
      </c>
      <c r="K431">
        <v>185624</v>
      </c>
      <c r="L431">
        <v>2</v>
      </c>
      <c r="M431">
        <v>286</v>
      </c>
      <c r="N431">
        <v>0.95074074074074078</v>
      </c>
      <c r="O431">
        <v>28937516.166666668</v>
      </c>
      <c r="P431">
        <v>186847</v>
      </c>
      <c r="Q431">
        <v>2</v>
      </c>
      <c r="R431">
        <v>287</v>
      </c>
      <c r="S431" t="s">
        <v>3362</v>
      </c>
    </row>
    <row r="432" spans="1:19" x14ac:dyDescent="0.25">
      <c r="A432" t="s">
        <v>1979</v>
      </c>
      <c r="B432">
        <v>3</v>
      </c>
      <c r="C432">
        <v>2</v>
      </c>
      <c r="D432">
        <v>0</v>
      </c>
      <c r="E432" t="s">
        <v>2350</v>
      </c>
      <c r="F432">
        <v>94762</v>
      </c>
      <c r="G432">
        <v>334843000.33333331</v>
      </c>
      <c r="H432">
        <v>0.96944443881511688</v>
      </c>
      <c r="I432">
        <v>0.95407407407407407</v>
      </c>
      <c r="J432">
        <v>31586932.25</v>
      </c>
      <c r="K432">
        <v>153004</v>
      </c>
      <c r="L432">
        <v>2</v>
      </c>
      <c r="M432">
        <v>258</v>
      </c>
      <c r="N432">
        <v>0.95462962962962961</v>
      </c>
      <c r="O432">
        <v>30504159.833333332</v>
      </c>
      <c r="P432">
        <v>154115</v>
      </c>
      <c r="Q432">
        <v>2</v>
      </c>
      <c r="R432">
        <v>259</v>
      </c>
      <c r="S432" t="s">
        <v>3363</v>
      </c>
    </row>
    <row r="433" spans="1:19" x14ac:dyDescent="0.25">
      <c r="A433" t="s">
        <v>1979</v>
      </c>
      <c r="B433">
        <v>3</v>
      </c>
      <c r="C433">
        <v>3</v>
      </c>
      <c r="D433">
        <v>0</v>
      </c>
      <c r="E433" t="s">
        <v>2350</v>
      </c>
      <c r="F433">
        <v>106586</v>
      </c>
      <c r="G433">
        <v>358364397.66666669</v>
      </c>
      <c r="H433">
        <v>0.96888887882232666</v>
      </c>
      <c r="I433">
        <v>0.94740740740740736</v>
      </c>
      <c r="J433">
        <v>28606827</v>
      </c>
      <c r="K433">
        <v>189305</v>
      </c>
      <c r="L433">
        <v>2</v>
      </c>
      <c r="M433">
        <v>289</v>
      </c>
      <c r="N433">
        <v>0.94370370370370371</v>
      </c>
      <c r="O433">
        <v>29286667.5</v>
      </c>
      <c r="P433">
        <v>190540</v>
      </c>
      <c r="Q433">
        <v>2</v>
      </c>
      <c r="R433">
        <v>290</v>
      </c>
      <c r="S433" t="s">
        <v>3364</v>
      </c>
    </row>
    <row r="434" spans="1:19" x14ac:dyDescent="0.25">
      <c r="A434" t="s">
        <v>1979</v>
      </c>
      <c r="B434">
        <v>3</v>
      </c>
      <c r="C434">
        <v>2</v>
      </c>
      <c r="D434">
        <v>0</v>
      </c>
      <c r="E434" t="s">
        <v>2352</v>
      </c>
      <c r="F434">
        <v>96076</v>
      </c>
      <c r="G434">
        <v>325570455.25</v>
      </c>
      <c r="H434">
        <v>0.96962962547938025</v>
      </c>
      <c r="I434">
        <v>0.95629629629629631</v>
      </c>
      <c r="J434">
        <v>31736834.25</v>
      </c>
      <c r="K434">
        <v>155230</v>
      </c>
      <c r="L434">
        <v>2</v>
      </c>
      <c r="M434">
        <v>260</v>
      </c>
      <c r="N434">
        <v>0.95666666666666667</v>
      </c>
      <c r="O434">
        <v>31149121.083333332</v>
      </c>
      <c r="P434">
        <v>156349</v>
      </c>
      <c r="Q434">
        <v>2</v>
      </c>
      <c r="R434">
        <v>261</v>
      </c>
      <c r="S434" t="s">
        <v>3365</v>
      </c>
    </row>
    <row r="435" spans="1:19" x14ac:dyDescent="0.25">
      <c r="A435" t="s">
        <v>1979</v>
      </c>
      <c r="B435">
        <v>3</v>
      </c>
      <c r="C435">
        <v>3</v>
      </c>
      <c r="D435">
        <v>0</v>
      </c>
      <c r="E435" t="s">
        <v>2352</v>
      </c>
      <c r="F435">
        <v>108064</v>
      </c>
      <c r="G435">
        <v>373438811.5</v>
      </c>
      <c r="H435">
        <v>0.97222222884496057</v>
      </c>
      <c r="I435">
        <v>0.94925925925925925</v>
      </c>
      <c r="J435">
        <v>29230405.333333332</v>
      </c>
      <c r="K435">
        <v>191779</v>
      </c>
      <c r="L435">
        <v>2</v>
      </c>
      <c r="M435">
        <v>291</v>
      </c>
      <c r="N435">
        <v>0.95148148148148148</v>
      </c>
      <c r="O435">
        <v>29213214.666666668</v>
      </c>
      <c r="P435">
        <v>193022</v>
      </c>
      <c r="Q435">
        <v>2</v>
      </c>
      <c r="R435">
        <v>292</v>
      </c>
      <c r="S435" t="s">
        <v>3366</v>
      </c>
    </row>
    <row r="436" spans="1:19" x14ac:dyDescent="0.25">
      <c r="A436" t="s">
        <v>1979</v>
      </c>
      <c r="B436">
        <v>3</v>
      </c>
      <c r="C436">
        <v>2</v>
      </c>
      <c r="D436">
        <v>0</v>
      </c>
      <c r="E436" t="s">
        <v>2354</v>
      </c>
      <c r="F436">
        <v>97390</v>
      </c>
      <c r="G436">
        <v>337728462.16666669</v>
      </c>
      <c r="H436">
        <v>0.97444444894790649</v>
      </c>
      <c r="I436">
        <v>0.95092592592592595</v>
      </c>
      <c r="J436">
        <v>30988953.416666668</v>
      </c>
      <c r="K436">
        <v>157472</v>
      </c>
      <c r="L436">
        <v>2</v>
      </c>
      <c r="M436">
        <v>262</v>
      </c>
      <c r="N436">
        <v>0.95425925925925925</v>
      </c>
      <c r="O436">
        <v>30590507.75</v>
      </c>
      <c r="P436">
        <v>158599</v>
      </c>
      <c r="Q436">
        <v>2</v>
      </c>
      <c r="R436">
        <v>263</v>
      </c>
      <c r="S436" t="s">
        <v>3367</v>
      </c>
    </row>
    <row r="437" spans="1:19" x14ac:dyDescent="0.25">
      <c r="A437" t="s">
        <v>1979</v>
      </c>
      <c r="B437">
        <v>3</v>
      </c>
      <c r="C437">
        <v>3</v>
      </c>
      <c r="D437">
        <v>0</v>
      </c>
      <c r="E437" t="s">
        <v>2354</v>
      </c>
      <c r="F437">
        <v>109542</v>
      </c>
      <c r="G437">
        <v>370399675</v>
      </c>
      <c r="H437">
        <v>0.97148148218790686</v>
      </c>
      <c r="I437">
        <v>0.94333333333333336</v>
      </c>
      <c r="J437">
        <v>29654900.666666668</v>
      </c>
      <c r="K437">
        <v>194269</v>
      </c>
      <c r="L437">
        <v>2</v>
      </c>
      <c r="M437">
        <v>293</v>
      </c>
      <c r="N437">
        <v>0.94814814814814818</v>
      </c>
      <c r="O437">
        <v>28279833.833333332</v>
      </c>
      <c r="P437">
        <v>195520</v>
      </c>
      <c r="Q437">
        <v>2</v>
      </c>
      <c r="R437">
        <v>294</v>
      </c>
      <c r="S437" t="s">
        <v>3368</v>
      </c>
    </row>
    <row r="438" spans="1:19" x14ac:dyDescent="0.25">
      <c r="A438" t="s">
        <v>1979</v>
      </c>
      <c r="B438">
        <v>3</v>
      </c>
      <c r="C438">
        <v>2</v>
      </c>
      <c r="D438">
        <v>0</v>
      </c>
      <c r="E438" t="s">
        <v>2356</v>
      </c>
      <c r="F438">
        <v>98704</v>
      </c>
      <c r="G438">
        <v>339037386.33333331</v>
      </c>
      <c r="H438">
        <v>0.97333333392937982</v>
      </c>
      <c r="I438">
        <v>0.9555555555555556</v>
      </c>
      <c r="J438">
        <v>31358899.75</v>
      </c>
      <c r="K438">
        <v>159730</v>
      </c>
      <c r="L438">
        <v>2</v>
      </c>
      <c r="M438">
        <v>264</v>
      </c>
      <c r="N438">
        <v>0.95444444444444443</v>
      </c>
      <c r="O438">
        <v>32309847</v>
      </c>
      <c r="P438">
        <v>160865</v>
      </c>
      <c r="Q438">
        <v>2</v>
      </c>
      <c r="R438">
        <v>265</v>
      </c>
      <c r="S438" t="s">
        <v>3369</v>
      </c>
    </row>
    <row r="439" spans="1:19" x14ac:dyDescent="0.25">
      <c r="A439" t="s">
        <v>1979</v>
      </c>
      <c r="B439">
        <v>3</v>
      </c>
      <c r="C439">
        <v>3</v>
      </c>
      <c r="D439">
        <v>0</v>
      </c>
      <c r="E439" t="s">
        <v>2356</v>
      </c>
      <c r="F439">
        <v>111020</v>
      </c>
      <c r="G439">
        <v>388106406</v>
      </c>
      <c r="H439">
        <v>0.96888887882232666</v>
      </c>
      <c r="I439">
        <v>0.94888888888888889</v>
      </c>
      <c r="J439">
        <v>27191776.166666668</v>
      </c>
      <c r="K439">
        <v>196775</v>
      </c>
      <c r="L439">
        <v>2</v>
      </c>
      <c r="M439">
        <v>295</v>
      </c>
      <c r="N439">
        <v>0.94851851851851854</v>
      </c>
      <c r="O439">
        <v>28299340.166666668</v>
      </c>
      <c r="P439">
        <v>198034</v>
      </c>
      <c r="Q439">
        <v>2</v>
      </c>
      <c r="R439">
        <v>296</v>
      </c>
      <c r="S439" t="s">
        <v>3370</v>
      </c>
    </row>
    <row r="440" spans="1:19" x14ac:dyDescent="0.25">
      <c r="A440" t="s">
        <v>1979</v>
      </c>
      <c r="B440">
        <v>3</v>
      </c>
      <c r="C440">
        <v>2</v>
      </c>
      <c r="D440">
        <v>0</v>
      </c>
      <c r="E440" t="s">
        <v>2358</v>
      </c>
      <c r="F440">
        <v>100018</v>
      </c>
      <c r="G440">
        <v>340974599.10000002</v>
      </c>
      <c r="H440">
        <v>0.96911110877990725</v>
      </c>
      <c r="I440">
        <v>0.95111111111111113</v>
      </c>
      <c r="J440">
        <v>31957796.600000001</v>
      </c>
      <c r="K440">
        <v>162004</v>
      </c>
      <c r="L440">
        <v>2</v>
      </c>
      <c r="M440">
        <v>266</v>
      </c>
      <c r="N440">
        <v>0.95111111111111113</v>
      </c>
      <c r="O440">
        <v>32086147.399999999</v>
      </c>
      <c r="P440">
        <v>163147</v>
      </c>
      <c r="Q440">
        <v>2</v>
      </c>
      <c r="R440">
        <v>267</v>
      </c>
      <c r="S440" t="s">
        <v>3371</v>
      </c>
    </row>
    <row r="441" spans="1:19" x14ac:dyDescent="0.25">
      <c r="A441" t="s">
        <v>1979</v>
      </c>
      <c r="B441">
        <v>3</v>
      </c>
      <c r="C441">
        <v>3</v>
      </c>
      <c r="D441">
        <v>0</v>
      </c>
      <c r="E441" t="s">
        <v>2358</v>
      </c>
      <c r="F441">
        <v>112498</v>
      </c>
      <c r="G441">
        <v>361164873.5</v>
      </c>
      <c r="H441">
        <v>0.9614814817905426</v>
      </c>
      <c r="I441">
        <v>0.94814814814814818</v>
      </c>
      <c r="J441">
        <v>26429531.666666668</v>
      </c>
      <c r="K441">
        <v>199297</v>
      </c>
      <c r="L441">
        <v>2</v>
      </c>
      <c r="M441">
        <v>297</v>
      </c>
      <c r="N441">
        <v>0.94777777777777783</v>
      </c>
      <c r="O441">
        <v>28400064.166666668</v>
      </c>
      <c r="P441">
        <v>200564</v>
      </c>
      <c r="Q441">
        <v>2</v>
      </c>
      <c r="R441">
        <v>298</v>
      </c>
      <c r="S441" t="s">
        <v>3372</v>
      </c>
    </row>
    <row r="442" spans="1:19" x14ac:dyDescent="0.25">
      <c r="A442" t="s">
        <v>1979</v>
      </c>
      <c r="B442">
        <v>3</v>
      </c>
      <c r="C442">
        <v>2</v>
      </c>
      <c r="D442">
        <v>0</v>
      </c>
      <c r="E442" t="s">
        <v>2360</v>
      </c>
      <c r="F442">
        <v>101332</v>
      </c>
      <c r="G442">
        <v>321896961</v>
      </c>
      <c r="H442">
        <v>0.9691358076201545</v>
      </c>
      <c r="I442">
        <v>0.95283950617283952</v>
      </c>
      <c r="J442">
        <v>31744900.444444444</v>
      </c>
      <c r="K442">
        <v>164294</v>
      </c>
      <c r="L442">
        <v>2</v>
      </c>
      <c r="M442">
        <v>268</v>
      </c>
      <c r="N442">
        <v>0.95234567901234568</v>
      </c>
      <c r="O442">
        <v>32448695.666666668</v>
      </c>
      <c r="P442">
        <v>165445</v>
      </c>
      <c r="Q442">
        <v>2</v>
      </c>
      <c r="R442">
        <v>269</v>
      </c>
      <c r="S442" t="s">
        <v>3373</v>
      </c>
    </row>
    <row r="443" spans="1:19" x14ac:dyDescent="0.25">
      <c r="A443" t="s">
        <v>1979</v>
      </c>
      <c r="B443">
        <v>3</v>
      </c>
      <c r="C443">
        <v>3</v>
      </c>
      <c r="D443">
        <v>0</v>
      </c>
      <c r="E443" t="s">
        <v>2360</v>
      </c>
      <c r="F443">
        <v>113976</v>
      </c>
      <c r="G443">
        <v>334813720.66666669</v>
      </c>
      <c r="H443">
        <v>0.96592592199643457</v>
      </c>
      <c r="I443">
        <v>0.95148148148148148</v>
      </c>
      <c r="J443">
        <v>28088379.5</v>
      </c>
      <c r="K443">
        <v>201835</v>
      </c>
      <c r="L443">
        <v>2</v>
      </c>
      <c r="M443">
        <v>299</v>
      </c>
      <c r="N443">
        <v>0.95296296296296301</v>
      </c>
      <c r="O443">
        <v>29515738.166666668</v>
      </c>
      <c r="P443">
        <v>203110</v>
      </c>
      <c r="Q443">
        <v>2</v>
      </c>
      <c r="R443">
        <v>300</v>
      </c>
      <c r="S443" t="s">
        <v>3374</v>
      </c>
    </row>
    <row r="444" spans="1:19" x14ac:dyDescent="0.25">
      <c r="A444" t="s">
        <v>1979</v>
      </c>
      <c r="B444">
        <v>3</v>
      </c>
      <c r="C444">
        <v>4</v>
      </c>
      <c r="D444">
        <v>0</v>
      </c>
      <c r="E444" t="s">
        <v>2362</v>
      </c>
      <c r="F444">
        <v>54844</v>
      </c>
      <c r="G444">
        <v>325688000</v>
      </c>
      <c r="H444">
        <v>0.96962963210211861</v>
      </c>
      <c r="I444">
        <v>0.95185185185185184</v>
      </c>
      <c r="J444">
        <v>30402699.555555556</v>
      </c>
      <c r="K444">
        <v>103465</v>
      </c>
      <c r="L444">
        <v>2</v>
      </c>
      <c r="M444">
        <v>209</v>
      </c>
      <c r="N444">
        <v>0.95679012345679015</v>
      </c>
      <c r="O444">
        <v>30309212.888888888</v>
      </c>
      <c r="P444">
        <v>104380</v>
      </c>
      <c r="Q444">
        <v>2</v>
      </c>
      <c r="R444">
        <v>210</v>
      </c>
      <c r="S444" t="s">
        <v>3375</v>
      </c>
    </row>
    <row r="445" spans="1:19" x14ac:dyDescent="0.25">
      <c r="A445" t="s">
        <v>1979</v>
      </c>
      <c r="B445">
        <v>3</v>
      </c>
      <c r="C445">
        <v>2</v>
      </c>
      <c r="D445">
        <v>0</v>
      </c>
      <c r="E445" t="s">
        <v>2362</v>
      </c>
      <c r="F445">
        <v>43892</v>
      </c>
      <c r="G445">
        <v>48497796.666666664</v>
      </c>
      <c r="H445">
        <v>0.96296296517054236</v>
      </c>
      <c r="I445">
        <v>0.95370370370370372</v>
      </c>
      <c r="J445">
        <v>13304482.5</v>
      </c>
      <c r="K445">
        <v>70900</v>
      </c>
      <c r="L445">
        <v>2</v>
      </c>
      <c r="M445">
        <v>170</v>
      </c>
      <c r="N445">
        <v>0.95555555555555549</v>
      </c>
      <c r="O445">
        <v>13440166.666666666</v>
      </c>
      <c r="P445">
        <v>71659</v>
      </c>
      <c r="Q445">
        <v>2</v>
      </c>
      <c r="R445">
        <v>171</v>
      </c>
      <c r="S445" t="s">
        <v>3376</v>
      </c>
    </row>
    <row r="446" spans="1:19" x14ac:dyDescent="0.25">
      <c r="A446" t="s">
        <v>1979</v>
      </c>
      <c r="B446">
        <v>3</v>
      </c>
      <c r="C446">
        <v>4</v>
      </c>
      <c r="D446">
        <v>0</v>
      </c>
      <c r="E446" t="s">
        <v>2364</v>
      </c>
      <c r="F446">
        <v>56326</v>
      </c>
      <c r="G446">
        <v>75059911.1875</v>
      </c>
      <c r="H446">
        <v>0.97166666388511658</v>
      </c>
      <c r="I446">
        <v>0.9654166666666667</v>
      </c>
      <c r="J446">
        <v>17535999.875</v>
      </c>
      <c r="K446">
        <v>106222</v>
      </c>
      <c r="L446">
        <v>2</v>
      </c>
      <c r="M446">
        <v>212</v>
      </c>
      <c r="N446">
        <v>0.96819444444444447</v>
      </c>
      <c r="O446">
        <v>16287188</v>
      </c>
      <c r="P446">
        <v>107149</v>
      </c>
      <c r="Q446">
        <v>2</v>
      </c>
      <c r="R446">
        <v>213</v>
      </c>
      <c r="S446" t="s">
        <v>3377</v>
      </c>
    </row>
    <row r="447" spans="1:19" x14ac:dyDescent="0.25">
      <c r="A447" t="s">
        <v>1979</v>
      </c>
      <c r="B447">
        <v>3</v>
      </c>
      <c r="C447">
        <v>2</v>
      </c>
      <c r="D447">
        <v>0</v>
      </c>
      <c r="E447" t="s">
        <v>2364</v>
      </c>
      <c r="F447">
        <v>45078</v>
      </c>
      <c r="G447">
        <v>59963084.5</v>
      </c>
      <c r="H447">
        <v>0.96629628539085388</v>
      </c>
      <c r="I447">
        <v>0.95555555555555549</v>
      </c>
      <c r="J447">
        <v>14079385.5</v>
      </c>
      <c r="K447">
        <v>73189</v>
      </c>
      <c r="L447">
        <v>2</v>
      </c>
      <c r="M447">
        <v>173</v>
      </c>
      <c r="N447">
        <v>0.95814814814814819</v>
      </c>
      <c r="O447">
        <v>13944207.666666666</v>
      </c>
      <c r="P447">
        <v>73960</v>
      </c>
      <c r="Q447">
        <v>2</v>
      </c>
      <c r="R447">
        <v>174</v>
      </c>
      <c r="S447" t="s">
        <v>3378</v>
      </c>
    </row>
    <row r="448" spans="1:19" x14ac:dyDescent="0.25">
      <c r="A448" t="s">
        <v>1979</v>
      </c>
      <c r="B448">
        <v>3</v>
      </c>
      <c r="C448">
        <v>4</v>
      </c>
      <c r="D448">
        <v>0</v>
      </c>
      <c r="E448" t="s">
        <v>2366</v>
      </c>
      <c r="F448">
        <v>57808</v>
      </c>
      <c r="G448">
        <v>76712467.5625</v>
      </c>
      <c r="H448">
        <v>0.9652777686715126</v>
      </c>
      <c r="I448">
        <v>0.96625000000000005</v>
      </c>
      <c r="J448">
        <v>16844024.125</v>
      </c>
      <c r="K448">
        <v>109015</v>
      </c>
      <c r="L448">
        <v>2</v>
      </c>
      <c r="M448">
        <v>215</v>
      </c>
      <c r="N448">
        <v>0.96708333333333329</v>
      </c>
      <c r="O448">
        <v>18348104.875</v>
      </c>
      <c r="P448">
        <v>109954</v>
      </c>
      <c r="Q448">
        <v>2</v>
      </c>
      <c r="R448">
        <v>216</v>
      </c>
      <c r="S448" t="s">
        <v>3379</v>
      </c>
    </row>
    <row r="449" spans="1:19" x14ac:dyDescent="0.25">
      <c r="A449" t="s">
        <v>1979</v>
      </c>
      <c r="B449">
        <v>3</v>
      </c>
      <c r="C449">
        <v>2</v>
      </c>
      <c r="D449">
        <v>0</v>
      </c>
      <c r="E449" t="s">
        <v>2366</v>
      </c>
      <c r="F449">
        <v>46264</v>
      </c>
      <c r="G449">
        <v>56265917.333333336</v>
      </c>
      <c r="H449">
        <v>0.95555553833643592</v>
      </c>
      <c r="I449">
        <v>0.94777777777777783</v>
      </c>
      <c r="J449">
        <v>12532125.166666666</v>
      </c>
      <c r="K449">
        <v>74735</v>
      </c>
      <c r="L449">
        <v>2</v>
      </c>
      <c r="M449">
        <v>175</v>
      </c>
      <c r="N449">
        <v>0.95925925925925926</v>
      </c>
      <c r="O449">
        <v>15009616</v>
      </c>
      <c r="P449">
        <v>75514</v>
      </c>
      <c r="Q449">
        <v>2</v>
      </c>
      <c r="R449">
        <v>176</v>
      </c>
      <c r="S449" t="s">
        <v>3380</v>
      </c>
    </row>
    <row r="450" spans="1:19" x14ac:dyDescent="0.25">
      <c r="A450" t="s">
        <v>1979</v>
      </c>
      <c r="B450">
        <v>3</v>
      </c>
      <c r="C450">
        <v>4</v>
      </c>
      <c r="D450">
        <v>0</v>
      </c>
      <c r="E450" t="s">
        <v>2368</v>
      </c>
      <c r="F450">
        <v>59290</v>
      </c>
      <c r="G450">
        <v>76355186.75</v>
      </c>
      <c r="H450">
        <v>0.96902777627110481</v>
      </c>
      <c r="I450">
        <v>0.9654166666666667</v>
      </c>
      <c r="J450">
        <v>17388397.5</v>
      </c>
      <c r="K450">
        <v>111844</v>
      </c>
      <c r="L450">
        <v>2</v>
      </c>
      <c r="M450">
        <v>218</v>
      </c>
      <c r="N450">
        <v>0.96750000000000003</v>
      </c>
      <c r="O450">
        <v>17296079.75</v>
      </c>
      <c r="P450">
        <v>112795</v>
      </c>
      <c r="Q450">
        <v>2</v>
      </c>
      <c r="R450">
        <v>219</v>
      </c>
      <c r="S450" t="s">
        <v>3381</v>
      </c>
    </row>
    <row r="451" spans="1:19" x14ac:dyDescent="0.25">
      <c r="A451" t="s">
        <v>1979</v>
      </c>
      <c r="B451">
        <v>3</v>
      </c>
      <c r="C451">
        <v>2</v>
      </c>
      <c r="D451">
        <v>0</v>
      </c>
      <c r="E451" t="s">
        <v>2368</v>
      </c>
      <c r="F451">
        <v>47450</v>
      </c>
      <c r="G451">
        <v>64361105</v>
      </c>
      <c r="H451">
        <v>0.96185185511906945</v>
      </c>
      <c r="I451">
        <v>0.95481481481481478</v>
      </c>
      <c r="J451">
        <v>14287569.833333334</v>
      </c>
      <c r="K451">
        <v>76297</v>
      </c>
      <c r="L451">
        <v>2</v>
      </c>
      <c r="M451">
        <v>177</v>
      </c>
      <c r="N451">
        <v>0.95370370370370372</v>
      </c>
      <c r="O451">
        <v>13759064.666666666</v>
      </c>
      <c r="P451">
        <v>77084</v>
      </c>
      <c r="Q451">
        <v>2</v>
      </c>
      <c r="R451">
        <v>178</v>
      </c>
      <c r="S451" t="s">
        <v>3382</v>
      </c>
    </row>
    <row r="452" spans="1:19" x14ac:dyDescent="0.25">
      <c r="A452" t="s">
        <v>1979</v>
      </c>
      <c r="B452">
        <v>3</v>
      </c>
      <c r="C452">
        <v>4</v>
      </c>
      <c r="D452">
        <v>0</v>
      </c>
      <c r="E452" t="s">
        <v>2370</v>
      </c>
      <c r="F452">
        <v>60772</v>
      </c>
      <c r="G452">
        <v>85856182.0625</v>
      </c>
      <c r="H452">
        <v>0.9687500037252903</v>
      </c>
      <c r="I452">
        <v>0.96416666666666662</v>
      </c>
      <c r="J452">
        <v>18348018.4375</v>
      </c>
      <c r="K452">
        <v>114709</v>
      </c>
      <c r="L452">
        <v>2</v>
      </c>
      <c r="M452">
        <v>221</v>
      </c>
      <c r="N452">
        <v>0.96611111111111114</v>
      </c>
      <c r="O452">
        <v>16552990.375</v>
      </c>
      <c r="P452">
        <v>115672</v>
      </c>
      <c r="Q452">
        <v>2</v>
      </c>
      <c r="R452">
        <v>222</v>
      </c>
      <c r="S452" t="s">
        <v>3383</v>
      </c>
    </row>
    <row r="453" spans="1:19" x14ac:dyDescent="0.25">
      <c r="A453" t="s">
        <v>1979</v>
      </c>
      <c r="B453">
        <v>3</v>
      </c>
      <c r="C453">
        <v>2</v>
      </c>
      <c r="D453">
        <v>0</v>
      </c>
      <c r="E453" t="s">
        <v>2370</v>
      </c>
      <c r="F453">
        <v>48636</v>
      </c>
      <c r="G453">
        <v>62192837.166666664</v>
      </c>
      <c r="H453">
        <v>0.95777777830759681</v>
      </c>
      <c r="I453">
        <v>0.95222222222222219</v>
      </c>
      <c r="J453">
        <v>14121366.166666666</v>
      </c>
      <c r="K453">
        <v>78670</v>
      </c>
      <c r="L453">
        <v>2</v>
      </c>
      <c r="M453">
        <v>180</v>
      </c>
      <c r="N453">
        <v>0.9555555555555556</v>
      </c>
      <c r="O453">
        <v>13107117.5</v>
      </c>
      <c r="P453">
        <v>79469</v>
      </c>
      <c r="Q453">
        <v>2</v>
      </c>
      <c r="R453">
        <v>181</v>
      </c>
      <c r="S453" t="s">
        <v>3384</v>
      </c>
    </row>
    <row r="454" spans="1:19" x14ac:dyDescent="0.25">
      <c r="A454" t="s">
        <v>1979</v>
      </c>
      <c r="B454">
        <v>3</v>
      </c>
      <c r="C454">
        <v>4</v>
      </c>
      <c r="D454">
        <v>0</v>
      </c>
      <c r="E454" t="s">
        <v>2372</v>
      </c>
      <c r="F454">
        <v>62254</v>
      </c>
      <c r="G454">
        <v>84858028.875</v>
      </c>
      <c r="H454">
        <v>0.96819443628191948</v>
      </c>
      <c r="I454">
        <v>0.96236111111111111</v>
      </c>
      <c r="J454">
        <v>18215962.9375</v>
      </c>
      <c r="K454">
        <v>117610</v>
      </c>
      <c r="L454">
        <v>2</v>
      </c>
      <c r="M454">
        <v>224</v>
      </c>
      <c r="N454">
        <v>0.96375</v>
      </c>
      <c r="O454">
        <v>18843721.3125</v>
      </c>
      <c r="P454">
        <v>118585</v>
      </c>
      <c r="Q454">
        <v>2</v>
      </c>
      <c r="R454">
        <v>225</v>
      </c>
      <c r="S454" t="s">
        <v>3385</v>
      </c>
    </row>
    <row r="455" spans="1:19" x14ac:dyDescent="0.25">
      <c r="A455" t="s">
        <v>1979</v>
      </c>
      <c r="B455">
        <v>3</v>
      </c>
      <c r="C455">
        <v>2</v>
      </c>
      <c r="D455">
        <v>0</v>
      </c>
      <c r="E455" t="s">
        <v>2372</v>
      </c>
      <c r="F455">
        <v>49822</v>
      </c>
      <c r="G455">
        <v>60590367.833333336</v>
      </c>
      <c r="H455">
        <v>0.95888888835906982</v>
      </c>
      <c r="I455">
        <v>0.95703703703703702</v>
      </c>
      <c r="J455">
        <v>14959855</v>
      </c>
      <c r="K455">
        <v>80272</v>
      </c>
      <c r="L455">
        <v>2</v>
      </c>
      <c r="M455">
        <v>182</v>
      </c>
      <c r="N455">
        <v>0.95037037037037042</v>
      </c>
      <c r="O455">
        <v>15016494.666666666</v>
      </c>
      <c r="P455">
        <v>81079</v>
      </c>
      <c r="Q455">
        <v>2</v>
      </c>
      <c r="R455">
        <v>183</v>
      </c>
      <c r="S455" t="s">
        <v>3386</v>
      </c>
    </row>
    <row r="456" spans="1:19" x14ac:dyDescent="0.25">
      <c r="A456" t="s">
        <v>1979</v>
      </c>
      <c r="B456">
        <v>3</v>
      </c>
      <c r="C456">
        <v>4</v>
      </c>
      <c r="D456">
        <v>0</v>
      </c>
      <c r="E456" t="s">
        <v>2374</v>
      </c>
      <c r="F456">
        <v>63736</v>
      </c>
      <c r="G456">
        <v>86488175.214285716</v>
      </c>
      <c r="H456">
        <v>0.96507935864584782</v>
      </c>
      <c r="I456">
        <v>0.96746031746031746</v>
      </c>
      <c r="J456">
        <v>18722989.428571429</v>
      </c>
      <c r="K456">
        <v>120547</v>
      </c>
      <c r="L456">
        <v>2</v>
      </c>
      <c r="M456">
        <v>227</v>
      </c>
      <c r="N456">
        <v>0.96571428571428575</v>
      </c>
      <c r="O456">
        <v>19017659.285714287</v>
      </c>
      <c r="P456">
        <v>121534</v>
      </c>
      <c r="Q456">
        <v>2</v>
      </c>
      <c r="R456">
        <v>228</v>
      </c>
      <c r="S456" t="s">
        <v>3387</v>
      </c>
    </row>
    <row r="457" spans="1:19" x14ac:dyDescent="0.25">
      <c r="A457" t="s">
        <v>1979</v>
      </c>
      <c r="B457">
        <v>3</v>
      </c>
      <c r="C457">
        <v>2</v>
      </c>
      <c r="D457">
        <v>0</v>
      </c>
      <c r="E457" t="s">
        <v>2374</v>
      </c>
      <c r="F457">
        <v>51008</v>
      </c>
      <c r="G457">
        <v>62381380.833333336</v>
      </c>
      <c r="H457">
        <v>0.95740741491317749</v>
      </c>
      <c r="I457">
        <v>0.95185185185185184</v>
      </c>
      <c r="J457">
        <v>13514706.833333334</v>
      </c>
      <c r="K457">
        <v>82705</v>
      </c>
      <c r="L457">
        <v>2</v>
      </c>
      <c r="M457">
        <v>185</v>
      </c>
      <c r="N457">
        <v>0.95629629629629631</v>
      </c>
      <c r="O457">
        <v>15643218</v>
      </c>
      <c r="P457">
        <v>83524</v>
      </c>
      <c r="Q457">
        <v>2</v>
      </c>
      <c r="R457">
        <v>186</v>
      </c>
      <c r="S457" t="s">
        <v>3388</v>
      </c>
    </row>
    <row r="458" spans="1:19" x14ac:dyDescent="0.25">
      <c r="A458" t="s">
        <v>1979</v>
      </c>
      <c r="B458">
        <v>3</v>
      </c>
      <c r="C458">
        <v>4</v>
      </c>
      <c r="D458">
        <v>0</v>
      </c>
      <c r="E458" t="s">
        <v>2376</v>
      </c>
      <c r="F458">
        <v>65218</v>
      </c>
      <c r="G458">
        <v>95829706.454545453</v>
      </c>
      <c r="H458">
        <v>0.96303029493852099</v>
      </c>
      <c r="I458">
        <v>0.96585858585858586</v>
      </c>
      <c r="J458">
        <v>19458682.636363637</v>
      </c>
      <c r="K458">
        <v>123520</v>
      </c>
      <c r="L458">
        <v>2</v>
      </c>
      <c r="M458">
        <v>230</v>
      </c>
      <c r="N458">
        <v>0.96363636363636362</v>
      </c>
      <c r="O458">
        <v>18940085.272727273</v>
      </c>
      <c r="P458">
        <v>124519</v>
      </c>
      <c r="Q458">
        <v>2</v>
      </c>
      <c r="R458">
        <v>231</v>
      </c>
      <c r="S458" t="s">
        <v>3389</v>
      </c>
    </row>
    <row r="459" spans="1:19" x14ac:dyDescent="0.25">
      <c r="A459" t="s">
        <v>1979</v>
      </c>
      <c r="B459">
        <v>3</v>
      </c>
      <c r="C459">
        <v>2</v>
      </c>
      <c r="D459">
        <v>0</v>
      </c>
      <c r="E459" t="s">
        <v>2376</v>
      </c>
      <c r="F459">
        <v>52194</v>
      </c>
      <c r="G459">
        <v>65319002.833333336</v>
      </c>
      <c r="H459">
        <v>0.94851851463317871</v>
      </c>
      <c r="I459">
        <v>0.95037037037037031</v>
      </c>
      <c r="J459">
        <v>15328708.833333334</v>
      </c>
      <c r="K459">
        <v>84347</v>
      </c>
      <c r="L459">
        <v>2</v>
      </c>
      <c r="M459">
        <v>187</v>
      </c>
      <c r="N459">
        <v>0.95481481481481489</v>
      </c>
      <c r="O459">
        <v>14291535.166666666</v>
      </c>
      <c r="P459">
        <v>85174</v>
      </c>
      <c r="Q459">
        <v>2</v>
      </c>
      <c r="R459">
        <v>188</v>
      </c>
      <c r="S459" t="s">
        <v>3390</v>
      </c>
    </row>
    <row r="460" spans="1:19" x14ac:dyDescent="0.25">
      <c r="A460" t="s">
        <v>1979</v>
      </c>
      <c r="B460">
        <v>3</v>
      </c>
      <c r="C460">
        <v>3</v>
      </c>
      <c r="D460">
        <v>0</v>
      </c>
      <c r="E460" t="s">
        <v>2378</v>
      </c>
      <c r="F460">
        <v>60040</v>
      </c>
      <c r="G460">
        <v>91841205.090909094</v>
      </c>
      <c r="H460">
        <v>0.96868686242537061</v>
      </c>
      <c r="I460">
        <v>0.96383838383838383</v>
      </c>
      <c r="J460">
        <v>19874572.545454547</v>
      </c>
      <c r="K460">
        <v>106222</v>
      </c>
      <c r="L460">
        <v>2</v>
      </c>
      <c r="M460">
        <v>212</v>
      </c>
      <c r="N460">
        <v>0.96424242424242423</v>
      </c>
      <c r="O460">
        <v>20292789.272727273</v>
      </c>
      <c r="P460">
        <v>107149</v>
      </c>
      <c r="Q460">
        <v>2</v>
      </c>
      <c r="R460">
        <v>213</v>
      </c>
      <c r="S460" t="s">
        <v>3391</v>
      </c>
    </row>
    <row r="461" spans="1:19" x14ac:dyDescent="0.25">
      <c r="A461" t="s">
        <v>1979</v>
      </c>
      <c r="B461">
        <v>3</v>
      </c>
      <c r="C461">
        <v>4</v>
      </c>
      <c r="D461">
        <v>0</v>
      </c>
      <c r="E461" t="s">
        <v>2378</v>
      </c>
      <c r="F461">
        <v>66700</v>
      </c>
      <c r="G461">
        <v>97632072.5</v>
      </c>
      <c r="H461">
        <v>0.95629630486170447</v>
      </c>
      <c r="I461">
        <v>0.96074074074074067</v>
      </c>
      <c r="J461">
        <v>19180191.166666668</v>
      </c>
      <c r="K461">
        <v>126529</v>
      </c>
      <c r="L461">
        <v>2</v>
      </c>
      <c r="M461">
        <v>233</v>
      </c>
      <c r="N461">
        <v>0.96592592592592597</v>
      </c>
      <c r="O461">
        <v>18959275.333333332</v>
      </c>
      <c r="P461">
        <v>127540</v>
      </c>
      <c r="Q461">
        <v>2</v>
      </c>
      <c r="R461">
        <v>234</v>
      </c>
      <c r="S461" t="s">
        <v>3392</v>
      </c>
    </row>
    <row r="462" spans="1:19" x14ac:dyDescent="0.25">
      <c r="A462" t="s">
        <v>1979</v>
      </c>
      <c r="B462">
        <v>3</v>
      </c>
      <c r="C462">
        <v>2</v>
      </c>
      <c r="D462">
        <v>0</v>
      </c>
      <c r="E462" t="s">
        <v>2378</v>
      </c>
      <c r="F462">
        <v>53380</v>
      </c>
      <c r="G462">
        <v>61844738.166666664</v>
      </c>
      <c r="H462">
        <v>0.95370370149612427</v>
      </c>
      <c r="I462">
        <v>0.95925925925925926</v>
      </c>
      <c r="J462">
        <v>14868281.166666666</v>
      </c>
      <c r="K462">
        <v>86005</v>
      </c>
      <c r="L462">
        <v>2</v>
      </c>
      <c r="M462">
        <v>189</v>
      </c>
      <c r="N462">
        <v>0.95962962962962961</v>
      </c>
      <c r="O462">
        <v>14243588.166666666</v>
      </c>
      <c r="P462">
        <v>86840</v>
      </c>
      <c r="Q462">
        <v>2</v>
      </c>
      <c r="R462">
        <v>190</v>
      </c>
      <c r="S462" t="s">
        <v>3393</v>
      </c>
    </row>
    <row r="463" spans="1:19" x14ac:dyDescent="0.25">
      <c r="A463" t="s">
        <v>1979</v>
      </c>
      <c r="B463">
        <v>3</v>
      </c>
      <c r="C463">
        <v>3</v>
      </c>
      <c r="D463">
        <v>0</v>
      </c>
      <c r="E463" t="s">
        <v>2380</v>
      </c>
      <c r="F463">
        <v>61374</v>
      </c>
      <c r="G463">
        <v>91084801.909090906</v>
      </c>
      <c r="H463">
        <v>0.96909090605649084</v>
      </c>
      <c r="I463">
        <v>0.97010101010101013</v>
      </c>
      <c r="J463">
        <v>20845698.272727273</v>
      </c>
      <c r="K463">
        <v>109015</v>
      </c>
      <c r="L463">
        <v>2</v>
      </c>
      <c r="M463">
        <v>215</v>
      </c>
      <c r="N463">
        <v>0.96888888888888891</v>
      </c>
      <c r="O463">
        <v>18490296</v>
      </c>
      <c r="P463">
        <v>109954</v>
      </c>
      <c r="Q463">
        <v>2</v>
      </c>
      <c r="R463">
        <v>216</v>
      </c>
      <c r="S463" t="s">
        <v>3394</v>
      </c>
    </row>
    <row r="464" spans="1:19" x14ac:dyDescent="0.25">
      <c r="A464" t="s">
        <v>1979</v>
      </c>
      <c r="B464">
        <v>3</v>
      </c>
      <c r="C464">
        <v>4</v>
      </c>
      <c r="D464">
        <v>0</v>
      </c>
      <c r="E464" t="s">
        <v>2380</v>
      </c>
      <c r="F464">
        <v>68182</v>
      </c>
      <c r="G464">
        <v>93657156.166666672</v>
      </c>
      <c r="H464">
        <v>0.95962962508201599</v>
      </c>
      <c r="I464">
        <v>0.96481481481481479</v>
      </c>
      <c r="J464">
        <v>20642017</v>
      </c>
      <c r="K464">
        <v>128555</v>
      </c>
      <c r="L464">
        <v>2</v>
      </c>
      <c r="M464">
        <v>235</v>
      </c>
      <c r="N464">
        <v>0.96074074074074067</v>
      </c>
      <c r="O464">
        <v>19500875</v>
      </c>
      <c r="P464">
        <v>129574</v>
      </c>
      <c r="Q464">
        <v>2</v>
      </c>
      <c r="R464">
        <v>236</v>
      </c>
      <c r="S464" t="s">
        <v>3395</v>
      </c>
    </row>
    <row r="465" spans="1:19" x14ac:dyDescent="0.25">
      <c r="A465" t="s">
        <v>1979</v>
      </c>
      <c r="B465">
        <v>3</v>
      </c>
      <c r="C465">
        <v>2</v>
      </c>
      <c r="D465">
        <v>0</v>
      </c>
      <c r="E465" t="s">
        <v>2380</v>
      </c>
      <c r="F465">
        <v>54566</v>
      </c>
      <c r="G465">
        <v>56777970.333333336</v>
      </c>
      <c r="H465">
        <v>0.94740740458170569</v>
      </c>
      <c r="I465">
        <v>0.96666666666666667</v>
      </c>
      <c r="J465">
        <v>15362992.666666666</v>
      </c>
      <c r="K465">
        <v>88522</v>
      </c>
      <c r="L465">
        <v>2</v>
      </c>
      <c r="M465">
        <v>192</v>
      </c>
      <c r="N465">
        <v>0.96407407407407408</v>
      </c>
      <c r="O465">
        <v>14730436.5</v>
      </c>
      <c r="P465">
        <v>89369</v>
      </c>
      <c r="Q465">
        <v>2</v>
      </c>
      <c r="R465">
        <v>193</v>
      </c>
      <c r="S465" t="s">
        <v>3396</v>
      </c>
    </row>
    <row r="466" spans="1:19" x14ac:dyDescent="0.25">
      <c r="A466" t="s">
        <v>1979</v>
      </c>
      <c r="B466">
        <v>3</v>
      </c>
      <c r="C466">
        <v>3</v>
      </c>
      <c r="D466">
        <v>0</v>
      </c>
      <c r="E466" t="s">
        <v>2382</v>
      </c>
      <c r="F466">
        <v>62708</v>
      </c>
      <c r="G466">
        <v>89958615.090909094</v>
      </c>
      <c r="H466">
        <v>0.96707070957530628</v>
      </c>
      <c r="I466">
        <v>0.96989898989898993</v>
      </c>
      <c r="J466">
        <v>19143372.363636363</v>
      </c>
      <c r="K466">
        <v>110897</v>
      </c>
      <c r="L466">
        <v>2</v>
      </c>
      <c r="M466">
        <v>217</v>
      </c>
      <c r="N466">
        <v>0.96646464646464647</v>
      </c>
      <c r="O466">
        <v>16751339.909090908</v>
      </c>
      <c r="P466">
        <v>111844</v>
      </c>
      <c r="Q466">
        <v>2</v>
      </c>
      <c r="R466">
        <v>218</v>
      </c>
      <c r="S466" t="s">
        <v>3397</v>
      </c>
    </row>
    <row r="467" spans="1:19" x14ac:dyDescent="0.25">
      <c r="A467" t="s">
        <v>1979</v>
      </c>
      <c r="B467">
        <v>3</v>
      </c>
      <c r="C467">
        <v>4</v>
      </c>
      <c r="D467">
        <v>0</v>
      </c>
      <c r="E467" t="s">
        <v>2382</v>
      </c>
      <c r="F467">
        <v>69664</v>
      </c>
      <c r="G467">
        <v>91412850</v>
      </c>
      <c r="H467">
        <v>0.96703702211380005</v>
      </c>
      <c r="I467">
        <v>0.96111111111111114</v>
      </c>
      <c r="J467">
        <v>19211469.5</v>
      </c>
      <c r="K467">
        <v>131624</v>
      </c>
      <c r="L467">
        <v>2</v>
      </c>
      <c r="M467">
        <v>238</v>
      </c>
      <c r="N467">
        <v>0.95074074074074078</v>
      </c>
      <c r="O467">
        <v>19591513.666666668</v>
      </c>
      <c r="P467">
        <v>132655</v>
      </c>
      <c r="Q467">
        <v>2</v>
      </c>
      <c r="R467">
        <v>239</v>
      </c>
      <c r="S467" t="s">
        <v>3398</v>
      </c>
    </row>
    <row r="468" spans="1:19" x14ac:dyDescent="0.25">
      <c r="A468" t="s">
        <v>1979</v>
      </c>
      <c r="B468">
        <v>3</v>
      </c>
      <c r="C468">
        <v>2</v>
      </c>
      <c r="D468">
        <v>0</v>
      </c>
      <c r="E468" t="s">
        <v>2382</v>
      </c>
      <c r="F468">
        <v>55752</v>
      </c>
      <c r="G468">
        <v>71584779.666666672</v>
      </c>
      <c r="H468">
        <v>0.95962962508201599</v>
      </c>
      <c r="I468">
        <v>0.95444444444444443</v>
      </c>
      <c r="J468">
        <v>15610160.5</v>
      </c>
      <c r="K468">
        <v>90220</v>
      </c>
      <c r="L468">
        <v>2</v>
      </c>
      <c r="M468">
        <v>194</v>
      </c>
      <c r="N468">
        <v>0.95592592592592585</v>
      </c>
      <c r="O468">
        <v>14906070.5</v>
      </c>
      <c r="P468">
        <v>91075</v>
      </c>
      <c r="Q468">
        <v>2</v>
      </c>
      <c r="R468">
        <v>195</v>
      </c>
      <c r="S468" t="s">
        <v>3399</v>
      </c>
    </row>
    <row r="469" spans="1:19" x14ac:dyDescent="0.25">
      <c r="A469" t="s">
        <v>1979</v>
      </c>
      <c r="B469">
        <v>3</v>
      </c>
      <c r="C469">
        <v>3</v>
      </c>
      <c r="D469">
        <v>0</v>
      </c>
      <c r="E469" t="s">
        <v>2384</v>
      </c>
      <c r="F469">
        <v>64042</v>
      </c>
      <c r="G469">
        <v>86807074.545454547</v>
      </c>
      <c r="H469">
        <v>0.96848485144701868</v>
      </c>
      <c r="I469">
        <v>0.96505050505050505</v>
      </c>
      <c r="J469">
        <v>20779022.181818184</v>
      </c>
      <c r="K469">
        <v>113750</v>
      </c>
      <c r="L469">
        <v>2</v>
      </c>
      <c r="M469">
        <v>220</v>
      </c>
      <c r="N469">
        <v>0.96444444444444444</v>
      </c>
      <c r="O469">
        <v>20810129.363636363</v>
      </c>
      <c r="P469">
        <v>114709</v>
      </c>
      <c r="Q469">
        <v>2</v>
      </c>
      <c r="R469">
        <v>221</v>
      </c>
      <c r="S469" t="s">
        <v>3400</v>
      </c>
    </row>
    <row r="470" spans="1:19" x14ac:dyDescent="0.25">
      <c r="A470" t="s">
        <v>1979</v>
      </c>
      <c r="B470">
        <v>3</v>
      </c>
      <c r="C470">
        <v>4</v>
      </c>
      <c r="D470">
        <v>0</v>
      </c>
      <c r="E470" t="s">
        <v>2384</v>
      </c>
      <c r="F470">
        <v>71146</v>
      </c>
      <c r="G470">
        <v>91314162.333333328</v>
      </c>
      <c r="H470">
        <v>0.95518518487612403</v>
      </c>
      <c r="I470">
        <v>0.96481481481481479</v>
      </c>
      <c r="J470">
        <v>19941548.333333332</v>
      </c>
      <c r="K470">
        <v>134729</v>
      </c>
      <c r="L470">
        <v>2</v>
      </c>
      <c r="M470">
        <v>241</v>
      </c>
      <c r="N470">
        <v>0.95740740740740737</v>
      </c>
      <c r="O470">
        <v>20337155.166666668</v>
      </c>
      <c r="P470">
        <v>135772</v>
      </c>
      <c r="Q470">
        <v>2</v>
      </c>
      <c r="R470">
        <v>242</v>
      </c>
      <c r="S470" t="s">
        <v>3401</v>
      </c>
    </row>
    <row r="471" spans="1:19" x14ac:dyDescent="0.25">
      <c r="A471" t="s">
        <v>1979</v>
      </c>
      <c r="B471">
        <v>3</v>
      </c>
      <c r="C471">
        <v>2</v>
      </c>
      <c r="D471">
        <v>0</v>
      </c>
      <c r="E471" t="s">
        <v>2384</v>
      </c>
      <c r="F471">
        <v>56938</v>
      </c>
      <c r="G471">
        <v>74270263</v>
      </c>
      <c r="H471">
        <v>0.9566666682561239</v>
      </c>
      <c r="I471">
        <v>0.95592592592592596</v>
      </c>
      <c r="J471">
        <v>15363562.833333334</v>
      </c>
      <c r="K471">
        <v>91934</v>
      </c>
      <c r="L471">
        <v>2</v>
      </c>
      <c r="M471">
        <v>196</v>
      </c>
      <c r="N471">
        <v>0.95111111111111113</v>
      </c>
      <c r="O471">
        <v>15361110</v>
      </c>
      <c r="P471">
        <v>92797</v>
      </c>
      <c r="Q471">
        <v>2</v>
      </c>
      <c r="R471">
        <v>197</v>
      </c>
      <c r="S471" t="s">
        <v>3402</v>
      </c>
    </row>
    <row r="472" spans="1:19" x14ac:dyDescent="0.25">
      <c r="A472" t="s">
        <v>1979</v>
      </c>
      <c r="B472">
        <v>3</v>
      </c>
      <c r="C472">
        <v>3</v>
      </c>
      <c r="D472">
        <v>0</v>
      </c>
      <c r="E472" t="s">
        <v>2386</v>
      </c>
      <c r="F472">
        <v>65376</v>
      </c>
      <c r="G472">
        <v>109274000.72727273</v>
      </c>
      <c r="H472">
        <v>0.96606059507890185</v>
      </c>
      <c r="I472">
        <v>0.96343434343434342</v>
      </c>
      <c r="J472">
        <v>20799829.818181816</v>
      </c>
      <c r="K472">
        <v>115672</v>
      </c>
      <c r="L472">
        <v>2</v>
      </c>
      <c r="M472">
        <v>222</v>
      </c>
      <c r="N472">
        <v>0.96585858585858586</v>
      </c>
      <c r="O472">
        <v>21358106.636363637</v>
      </c>
      <c r="P472">
        <v>116639</v>
      </c>
      <c r="Q472">
        <v>2</v>
      </c>
      <c r="R472">
        <v>223</v>
      </c>
      <c r="S472" t="s">
        <v>3403</v>
      </c>
    </row>
    <row r="473" spans="1:19" x14ac:dyDescent="0.25">
      <c r="A473" t="s">
        <v>1979</v>
      </c>
      <c r="B473">
        <v>3</v>
      </c>
      <c r="C473">
        <v>4</v>
      </c>
      <c r="D473">
        <v>0</v>
      </c>
      <c r="E473" t="s">
        <v>2386</v>
      </c>
      <c r="F473">
        <v>72628</v>
      </c>
      <c r="G473">
        <v>105460188.66666667</v>
      </c>
      <c r="H473">
        <v>0.96222221851348877</v>
      </c>
      <c r="I473">
        <v>0.96518518518518515</v>
      </c>
      <c r="J473">
        <v>20100868.833333332</v>
      </c>
      <c r="K473">
        <v>137870</v>
      </c>
      <c r="L473">
        <v>2</v>
      </c>
      <c r="M473">
        <v>244</v>
      </c>
      <c r="N473">
        <v>0.96925925925925926</v>
      </c>
      <c r="O473">
        <v>20498645.666666668</v>
      </c>
      <c r="P473">
        <v>138925</v>
      </c>
      <c r="Q473">
        <v>2</v>
      </c>
      <c r="R473">
        <v>245</v>
      </c>
      <c r="S473" t="s">
        <v>3404</v>
      </c>
    </row>
    <row r="474" spans="1:19" x14ac:dyDescent="0.25">
      <c r="A474" t="s">
        <v>1979</v>
      </c>
      <c r="B474">
        <v>3</v>
      </c>
      <c r="C474">
        <v>2</v>
      </c>
      <c r="D474">
        <v>0</v>
      </c>
      <c r="E474" t="s">
        <v>2386</v>
      </c>
      <c r="F474">
        <v>58124</v>
      </c>
      <c r="G474">
        <v>73067486.666666672</v>
      </c>
      <c r="H474">
        <v>0.96407407522201538</v>
      </c>
      <c r="I474">
        <v>0.95444444444444443</v>
      </c>
      <c r="J474">
        <v>16276785.666666666</v>
      </c>
      <c r="K474">
        <v>93664</v>
      </c>
      <c r="L474">
        <v>2</v>
      </c>
      <c r="M474">
        <v>198</v>
      </c>
      <c r="N474">
        <v>0.96037037037037032</v>
      </c>
      <c r="O474">
        <v>16440593.5</v>
      </c>
      <c r="P474">
        <v>94535</v>
      </c>
      <c r="Q474">
        <v>2</v>
      </c>
      <c r="R474">
        <v>199</v>
      </c>
      <c r="S474" t="s">
        <v>3405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376BF-6908-492F-8F1B-00CB14B60C14}">
  <dimension ref="A1:Z461"/>
  <sheetViews>
    <sheetView zoomScale="85" zoomScaleNormal="85" workbookViewId="0">
      <selection activeCell="G1" sqref="G1"/>
    </sheetView>
  </sheetViews>
  <sheetFormatPr defaultRowHeight="15" x14ac:dyDescent="0.25"/>
  <cols>
    <col min="1" max="1" width="6.5703125" customWidth="1"/>
    <col min="2" max="2" width="8.85546875" customWidth="1"/>
    <col min="3" max="3" width="5.5703125" customWidth="1"/>
    <col min="4" max="4" width="10.5703125" bestFit="1" customWidth="1"/>
    <col min="5" max="5" width="14.28515625" bestFit="1" customWidth="1"/>
    <col min="6" max="6" width="8.140625" customWidth="1"/>
    <col min="7" max="7" width="22" bestFit="1" customWidth="1"/>
    <col min="8" max="8" width="14.7109375" bestFit="1" customWidth="1"/>
    <col min="9" max="9" width="15" bestFit="1" customWidth="1"/>
    <col min="10" max="10" width="22.28515625" bestFit="1" customWidth="1"/>
    <col min="11" max="11" width="14.140625" hidden="1" customWidth="1"/>
    <col min="12" max="12" width="16.28515625" hidden="1" customWidth="1"/>
    <col min="13" max="13" width="9.140625" customWidth="1"/>
    <col min="14" max="14" width="16.140625" bestFit="1" customWidth="1"/>
    <col min="15" max="15" width="23.28515625" bestFit="1" customWidth="1"/>
    <col min="16" max="16" width="15.140625" hidden="1" customWidth="1"/>
    <col min="17" max="17" width="12.85546875" hidden="1" customWidth="1"/>
    <col min="18" max="18" width="8.42578125" customWidth="1"/>
    <col min="19" max="19" width="23.5703125" hidden="1" customWidth="1"/>
    <col min="23" max="23" width="11.140625" bestFit="1" customWidth="1"/>
    <col min="24" max="24" width="8" bestFit="1" customWidth="1"/>
    <col min="25" max="25" width="13.710937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t="str">
        <f t="shared" ref="U1:U66" si="0">IF(F2=F3,1,"")</f>
        <v/>
      </c>
      <c r="W1" t="s">
        <v>1332</v>
      </c>
      <c r="X1" t="s">
        <v>1333</v>
      </c>
      <c r="Y1" t="s">
        <v>1334</v>
      </c>
      <c r="Z1" t="s">
        <v>1335</v>
      </c>
    </row>
    <row r="2" spans="1:26" hidden="1" x14ac:dyDescent="0.25">
      <c r="A2" t="s">
        <v>1979</v>
      </c>
      <c r="B2">
        <v>3</v>
      </c>
      <c r="C2">
        <v>2</v>
      </c>
      <c r="D2">
        <v>0</v>
      </c>
      <c r="E2" t="s">
        <v>2008</v>
      </c>
      <c r="F2">
        <v>28474</v>
      </c>
      <c r="G2">
        <v>158378154.75</v>
      </c>
      <c r="H2">
        <v>0.97092592716217041</v>
      </c>
      <c r="I2">
        <v>0.97222222222222221</v>
      </c>
      <c r="J2">
        <v>24618386.583333332</v>
      </c>
      <c r="K2">
        <v>45629</v>
      </c>
      <c r="L2">
        <v>2</v>
      </c>
      <c r="M2">
        <v>133</v>
      </c>
      <c r="N2">
        <v>0.97037037037037033</v>
      </c>
      <c r="O2">
        <v>24244999.666666664</v>
      </c>
      <c r="P2">
        <v>46240</v>
      </c>
      <c r="Q2">
        <v>2</v>
      </c>
      <c r="R2">
        <v>134</v>
      </c>
      <c r="S2" t="s">
        <v>2009</v>
      </c>
      <c r="U2" t="str">
        <f t="shared" si="0"/>
        <v/>
      </c>
      <c r="W2">
        <f>Digits_pres_final[[#This Row],[kan_params]]</f>
        <v>28474</v>
      </c>
      <c r="X2">
        <f>Digits_pres_final[[#This Row],[kan_test_acc]]</f>
        <v>0.97092592716217041</v>
      </c>
      <c r="Y2">
        <f>Digits_pres_final[[#This Row],[mlp_test_acc]]</f>
        <v>0.97222222222222221</v>
      </c>
      <c r="Z2">
        <f>Digits_pres_final[[#This Row],[mlp_test_acc2]]</f>
        <v>0.97037037037037033</v>
      </c>
    </row>
    <row r="3" spans="1:26" hidden="1" x14ac:dyDescent="0.25">
      <c r="A3" t="s">
        <v>1979</v>
      </c>
      <c r="B3">
        <v>3</v>
      </c>
      <c r="C3">
        <v>2</v>
      </c>
      <c r="D3">
        <v>0</v>
      </c>
      <c r="E3" t="s">
        <v>2010</v>
      </c>
      <c r="F3">
        <v>29660</v>
      </c>
      <c r="G3">
        <v>99214858.104166672</v>
      </c>
      <c r="H3">
        <v>0.96574073409040762</v>
      </c>
      <c r="I3">
        <v>0.96932870370370372</v>
      </c>
      <c r="J3">
        <v>19622788.572916664</v>
      </c>
      <c r="K3">
        <v>48097</v>
      </c>
      <c r="L3">
        <v>2</v>
      </c>
      <c r="M3">
        <v>137</v>
      </c>
      <c r="N3">
        <v>0.96784722222222219</v>
      </c>
      <c r="O3">
        <v>20041831.666666664</v>
      </c>
      <c r="P3">
        <v>48724</v>
      </c>
      <c r="Q3">
        <v>2</v>
      </c>
      <c r="R3">
        <v>138</v>
      </c>
      <c r="S3" t="s">
        <v>2011</v>
      </c>
      <c r="U3" t="str">
        <f t="shared" si="0"/>
        <v/>
      </c>
      <c r="W3">
        <f>Digits_pres_final[[#This Row],[kan_params]]</f>
        <v>29660</v>
      </c>
      <c r="X3">
        <f>Digits_pres_final[[#This Row],[kan_test_acc]]</f>
        <v>0.96574073409040762</v>
      </c>
      <c r="Y3">
        <f>Digits_pres_final[[#This Row],[mlp_test_acc]]</f>
        <v>0.96932870370370372</v>
      </c>
      <c r="Z3">
        <f>Digits_pres_final[[#This Row],[mlp_test_acc2]]</f>
        <v>0.96784722222222219</v>
      </c>
    </row>
    <row r="4" spans="1:26" hidden="1" x14ac:dyDescent="0.25">
      <c r="A4" t="s">
        <v>1979</v>
      </c>
      <c r="B4">
        <v>3</v>
      </c>
      <c r="C4">
        <v>2</v>
      </c>
      <c r="D4">
        <v>0</v>
      </c>
      <c r="E4" t="s">
        <v>2012</v>
      </c>
      <c r="F4">
        <v>30846</v>
      </c>
      <c r="G4">
        <v>52592958.90625</v>
      </c>
      <c r="H4">
        <v>0.96680555120110512</v>
      </c>
      <c r="I4">
        <v>0.96736111111111112</v>
      </c>
      <c r="J4">
        <v>14840586.4375</v>
      </c>
      <c r="K4">
        <v>49990</v>
      </c>
      <c r="L4">
        <v>2</v>
      </c>
      <c r="M4">
        <v>140</v>
      </c>
      <c r="N4">
        <v>0.96722222222222221</v>
      </c>
      <c r="O4">
        <v>15434545.03125</v>
      </c>
      <c r="P4">
        <v>50629</v>
      </c>
      <c r="Q4">
        <v>2</v>
      </c>
      <c r="R4">
        <v>141</v>
      </c>
      <c r="S4" t="s">
        <v>2013</v>
      </c>
      <c r="U4" t="str">
        <f t="shared" si="0"/>
        <v/>
      </c>
      <c r="W4">
        <f>Digits_pres_final[[#This Row],[kan_params]]</f>
        <v>30846</v>
      </c>
      <c r="X4">
        <f>Digits_pres_final[[#This Row],[kan_test_acc]]</f>
        <v>0.96680555120110512</v>
      </c>
      <c r="Y4">
        <f>Digits_pres_final[[#This Row],[mlp_test_acc]]</f>
        <v>0.96736111111111112</v>
      </c>
      <c r="Z4">
        <f>Digits_pres_final[[#This Row],[mlp_test_acc2]]</f>
        <v>0.96722222222222221</v>
      </c>
    </row>
    <row r="5" spans="1:26" hidden="1" x14ac:dyDescent="0.25">
      <c r="A5" t="s">
        <v>1979</v>
      </c>
      <c r="B5">
        <v>3</v>
      </c>
      <c r="C5">
        <v>2</v>
      </c>
      <c r="D5">
        <v>0</v>
      </c>
      <c r="E5" t="s">
        <v>2014</v>
      </c>
      <c r="F5">
        <v>32032</v>
      </c>
      <c r="G5">
        <v>54262792.71875</v>
      </c>
      <c r="H5">
        <v>0.96798611059784889</v>
      </c>
      <c r="I5">
        <v>0.96826388888888881</v>
      </c>
      <c r="J5">
        <v>14739682.9375</v>
      </c>
      <c r="K5">
        <v>51919</v>
      </c>
      <c r="L5">
        <v>2</v>
      </c>
      <c r="M5">
        <v>143</v>
      </c>
      <c r="N5">
        <v>0.96902777777777782</v>
      </c>
      <c r="O5">
        <v>15235816.75</v>
      </c>
      <c r="P5">
        <v>52570</v>
      </c>
      <c r="Q5">
        <v>2</v>
      </c>
      <c r="R5">
        <v>144</v>
      </c>
      <c r="S5" t="s">
        <v>2015</v>
      </c>
      <c r="U5" t="str">
        <f t="shared" si="0"/>
        <v/>
      </c>
      <c r="W5">
        <f>Digits_pres_final[[#This Row],[kan_params]]</f>
        <v>32032</v>
      </c>
      <c r="X5">
        <f>Digits_pres_final[[#This Row],[kan_test_acc]]</f>
        <v>0.96798611059784889</v>
      </c>
      <c r="Y5">
        <f>Digits_pres_final[[#This Row],[mlp_test_acc]]</f>
        <v>0.96826388888888881</v>
      </c>
      <c r="Z5">
        <f>Digits_pres_final[[#This Row],[mlp_test_acc2]]</f>
        <v>0.96902777777777782</v>
      </c>
    </row>
    <row r="6" spans="1:26" hidden="1" x14ac:dyDescent="0.25">
      <c r="A6" t="s">
        <v>1979</v>
      </c>
      <c r="B6">
        <v>3</v>
      </c>
      <c r="C6">
        <v>2</v>
      </c>
      <c r="D6">
        <v>0</v>
      </c>
      <c r="E6" t="s">
        <v>2016</v>
      </c>
      <c r="F6">
        <v>33218</v>
      </c>
      <c r="G6">
        <v>57144862.875</v>
      </c>
      <c r="H6">
        <v>0.96534721925854683</v>
      </c>
      <c r="I6">
        <v>0.96840277777777772</v>
      </c>
      <c r="J6">
        <v>15182301.5625</v>
      </c>
      <c r="K6">
        <v>53884</v>
      </c>
      <c r="L6">
        <v>2</v>
      </c>
      <c r="M6">
        <v>146</v>
      </c>
      <c r="N6">
        <v>0.96986111111111117</v>
      </c>
      <c r="O6">
        <v>15243938.5625</v>
      </c>
      <c r="P6">
        <v>54547</v>
      </c>
      <c r="Q6">
        <v>2</v>
      </c>
      <c r="R6">
        <v>147</v>
      </c>
      <c r="S6" t="s">
        <v>2017</v>
      </c>
      <c r="U6" t="str">
        <f t="shared" si="0"/>
        <v/>
      </c>
      <c r="W6">
        <f>Digits_pres_final[[#This Row],[kan_params]]</f>
        <v>33218</v>
      </c>
      <c r="X6">
        <f>Digits_pres_final[[#This Row],[kan_test_acc]]</f>
        <v>0.96534721925854683</v>
      </c>
      <c r="Y6">
        <f>Digits_pres_final[[#This Row],[mlp_test_acc]]</f>
        <v>0.96840277777777772</v>
      </c>
      <c r="Z6">
        <f>Digits_pres_final[[#This Row],[mlp_test_acc2]]</f>
        <v>0.96986111111111117</v>
      </c>
    </row>
    <row r="7" spans="1:26" hidden="1" x14ac:dyDescent="0.25">
      <c r="A7" t="s">
        <v>1979</v>
      </c>
      <c r="B7">
        <v>3</v>
      </c>
      <c r="C7">
        <v>2</v>
      </c>
      <c r="D7">
        <v>0</v>
      </c>
      <c r="E7" t="s">
        <v>2018</v>
      </c>
      <c r="F7">
        <v>34404</v>
      </c>
      <c r="G7">
        <v>60362638.40625</v>
      </c>
      <c r="H7">
        <v>0.96673610992729664</v>
      </c>
      <c r="I7">
        <v>0.96833333333333338</v>
      </c>
      <c r="J7">
        <v>14876889.5625</v>
      </c>
      <c r="K7">
        <v>55214</v>
      </c>
      <c r="L7">
        <v>2</v>
      </c>
      <c r="M7">
        <v>148</v>
      </c>
      <c r="N7">
        <v>0.96736111111111112</v>
      </c>
      <c r="O7">
        <v>15495849.625</v>
      </c>
      <c r="P7">
        <v>55885</v>
      </c>
      <c r="Q7">
        <v>2</v>
      </c>
      <c r="R7">
        <v>149</v>
      </c>
      <c r="S7" t="s">
        <v>2019</v>
      </c>
      <c r="U7" t="str">
        <f t="shared" si="0"/>
        <v/>
      </c>
      <c r="W7">
        <f>Digits_pres_final[[#This Row],[kan_params]]</f>
        <v>34404</v>
      </c>
      <c r="X7">
        <f>Digits_pres_final[[#This Row],[kan_test_acc]]</f>
        <v>0.96673610992729664</v>
      </c>
      <c r="Y7">
        <f>Digits_pres_final[[#This Row],[mlp_test_acc]]</f>
        <v>0.96833333333333338</v>
      </c>
      <c r="Z7">
        <f>Digits_pres_final[[#This Row],[mlp_test_acc2]]</f>
        <v>0.96736111111111112</v>
      </c>
    </row>
    <row r="8" spans="1:26" x14ac:dyDescent="0.25">
      <c r="A8" t="s">
        <v>1979</v>
      </c>
      <c r="B8">
        <v>3</v>
      </c>
      <c r="C8">
        <v>4</v>
      </c>
      <c r="D8">
        <v>0</v>
      </c>
      <c r="E8" t="s">
        <v>2008</v>
      </c>
      <c r="F8">
        <v>35578</v>
      </c>
      <c r="G8">
        <v>95401793.416666672</v>
      </c>
      <c r="H8">
        <v>0.95740741491317749</v>
      </c>
      <c r="I8">
        <v>0.96</v>
      </c>
      <c r="J8">
        <v>17999297.416666668</v>
      </c>
      <c r="K8">
        <v>67165</v>
      </c>
      <c r="L8">
        <v>2</v>
      </c>
      <c r="M8">
        <v>165</v>
      </c>
      <c r="N8">
        <v>0.95518518518518514</v>
      </c>
      <c r="O8">
        <v>18358434.833333336</v>
      </c>
      <c r="P8">
        <v>67904</v>
      </c>
      <c r="Q8">
        <v>2</v>
      </c>
      <c r="R8">
        <v>166</v>
      </c>
      <c r="S8" t="s">
        <v>2593</v>
      </c>
      <c r="U8" t="str">
        <f t="shared" si="0"/>
        <v/>
      </c>
      <c r="W8">
        <f>Digits_pres_final[[#This Row],[kan_params]]</f>
        <v>35578</v>
      </c>
      <c r="X8">
        <f>Digits_pres_final[[#This Row],[kan_test_acc]]</f>
        <v>0.95740741491317749</v>
      </c>
      <c r="Y8">
        <f>Digits_pres_final[[#This Row],[mlp_test_acc]]</f>
        <v>0.96</v>
      </c>
      <c r="Z8">
        <f>Digits_pres_final[[#This Row],[mlp_test_acc2]]</f>
        <v>0.95518518518518514</v>
      </c>
    </row>
    <row r="9" spans="1:26" hidden="1" x14ac:dyDescent="0.25">
      <c r="A9" t="s">
        <v>1979</v>
      </c>
      <c r="B9">
        <v>3</v>
      </c>
      <c r="C9">
        <v>2</v>
      </c>
      <c r="D9">
        <v>0</v>
      </c>
      <c r="E9" t="s">
        <v>2020</v>
      </c>
      <c r="F9">
        <v>35590</v>
      </c>
      <c r="G9">
        <v>61428092.4375</v>
      </c>
      <c r="H9">
        <v>0.96909722127020359</v>
      </c>
      <c r="I9">
        <v>0.96763888888888894</v>
      </c>
      <c r="J9">
        <v>15490221.78125</v>
      </c>
      <c r="K9">
        <v>57239</v>
      </c>
      <c r="L9">
        <v>2</v>
      </c>
      <c r="M9">
        <v>151</v>
      </c>
      <c r="N9">
        <v>0.96548611111111116</v>
      </c>
      <c r="O9">
        <v>15675151.75</v>
      </c>
      <c r="P9">
        <v>57922</v>
      </c>
      <c r="Q9">
        <v>2</v>
      </c>
      <c r="R9">
        <v>152</v>
      </c>
      <c r="S9" t="s">
        <v>2021</v>
      </c>
      <c r="U9" t="str">
        <f t="shared" si="0"/>
        <v/>
      </c>
      <c r="W9">
        <f>Digits_pres_final[[#This Row],[kan_params]]</f>
        <v>35590</v>
      </c>
      <c r="X9">
        <f>Digits_pres_final[[#This Row],[kan_test_acc]]</f>
        <v>0.96909722127020359</v>
      </c>
      <c r="Y9">
        <f>Digits_pres_final[[#This Row],[mlp_test_acc]]</f>
        <v>0.96763888888888894</v>
      </c>
      <c r="Z9">
        <f>Digits_pres_final[[#This Row],[mlp_test_acc2]]</f>
        <v>0.96548611111111116</v>
      </c>
    </row>
    <row r="10" spans="1:26" hidden="1" x14ac:dyDescent="0.25">
      <c r="A10" t="s">
        <v>1979</v>
      </c>
      <c r="B10">
        <v>3</v>
      </c>
      <c r="C10">
        <v>2</v>
      </c>
      <c r="D10">
        <v>0</v>
      </c>
      <c r="E10" t="s">
        <v>2022</v>
      </c>
      <c r="F10">
        <v>36776</v>
      </c>
      <c r="G10">
        <v>62332571.1875</v>
      </c>
      <c r="H10">
        <v>0.96999999508261681</v>
      </c>
      <c r="I10">
        <v>0.96638888888888896</v>
      </c>
      <c r="J10">
        <v>16076304.0625</v>
      </c>
      <c r="K10">
        <v>59300</v>
      </c>
      <c r="L10">
        <v>2</v>
      </c>
      <c r="M10">
        <v>154</v>
      </c>
      <c r="N10">
        <v>0.96805555555555567</v>
      </c>
      <c r="O10">
        <v>15087293.4375</v>
      </c>
      <c r="P10">
        <v>59995</v>
      </c>
      <c r="Q10">
        <v>2</v>
      </c>
      <c r="R10">
        <v>155</v>
      </c>
      <c r="S10" t="s">
        <v>2023</v>
      </c>
      <c r="U10" t="str">
        <f t="shared" si="0"/>
        <v/>
      </c>
      <c r="W10">
        <f>Digits_pres_final[[#This Row],[kan_params]]</f>
        <v>36776</v>
      </c>
      <c r="X10">
        <f>Digits_pres_final[[#This Row],[kan_test_acc]]</f>
        <v>0.96999999508261681</v>
      </c>
      <c r="Y10">
        <f>Digits_pres_final[[#This Row],[mlp_test_acc]]</f>
        <v>0.96638888888888896</v>
      </c>
      <c r="Z10">
        <f>Digits_pres_final[[#This Row],[mlp_test_acc2]]</f>
        <v>0.96805555555555567</v>
      </c>
    </row>
    <row r="11" spans="1:26" x14ac:dyDescent="0.25">
      <c r="A11" t="s">
        <v>1979</v>
      </c>
      <c r="B11">
        <v>3</v>
      </c>
      <c r="C11">
        <v>4</v>
      </c>
      <c r="D11">
        <v>0</v>
      </c>
      <c r="E11" t="s">
        <v>2010</v>
      </c>
      <c r="F11">
        <v>37060</v>
      </c>
      <c r="G11">
        <v>56009576.25</v>
      </c>
      <c r="H11">
        <v>0.95907407502333319</v>
      </c>
      <c r="I11">
        <v>0.95407407407407407</v>
      </c>
      <c r="J11">
        <v>14039927.833333334</v>
      </c>
      <c r="K11">
        <v>70145</v>
      </c>
      <c r="L11">
        <v>2</v>
      </c>
      <c r="M11">
        <v>169</v>
      </c>
      <c r="N11">
        <v>0.95814814814814819</v>
      </c>
      <c r="O11">
        <v>13594821.333333334</v>
      </c>
      <c r="P11">
        <v>70900</v>
      </c>
      <c r="Q11">
        <v>2</v>
      </c>
      <c r="R11">
        <v>170</v>
      </c>
      <c r="S11" t="s">
        <v>2594</v>
      </c>
      <c r="U11" t="str">
        <f t="shared" si="0"/>
        <v/>
      </c>
      <c r="W11">
        <f>Digits_pres_final[[#This Row],[kan_params]]</f>
        <v>37060</v>
      </c>
      <c r="X11">
        <f>Digits_pres_final[[#This Row],[kan_test_acc]]</f>
        <v>0.95907407502333319</v>
      </c>
      <c r="Y11">
        <f>Digits_pres_final[[#This Row],[mlp_test_acc]]</f>
        <v>0.95407407407407407</v>
      </c>
      <c r="Z11">
        <f>Digits_pres_final[[#This Row],[mlp_test_acc2]]</f>
        <v>0.95814814814814819</v>
      </c>
    </row>
    <row r="12" spans="1:26" hidden="1" x14ac:dyDescent="0.25">
      <c r="A12" t="s">
        <v>1979</v>
      </c>
      <c r="B12">
        <v>3</v>
      </c>
      <c r="C12">
        <v>2</v>
      </c>
      <c r="D12">
        <v>0</v>
      </c>
      <c r="E12" t="s">
        <v>2024</v>
      </c>
      <c r="F12">
        <v>37962</v>
      </c>
      <c r="G12">
        <v>62571651.15625</v>
      </c>
      <c r="H12">
        <v>0.97166666202247143</v>
      </c>
      <c r="I12">
        <v>0.96659722222222222</v>
      </c>
      <c r="J12">
        <v>15694605.59375</v>
      </c>
      <c r="K12">
        <v>61397</v>
      </c>
      <c r="L12">
        <v>2</v>
      </c>
      <c r="M12">
        <v>157</v>
      </c>
      <c r="N12">
        <v>0.96916666666666673</v>
      </c>
      <c r="O12">
        <v>15601633.28125</v>
      </c>
      <c r="P12">
        <v>62104</v>
      </c>
      <c r="Q12">
        <v>2</v>
      </c>
      <c r="R12">
        <v>158</v>
      </c>
      <c r="S12" t="s">
        <v>2025</v>
      </c>
      <c r="U12" t="str">
        <f t="shared" si="0"/>
        <v/>
      </c>
      <c r="W12">
        <f>Digits_pres_final[[#This Row],[kan_params]]</f>
        <v>37962</v>
      </c>
      <c r="X12">
        <f>Digits_pres_final[[#This Row],[kan_test_acc]]</f>
        <v>0.97166666202247143</v>
      </c>
      <c r="Y12">
        <f>Digits_pres_final[[#This Row],[mlp_test_acc]]</f>
        <v>0.96659722222222222</v>
      </c>
      <c r="Z12">
        <f>Digits_pres_final[[#This Row],[mlp_test_acc2]]</f>
        <v>0.96916666666666673</v>
      </c>
    </row>
    <row r="13" spans="1:26" x14ac:dyDescent="0.25">
      <c r="A13" t="s">
        <v>1979</v>
      </c>
      <c r="B13">
        <v>3</v>
      </c>
      <c r="C13">
        <v>4</v>
      </c>
      <c r="D13">
        <v>0</v>
      </c>
      <c r="E13" t="s">
        <v>2012</v>
      </c>
      <c r="F13">
        <v>38542</v>
      </c>
      <c r="G13">
        <v>35742455</v>
      </c>
      <c r="H13">
        <v>0.96203703681627906</v>
      </c>
      <c r="I13">
        <v>0.94888888888888889</v>
      </c>
      <c r="J13">
        <v>10507723.166666668</v>
      </c>
      <c r="K13">
        <v>72422</v>
      </c>
      <c r="L13">
        <v>2</v>
      </c>
      <c r="M13">
        <v>172</v>
      </c>
      <c r="N13">
        <v>0.95851851851851855</v>
      </c>
      <c r="O13">
        <v>10205596.166666668</v>
      </c>
      <c r="P13">
        <v>73189</v>
      </c>
      <c r="Q13">
        <v>2</v>
      </c>
      <c r="R13">
        <v>173</v>
      </c>
      <c r="S13" t="s">
        <v>2595</v>
      </c>
      <c r="U13" t="str">
        <f t="shared" si="0"/>
        <v/>
      </c>
      <c r="W13">
        <f>Digits_pres_final[[#This Row],[kan_params]]</f>
        <v>38542</v>
      </c>
      <c r="X13">
        <f>Digits_pres_final[[#This Row],[kan_test_acc]]</f>
        <v>0.96203703681627906</v>
      </c>
      <c r="Y13">
        <f>Digits_pres_final[[#This Row],[mlp_test_acc]]</f>
        <v>0.94888888888888889</v>
      </c>
      <c r="Z13">
        <f>Digits_pres_final[[#This Row],[mlp_test_acc2]]</f>
        <v>0.95851851851851855</v>
      </c>
    </row>
    <row r="14" spans="1:26" hidden="1" x14ac:dyDescent="0.25">
      <c r="A14" t="s">
        <v>1979</v>
      </c>
      <c r="B14">
        <v>3</v>
      </c>
      <c r="C14">
        <v>2</v>
      </c>
      <c r="D14">
        <v>0</v>
      </c>
      <c r="E14" t="s">
        <v>2092</v>
      </c>
      <c r="F14">
        <v>39148</v>
      </c>
      <c r="G14">
        <v>387397353</v>
      </c>
      <c r="H14">
        <v>0.97314814726511634</v>
      </c>
      <c r="I14">
        <v>0.96129629629629632</v>
      </c>
      <c r="J14">
        <v>27171933.083333336</v>
      </c>
      <c r="K14">
        <v>63530</v>
      </c>
      <c r="L14">
        <v>2</v>
      </c>
      <c r="M14">
        <v>160</v>
      </c>
      <c r="N14">
        <v>0.95851851851851855</v>
      </c>
      <c r="O14">
        <v>26489461.916666668</v>
      </c>
      <c r="P14">
        <v>64249</v>
      </c>
      <c r="Q14">
        <v>2</v>
      </c>
      <c r="R14">
        <v>161</v>
      </c>
      <c r="S14" t="s">
        <v>2093</v>
      </c>
      <c r="U14" t="str">
        <f t="shared" si="0"/>
        <v/>
      </c>
      <c r="W14">
        <f>Digits_pres_final[[#This Row],[kan_params]]</f>
        <v>39148</v>
      </c>
      <c r="X14">
        <f>Digits_pres_final[[#This Row],[kan_test_acc]]</f>
        <v>0.97314814726511634</v>
      </c>
      <c r="Y14">
        <f>Digits_pres_final[[#This Row],[mlp_test_acc]]</f>
        <v>0.96129629629629632</v>
      </c>
      <c r="Z14">
        <f>Digits_pres_final[[#This Row],[mlp_test_acc2]]</f>
        <v>0.95851851851851855</v>
      </c>
    </row>
    <row r="15" spans="1:26" x14ac:dyDescent="0.25">
      <c r="A15" t="s">
        <v>1979</v>
      </c>
      <c r="B15">
        <v>3</v>
      </c>
      <c r="C15">
        <v>4</v>
      </c>
      <c r="D15">
        <v>0</v>
      </c>
      <c r="E15" t="s">
        <v>2014</v>
      </c>
      <c r="F15">
        <v>40024</v>
      </c>
      <c r="G15">
        <v>35371709.166666664</v>
      </c>
      <c r="H15">
        <v>0.96018518507480621</v>
      </c>
      <c r="I15">
        <v>0.95259259259259266</v>
      </c>
      <c r="J15">
        <v>10958615</v>
      </c>
      <c r="K15">
        <v>75514</v>
      </c>
      <c r="L15">
        <v>2</v>
      </c>
      <c r="M15">
        <v>176</v>
      </c>
      <c r="N15">
        <v>0.95444444444444443</v>
      </c>
      <c r="O15">
        <v>10571545.166666668</v>
      </c>
      <c r="P15">
        <v>76297</v>
      </c>
      <c r="Q15">
        <v>2</v>
      </c>
      <c r="R15">
        <v>177</v>
      </c>
      <c r="S15" t="s">
        <v>2596</v>
      </c>
      <c r="U15" t="str">
        <f t="shared" si="0"/>
        <v/>
      </c>
      <c r="W15">
        <f>Digits_pres_final[[#This Row],[kan_params]]</f>
        <v>40024</v>
      </c>
      <c r="X15">
        <f>Digits_pres_final[[#This Row],[kan_test_acc]]</f>
        <v>0.96018518507480621</v>
      </c>
      <c r="Y15">
        <f>Digits_pres_final[[#This Row],[mlp_test_acc]]</f>
        <v>0.95259259259259266</v>
      </c>
      <c r="Z15">
        <f>Digits_pres_final[[#This Row],[mlp_test_acc2]]</f>
        <v>0.95444444444444443</v>
      </c>
    </row>
    <row r="16" spans="1:26" hidden="1" x14ac:dyDescent="0.25">
      <c r="A16" t="s">
        <v>1979</v>
      </c>
      <c r="B16">
        <v>3</v>
      </c>
      <c r="C16">
        <v>2</v>
      </c>
      <c r="D16">
        <v>0</v>
      </c>
      <c r="E16" t="s">
        <v>2160</v>
      </c>
      <c r="F16">
        <v>40334</v>
      </c>
      <c r="G16">
        <v>318928106.75</v>
      </c>
      <c r="H16">
        <v>0.96703704198201501</v>
      </c>
      <c r="I16">
        <v>0.95814814814814819</v>
      </c>
      <c r="J16">
        <v>25814088.583333336</v>
      </c>
      <c r="K16">
        <v>64972</v>
      </c>
      <c r="L16">
        <v>2</v>
      </c>
      <c r="M16">
        <v>162</v>
      </c>
      <c r="N16">
        <v>0.95962962962962961</v>
      </c>
      <c r="O16">
        <v>25220012.5</v>
      </c>
      <c r="P16">
        <v>65699</v>
      </c>
      <c r="Q16">
        <v>2</v>
      </c>
      <c r="R16">
        <v>163</v>
      </c>
      <c r="S16" t="s">
        <v>2161</v>
      </c>
      <c r="U16" t="str">
        <f t="shared" si="0"/>
        <v/>
      </c>
      <c r="W16">
        <f>Digits_pres_final[[#This Row],[kan_params]]</f>
        <v>40334</v>
      </c>
      <c r="X16">
        <f>Digits_pres_final[[#This Row],[kan_test_acc]]</f>
        <v>0.96703704198201501</v>
      </c>
      <c r="Y16">
        <f>Digits_pres_final[[#This Row],[mlp_test_acc]]</f>
        <v>0.95814814814814819</v>
      </c>
      <c r="Z16">
        <f>Digits_pres_final[[#This Row],[mlp_test_acc2]]</f>
        <v>0.95962962962962961</v>
      </c>
    </row>
    <row r="17" spans="1:26" x14ac:dyDescent="0.25">
      <c r="A17" t="s">
        <v>1979</v>
      </c>
      <c r="B17">
        <v>3</v>
      </c>
      <c r="C17">
        <v>4</v>
      </c>
      <c r="D17">
        <v>0</v>
      </c>
      <c r="E17" t="s">
        <v>2016</v>
      </c>
      <c r="F17">
        <v>41506</v>
      </c>
      <c r="G17">
        <v>36608359.583333328</v>
      </c>
      <c r="H17">
        <v>0.95481482148170471</v>
      </c>
      <c r="I17">
        <v>0.95462962962962972</v>
      </c>
      <c r="J17">
        <v>11036902.916666666</v>
      </c>
      <c r="K17">
        <v>78670</v>
      </c>
      <c r="L17">
        <v>2</v>
      </c>
      <c r="M17">
        <v>180</v>
      </c>
      <c r="N17">
        <v>0.95555555555555549</v>
      </c>
      <c r="O17">
        <v>11069627.583333332</v>
      </c>
      <c r="P17">
        <v>79469</v>
      </c>
      <c r="Q17">
        <v>2</v>
      </c>
      <c r="R17">
        <v>181</v>
      </c>
      <c r="S17" t="s">
        <v>2597</v>
      </c>
      <c r="U17" t="str">
        <f t="shared" si="0"/>
        <v/>
      </c>
      <c r="W17">
        <f>Digits_pres_final[[#This Row],[kan_params]]</f>
        <v>41506</v>
      </c>
      <c r="X17">
        <f>Digits_pres_final[[#This Row],[kan_test_acc]]</f>
        <v>0.95481482148170471</v>
      </c>
      <c r="Y17">
        <f>Digits_pres_final[[#This Row],[mlp_test_acc]]</f>
        <v>0.95462962962962972</v>
      </c>
      <c r="Z17">
        <f>Digits_pres_final[[#This Row],[mlp_test_acc2]]</f>
        <v>0.95555555555555549</v>
      </c>
    </row>
    <row r="18" spans="1:26" hidden="1" x14ac:dyDescent="0.25">
      <c r="A18" t="s">
        <v>1979</v>
      </c>
      <c r="B18">
        <v>3</v>
      </c>
      <c r="C18">
        <v>2</v>
      </c>
      <c r="D18">
        <v>0</v>
      </c>
      <c r="E18" t="s">
        <v>2228</v>
      </c>
      <c r="F18">
        <v>41520</v>
      </c>
      <c r="G18">
        <v>288704057.08333337</v>
      </c>
      <c r="H18">
        <v>0.98407406608263659</v>
      </c>
      <c r="I18">
        <v>0.96833333333333338</v>
      </c>
      <c r="J18">
        <v>24436983.333333332</v>
      </c>
      <c r="K18">
        <v>67165</v>
      </c>
      <c r="L18">
        <v>2</v>
      </c>
      <c r="M18">
        <v>165</v>
      </c>
      <c r="N18">
        <v>0.97185185185185186</v>
      </c>
      <c r="O18">
        <v>24607093.666666668</v>
      </c>
      <c r="P18">
        <v>67904</v>
      </c>
      <c r="Q18">
        <v>2</v>
      </c>
      <c r="R18">
        <v>166</v>
      </c>
      <c r="S18" t="s">
        <v>2229</v>
      </c>
      <c r="U18" t="str">
        <f t="shared" si="0"/>
        <v/>
      </c>
      <c r="W18">
        <f>Digits_pres_final[[#This Row],[kan_params]]</f>
        <v>41520</v>
      </c>
      <c r="X18">
        <f>Digits_pres_final[[#This Row],[kan_test_acc]]</f>
        <v>0.98407406608263659</v>
      </c>
      <c r="Y18">
        <f>Digits_pres_final[[#This Row],[mlp_test_acc]]</f>
        <v>0.96833333333333338</v>
      </c>
      <c r="Z18">
        <f>Digits_pres_final[[#This Row],[mlp_test_acc2]]</f>
        <v>0.97185185185185186</v>
      </c>
    </row>
    <row r="19" spans="1:26" hidden="1" x14ac:dyDescent="0.25">
      <c r="A19" t="s">
        <v>1979</v>
      </c>
      <c r="B19">
        <v>3</v>
      </c>
      <c r="C19">
        <v>2</v>
      </c>
      <c r="D19">
        <v>0</v>
      </c>
      <c r="E19" t="s">
        <v>2296</v>
      </c>
      <c r="F19">
        <v>42706</v>
      </c>
      <c r="G19">
        <v>198762840.75</v>
      </c>
      <c r="H19">
        <v>0.98611110945542657</v>
      </c>
      <c r="I19">
        <v>0.97833333333333328</v>
      </c>
      <c r="J19">
        <v>17549925.083333332</v>
      </c>
      <c r="K19">
        <v>68647</v>
      </c>
      <c r="L19">
        <v>2</v>
      </c>
      <c r="M19">
        <v>167</v>
      </c>
      <c r="N19">
        <v>0.97833333333333328</v>
      </c>
      <c r="O19">
        <v>17809298.583333336</v>
      </c>
      <c r="P19">
        <v>69394</v>
      </c>
      <c r="Q19">
        <v>2</v>
      </c>
      <c r="R19">
        <v>168</v>
      </c>
      <c r="S19" t="s">
        <v>2297</v>
      </c>
      <c r="U19" t="str">
        <f t="shared" si="0"/>
        <v/>
      </c>
      <c r="W19">
        <f>Digits_pres_final[[#This Row],[kan_params]]</f>
        <v>42706</v>
      </c>
      <c r="X19">
        <f>Digits_pres_final[[#This Row],[kan_test_acc]]</f>
        <v>0.98611110945542657</v>
      </c>
      <c r="Y19">
        <f>Digits_pres_final[[#This Row],[mlp_test_acc]]</f>
        <v>0.97833333333333328</v>
      </c>
      <c r="Z19">
        <f>Digits_pres_final[[#This Row],[mlp_test_acc2]]</f>
        <v>0.97833333333333328</v>
      </c>
    </row>
    <row r="20" spans="1:26" x14ac:dyDescent="0.25">
      <c r="A20" t="s">
        <v>1979</v>
      </c>
      <c r="B20">
        <v>3</v>
      </c>
      <c r="C20">
        <v>4</v>
      </c>
      <c r="D20">
        <v>0</v>
      </c>
      <c r="E20" t="s">
        <v>2018</v>
      </c>
      <c r="F20">
        <v>42988</v>
      </c>
      <c r="G20">
        <v>37261813.75</v>
      </c>
      <c r="H20">
        <v>0.95907407999038696</v>
      </c>
      <c r="I20">
        <v>0.95537037037037043</v>
      </c>
      <c r="J20">
        <v>10883595.5</v>
      </c>
      <c r="K20">
        <v>81079</v>
      </c>
      <c r="L20">
        <v>2</v>
      </c>
      <c r="M20">
        <v>183</v>
      </c>
      <c r="N20">
        <v>0.95814814814814808</v>
      </c>
      <c r="O20">
        <v>11895979.666666666</v>
      </c>
      <c r="P20">
        <v>81890</v>
      </c>
      <c r="Q20">
        <v>2</v>
      </c>
      <c r="R20">
        <v>184</v>
      </c>
      <c r="S20" t="s">
        <v>2598</v>
      </c>
      <c r="U20" t="str">
        <f t="shared" si="0"/>
        <v/>
      </c>
      <c r="W20">
        <f>Digits_pres_final[[#This Row],[kan_params]]</f>
        <v>42988</v>
      </c>
      <c r="X20">
        <f>Digits_pres_final[[#This Row],[kan_test_acc]]</f>
        <v>0.95907407999038696</v>
      </c>
      <c r="Y20">
        <f>Digits_pres_final[[#This Row],[mlp_test_acc]]</f>
        <v>0.95537037037037043</v>
      </c>
      <c r="Z20">
        <f>Digits_pres_final[[#This Row],[mlp_test_acc2]]</f>
        <v>0.95814814814814808</v>
      </c>
    </row>
    <row r="21" spans="1:26" hidden="1" x14ac:dyDescent="0.25">
      <c r="A21" t="s">
        <v>1979</v>
      </c>
      <c r="B21">
        <v>3</v>
      </c>
      <c r="C21">
        <v>2</v>
      </c>
      <c r="D21">
        <v>0</v>
      </c>
      <c r="E21" t="s">
        <v>2362</v>
      </c>
      <c r="F21">
        <v>43892</v>
      </c>
      <c r="G21">
        <v>315264548.25</v>
      </c>
      <c r="H21">
        <v>0.96499999860922503</v>
      </c>
      <c r="I21">
        <v>0.94851851851851854</v>
      </c>
      <c r="J21">
        <v>25205170.083333336</v>
      </c>
      <c r="K21">
        <v>70900</v>
      </c>
      <c r="L21">
        <v>2</v>
      </c>
      <c r="M21">
        <v>170</v>
      </c>
      <c r="N21">
        <v>0.94944444444444454</v>
      </c>
      <c r="O21">
        <v>27069532.583333332</v>
      </c>
      <c r="P21">
        <v>71659</v>
      </c>
      <c r="Q21">
        <v>2</v>
      </c>
      <c r="R21">
        <v>171</v>
      </c>
      <c r="S21" t="s">
        <v>2363</v>
      </c>
      <c r="U21" t="str">
        <f t="shared" si="0"/>
        <v/>
      </c>
      <c r="W21">
        <f>Digits_pres_final[[#This Row],[kan_params]]</f>
        <v>43892</v>
      </c>
      <c r="X21">
        <f>Digits_pres_final[[#This Row],[kan_test_acc]]</f>
        <v>0.96499999860922503</v>
      </c>
      <c r="Y21">
        <f>Digits_pres_final[[#This Row],[mlp_test_acc]]</f>
        <v>0.94851851851851854</v>
      </c>
      <c r="Z21">
        <f>Digits_pres_final[[#This Row],[mlp_test_acc2]]</f>
        <v>0.94944444444444454</v>
      </c>
    </row>
    <row r="22" spans="1:26" x14ac:dyDescent="0.25">
      <c r="A22" t="s">
        <v>1979</v>
      </c>
      <c r="B22">
        <v>3</v>
      </c>
      <c r="C22">
        <v>4</v>
      </c>
      <c r="D22">
        <v>0</v>
      </c>
      <c r="E22" t="s">
        <v>2020</v>
      </c>
      <c r="F22">
        <v>44470</v>
      </c>
      <c r="G22">
        <v>37555827.583333328</v>
      </c>
      <c r="H22">
        <v>0.96555555363496148</v>
      </c>
      <c r="I22">
        <v>0.95370370370370372</v>
      </c>
      <c r="J22">
        <v>11088131.583333334</v>
      </c>
      <c r="K22">
        <v>84347</v>
      </c>
      <c r="L22">
        <v>2</v>
      </c>
      <c r="M22">
        <v>187</v>
      </c>
      <c r="N22">
        <v>0.95814814814814808</v>
      </c>
      <c r="O22">
        <v>11968488</v>
      </c>
      <c r="P22">
        <v>85174</v>
      </c>
      <c r="Q22">
        <v>2</v>
      </c>
      <c r="R22">
        <v>188</v>
      </c>
      <c r="S22" t="s">
        <v>2599</v>
      </c>
      <c r="U22" t="str">
        <f t="shared" si="0"/>
        <v/>
      </c>
      <c r="W22">
        <f>Digits_pres_final[[#This Row],[kan_params]]</f>
        <v>44470</v>
      </c>
      <c r="X22">
        <f>Digits_pres_final[[#This Row],[kan_test_acc]]</f>
        <v>0.96555555363496148</v>
      </c>
      <c r="Y22">
        <f>Digits_pres_final[[#This Row],[mlp_test_acc]]</f>
        <v>0.95370370370370372</v>
      </c>
      <c r="Z22">
        <f>Digits_pres_final[[#This Row],[mlp_test_acc2]]</f>
        <v>0.95814814814814808</v>
      </c>
    </row>
    <row r="23" spans="1:26" hidden="1" x14ac:dyDescent="0.25">
      <c r="A23" t="s">
        <v>1979</v>
      </c>
      <c r="B23">
        <v>3</v>
      </c>
      <c r="C23">
        <v>2</v>
      </c>
      <c r="D23">
        <v>0</v>
      </c>
      <c r="E23" t="s">
        <v>2364</v>
      </c>
      <c r="F23">
        <v>45078</v>
      </c>
      <c r="G23">
        <v>177820305</v>
      </c>
      <c r="H23">
        <v>0.97037036779026198</v>
      </c>
      <c r="I23">
        <v>0.95902777777777781</v>
      </c>
      <c r="J23">
        <v>21501190.3125</v>
      </c>
      <c r="K23">
        <v>73189</v>
      </c>
      <c r="L23">
        <v>2</v>
      </c>
      <c r="M23">
        <v>173</v>
      </c>
      <c r="N23">
        <v>0.96090277777777788</v>
      </c>
      <c r="O23">
        <v>21513235.791666664</v>
      </c>
      <c r="P23">
        <v>73960</v>
      </c>
      <c r="Q23">
        <v>2</v>
      </c>
      <c r="R23">
        <v>174</v>
      </c>
      <c r="S23" t="s">
        <v>2365</v>
      </c>
      <c r="U23" t="str">
        <f t="shared" si="0"/>
        <v/>
      </c>
      <c r="W23">
        <f>Digits_pres_final[[#This Row],[kan_params]]</f>
        <v>45078</v>
      </c>
      <c r="X23">
        <f>Digits_pres_final[[#This Row],[kan_test_acc]]</f>
        <v>0.97037036779026198</v>
      </c>
      <c r="Y23">
        <f>Digits_pres_final[[#This Row],[mlp_test_acc]]</f>
        <v>0.95902777777777781</v>
      </c>
      <c r="Z23">
        <f>Digits_pres_final[[#This Row],[mlp_test_acc2]]</f>
        <v>0.96090277777777788</v>
      </c>
    </row>
    <row r="24" spans="1:26" x14ac:dyDescent="0.25">
      <c r="A24" t="s">
        <v>1979</v>
      </c>
      <c r="B24">
        <v>3</v>
      </c>
      <c r="C24">
        <v>4</v>
      </c>
      <c r="D24">
        <v>0</v>
      </c>
      <c r="E24" t="s">
        <v>2022</v>
      </c>
      <c r="F24">
        <v>45952</v>
      </c>
      <c r="G24">
        <v>39615694</v>
      </c>
      <c r="H24">
        <v>0.96703703701496124</v>
      </c>
      <c r="I24">
        <v>0.94907407407407407</v>
      </c>
      <c r="J24">
        <v>11784323</v>
      </c>
      <c r="K24">
        <v>86840</v>
      </c>
      <c r="L24">
        <v>2</v>
      </c>
      <c r="M24">
        <v>190</v>
      </c>
      <c r="N24">
        <v>0.95814814814814819</v>
      </c>
      <c r="O24">
        <v>11893392.666666668</v>
      </c>
      <c r="P24">
        <v>87679</v>
      </c>
      <c r="Q24">
        <v>2</v>
      </c>
      <c r="R24">
        <v>191</v>
      </c>
      <c r="S24" t="s">
        <v>2600</v>
      </c>
      <c r="U24" t="str">
        <f t="shared" si="0"/>
        <v/>
      </c>
      <c r="W24">
        <f>Digits_pres_final[[#This Row],[kan_params]]</f>
        <v>45952</v>
      </c>
      <c r="X24">
        <f>Digits_pres_final[[#This Row],[kan_test_acc]]</f>
        <v>0.96703703701496124</v>
      </c>
      <c r="Y24">
        <f>Digits_pres_final[[#This Row],[mlp_test_acc]]</f>
        <v>0.94907407407407407</v>
      </c>
      <c r="Z24">
        <f>Digits_pres_final[[#This Row],[mlp_test_acc2]]</f>
        <v>0.95814814814814819</v>
      </c>
    </row>
    <row r="25" spans="1:26" hidden="1" x14ac:dyDescent="0.25">
      <c r="A25" t="s">
        <v>1979</v>
      </c>
      <c r="B25">
        <v>3</v>
      </c>
      <c r="C25">
        <v>2</v>
      </c>
      <c r="D25">
        <v>0</v>
      </c>
      <c r="E25" t="s">
        <v>2366</v>
      </c>
      <c r="F25">
        <v>46264</v>
      </c>
      <c r="G25">
        <v>77112362.15625</v>
      </c>
      <c r="H25">
        <v>0.96916666068136692</v>
      </c>
      <c r="I25">
        <v>0.96625000000000005</v>
      </c>
      <c r="J25">
        <v>17217951.46875</v>
      </c>
      <c r="K25">
        <v>74735</v>
      </c>
      <c r="L25">
        <v>2</v>
      </c>
      <c r="M25">
        <v>175</v>
      </c>
      <c r="N25">
        <v>0.96763888888888894</v>
      </c>
      <c r="O25">
        <v>17648452.9375</v>
      </c>
      <c r="P25">
        <v>75514</v>
      </c>
      <c r="Q25">
        <v>2</v>
      </c>
      <c r="R25">
        <v>176</v>
      </c>
      <c r="S25" t="s">
        <v>2367</v>
      </c>
      <c r="U25" t="str">
        <f t="shared" si="0"/>
        <v/>
      </c>
      <c r="W25">
        <f>Digits_pres_final[[#This Row],[kan_params]]</f>
        <v>46264</v>
      </c>
      <c r="X25">
        <f>Digits_pres_final[[#This Row],[kan_test_acc]]</f>
        <v>0.96916666068136692</v>
      </c>
      <c r="Y25">
        <f>Digits_pres_final[[#This Row],[mlp_test_acc]]</f>
        <v>0.96625000000000005</v>
      </c>
      <c r="Z25">
        <f>Digits_pres_final[[#This Row],[mlp_test_acc2]]</f>
        <v>0.96763888888888894</v>
      </c>
    </row>
    <row r="26" spans="1:26" x14ac:dyDescent="0.25">
      <c r="A26" t="s">
        <v>1979</v>
      </c>
      <c r="B26">
        <v>3</v>
      </c>
      <c r="C26">
        <v>4</v>
      </c>
      <c r="D26">
        <v>0</v>
      </c>
      <c r="E26" t="s">
        <v>2024</v>
      </c>
      <c r="F26">
        <v>47434</v>
      </c>
      <c r="G26">
        <v>44099021.916666672</v>
      </c>
      <c r="H26">
        <v>0.96407407522201538</v>
      </c>
      <c r="I26">
        <v>0.95166666666666666</v>
      </c>
      <c r="J26">
        <v>12321043</v>
      </c>
      <c r="K26">
        <v>89369</v>
      </c>
      <c r="L26">
        <v>2</v>
      </c>
      <c r="M26">
        <v>193</v>
      </c>
      <c r="N26">
        <v>0.95500000000000007</v>
      </c>
      <c r="O26">
        <v>12327860.083333332</v>
      </c>
      <c r="P26">
        <v>90220</v>
      </c>
      <c r="Q26">
        <v>2</v>
      </c>
      <c r="R26">
        <v>194</v>
      </c>
      <c r="S26" t="s">
        <v>2601</v>
      </c>
      <c r="U26" t="str">
        <f t="shared" si="0"/>
        <v/>
      </c>
      <c r="W26">
        <f>Digits_pres_final[[#This Row],[kan_params]]</f>
        <v>47434</v>
      </c>
      <c r="X26">
        <f>Digits_pres_final[[#This Row],[kan_test_acc]]</f>
        <v>0.96407407522201538</v>
      </c>
      <c r="Y26">
        <f>Digits_pres_final[[#This Row],[mlp_test_acc]]</f>
        <v>0.95166666666666666</v>
      </c>
      <c r="Z26">
        <f>Digits_pres_final[[#This Row],[mlp_test_acc2]]</f>
        <v>0.95500000000000007</v>
      </c>
    </row>
    <row r="27" spans="1:26" hidden="1" x14ac:dyDescent="0.25">
      <c r="A27" t="s">
        <v>1979</v>
      </c>
      <c r="B27">
        <v>3</v>
      </c>
      <c r="C27">
        <v>2</v>
      </c>
      <c r="D27">
        <v>0</v>
      </c>
      <c r="E27" t="s">
        <v>2368</v>
      </c>
      <c r="F27">
        <v>47450</v>
      </c>
      <c r="G27">
        <v>78388965.96875</v>
      </c>
      <c r="H27">
        <v>0.96798610687255859</v>
      </c>
      <c r="I27">
        <v>0.96631944444444451</v>
      </c>
      <c r="J27">
        <v>17251692.5</v>
      </c>
      <c r="K27">
        <v>76297</v>
      </c>
      <c r="L27">
        <v>2</v>
      </c>
      <c r="M27">
        <v>177</v>
      </c>
      <c r="N27">
        <v>0.96756944444444448</v>
      </c>
      <c r="O27">
        <v>18117193.28125</v>
      </c>
      <c r="P27">
        <v>77084</v>
      </c>
      <c r="Q27">
        <v>2</v>
      </c>
      <c r="R27">
        <v>178</v>
      </c>
      <c r="S27" t="s">
        <v>2369</v>
      </c>
      <c r="U27" t="str">
        <f t="shared" si="0"/>
        <v/>
      </c>
      <c r="W27">
        <f>Digits_pres_final[[#This Row],[kan_params]]</f>
        <v>47450</v>
      </c>
      <c r="X27">
        <f>Digits_pres_final[[#This Row],[kan_test_acc]]</f>
        <v>0.96798610687255859</v>
      </c>
      <c r="Y27">
        <f>Digits_pres_final[[#This Row],[mlp_test_acc]]</f>
        <v>0.96631944444444451</v>
      </c>
      <c r="Z27">
        <f>Digits_pres_final[[#This Row],[mlp_test_acc2]]</f>
        <v>0.96756944444444448</v>
      </c>
    </row>
    <row r="28" spans="1:26" hidden="1" x14ac:dyDescent="0.25">
      <c r="A28" t="s">
        <v>1979</v>
      </c>
      <c r="B28">
        <v>3</v>
      </c>
      <c r="C28">
        <v>2</v>
      </c>
      <c r="D28">
        <v>0</v>
      </c>
      <c r="E28" t="s">
        <v>2370</v>
      </c>
      <c r="F28">
        <v>48636</v>
      </c>
      <c r="G28">
        <v>83622256.5</v>
      </c>
      <c r="H28">
        <v>0.96965277940034866</v>
      </c>
      <c r="I28">
        <v>0.96527777777777779</v>
      </c>
      <c r="J28">
        <v>18082412.34375</v>
      </c>
      <c r="K28">
        <v>78670</v>
      </c>
      <c r="L28">
        <v>2</v>
      </c>
      <c r="M28">
        <v>180</v>
      </c>
      <c r="N28">
        <v>0.96743055555555557</v>
      </c>
      <c r="O28">
        <v>17175567.9375</v>
      </c>
      <c r="P28">
        <v>79469</v>
      </c>
      <c r="Q28">
        <v>2</v>
      </c>
      <c r="R28">
        <v>181</v>
      </c>
      <c r="S28" t="s">
        <v>2371</v>
      </c>
      <c r="U28" t="str">
        <f t="shared" si="0"/>
        <v/>
      </c>
      <c r="W28">
        <f>Digits_pres_final[[#This Row],[kan_params]]</f>
        <v>48636</v>
      </c>
      <c r="X28">
        <f>Digits_pres_final[[#This Row],[kan_test_acc]]</f>
        <v>0.96965277940034866</v>
      </c>
      <c r="Y28">
        <f>Digits_pres_final[[#This Row],[mlp_test_acc]]</f>
        <v>0.96527777777777779</v>
      </c>
      <c r="Z28">
        <f>Digits_pres_final[[#This Row],[mlp_test_acc2]]</f>
        <v>0.96743055555555557</v>
      </c>
    </row>
    <row r="29" spans="1:26" x14ac:dyDescent="0.25">
      <c r="A29" t="s">
        <v>1979</v>
      </c>
      <c r="B29">
        <v>3</v>
      </c>
      <c r="C29">
        <v>4</v>
      </c>
      <c r="D29">
        <v>0</v>
      </c>
      <c r="E29" t="s">
        <v>2092</v>
      </c>
      <c r="F29">
        <v>48916</v>
      </c>
      <c r="G29">
        <v>337496079.33333337</v>
      </c>
      <c r="H29">
        <v>0.95888888835906982</v>
      </c>
      <c r="I29">
        <v>0.96537037037037043</v>
      </c>
      <c r="J29">
        <v>31600861.25</v>
      </c>
      <c r="K29">
        <v>92797</v>
      </c>
      <c r="L29">
        <v>2</v>
      </c>
      <c r="M29">
        <v>197</v>
      </c>
      <c r="N29">
        <v>0.96481481481481479</v>
      </c>
      <c r="O29">
        <v>31624597.75</v>
      </c>
      <c r="P29">
        <v>93664</v>
      </c>
      <c r="Q29">
        <v>2</v>
      </c>
      <c r="R29">
        <v>198</v>
      </c>
      <c r="S29" t="s">
        <v>2630</v>
      </c>
      <c r="U29" t="str">
        <f t="shared" si="0"/>
        <v/>
      </c>
      <c r="W29">
        <f>Digits_pres_final[[#This Row],[kan_params]]</f>
        <v>48916</v>
      </c>
      <c r="X29">
        <f>Digits_pres_final[[#This Row],[kan_test_acc]]</f>
        <v>0.95888888835906982</v>
      </c>
      <c r="Y29">
        <f>Digits_pres_final[[#This Row],[mlp_test_acc]]</f>
        <v>0.96537037037037043</v>
      </c>
      <c r="Z29">
        <f>Digits_pres_final[[#This Row],[mlp_test_acc2]]</f>
        <v>0.96481481481481479</v>
      </c>
    </row>
    <row r="30" spans="1:26" hidden="1" x14ac:dyDescent="0.25">
      <c r="A30" t="s">
        <v>1979</v>
      </c>
      <c r="B30">
        <v>3</v>
      </c>
      <c r="C30">
        <v>2</v>
      </c>
      <c r="D30">
        <v>0</v>
      </c>
      <c r="E30" t="s">
        <v>2372</v>
      </c>
      <c r="F30">
        <v>49822</v>
      </c>
      <c r="G30">
        <v>87150233.9375</v>
      </c>
      <c r="H30">
        <v>0.96895833127200603</v>
      </c>
      <c r="I30">
        <v>0.96375</v>
      </c>
      <c r="J30">
        <v>18573368.65625</v>
      </c>
      <c r="K30">
        <v>80272</v>
      </c>
      <c r="L30">
        <v>2</v>
      </c>
      <c r="M30">
        <v>182</v>
      </c>
      <c r="N30">
        <v>0.96534722222222213</v>
      </c>
      <c r="O30">
        <v>17976898.15625</v>
      </c>
      <c r="P30">
        <v>81079</v>
      </c>
      <c r="Q30">
        <v>2</v>
      </c>
      <c r="R30">
        <v>183</v>
      </c>
      <c r="S30" t="s">
        <v>2373</v>
      </c>
      <c r="U30" t="str">
        <f t="shared" si="0"/>
        <v/>
      </c>
      <c r="W30">
        <f>Digits_pres_final[[#This Row],[kan_params]]</f>
        <v>49822</v>
      </c>
      <c r="X30">
        <f>Digits_pres_final[[#This Row],[kan_test_acc]]</f>
        <v>0.96895833127200603</v>
      </c>
      <c r="Y30">
        <f>Digits_pres_final[[#This Row],[mlp_test_acc]]</f>
        <v>0.96375</v>
      </c>
      <c r="Z30">
        <f>Digits_pres_final[[#This Row],[mlp_test_acc2]]</f>
        <v>0.96534722222222213</v>
      </c>
    </row>
    <row r="31" spans="1:26" x14ac:dyDescent="0.25">
      <c r="A31" t="s">
        <v>1979</v>
      </c>
      <c r="B31">
        <v>3</v>
      </c>
      <c r="C31">
        <v>4</v>
      </c>
      <c r="D31">
        <v>0</v>
      </c>
      <c r="E31" t="s">
        <v>2160</v>
      </c>
      <c r="F31">
        <v>50398</v>
      </c>
      <c r="G31">
        <v>198504601.83333334</v>
      </c>
      <c r="H31">
        <v>0.95925925672054291</v>
      </c>
      <c r="I31">
        <v>0.95666666666666667</v>
      </c>
      <c r="J31">
        <v>21242508.916666668</v>
      </c>
      <c r="K31">
        <v>95410</v>
      </c>
      <c r="L31">
        <v>2</v>
      </c>
      <c r="M31">
        <v>200</v>
      </c>
      <c r="N31">
        <v>0.95870370370370372</v>
      </c>
      <c r="O31">
        <v>21572261.333333332</v>
      </c>
      <c r="P31">
        <v>96289</v>
      </c>
      <c r="Q31">
        <v>2</v>
      </c>
      <c r="R31">
        <v>201</v>
      </c>
      <c r="S31" t="s">
        <v>2631</v>
      </c>
      <c r="U31" t="str">
        <f t="shared" si="0"/>
        <v/>
      </c>
      <c r="W31">
        <f>Digits_pres_final[[#This Row],[kan_params]]</f>
        <v>50398</v>
      </c>
      <c r="X31">
        <f>Digits_pres_final[[#This Row],[kan_test_acc]]</f>
        <v>0.95925925672054291</v>
      </c>
      <c r="Y31">
        <f>Digits_pres_final[[#This Row],[mlp_test_acc]]</f>
        <v>0.95666666666666667</v>
      </c>
      <c r="Z31">
        <f>Digits_pres_final[[#This Row],[mlp_test_acc2]]</f>
        <v>0.95870370370370372</v>
      </c>
    </row>
    <row r="32" spans="1:26" hidden="1" x14ac:dyDescent="0.25">
      <c r="A32" t="s">
        <v>1979</v>
      </c>
      <c r="B32">
        <v>3</v>
      </c>
      <c r="C32">
        <v>2</v>
      </c>
      <c r="D32">
        <v>0</v>
      </c>
      <c r="E32" t="s">
        <v>2374</v>
      </c>
      <c r="F32">
        <v>51008</v>
      </c>
      <c r="G32">
        <v>88490220</v>
      </c>
      <c r="H32">
        <v>0.96709324818636688</v>
      </c>
      <c r="I32">
        <v>0.96550595238095238</v>
      </c>
      <c r="J32">
        <v>18806747.40625</v>
      </c>
      <c r="K32">
        <v>82705</v>
      </c>
      <c r="L32">
        <v>2</v>
      </c>
      <c r="M32">
        <v>185</v>
      </c>
      <c r="N32">
        <v>0.96494047619047618</v>
      </c>
      <c r="O32">
        <v>19300895.901785716</v>
      </c>
      <c r="P32">
        <v>83524</v>
      </c>
      <c r="Q32">
        <v>2</v>
      </c>
      <c r="R32">
        <v>186</v>
      </c>
      <c r="S32" t="s">
        <v>2375</v>
      </c>
      <c r="U32" t="str">
        <f t="shared" si="0"/>
        <v/>
      </c>
      <c r="W32">
        <f>Digits_pres_final[[#This Row],[kan_params]]</f>
        <v>51008</v>
      </c>
      <c r="X32">
        <f>Digits_pres_final[[#This Row],[kan_test_acc]]</f>
        <v>0.96709324818636688</v>
      </c>
      <c r="Y32">
        <f>Digits_pres_final[[#This Row],[mlp_test_acc]]</f>
        <v>0.96550595238095238</v>
      </c>
      <c r="Z32">
        <f>Digits_pres_final[[#This Row],[mlp_test_acc2]]</f>
        <v>0.96494047619047618</v>
      </c>
    </row>
    <row r="33" spans="1:26" x14ac:dyDescent="0.25">
      <c r="A33" t="s">
        <v>1979</v>
      </c>
      <c r="B33">
        <v>3</v>
      </c>
      <c r="C33">
        <v>4</v>
      </c>
      <c r="D33">
        <v>0</v>
      </c>
      <c r="E33" t="s">
        <v>2228</v>
      </c>
      <c r="F33">
        <v>51880</v>
      </c>
      <c r="G33">
        <v>41811236.25</v>
      </c>
      <c r="H33">
        <v>0.95629629492759705</v>
      </c>
      <c r="I33">
        <v>0.95111111111111113</v>
      </c>
      <c r="J33">
        <v>12683128.583333332</v>
      </c>
      <c r="K33">
        <v>98059</v>
      </c>
      <c r="L33">
        <v>2</v>
      </c>
      <c r="M33">
        <v>203</v>
      </c>
      <c r="N33">
        <v>0.95111111111111113</v>
      </c>
      <c r="O33">
        <v>12888306.583333334</v>
      </c>
      <c r="P33">
        <v>98950</v>
      </c>
      <c r="Q33">
        <v>2</v>
      </c>
      <c r="R33">
        <v>204</v>
      </c>
      <c r="S33" t="s">
        <v>2632</v>
      </c>
      <c r="U33" t="str">
        <f t="shared" si="0"/>
        <v/>
      </c>
      <c r="W33">
        <f>Digits_pres_final[[#This Row],[kan_params]]</f>
        <v>51880</v>
      </c>
      <c r="X33">
        <f>Digits_pres_final[[#This Row],[kan_test_acc]]</f>
        <v>0.95629629492759705</v>
      </c>
      <c r="Y33">
        <f>Digits_pres_final[[#This Row],[mlp_test_acc]]</f>
        <v>0.95111111111111113</v>
      </c>
      <c r="Z33">
        <f>Digits_pres_final[[#This Row],[mlp_test_acc2]]</f>
        <v>0.95111111111111113</v>
      </c>
    </row>
    <row r="34" spans="1:26" hidden="1" x14ac:dyDescent="0.25">
      <c r="A34" t="s">
        <v>1979</v>
      </c>
      <c r="B34">
        <v>3</v>
      </c>
      <c r="C34">
        <v>2</v>
      </c>
      <c r="D34">
        <v>0</v>
      </c>
      <c r="E34" t="s">
        <v>2376</v>
      </c>
      <c r="F34">
        <v>52194</v>
      </c>
      <c r="G34">
        <v>95273065.136363626</v>
      </c>
      <c r="H34">
        <v>0.96538238846636437</v>
      </c>
      <c r="I34">
        <v>0.96738095238095245</v>
      </c>
      <c r="J34">
        <v>19440782.93181818</v>
      </c>
      <c r="K34">
        <v>84347</v>
      </c>
      <c r="L34">
        <v>2</v>
      </c>
      <c r="M34">
        <v>187</v>
      </c>
      <c r="N34">
        <v>0.96467532467532469</v>
      </c>
      <c r="O34">
        <v>19434530.055194806</v>
      </c>
      <c r="P34">
        <v>85174</v>
      </c>
      <c r="Q34">
        <v>2</v>
      </c>
      <c r="R34">
        <v>188</v>
      </c>
      <c r="S34" t="s">
        <v>2377</v>
      </c>
      <c r="U34" t="str">
        <f t="shared" si="0"/>
        <v/>
      </c>
      <c r="W34">
        <f>Digits_pres_final[[#This Row],[kan_params]]</f>
        <v>52194</v>
      </c>
      <c r="X34">
        <f>Digits_pres_final[[#This Row],[kan_test_acc]]</f>
        <v>0.96538238846636437</v>
      </c>
      <c r="Y34">
        <f>Digits_pres_final[[#This Row],[mlp_test_acc]]</f>
        <v>0.96738095238095245</v>
      </c>
      <c r="Z34">
        <f>Digits_pres_final[[#This Row],[mlp_test_acc2]]</f>
        <v>0.96467532467532469</v>
      </c>
    </row>
    <row r="35" spans="1:26" x14ac:dyDescent="0.25">
      <c r="A35" t="s">
        <v>1979</v>
      </c>
      <c r="B35">
        <v>3</v>
      </c>
      <c r="C35">
        <v>4</v>
      </c>
      <c r="D35">
        <v>0</v>
      </c>
      <c r="E35" t="s">
        <v>2296</v>
      </c>
      <c r="F35">
        <v>53362</v>
      </c>
      <c r="G35">
        <v>42171999.916666672</v>
      </c>
      <c r="H35">
        <v>0.95962963004906976</v>
      </c>
      <c r="I35">
        <v>0.95185185185185195</v>
      </c>
      <c r="J35">
        <v>12579346.916666668</v>
      </c>
      <c r="K35">
        <v>100744</v>
      </c>
      <c r="L35">
        <v>2</v>
      </c>
      <c r="M35">
        <v>206</v>
      </c>
      <c r="N35">
        <v>0.95148148148148148</v>
      </c>
      <c r="O35">
        <v>12815501.25</v>
      </c>
      <c r="P35">
        <v>101647</v>
      </c>
      <c r="Q35">
        <v>2</v>
      </c>
      <c r="R35">
        <v>207</v>
      </c>
      <c r="S35" t="s">
        <v>2633</v>
      </c>
      <c r="U35" t="str">
        <f t="shared" si="0"/>
        <v/>
      </c>
      <c r="W35">
        <f>Digits_pres_final[[#This Row],[kan_params]]</f>
        <v>53362</v>
      </c>
      <c r="X35">
        <f>Digits_pres_final[[#This Row],[kan_test_acc]]</f>
        <v>0.95962963004906976</v>
      </c>
      <c r="Y35">
        <f>Digits_pres_final[[#This Row],[mlp_test_acc]]</f>
        <v>0.95185185185185195</v>
      </c>
      <c r="Z35">
        <f>Digits_pres_final[[#This Row],[mlp_test_acc2]]</f>
        <v>0.95148148148148148</v>
      </c>
    </row>
    <row r="36" spans="1:26" hidden="1" x14ac:dyDescent="0.25">
      <c r="A36" t="s">
        <v>1979</v>
      </c>
      <c r="B36">
        <v>3</v>
      </c>
      <c r="C36">
        <v>2</v>
      </c>
      <c r="D36">
        <v>0</v>
      </c>
      <c r="E36" t="s">
        <v>2378</v>
      </c>
      <c r="F36">
        <v>53380</v>
      </c>
      <c r="G36">
        <v>95652161.5</v>
      </c>
      <c r="H36">
        <v>0.96737372875213623</v>
      </c>
      <c r="I36">
        <v>0.96535353535353541</v>
      </c>
      <c r="J36">
        <v>19815832.09090909</v>
      </c>
      <c r="K36">
        <v>86005</v>
      </c>
      <c r="L36">
        <v>2</v>
      </c>
      <c r="M36">
        <v>189</v>
      </c>
      <c r="N36">
        <v>0.96393939393939387</v>
      </c>
      <c r="O36">
        <v>19802830.90909091</v>
      </c>
      <c r="P36">
        <v>86840</v>
      </c>
      <c r="Q36">
        <v>2</v>
      </c>
      <c r="R36">
        <v>190</v>
      </c>
      <c r="S36" t="s">
        <v>2379</v>
      </c>
      <c r="U36" t="str">
        <f t="shared" si="0"/>
        <v/>
      </c>
      <c r="W36">
        <f>Digits_pres_final[[#This Row],[kan_params]]</f>
        <v>53380</v>
      </c>
      <c r="X36">
        <f>Digits_pres_final[[#This Row],[kan_test_acc]]</f>
        <v>0.96737372875213623</v>
      </c>
      <c r="Y36">
        <f>Digits_pres_final[[#This Row],[mlp_test_acc]]</f>
        <v>0.96535353535353541</v>
      </c>
      <c r="Z36">
        <f>Digits_pres_final[[#This Row],[mlp_test_acc2]]</f>
        <v>0.96393939393939387</v>
      </c>
    </row>
    <row r="37" spans="1:26" hidden="1" x14ac:dyDescent="0.25">
      <c r="A37" t="s">
        <v>1979</v>
      </c>
      <c r="B37">
        <v>3</v>
      </c>
      <c r="C37">
        <v>2</v>
      </c>
      <c r="D37">
        <v>0</v>
      </c>
      <c r="E37" t="s">
        <v>2380</v>
      </c>
      <c r="F37">
        <v>54566</v>
      </c>
      <c r="G37">
        <v>90372663.090909094</v>
      </c>
      <c r="H37">
        <v>0.9692929251627489</v>
      </c>
      <c r="I37">
        <v>0.96737373737373744</v>
      </c>
      <c r="J37">
        <v>20083108.863636363</v>
      </c>
      <c r="K37">
        <v>88522</v>
      </c>
      <c r="L37">
        <v>2</v>
      </c>
      <c r="M37">
        <v>192</v>
      </c>
      <c r="N37">
        <v>0.96676767676767672</v>
      </c>
      <c r="O37">
        <v>19112157.90909091</v>
      </c>
      <c r="P37">
        <v>89369</v>
      </c>
      <c r="Q37">
        <v>2</v>
      </c>
      <c r="R37">
        <v>193</v>
      </c>
      <c r="S37" t="s">
        <v>2381</v>
      </c>
      <c r="U37" t="str">
        <f t="shared" si="0"/>
        <v/>
      </c>
      <c r="W37">
        <f>Digits_pres_final[[#This Row],[kan_params]]</f>
        <v>54566</v>
      </c>
      <c r="X37">
        <f>Digits_pres_final[[#This Row],[kan_test_acc]]</f>
        <v>0.9692929251627489</v>
      </c>
      <c r="Y37">
        <f>Digits_pres_final[[#This Row],[mlp_test_acc]]</f>
        <v>0.96737373737373744</v>
      </c>
      <c r="Z37">
        <f>Digits_pres_final[[#This Row],[mlp_test_acc2]]</f>
        <v>0.96676767676767672</v>
      </c>
    </row>
    <row r="38" spans="1:26" x14ac:dyDescent="0.25">
      <c r="A38" t="s">
        <v>1979</v>
      </c>
      <c r="B38">
        <v>3</v>
      </c>
      <c r="C38">
        <v>4</v>
      </c>
      <c r="D38">
        <v>0</v>
      </c>
      <c r="E38" t="s">
        <v>2362</v>
      </c>
      <c r="F38">
        <v>54844</v>
      </c>
      <c r="G38">
        <v>42783457.333333336</v>
      </c>
      <c r="H38">
        <v>0.96314814686775208</v>
      </c>
      <c r="I38">
        <v>0.95203703703703701</v>
      </c>
      <c r="J38">
        <v>12562863.833333334</v>
      </c>
      <c r="K38">
        <v>103465</v>
      </c>
      <c r="L38">
        <v>2</v>
      </c>
      <c r="M38">
        <v>209</v>
      </c>
      <c r="N38">
        <v>0.95407407407407407</v>
      </c>
      <c r="O38">
        <v>12831387</v>
      </c>
      <c r="P38">
        <v>104380</v>
      </c>
      <c r="Q38">
        <v>2</v>
      </c>
      <c r="R38">
        <v>210</v>
      </c>
      <c r="S38" t="s">
        <v>2634</v>
      </c>
      <c r="U38" t="str">
        <f t="shared" si="0"/>
        <v/>
      </c>
      <c r="W38">
        <f>Digits_pres_final[[#This Row],[kan_params]]</f>
        <v>54844</v>
      </c>
      <c r="X38">
        <f>Digits_pres_final[[#This Row],[kan_test_acc]]</f>
        <v>0.96314814686775208</v>
      </c>
      <c r="Y38">
        <f>Digits_pres_final[[#This Row],[mlp_test_acc]]</f>
        <v>0.95203703703703701</v>
      </c>
      <c r="Z38">
        <f>Digits_pres_final[[#This Row],[mlp_test_acc2]]</f>
        <v>0.95407407407407407</v>
      </c>
    </row>
    <row r="39" spans="1:26" hidden="1" x14ac:dyDescent="0.25">
      <c r="A39" t="s">
        <v>1979</v>
      </c>
      <c r="B39">
        <v>3</v>
      </c>
      <c r="C39">
        <v>2</v>
      </c>
      <c r="D39">
        <v>0</v>
      </c>
      <c r="E39" t="s">
        <v>2382</v>
      </c>
      <c r="F39">
        <v>55752</v>
      </c>
      <c r="G39">
        <v>89093715.954545453</v>
      </c>
      <c r="H39">
        <v>0.96767676960338245</v>
      </c>
      <c r="I39">
        <v>0.96989898989898993</v>
      </c>
      <c r="J39">
        <v>19637600.18181818</v>
      </c>
      <c r="K39">
        <v>90220</v>
      </c>
      <c r="L39">
        <v>2</v>
      </c>
      <c r="M39">
        <v>194</v>
      </c>
      <c r="N39">
        <v>0.9682828282828283</v>
      </c>
      <c r="O39">
        <v>17275008.227272727</v>
      </c>
      <c r="P39">
        <v>91075</v>
      </c>
      <c r="Q39">
        <v>2</v>
      </c>
      <c r="R39">
        <v>195</v>
      </c>
      <c r="S39" t="s">
        <v>2383</v>
      </c>
      <c r="U39" t="str">
        <f t="shared" si="0"/>
        <v/>
      </c>
      <c r="W39">
        <f>Digits_pres_final[[#This Row],[kan_params]]</f>
        <v>55752</v>
      </c>
      <c r="X39">
        <f>Digits_pres_final[[#This Row],[kan_test_acc]]</f>
        <v>0.96767676960338245</v>
      </c>
      <c r="Y39">
        <f>Digits_pres_final[[#This Row],[mlp_test_acc]]</f>
        <v>0.96989898989898993</v>
      </c>
      <c r="Z39">
        <f>Digits_pres_final[[#This Row],[mlp_test_acc2]]</f>
        <v>0.9682828282828283</v>
      </c>
    </row>
    <row r="40" spans="1:26" x14ac:dyDescent="0.25">
      <c r="A40" t="s">
        <v>1979</v>
      </c>
      <c r="B40">
        <v>3</v>
      </c>
      <c r="C40">
        <v>4</v>
      </c>
      <c r="D40">
        <v>0</v>
      </c>
      <c r="E40" t="s">
        <v>2364</v>
      </c>
      <c r="F40">
        <v>56326</v>
      </c>
      <c r="G40">
        <v>43319331.5</v>
      </c>
      <c r="H40">
        <v>0.96296296020348859</v>
      </c>
      <c r="I40">
        <v>0.95240740740740737</v>
      </c>
      <c r="J40">
        <v>12909444.416666668</v>
      </c>
      <c r="K40">
        <v>106222</v>
      </c>
      <c r="L40">
        <v>2</v>
      </c>
      <c r="M40">
        <v>212</v>
      </c>
      <c r="N40">
        <v>0.95370370370370372</v>
      </c>
      <c r="O40">
        <v>13065863.166666668</v>
      </c>
      <c r="P40">
        <v>107149</v>
      </c>
      <c r="Q40">
        <v>2</v>
      </c>
      <c r="R40">
        <v>213</v>
      </c>
      <c r="S40" t="s">
        <v>2635</v>
      </c>
      <c r="U40" t="str">
        <f t="shared" si="0"/>
        <v/>
      </c>
      <c r="W40">
        <f>Digits_pres_final[[#This Row],[kan_params]]</f>
        <v>56326</v>
      </c>
      <c r="X40">
        <f>Digits_pres_final[[#This Row],[kan_test_acc]]</f>
        <v>0.96296296020348859</v>
      </c>
      <c r="Y40">
        <f>Digits_pres_final[[#This Row],[mlp_test_acc]]</f>
        <v>0.95240740740740737</v>
      </c>
      <c r="Z40">
        <f>Digits_pres_final[[#This Row],[mlp_test_acc2]]</f>
        <v>0.95370370370370372</v>
      </c>
    </row>
    <row r="41" spans="1:26" hidden="1" x14ac:dyDescent="0.25">
      <c r="A41" t="s">
        <v>1979</v>
      </c>
      <c r="B41">
        <v>3</v>
      </c>
      <c r="C41">
        <v>2</v>
      </c>
      <c r="D41">
        <v>0</v>
      </c>
      <c r="E41" t="s">
        <v>2384</v>
      </c>
      <c r="F41">
        <v>56938</v>
      </c>
      <c r="G41">
        <v>88312369.318181813</v>
      </c>
      <c r="H41">
        <v>0.96797979961742053</v>
      </c>
      <c r="I41">
        <v>0.96676767676767672</v>
      </c>
      <c r="J41">
        <v>19629214.18181818</v>
      </c>
      <c r="K41">
        <v>91934</v>
      </c>
      <c r="L41">
        <v>2</v>
      </c>
      <c r="M41">
        <v>196</v>
      </c>
      <c r="N41">
        <v>0.96565656565656566</v>
      </c>
      <c r="O41">
        <v>18477193.31818182</v>
      </c>
      <c r="P41">
        <v>92797</v>
      </c>
      <c r="Q41">
        <v>2</v>
      </c>
      <c r="R41">
        <v>197</v>
      </c>
      <c r="S41" t="s">
        <v>2385</v>
      </c>
      <c r="U41" t="str">
        <f t="shared" si="0"/>
        <v/>
      </c>
      <c r="W41">
        <f>Digits_pres_final[[#This Row],[kan_params]]</f>
        <v>56938</v>
      </c>
      <c r="X41">
        <f>Digits_pres_final[[#This Row],[kan_test_acc]]</f>
        <v>0.96797979961742053</v>
      </c>
      <c r="Y41">
        <f>Digits_pres_final[[#This Row],[mlp_test_acc]]</f>
        <v>0.96676767676767672</v>
      </c>
      <c r="Z41">
        <f>Digits_pres_final[[#This Row],[mlp_test_acc2]]</f>
        <v>0.96565656565656566</v>
      </c>
    </row>
    <row r="42" spans="1:26" x14ac:dyDescent="0.25">
      <c r="A42" t="s">
        <v>1979</v>
      </c>
      <c r="B42">
        <v>3</v>
      </c>
      <c r="C42">
        <v>4</v>
      </c>
      <c r="D42">
        <v>0</v>
      </c>
      <c r="E42" t="s">
        <v>2366</v>
      </c>
      <c r="F42">
        <v>57808</v>
      </c>
      <c r="G42">
        <v>49865950.166666664</v>
      </c>
      <c r="H42">
        <v>0.96240740021069837</v>
      </c>
      <c r="I42">
        <v>0.95314814814814819</v>
      </c>
      <c r="J42">
        <v>13329832.583333332</v>
      </c>
      <c r="K42">
        <v>109015</v>
      </c>
      <c r="L42">
        <v>2</v>
      </c>
      <c r="M42">
        <v>215</v>
      </c>
      <c r="N42">
        <v>0.95629629629629631</v>
      </c>
      <c r="O42">
        <v>13305488.75</v>
      </c>
      <c r="P42">
        <v>109954</v>
      </c>
      <c r="Q42">
        <v>2</v>
      </c>
      <c r="R42">
        <v>216</v>
      </c>
      <c r="S42" t="s">
        <v>2636</v>
      </c>
      <c r="U42" t="str">
        <f t="shared" si="0"/>
        <v/>
      </c>
      <c r="W42">
        <f>Digits_pres_final[[#This Row],[kan_params]]</f>
        <v>57808</v>
      </c>
      <c r="X42">
        <f>Digits_pres_final[[#This Row],[kan_test_acc]]</f>
        <v>0.96240740021069837</v>
      </c>
      <c r="Y42">
        <f>Digits_pres_final[[#This Row],[mlp_test_acc]]</f>
        <v>0.95314814814814819</v>
      </c>
      <c r="Z42">
        <f>Digits_pres_final[[#This Row],[mlp_test_acc2]]</f>
        <v>0.95629629629629631</v>
      </c>
    </row>
    <row r="43" spans="1:26" hidden="1" x14ac:dyDescent="0.25">
      <c r="A43" t="s">
        <v>1979</v>
      </c>
      <c r="B43">
        <v>3</v>
      </c>
      <c r="C43">
        <v>2</v>
      </c>
      <c r="D43">
        <v>0</v>
      </c>
      <c r="E43" t="s">
        <v>2386</v>
      </c>
      <c r="F43">
        <v>58124</v>
      </c>
      <c r="G43">
        <v>98483558.363636374</v>
      </c>
      <c r="H43">
        <v>0.9682828242128545</v>
      </c>
      <c r="I43">
        <v>0.96343434343434342</v>
      </c>
      <c r="J43">
        <v>20459775.18181818</v>
      </c>
      <c r="K43">
        <v>93664</v>
      </c>
      <c r="L43">
        <v>2</v>
      </c>
      <c r="M43">
        <v>198</v>
      </c>
      <c r="N43">
        <v>0.96505050505050505</v>
      </c>
      <c r="O43">
        <v>21027827.59090909</v>
      </c>
      <c r="P43">
        <v>94535</v>
      </c>
      <c r="Q43">
        <v>2</v>
      </c>
      <c r="R43">
        <v>199</v>
      </c>
      <c r="S43" t="s">
        <v>2387</v>
      </c>
      <c r="U43" t="str">
        <f t="shared" si="0"/>
        <v/>
      </c>
      <c r="W43">
        <f>Digits_pres_final[[#This Row],[kan_params]]</f>
        <v>58124</v>
      </c>
      <c r="X43">
        <f>Digits_pres_final[[#This Row],[kan_test_acc]]</f>
        <v>0.9682828242128545</v>
      </c>
      <c r="Y43">
        <f>Digits_pres_final[[#This Row],[mlp_test_acc]]</f>
        <v>0.96343434343434342</v>
      </c>
      <c r="Z43">
        <f>Digits_pres_final[[#This Row],[mlp_test_acc2]]</f>
        <v>0.96505050505050505</v>
      </c>
    </row>
    <row r="44" spans="1:26" x14ac:dyDescent="0.25">
      <c r="A44" t="s">
        <v>1979</v>
      </c>
      <c r="B44">
        <v>3</v>
      </c>
      <c r="C44">
        <v>4</v>
      </c>
      <c r="D44">
        <v>0</v>
      </c>
      <c r="E44" t="s">
        <v>2368</v>
      </c>
      <c r="F44">
        <v>59290</v>
      </c>
      <c r="G44">
        <v>55633148.583333328</v>
      </c>
      <c r="H44">
        <v>0.95851850509643555</v>
      </c>
      <c r="I44">
        <v>0.95092592592592595</v>
      </c>
      <c r="J44">
        <v>13017170.75</v>
      </c>
      <c r="K44">
        <v>111844</v>
      </c>
      <c r="L44">
        <v>2</v>
      </c>
      <c r="M44">
        <v>218</v>
      </c>
      <c r="N44">
        <v>0.95851851851851855</v>
      </c>
      <c r="O44">
        <v>13556348</v>
      </c>
      <c r="P44">
        <v>112795</v>
      </c>
      <c r="Q44">
        <v>2</v>
      </c>
      <c r="R44">
        <v>219</v>
      </c>
      <c r="S44" t="s">
        <v>2637</v>
      </c>
      <c r="U44" t="str">
        <f t="shared" si="0"/>
        <v/>
      </c>
      <c r="W44">
        <f>Digits_pres_final[[#This Row],[kan_params]]</f>
        <v>59290</v>
      </c>
      <c r="X44">
        <f>Digits_pres_final[[#This Row],[kan_test_acc]]</f>
        <v>0.95851850509643555</v>
      </c>
      <c r="Y44">
        <f>Digits_pres_final[[#This Row],[mlp_test_acc]]</f>
        <v>0.95092592592592595</v>
      </c>
      <c r="Z44">
        <f>Digits_pres_final[[#This Row],[mlp_test_acc2]]</f>
        <v>0.95851851851851855</v>
      </c>
    </row>
    <row r="45" spans="1:26" hidden="1" x14ac:dyDescent="0.25">
      <c r="A45" t="s">
        <v>1979</v>
      </c>
      <c r="B45">
        <v>3</v>
      </c>
      <c r="C45">
        <v>3</v>
      </c>
      <c r="D45">
        <v>0</v>
      </c>
      <c r="E45" t="s">
        <v>2378</v>
      </c>
      <c r="F45">
        <v>60040</v>
      </c>
      <c r="G45">
        <v>347528121.41666669</v>
      </c>
      <c r="H45">
        <v>0.96555555860201525</v>
      </c>
      <c r="I45">
        <v>0.95444444444444443</v>
      </c>
      <c r="J45">
        <v>31900791.166666668</v>
      </c>
      <c r="K45">
        <v>106222</v>
      </c>
      <c r="L45">
        <v>2</v>
      </c>
      <c r="M45">
        <v>212</v>
      </c>
      <c r="N45">
        <v>0.95851851851851855</v>
      </c>
      <c r="O45">
        <v>32018245.25</v>
      </c>
      <c r="P45">
        <v>107149</v>
      </c>
      <c r="Q45">
        <v>2</v>
      </c>
      <c r="R45">
        <v>213</v>
      </c>
      <c r="S45" t="s">
        <v>2572</v>
      </c>
      <c r="U45" t="str">
        <f t="shared" si="0"/>
        <v/>
      </c>
      <c r="W45">
        <f>Digits_pres_final[[#This Row],[kan_params]]</f>
        <v>60040</v>
      </c>
      <c r="X45">
        <f>Digits_pres_final[[#This Row],[kan_test_acc]]</f>
        <v>0.96555555860201525</v>
      </c>
      <c r="Y45">
        <f>Digits_pres_final[[#This Row],[mlp_test_acc]]</f>
        <v>0.95444444444444443</v>
      </c>
      <c r="Z45">
        <f>Digits_pres_final[[#This Row],[mlp_test_acc2]]</f>
        <v>0.95851851851851855</v>
      </c>
    </row>
    <row r="46" spans="1:26" x14ac:dyDescent="0.25">
      <c r="A46" t="s">
        <v>1979</v>
      </c>
      <c r="B46">
        <v>3</v>
      </c>
      <c r="C46">
        <v>4</v>
      </c>
      <c r="D46">
        <v>0</v>
      </c>
      <c r="E46" t="s">
        <v>2370</v>
      </c>
      <c r="F46">
        <v>60772</v>
      </c>
      <c r="G46">
        <v>55385177.5</v>
      </c>
      <c r="H46">
        <v>0.95666665832201647</v>
      </c>
      <c r="I46">
        <v>0.95037037037037031</v>
      </c>
      <c r="J46">
        <v>13141547.166666668</v>
      </c>
      <c r="K46">
        <v>114709</v>
      </c>
      <c r="L46">
        <v>2</v>
      </c>
      <c r="M46">
        <v>221</v>
      </c>
      <c r="N46">
        <v>0.95481481481481478</v>
      </c>
      <c r="O46">
        <v>13466525.166666668</v>
      </c>
      <c r="P46">
        <v>115672</v>
      </c>
      <c r="Q46">
        <v>2</v>
      </c>
      <c r="R46">
        <v>222</v>
      </c>
      <c r="S46" t="s">
        <v>2638</v>
      </c>
      <c r="U46" t="str">
        <f t="shared" si="0"/>
        <v/>
      </c>
      <c r="W46">
        <f>Digits_pres_final[[#This Row],[kan_params]]</f>
        <v>60772</v>
      </c>
      <c r="X46">
        <f>Digits_pres_final[[#This Row],[kan_test_acc]]</f>
        <v>0.95666665832201647</v>
      </c>
      <c r="Y46">
        <f>Digits_pres_final[[#This Row],[mlp_test_acc]]</f>
        <v>0.95037037037037031</v>
      </c>
      <c r="Z46">
        <f>Digits_pres_final[[#This Row],[mlp_test_acc2]]</f>
        <v>0.95481481481481478</v>
      </c>
    </row>
    <row r="47" spans="1:26" hidden="1" x14ac:dyDescent="0.25">
      <c r="A47" t="s">
        <v>1979</v>
      </c>
      <c r="B47">
        <v>3</v>
      </c>
      <c r="C47">
        <v>3</v>
      </c>
      <c r="D47">
        <v>0</v>
      </c>
      <c r="E47" t="s">
        <v>2380</v>
      </c>
      <c r="F47">
        <v>61374</v>
      </c>
      <c r="G47">
        <v>227930347.08333334</v>
      </c>
      <c r="H47">
        <v>0.96259259680906939</v>
      </c>
      <c r="I47">
        <v>0.95685185185185184</v>
      </c>
      <c r="J47">
        <v>25653064.333333336</v>
      </c>
      <c r="K47">
        <v>109015</v>
      </c>
      <c r="L47">
        <v>2</v>
      </c>
      <c r="M47">
        <v>215</v>
      </c>
      <c r="N47">
        <v>0.96333333333333337</v>
      </c>
      <c r="O47">
        <v>25547062.083333332</v>
      </c>
      <c r="P47">
        <v>109954</v>
      </c>
      <c r="Q47">
        <v>2</v>
      </c>
      <c r="R47">
        <v>216</v>
      </c>
      <c r="S47" t="s">
        <v>2573</v>
      </c>
      <c r="U47" t="str">
        <f t="shared" si="0"/>
        <v/>
      </c>
      <c r="W47">
        <f>Digits_pres_final[[#This Row],[kan_params]]</f>
        <v>61374</v>
      </c>
      <c r="X47">
        <f>Digits_pres_final[[#This Row],[kan_test_acc]]</f>
        <v>0.96259259680906939</v>
      </c>
      <c r="Y47">
        <f>Digits_pres_final[[#This Row],[mlp_test_acc]]</f>
        <v>0.95685185185185184</v>
      </c>
      <c r="Z47">
        <f>Digits_pres_final[[#This Row],[mlp_test_acc2]]</f>
        <v>0.96333333333333337</v>
      </c>
    </row>
    <row r="48" spans="1:26" hidden="1" x14ac:dyDescent="0.25">
      <c r="A48" t="s">
        <v>1979</v>
      </c>
      <c r="B48">
        <v>3</v>
      </c>
      <c r="C48">
        <v>2</v>
      </c>
      <c r="D48">
        <v>0</v>
      </c>
      <c r="E48" t="s">
        <v>1980</v>
      </c>
      <c r="F48">
        <v>61682</v>
      </c>
      <c r="G48">
        <v>109821435.58333334</v>
      </c>
      <c r="H48">
        <v>0.97240740557511651</v>
      </c>
      <c r="I48">
        <v>0.96740740740740738</v>
      </c>
      <c r="J48">
        <v>22942688.333333336</v>
      </c>
      <c r="K48">
        <v>99845</v>
      </c>
      <c r="L48">
        <v>2</v>
      </c>
      <c r="M48">
        <v>205</v>
      </c>
      <c r="N48">
        <v>0.96592592592592597</v>
      </c>
      <c r="O48">
        <v>24059816.583333336</v>
      </c>
      <c r="P48">
        <v>100744</v>
      </c>
      <c r="Q48">
        <v>2</v>
      </c>
      <c r="R48">
        <v>206</v>
      </c>
      <c r="S48" t="s">
        <v>1981</v>
      </c>
      <c r="U48" t="str">
        <f t="shared" si="0"/>
        <v/>
      </c>
      <c r="W48">
        <f>Digits_pres_final[[#This Row],[kan_params]]</f>
        <v>61682</v>
      </c>
      <c r="X48">
        <f>Digits_pres_final[[#This Row],[kan_test_acc]]</f>
        <v>0.97240740557511651</v>
      </c>
      <c r="Y48">
        <f>Digits_pres_final[[#This Row],[mlp_test_acc]]</f>
        <v>0.96740740740740738</v>
      </c>
      <c r="Z48">
        <f>Digits_pres_final[[#This Row],[mlp_test_acc2]]</f>
        <v>0.96592592592592597</v>
      </c>
    </row>
    <row r="49" spans="1:26" x14ac:dyDescent="0.25">
      <c r="A49" t="s">
        <v>1979</v>
      </c>
      <c r="B49">
        <v>3</v>
      </c>
      <c r="C49">
        <v>4</v>
      </c>
      <c r="D49">
        <v>0</v>
      </c>
      <c r="E49" t="s">
        <v>2372</v>
      </c>
      <c r="F49">
        <v>62254</v>
      </c>
      <c r="G49">
        <v>56264614.75</v>
      </c>
      <c r="H49">
        <v>0.95777777830759692</v>
      </c>
      <c r="I49">
        <v>0.95185185185185184</v>
      </c>
      <c r="J49">
        <v>13748158.833333332</v>
      </c>
      <c r="K49">
        <v>117610</v>
      </c>
      <c r="L49">
        <v>2</v>
      </c>
      <c r="M49">
        <v>224</v>
      </c>
      <c r="N49">
        <v>0.95277777777777783</v>
      </c>
      <c r="O49">
        <v>12799158.833333334</v>
      </c>
      <c r="P49">
        <v>118585</v>
      </c>
      <c r="Q49">
        <v>2</v>
      </c>
      <c r="R49">
        <v>225</v>
      </c>
      <c r="S49" t="s">
        <v>2639</v>
      </c>
      <c r="U49" t="str">
        <f t="shared" si="0"/>
        <v/>
      </c>
      <c r="W49">
        <f>Digits_pres_final[[#This Row],[kan_params]]</f>
        <v>62254</v>
      </c>
      <c r="X49">
        <f>Digits_pres_final[[#This Row],[kan_test_acc]]</f>
        <v>0.95777777830759692</v>
      </c>
      <c r="Y49">
        <f>Digits_pres_final[[#This Row],[mlp_test_acc]]</f>
        <v>0.95185185185185184</v>
      </c>
      <c r="Z49">
        <f>Digits_pres_final[[#This Row],[mlp_test_acc2]]</f>
        <v>0.95277777777777783</v>
      </c>
    </row>
    <row r="50" spans="1:26" hidden="1" x14ac:dyDescent="0.25">
      <c r="A50" t="s">
        <v>1979</v>
      </c>
      <c r="B50">
        <v>3</v>
      </c>
      <c r="C50">
        <v>3</v>
      </c>
      <c r="D50">
        <v>0</v>
      </c>
      <c r="E50" t="s">
        <v>2382</v>
      </c>
      <c r="F50">
        <v>62708</v>
      </c>
      <c r="G50">
        <v>103041125.16666666</v>
      </c>
      <c r="H50">
        <v>0.96222222348054254</v>
      </c>
      <c r="I50">
        <v>0.96296296296296302</v>
      </c>
      <c r="J50">
        <v>20843323.166666664</v>
      </c>
      <c r="K50">
        <v>110897</v>
      </c>
      <c r="L50">
        <v>2</v>
      </c>
      <c r="M50">
        <v>217</v>
      </c>
      <c r="N50">
        <v>0.96222222222222231</v>
      </c>
      <c r="O50">
        <v>20370724.5</v>
      </c>
      <c r="P50">
        <v>111844</v>
      </c>
      <c r="Q50">
        <v>2</v>
      </c>
      <c r="R50">
        <v>218</v>
      </c>
      <c r="S50" t="s">
        <v>2574</v>
      </c>
      <c r="U50" t="str">
        <f t="shared" si="0"/>
        <v/>
      </c>
      <c r="W50">
        <f>Digits_pres_final[[#This Row],[kan_params]]</f>
        <v>62708</v>
      </c>
      <c r="X50">
        <f>Digits_pres_final[[#This Row],[kan_test_acc]]</f>
        <v>0.96222222348054254</v>
      </c>
      <c r="Y50">
        <f>Digits_pres_final[[#This Row],[mlp_test_acc]]</f>
        <v>0.96296296296296302</v>
      </c>
      <c r="Z50">
        <f>Digits_pres_final[[#This Row],[mlp_test_acc2]]</f>
        <v>0.96222222222222231</v>
      </c>
    </row>
    <row r="51" spans="1:26" hidden="1" x14ac:dyDescent="0.25">
      <c r="A51" t="s">
        <v>1979</v>
      </c>
      <c r="B51">
        <v>3</v>
      </c>
      <c r="C51">
        <v>2</v>
      </c>
      <c r="D51">
        <v>0</v>
      </c>
      <c r="E51" t="s">
        <v>1982</v>
      </c>
      <c r="F51">
        <v>62868</v>
      </c>
      <c r="G51">
        <v>111207535.83333334</v>
      </c>
      <c r="H51">
        <v>0.9753703773021698</v>
      </c>
      <c r="I51">
        <v>0.97037037037037033</v>
      </c>
      <c r="J51">
        <v>23100521.5</v>
      </c>
      <c r="K51">
        <v>101647</v>
      </c>
      <c r="L51">
        <v>2</v>
      </c>
      <c r="M51">
        <v>207</v>
      </c>
      <c r="N51">
        <v>0.96555555555555561</v>
      </c>
      <c r="O51">
        <v>22189196.916666668</v>
      </c>
      <c r="P51">
        <v>102554</v>
      </c>
      <c r="Q51">
        <v>2</v>
      </c>
      <c r="R51">
        <v>208</v>
      </c>
      <c r="S51" t="s">
        <v>1983</v>
      </c>
      <c r="U51" t="str">
        <f t="shared" si="0"/>
        <v/>
      </c>
      <c r="W51">
        <f>Digits_pres_final[[#This Row],[kan_params]]</f>
        <v>62868</v>
      </c>
      <c r="X51">
        <f>Digits_pres_final[[#This Row],[kan_test_acc]]</f>
        <v>0.9753703773021698</v>
      </c>
      <c r="Y51">
        <f>Digits_pres_final[[#This Row],[mlp_test_acc]]</f>
        <v>0.97037037037037033</v>
      </c>
      <c r="Z51">
        <f>Digits_pres_final[[#This Row],[mlp_test_acc2]]</f>
        <v>0.96555555555555561</v>
      </c>
    </row>
    <row r="52" spans="1:26" x14ac:dyDescent="0.25">
      <c r="A52" t="s">
        <v>1979</v>
      </c>
      <c r="B52">
        <v>3</v>
      </c>
      <c r="C52">
        <v>4</v>
      </c>
      <c r="D52">
        <v>0</v>
      </c>
      <c r="E52" t="s">
        <v>2374</v>
      </c>
      <c r="F52">
        <v>63736</v>
      </c>
      <c r="G52">
        <v>56219698.083333328</v>
      </c>
      <c r="H52">
        <v>0.95703703661759698</v>
      </c>
      <c r="I52">
        <v>0.95314814814814808</v>
      </c>
      <c r="J52">
        <v>13760495.666666666</v>
      </c>
      <c r="K52">
        <v>120547</v>
      </c>
      <c r="L52">
        <v>2</v>
      </c>
      <c r="M52">
        <v>227</v>
      </c>
      <c r="N52">
        <v>0.95203703703703701</v>
      </c>
      <c r="O52">
        <v>13444610.083333334</v>
      </c>
      <c r="P52">
        <v>121534</v>
      </c>
      <c r="Q52">
        <v>2</v>
      </c>
      <c r="R52">
        <v>228</v>
      </c>
      <c r="S52" t="s">
        <v>2640</v>
      </c>
      <c r="U52" t="str">
        <f t="shared" si="0"/>
        <v/>
      </c>
      <c r="W52">
        <f>Digits_pres_final[[#This Row],[kan_params]]</f>
        <v>63736</v>
      </c>
      <c r="X52">
        <f>Digits_pres_final[[#This Row],[kan_test_acc]]</f>
        <v>0.95703703661759698</v>
      </c>
      <c r="Y52">
        <f>Digits_pres_final[[#This Row],[mlp_test_acc]]</f>
        <v>0.95314814814814808</v>
      </c>
      <c r="Z52">
        <f>Digits_pres_final[[#This Row],[mlp_test_acc2]]</f>
        <v>0.95203703703703701</v>
      </c>
    </row>
    <row r="53" spans="1:26" hidden="1" x14ac:dyDescent="0.25">
      <c r="A53" t="s">
        <v>1979</v>
      </c>
      <c r="B53">
        <v>3</v>
      </c>
      <c r="C53">
        <v>3</v>
      </c>
      <c r="D53">
        <v>0</v>
      </c>
      <c r="E53" t="s">
        <v>2384</v>
      </c>
      <c r="F53">
        <v>64042</v>
      </c>
      <c r="G53">
        <v>98424100.166666657</v>
      </c>
      <c r="H53">
        <v>0.96592592199643457</v>
      </c>
      <c r="I53">
        <v>0.96425925925925926</v>
      </c>
      <c r="J53">
        <v>21055640.583333332</v>
      </c>
      <c r="K53">
        <v>113750</v>
      </c>
      <c r="L53">
        <v>2</v>
      </c>
      <c r="M53">
        <v>220</v>
      </c>
      <c r="N53">
        <v>0.95611111111111113</v>
      </c>
      <c r="O53">
        <v>20665143.916666668</v>
      </c>
      <c r="P53">
        <v>114709</v>
      </c>
      <c r="Q53">
        <v>2</v>
      </c>
      <c r="R53">
        <v>221</v>
      </c>
      <c r="S53" t="s">
        <v>2575</v>
      </c>
      <c r="U53" t="str">
        <f t="shared" si="0"/>
        <v/>
      </c>
      <c r="W53">
        <f>Digits_pres_final[[#This Row],[kan_params]]</f>
        <v>64042</v>
      </c>
      <c r="X53">
        <f>Digits_pres_final[[#This Row],[kan_test_acc]]</f>
        <v>0.96592592199643457</v>
      </c>
      <c r="Y53">
        <f>Digits_pres_final[[#This Row],[mlp_test_acc]]</f>
        <v>0.96425925925925926</v>
      </c>
      <c r="Z53">
        <f>Digits_pres_final[[#This Row],[mlp_test_acc2]]</f>
        <v>0.95611111111111113</v>
      </c>
    </row>
    <row r="54" spans="1:26" hidden="1" x14ac:dyDescent="0.25">
      <c r="A54" t="s">
        <v>1979</v>
      </c>
      <c r="B54">
        <v>3</v>
      </c>
      <c r="C54">
        <v>2</v>
      </c>
      <c r="D54">
        <v>0</v>
      </c>
      <c r="E54" t="s">
        <v>1984</v>
      </c>
      <c r="F54">
        <v>64054</v>
      </c>
      <c r="G54">
        <v>109890074.5</v>
      </c>
      <c r="H54">
        <v>0.97629630565643311</v>
      </c>
      <c r="I54">
        <v>0.97111111111111115</v>
      </c>
      <c r="J54">
        <v>23623122.416666664</v>
      </c>
      <c r="K54">
        <v>103465</v>
      </c>
      <c r="L54">
        <v>2</v>
      </c>
      <c r="M54">
        <v>209</v>
      </c>
      <c r="N54">
        <v>0.9664814814814815</v>
      </c>
      <c r="O54">
        <v>22125688.5</v>
      </c>
      <c r="P54">
        <v>104380</v>
      </c>
      <c r="Q54">
        <v>2</v>
      </c>
      <c r="R54">
        <v>210</v>
      </c>
      <c r="S54" t="s">
        <v>1985</v>
      </c>
      <c r="U54" t="str">
        <f t="shared" si="0"/>
        <v/>
      </c>
      <c r="W54">
        <f>Digits_pres_final[[#This Row],[kan_params]]</f>
        <v>64054</v>
      </c>
      <c r="X54">
        <f>Digits_pres_final[[#This Row],[kan_test_acc]]</f>
        <v>0.97629630565643311</v>
      </c>
      <c r="Y54">
        <f>Digits_pres_final[[#This Row],[mlp_test_acc]]</f>
        <v>0.97111111111111115</v>
      </c>
      <c r="Z54">
        <f>Digits_pres_final[[#This Row],[mlp_test_acc2]]</f>
        <v>0.9664814814814815</v>
      </c>
    </row>
    <row r="55" spans="1:26" x14ac:dyDescent="0.25">
      <c r="A55" t="s">
        <v>1979</v>
      </c>
      <c r="B55">
        <v>3</v>
      </c>
      <c r="C55">
        <v>4</v>
      </c>
      <c r="D55">
        <v>0</v>
      </c>
      <c r="E55" t="s">
        <v>2376</v>
      </c>
      <c r="F55">
        <v>65218</v>
      </c>
      <c r="G55">
        <v>55177357.833333328</v>
      </c>
      <c r="H55">
        <v>0.95574073990186059</v>
      </c>
      <c r="I55">
        <v>0.95333333333333337</v>
      </c>
      <c r="J55">
        <v>13354031.333333332</v>
      </c>
      <c r="K55">
        <v>123520</v>
      </c>
      <c r="L55">
        <v>2</v>
      </c>
      <c r="M55">
        <v>230</v>
      </c>
      <c r="N55">
        <v>0.95333333333333337</v>
      </c>
      <c r="O55">
        <v>14370406.166666668</v>
      </c>
      <c r="P55">
        <v>124519</v>
      </c>
      <c r="Q55">
        <v>2</v>
      </c>
      <c r="R55">
        <v>231</v>
      </c>
      <c r="S55" t="s">
        <v>2641</v>
      </c>
      <c r="U55" t="str">
        <f t="shared" si="0"/>
        <v/>
      </c>
      <c r="W55">
        <f>Digits_pres_final[[#This Row],[kan_params]]</f>
        <v>65218</v>
      </c>
      <c r="X55">
        <f>Digits_pres_final[[#This Row],[kan_test_acc]]</f>
        <v>0.95574073990186059</v>
      </c>
      <c r="Y55">
        <f>Digits_pres_final[[#This Row],[mlp_test_acc]]</f>
        <v>0.95333333333333337</v>
      </c>
      <c r="Z55">
        <f>Digits_pres_final[[#This Row],[mlp_test_acc2]]</f>
        <v>0.95333333333333337</v>
      </c>
    </row>
    <row r="56" spans="1:26" hidden="1" x14ac:dyDescent="0.25">
      <c r="A56" t="s">
        <v>1979</v>
      </c>
      <c r="B56">
        <v>3</v>
      </c>
      <c r="C56">
        <v>2</v>
      </c>
      <c r="D56">
        <v>0</v>
      </c>
      <c r="E56" t="s">
        <v>1986</v>
      </c>
      <c r="F56">
        <v>65240</v>
      </c>
      <c r="G56">
        <v>115093581.83333334</v>
      </c>
      <c r="H56">
        <v>0.97611111899216974</v>
      </c>
      <c r="I56">
        <v>0.97129629629629632</v>
      </c>
      <c r="J56">
        <v>23759490.75</v>
      </c>
      <c r="K56">
        <v>105299</v>
      </c>
      <c r="L56">
        <v>2</v>
      </c>
      <c r="M56">
        <v>211</v>
      </c>
      <c r="N56">
        <v>0.97203703703703703</v>
      </c>
      <c r="O56">
        <v>22734070.5</v>
      </c>
      <c r="P56">
        <v>106222</v>
      </c>
      <c r="Q56">
        <v>2</v>
      </c>
      <c r="R56">
        <v>212</v>
      </c>
      <c r="S56" t="s">
        <v>1987</v>
      </c>
      <c r="U56" t="str">
        <f t="shared" si="0"/>
        <v/>
      </c>
      <c r="W56">
        <f>Digits_pres_final[[#This Row],[kan_params]]</f>
        <v>65240</v>
      </c>
      <c r="X56">
        <f>Digits_pres_final[[#This Row],[kan_test_acc]]</f>
        <v>0.97611111899216974</v>
      </c>
      <c r="Y56">
        <f>Digits_pres_final[[#This Row],[mlp_test_acc]]</f>
        <v>0.97129629629629632</v>
      </c>
      <c r="Z56">
        <f>Digits_pres_final[[#This Row],[mlp_test_acc2]]</f>
        <v>0.97203703703703703</v>
      </c>
    </row>
    <row r="57" spans="1:26" hidden="1" x14ac:dyDescent="0.25">
      <c r="A57" t="s">
        <v>1979</v>
      </c>
      <c r="B57">
        <v>3</v>
      </c>
      <c r="C57">
        <v>3</v>
      </c>
      <c r="D57">
        <v>0</v>
      </c>
      <c r="E57" t="s">
        <v>2386</v>
      </c>
      <c r="F57">
        <v>65376</v>
      </c>
      <c r="G57">
        <v>96961083.5</v>
      </c>
      <c r="H57">
        <v>0.96129629015922546</v>
      </c>
      <c r="I57">
        <v>0.96537037037037043</v>
      </c>
      <c r="J57">
        <v>21088137.916666664</v>
      </c>
      <c r="K57">
        <v>115672</v>
      </c>
      <c r="L57">
        <v>2</v>
      </c>
      <c r="M57">
        <v>222</v>
      </c>
      <c r="N57">
        <v>0.95759259259259255</v>
      </c>
      <c r="O57">
        <v>21022536.166666668</v>
      </c>
      <c r="P57">
        <v>116639</v>
      </c>
      <c r="Q57">
        <v>2</v>
      </c>
      <c r="R57">
        <v>223</v>
      </c>
      <c r="S57" t="s">
        <v>2576</v>
      </c>
      <c r="U57" t="str">
        <f t="shared" si="0"/>
        <v/>
      </c>
      <c r="W57">
        <f>Digits_pres_final[[#This Row],[kan_params]]</f>
        <v>65376</v>
      </c>
      <c r="X57">
        <f>Digits_pres_final[[#This Row],[kan_test_acc]]</f>
        <v>0.96129629015922546</v>
      </c>
      <c r="Y57">
        <f>Digits_pres_final[[#This Row],[mlp_test_acc]]</f>
        <v>0.96537037037037043</v>
      </c>
      <c r="Z57">
        <f>Digits_pres_final[[#This Row],[mlp_test_acc2]]</f>
        <v>0.95759259259259255</v>
      </c>
    </row>
    <row r="58" spans="1:26" hidden="1" x14ac:dyDescent="0.25">
      <c r="A58" t="s">
        <v>1979</v>
      </c>
      <c r="B58">
        <v>3</v>
      </c>
      <c r="C58">
        <v>2</v>
      </c>
      <c r="D58">
        <v>0</v>
      </c>
      <c r="E58" t="s">
        <v>1988</v>
      </c>
      <c r="F58">
        <v>66426</v>
      </c>
      <c r="G58">
        <v>120359313.33333334</v>
      </c>
      <c r="H58">
        <v>0.9731481522321701</v>
      </c>
      <c r="I58">
        <v>0.97037037037037033</v>
      </c>
      <c r="J58">
        <v>23653271.583333336</v>
      </c>
      <c r="K58">
        <v>107149</v>
      </c>
      <c r="L58">
        <v>2</v>
      </c>
      <c r="M58">
        <v>213</v>
      </c>
      <c r="N58">
        <v>0.97407407407407409</v>
      </c>
      <c r="O58">
        <v>23497473.666666668</v>
      </c>
      <c r="P58">
        <v>108080</v>
      </c>
      <c r="Q58">
        <v>2</v>
      </c>
      <c r="R58">
        <v>214</v>
      </c>
      <c r="S58" t="s">
        <v>1989</v>
      </c>
      <c r="U58" t="str">
        <f t="shared" si="0"/>
        <v/>
      </c>
      <c r="W58">
        <f>Digits_pres_final[[#This Row],[kan_params]]</f>
        <v>66426</v>
      </c>
      <c r="X58">
        <f>Digits_pres_final[[#This Row],[kan_test_acc]]</f>
        <v>0.9731481522321701</v>
      </c>
      <c r="Y58">
        <f>Digits_pres_final[[#This Row],[mlp_test_acc]]</f>
        <v>0.97037037037037033</v>
      </c>
      <c r="Z58">
        <f>Digits_pres_final[[#This Row],[mlp_test_acc2]]</f>
        <v>0.97407407407407409</v>
      </c>
    </row>
    <row r="59" spans="1:26" x14ac:dyDescent="0.25">
      <c r="A59" t="s">
        <v>1979</v>
      </c>
      <c r="B59">
        <v>3</v>
      </c>
      <c r="C59">
        <v>4</v>
      </c>
      <c r="D59">
        <v>0</v>
      </c>
      <c r="E59" t="s">
        <v>2378</v>
      </c>
      <c r="F59">
        <v>66700</v>
      </c>
      <c r="G59">
        <v>55642791.666666672</v>
      </c>
      <c r="H59">
        <v>0.94981481631596887</v>
      </c>
      <c r="I59">
        <v>0.95037037037037031</v>
      </c>
      <c r="J59">
        <v>13650887.833333332</v>
      </c>
      <c r="K59">
        <v>126529</v>
      </c>
      <c r="L59">
        <v>2</v>
      </c>
      <c r="M59">
        <v>233</v>
      </c>
      <c r="N59">
        <v>0.95574074074074078</v>
      </c>
      <c r="O59">
        <v>14046636.75</v>
      </c>
      <c r="P59">
        <v>127540</v>
      </c>
      <c r="Q59">
        <v>2</v>
      </c>
      <c r="R59">
        <v>234</v>
      </c>
      <c r="S59" t="s">
        <v>2642</v>
      </c>
      <c r="U59" t="str">
        <f t="shared" si="0"/>
        <v/>
      </c>
      <c r="W59">
        <f>Digits_pres_final[[#This Row],[kan_params]]</f>
        <v>66700</v>
      </c>
      <c r="X59">
        <f>Digits_pres_final[[#This Row],[kan_test_acc]]</f>
        <v>0.94981481631596887</v>
      </c>
      <c r="Y59">
        <f>Digits_pres_final[[#This Row],[mlp_test_acc]]</f>
        <v>0.95037037037037031</v>
      </c>
      <c r="Z59">
        <f>Digits_pres_final[[#This Row],[mlp_test_acc2]]</f>
        <v>0.95574074074074078</v>
      </c>
    </row>
    <row r="60" spans="1:26" hidden="1" x14ac:dyDescent="0.25">
      <c r="A60" t="s">
        <v>1979</v>
      </c>
      <c r="B60">
        <v>3</v>
      </c>
      <c r="C60">
        <v>3</v>
      </c>
      <c r="D60">
        <v>0</v>
      </c>
      <c r="E60" t="s">
        <v>2388</v>
      </c>
      <c r="F60">
        <v>66710</v>
      </c>
      <c r="G60">
        <v>106718882.52272728</v>
      </c>
      <c r="H60">
        <v>0.96483164032300306</v>
      </c>
      <c r="I60">
        <v>0.96084175084175083</v>
      </c>
      <c r="J60">
        <v>21047804.060606062</v>
      </c>
      <c r="K60">
        <v>117610</v>
      </c>
      <c r="L60">
        <v>2</v>
      </c>
      <c r="M60">
        <v>224</v>
      </c>
      <c r="N60">
        <v>0.96858585858585855</v>
      </c>
      <c r="O60">
        <v>22091518.325757574</v>
      </c>
      <c r="P60">
        <v>118585</v>
      </c>
      <c r="Q60">
        <v>2</v>
      </c>
      <c r="R60">
        <v>225</v>
      </c>
      <c r="S60" t="s">
        <v>2389</v>
      </c>
      <c r="U60" t="str">
        <f t="shared" si="0"/>
        <v/>
      </c>
      <c r="W60">
        <f>Digits_pres_final[[#This Row],[kan_params]]</f>
        <v>66710</v>
      </c>
      <c r="X60">
        <f>Digits_pres_final[[#This Row],[kan_test_acc]]</f>
        <v>0.96483164032300306</v>
      </c>
      <c r="Y60">
        <f>Digits_pres_final[[#This Row],[mlp_test_acc]]</f>
        <v>0.96084175084175083</v>
      </c>
      <c r="Z60">
        <f>Digits_pres_final[[#This Row],[mlp_test_acc2]]</f>
        <v>0.96858585858585855</v>
      </c>
    </row>
    <row r="61" spans="1:26" hidden="1" x14ac:dyDescent="0.25">
      <c r="A61" t="s">
        <v>1979</v>
      </c>
      <c r="B61">
        <v>3</v>
      </c>
      <c r="C61">
        <v>2</v>
      </c>
      <c r="D61">
        <v>0</v>
      </c>
      <c r="E61" t="s">
        <v>1990</v>
      </c>
      <c r="F61">
        <v>67612</v>
      </c>
      <c r="G61">
        <v>118128401.16666666</v>
      </c>
      <c r="H61">
        <v>0.97055555383364356</v>
      </c>
      <c r="I61">
        <v>0.96962962962962962</v>
      </c>
      <c r="J61">
        <v>24103942.5</v>
      </c>
      <c r="K61">
        <v>109015</v>
      </c>
      <c r="L61">
        <v>2</v>
      </c>
      <c r="M61">
        <v>215</v>
      </c>
      <c r="N61">
        <v>0.97333333333333338</v>
      </c>
      <c r="O61">
        <v>23664449.666666668</v>
      </c>
      <c r="P61">
        <v>109954</v>
      </c>
      <c r="Q61">
        <v>2</v>
      </c>
      <c r="R61">
        <v>216</v>
      </c>
      <c r="S61" t="s">
        <v>1991</v>
      </c>
      <c r="U61" t="str">
        <f t="shared" si="0"/>
        <v/>
      </c>
      <c r="W61">
        <f>Digits_pres_final[[#This Row],[kan_params]]</f>
        <v>67612</v>
      </c>
      <c r="X61">
        <f>Digits_pres_final[[#This Row],[kan_test_acc]]</f>
        <v>0.97055555383364356</v>
      </c>
      <c r="Y61">
        <f>Digits_pres_final[[#This Row],[mlp_test_acc]]</f>
        <v>0.96962962962962962</v>
      </c>
      <c r="Z61">
        <f>Digits_pres_final[[#This Row],[mlp_test_acc2]]</f>
        <v>0.97333333333333338</v>
      </c>
    </row>
    <row r="62" spans="1:26" hidden="1" x14ac:dyDescent="0.25">
      <c r="A62" t="s">
        <v>1979</v>
      </c>
      <c r="B62">
        <v>3</v>
      </c>
      <c r="C62">
        <v>3</v>
      </c>
      <c r="D62">
        <v>0</v>
      </c>
      <c r="E62" t="s">
        <v>2390</v>
      </c>
      <c r="F62">
        <v>68044</v>
      </c>
      <c r="G62">
        <v>101252791.58333334</v>
      </c>
      <c r="H62">
        <v>0.96074073016643524</v>
      </c>
      <c r="I62">
        <v>0.95814814814814819</v>
      </c>
      <c r="J62">
        <v>20092601.583333336</v>
      </c>
      <c r="K62">
        <v>120547</v>
      </c>
      <c r="L62">
        <v>2</v>
      </c>
      <c r="M62">
        <v>227</v>
      </c>
      <c r="N62">
        <v>0.96611111111111103</v>
      </c>
      <c r="O62">
        <v>22156612.666666664</v>
      </c>
      <c r="P62">
        <v>121534</v>
      </c>
      <c r="Q62">
        <v>2</v>
      </c>
      <c r="R62">
        <v>228</v>
      </c>
      <c r="S62" t="s">
        <v>2391</v>
      </c>
      <c r="U62" t="str">
        <f t="shared" si="0"/>
        <v/>
      </c>
      <c r="W62">
        <f>Digits_pres_final[[#This Row],[kan_params]]</f>
        <v>68044</v>
      </c>
      <c r="X62">
        <f>Digits_pres_final[[#This Row],[kan_test_acc]]</f>
        <v>0.96074073016643524</v>
      </c>
      <c r="Y62">
        <f>Digits_pres_final[[#This Row],[mlp_test_acc]]</f>
        <v>0.95814814814814819</v>
      </c>
      <c r="Z62">
        <f>Digits_pres_final[[#This Row],[mlp_test_acc2]]</f>
        <v>0.96611111111111103</v>
      </c>
    </row>
    <row r="63" spans="1:26" x14ac:dyDescent="0.25">
      <c r="A63" t="s">
        <v>1979</v>
      </c>
      <c r="B63">
        <v>3</v>
      </c>
      <c r="C63">
        <v>4</v>
      </c>
      <c r="D63">
        <v>0</v>
      </c>
      <c r="E63" t="s">
        <v>2380</v>
      </c>
      <c r="F63">
        <v>68182</v>
      </c>
      <c r="G63">
        <v>55786983.583333336</v>
      </c>
      <c r="H63">
        <v>0.94722222288449609</v>
      </c>
      <c r="I63">
        <v>0.95407407407407407</v>
      </c>
      <c r="J63">
        <v>14406654.25</v>
      </c>
      <c r="K63">
        <v>128555</v>
      </c>
      <c r="L63">
        <v>2</v>
      </c>
      <c r="M63">
        <v>235</v>
      </c>
      <c r="N63">
        <v>0.9572222222222222</v>
      </c>
      <c r="O63">
        <v>13652656.25</v>
      </c>
      <c r="P63">
        <v>129574</v>
      </c>
      <c r="Q63">
        <v>2</v>
      </c>
      <c r="R63">
        <v>236</v>
      </c>
      <c r="S63" t="s">
        <v>2643</v>
      </c>
      <c r="U63" t="str">
        <f t="shared" si="0"/>
        <v/>
      </c>
      <c r="W63">
        <f>Digits_pres_final[[#This Row],[kan_params]]</f>
        <v>68182</v>
      </c>
      <c r="X63">
        <f>Digits_pres_final[[#This Row],[kan_test_acc]]</f>
        <v>0.94722222288449609</v>
      </c>
      <c r="Y63">
        <f>Digits_pres_final[[#This Row],[mlp_test_acc]]</f>
        <v>0.95407407407407407</v>
      </c>
      <c r="Z63">
        <f>Digits_pres_final[[#This Row],[mlp_test_acc2]]</f>
        <v>0.9572222222222222</v>
      </c>
    </row>
    <row r="64" spans="1:26" hidden="1" x14ac:dyDescent="0.25">
      <c r="A64" t="s">
        <v>1979</v>
      </c>
      <c r="B64">
        <v>3</v>
      </c>
      <c r="C64">
        <v>2</v>
      </c>
      <c r="D64">
        <v>0</v>
      </c>
      <c r="E64" t="s">
        <v>1992</v>
      </c>
      <c r="F64">
        <v>68798</v>
      </c>
      <c r="G64">
        <v>122511305.5</v>
      </c>
      <c r="H64">
        <v>0.97018518547217047</v>
      </c>
      <c r="I64">
        <v>0.9690740740740742</v>
      </c>
      <c r="J64">
        <v>24631855.5</v>
      </c>
      <c r="K64">
        <v>110897</v>
      </c>
      <c r="L64">
        <v>2</v>
      </c>
      <c r="M64">
        <v>217</v>
      </c>
      <c r="N64">
        <v>0.97240740740740739</v>
      </c>
      <c r="O64">
        <v>22805922.25</v>
      </c>
      <c r="P64">
        <v>111844</v>
      </c>
      <c r="Q64">
        <v>2</v>
      </c>
      <c r="R64">
        <v>218</v>
      </c>
      <c r="S64" t="s">
        <v>1993</v>
      </c>
      <c r="U64" t="str">
        <f t="shared" si="0"/>
        <v/>
      </c>
      <c r="W64">
        <f>Digits_pres_final[[#This Row],[kan_params]]</f>
        <v>68798</v>
      </c>
      <c r="X64">
        <f>Digits_pres_final[[#This Row],[kan_test_acc]]</f>
        <v>0.97018518547217047</v>
      </c>
      <c r="Y64">
        <f>Digits_pres_final[[#This Row],[mlp_test_acc]]</f>
        <v>0.9690740740740742</v>
      </c>
      <c r="Z64">
        <f>Digits_pres_final[[#This Row],[mlp_test_acc2]]</f>
        <v>0.97240740740740739</v>
      </c>
    </row>
    <row r="65" spans="1:26" hidden="1" x14ac:dyDescent="0.25">
      <c r="A65" t="s">
        <v>1979</v>
      </c>
      <c r="B65">
        <v>3</v>
      </c>
      <c r="C65">
        <v>3</v>
      </c>
      <c r="D65">
        <v>0</v>
      </c>
      <c r="E65" t="s">
        <v>1980</v>
      </c>
      <c r="F65">
        <v>69378</v>
      </c>
      <c r="G65">
        <v>100677595.75</v>
      </c>
      <c r="H65">
        <v>0.95870369176069903</v>
      </c>
      <c r="I65">
        <v>0.96111111111111114</v>
      </c>
      <c r="J65">
        <v>19768795.416666664</v>
      </c>
      <c r="K65">
        <v>122525</v>
      </c>
      <c r="L65">
        <v>2</v>
      </c>
      <c r="M65">
        <v>229</v>
      </c>
      <c r="N65">
        <v>0.96351851851851844</v>
      </c>
      <c r="O65">
        <v>21904695.166666664</v>
      </c>
      <c r="P65">
        <v>123520</v>
      </c>
      <c r="Q65">
        <v>2</v>
      </c>
      <c r="R65">
        <v>230</v>
      </c>
      <c r="S65" t="s">
        <v>2392</v>
      </c>
      <c r="U65" t="str">
        <f t="shared" si="0"/>
        <v/>
      </c>
      <c r="W65">
        <f>Digits_pres_final[[#This Row],[kan_params]]</f>
        <v>69378</v>
      </c>
      <c r="X65">
        <f>Digits_pres_final[[#This Row],[kan_test_acc]]</f>
        <v>0.95870369176069903</v>
      </c>
      <c r="Y65">
        <f>Digits_pres_final[[#This Row],[mlp_test_acc]]</f>
        <v>0.96111111111111114</v>
      </c>
      <c r="Z65">
        <f>Digits_pres_final[[#This Row],[mlp_test_acc2]]</f>
        <v>0.96351851851851844</v>
      </c>
    </row>
    <row r="66" spans="1:26" x14ac:dyDescent="0.25">
      <c r="A66" t="s">
        <v>1979</v>
      </c>
      <c r="B66">
        <v>3</v>
      </c>
      <c r="C66">
        <v>4</v>
      </c>
      <c r="D66">
        <v>0</v>
      </c>
      <c r="E66" t="s">
        <v>2382</v>
      </c>
      <c r="F66">
        <v>69664</v>
      </c>
      <c r="G66">
        <v>54966300.083333336</v>
      </c>
      <c r="H66">
        <v>0.94777777294317889</v>
      </c>
      <c r="I66">
        <v>0.96166666666666667</v>
      </c>
      <c r="J66">
        <v>14785115.333333334</v>
      </c>
      <c r="K66">
        <v>131624</v>
      </c>
      <c r="L66">
        <v>2</v>
      </c>
      <c r="M66">
        <v>238</v>
      </c>
      <c r="N66">
        <v>0.95962962962962961</v>
      </c>
      <c r="O66">
        <v>14009755.5</v>
      </c>
      <c r="P66">
        <v>132655</v>
      </c>
      <c r="Q66">
        <v>2</v>
      </c>
      <c r="R66">
        <v>239</v>
      </c>
      <c r="S66" t="s">
        <v>2644</v>
      </c>
      <c r="U66" t="str">
        <f t="shared" si="0"/>
        <v/>
      </c>
      <c r="W66">
        <f>Digits_pres_final[[#This Row],[kan_params]]</f>
        <v>69664</v>
      </c>
      <c r="X66">
        <f>Digits_pres_final[[#This Row],[kan_test_acc]]</f>
        <v>0.94777777294317889</v>
      </c>
      <c r="Y66">
        <f>Digits_pres_final[[#This Row],[mlp_test_acc]]</f>
        <v>0.96166666666666667</v>
      </c>
      <c r="Z66">
        <f>Digits_pres_final[[#This Row],[mlp_test_acc2]]</f>
        <v>0.95962962962962961</v>
      </c>
    </row>
    <row r="67" spans="1:26" hidden="1" x14ac:dyDescent="0.25">
      <c r="A67" t="s">
        <v>1979</v>
      </c>
      <c r="B67">
        <v>3</v>
      </c>
      <c r="C67">
        <v>2</v>
      </c>
      <c r="D67">
        <v>0</v>
      </c>
      <c r="E67" t="s">
        <v>1994</v>
      </c>
      <c r="F67">
        <v>69984</v>
      </c>
      <c r="G67">
        <v>127276528.41666667</v>
      </c>
      <c r="H67">
        <v>0.96814814706643415</v>
      </c>
      <c r="I67">
        <v>0.96666666666666667</v>
      </c>
      <c r="J67">
        <v>24755450.166666664</v>
      </c>
      <c r="K67">
        <v>112795</v>
      </c>
      <c r="L67">
        <v>2</v>
      </c>
      <c r="M67">
        <v>219</v>
      </c>
      <c r="N67">
        <v>0.97185185185185186</v>
      </c>
      <c r="O67">
        <v>23292786.416666664</v>
      </c>
      <c r="P67">
        <v>113750</v>
      </c>
      <c r="Q67">
        <v>2</v>
      </c>
      <c r="R67">
        <v>220</v>
      </c>
      <c r="S67" t="s">
        <v>1995</v>
      </c>
      <c r="U67" t="str">
        <f t="shared" ref="U67:U130" si="1">IF(F68=F69,1,"")</f>
        <v/>
      </c>
      <c r="W67">
        <f>Digits_pres_final[[#This Row],[kan_params]]</f>
        <v>69984</v>
      </c>
      <c r="X67">
        <f>Digits_pres_final[[#This Row],[kan_test_acc]]</f>
        <v>0.96814814706643415</v>
      </c>
      <c r="Y67">
        <f>Digits_pres_final[[#This Row],[mlp_test_acc]]</f>
        <v>0.96666666666666667</v>
      </c>
      <c r="Z67">
        <f>Digits_pres_final[[#This Row],[mlp_test_acc2]]</f>
        <v>0.97185185185185186</v>
      </c>
    </row>
    <row r="68" spans="1:26" hidden="1" x14ac:dyDescent="0.25">
      <c r="A68" t="s">
        <v>1979</v>
      </c>
      <c r="B68">
        <v>3</v>
      </c>
      <c r="C68">
        <v>3</v>
      </c>
      <c r="D68">
        <v>0</v>
      </c>
      <c r="E68" t="s">
        <v>1982</v>
      </c>
      <c r="F68">
        <v>70712</v>
      </c>
      <c r="G68">
        <v>102180024.5</v>
      </c>
      <c r="H68">
        <v>0.96092591186364484</v>
      </c>
      <c r="I68">
        <v>0.96351851851851844</v>
      </c>
      <c r="J68">
        <v>21103119.166666664</v>
      </c>
      <c r="K68">
        <v>125522</v>
      </c>
      <c r="L68">
        <v>2</v>
      </c>
      <c r="M68">
        <v>232</v>
      </c>
      <c r="N68">
        <v>0.96370370370370373</v>
      </c>
      <c r="O68">
        <v>21954092.833333332</v>
      </c>
      <c r="P68">
        <v>126529</v>
      </c>
      <c r="Q68">
        <v>2</v>
      </c>
      <c r="R68">
        <v>233</v>
      </c>
      <c r="S68" t="s">
        <v>2393</v>
      </c>
      <c r="U68" t="str">
        <f t="shared" si="1"/>
        <v/>
      </c>
      <c r="W68">
        <f>Digits_pres_final[[#This Row],[kan_params]]</f>
        <v>70712</v>
      </c>
      <c r="X68">
        <f>Digits_pres_final[[#This Row],[kan_test_acc]]</f>
        <v>0.96092591186364484</v>
      </c>
      <c r="Y68">
        <f>Digits_pres_final[[#This Row],[mlp_test_acc]]</f>
        <v>0.96351851851851844</v>
      </c>
      <c r="Z68">
        <f>Digits_pres_final[[#This Row],[mlp_test_acc2]]</f>
        <v>0.96370370370370373</v>
      </c>
    </row>
    <row r="69" spans="1:26" hidden="1" x14ac:dyDescent="0.25">
      <c r="A69" t="s">
        <v>1979</v>
      </c>
      <c r="B69">
        <v>3</v>
      </c>
      <c r="C69">
        <v>2</v>
      </c>
      <c r="D69">
        <v>0</v>
      </c>
      <c r="E69" t="s">
        <v>2056</v>
      </c>
      <c r="F69">
        <v>70794</v>
      </c>
      <c r="G69">
        <v>499586846.66666663</v>
      </c>
      <c r="H69">
        <v>0.97240740557511651</v>
      </c>
      <c r="I69">
        <v>0.95592592592592596</v>
      </c>
      <c r="J69">
        <v>30883336.583333336</v>
      </c>
      <c r="K69">
        <v>114709</v>
      </c>
      <c r="L69">
        <v>2</v>
      </c>
      <c r="M69">
        <v>221</v>
      </c>
      <c r="N69">
        <v>0.95833333333333337</v>
      </c>
      <c r="O69">
        <v>29822124.916666664</v>
      </c>
      <c r="P69">
        <v>115672</v>
      </c>
      <c r="Q69">
        <v>2</v>
      </c>
      <c r="R69">
        <v>222</v>
      </c>
      <c r="S69" t="s">
        <v>2057</v>
      </c>
      <c r="U69" t="str">
        <f t="shared" si="1"/>
        <v/>
      </c>
      <c r="W69">
        <f>Digits_pres_final[[#This Row],[kan_params]]</f>
        <v>70794</v>
      </c>
      <c r="X69">
        <f>Digits_pres_final[[#This Row],[kan_test_acc]]</f>
        <v>0.97240740557511651</v>
      </c>
      <c r="Y69">
        <f>Digits_pres_final[[#This Row],[mlp_test_acc]]</f>
        <v>0.95592592592592596</v>
      </c>
      <c r="Z69">
        <f>Digits_pres_final[[#This Row],[mlp_test_acc2]]</f>
        <v>0.95833333333333337</v>
      </c>
    </row>
    <row r="70" spans="1:26" x14ac:dyDescent="0.25">
      <c r="A70" t="s">
        <v>1979</v>
      </c>
      <c r="B70">
        <v>3</v>
      </c>
      <c r="C70">
        <v>4</v>
      </c>
      <c r="D70">
        <v>0</v>
      </c>
      <c r="E70" t="s">
        <v>2384</v>
      </c>
      <c r="F70">
        <v>71146</v>
      </c>
      <c r="G70">
        <v>61758140.5</v>
      </c>
      <c r="H70">
        <v>0.95185184478759766</v>
      </c>
      <c r="I70">
        <v>0.95907407407407408</v>
      </c>
      <c r="J70">
        <v>14959548.833333334</v>
      </c>
      <c r="K70">
        <v>134729</v>
      </c>
      <c r="L70">
        <v>2</v>
      </c>
      <c r="M70">
        <v>241</v>
      </c>
      <c r="N70">
        <v>0.9572222222222222</v>
      </c>
      <c r="O70">
        <v>14487515.5</v>
      </c>
      <c r="P70">
        <v>135772</v>
      </c>
      <c r="Q70">
        <v>2</v>
      </c>
      <c r="R70">
        <v>242</v>
      </c>
      <c r="S70" t="s">
        <v>2645</v>
      </c>
      <c r="U70" t="str">
        <f t="shared" si="1"/>
        <v/>
      </c>
      <c r="W70">
        <f>Digits_pres_final[[#This Row],[kan_params]]</f>
        <v>71146</v>
      </c>
      <c r="X70">
        <f>Digits_pres_final[[#This Row],[kan_test_acc]]</f>
        <v>0.95185184478759766</v>
      </c>
      <c r="Y70">
        <f>Digits_pres_final[[#This Row],[mlp_test_acc]]</f>
        <v>0.95907407407407408</v>
      </c>
      <c r="Z70">
        <f>Digits_pres_final[[#This Row],[mlp_test_acc2]]</f>
        <v>0.9572222222222222</v>
      </c>
    </row>
    <row r="71" spans="1:26" hidden="1" x14ac:dyDescent="0.25">
      <c r="A71" t="s">
        <v>1979</v>
      </c>
      <c r="B71">
        <v>3</v>
      </c>
      <c r="C71">
        <v>2</v>
      </c>
      <c r="D71">
        <v>0</v>
      </c>
      <c r="E71" t="s">
        <v>1996</v>
      </c>
      <c r="F71">
        <v>71170</v>
      </c>
      <c r="G71">
        <v>123781876.83333334</v>
      </c>
      <c r="H71">
        <v>0.96870370209217072</v>
      </c>
      <c r="I71">
        <v>0.9681481481481482</v>
      </c>
      <c r="J71">
        <v>24035667.916666664</v>
      </c>
      <c r="K71">
        <v>114709</v>
      </c>
      <c r="L71">
        <v>2</v>
      </c>
      <c r="M71">
        <v>221</v>
      </c>
      <c r="N71">
        <v>0.97166666666666668</v>
      </c>
      <c r="O71">
        <v>23712806.166666664</v>
      </c>
      <c r="P71">
        <v>115672</v>
      </c>
      <c r="Q71">
        <v>2</v>
      </c>
      <c r="R71">
        <v>222</v>
      </c>
      <c r="S71" t="s">
        <v>1997</v>
      </c>
      <c r="U71" t="str">
        <f t="shared" si="1"/>
        <v/>
      </c>
      <c r="W71">
        <f>Digits_pres_final[[#This Row],[kan_params]]</f>
        <v>71170</v>
      </c>
      <c r="X71">
        <f>Digits_pres_final[[#This Row],[kan_test_acc]]</f>
        <v>0.96870370209217072</v>
      </c>
      <c r="Y71">
        <f>Digits_pres_final[[#This Row],[mlp_test_acc]]</f>
        <v>0.9681481481481482</v>
      </c>
      <c r="Z71">
        <f>Digits_pres_final[[#This Row],[mlp_test_acc2]]</f>
        <v>0.97166666666666668</v>
      </c>
    </row>
    <row r="72" spans="1:26" hidden="1" x14ac:dyDescent="0.25">
      <c r="A72" t="s">
        <v>1979</v>
      </c>
      <c r="B72">
        <v>3</v>
      </c>
      <c r="C72">
        <v>2</v>
      </c>
      <c r="D72">
        <v>0</v>
      </c>
      <c r="E72" t="s">
        <v>2058</v>
      </c>
      <c r="F72">
        <v>71980</v>
      </c>
      <c r="G72">
        <v>408591122.16666663</v>
      </c>
      <c r="H72">
        <v>0.97296295563379931</v>
      </c>
      <c r="I72">
        <v>0.96444444444444444</v>
      </c>
      <c r="J72">
        <v>27091581.416666668</v>
      </c>
      <c r="K72">
        <v>116639</v>
      </c>
      <c r="L72">
        <v>2</v>
      </c>
      <c r="M72">
        <v>223</v>
      </c>
      <c r="N72">
        <v>0.96444444444444444</v>
      </c>
      <c r="O72">
        <v>26077032.5</v>
      </c>
      <c r="P72">
        <v>117610</v>
      </c>
      <c r="Q72">
        <v>2</v>
      </c>
      <c r="R72">
        <v>224</v>
      </c>
      <c r="S72" t="s">
        <v>2059</v>
      </c>
      <c r="U72" t="str">
        <f t="shared" si="1"/>
        <v/>
      </c>
      <c r="W72">
        <f>Digits_pres_final[[#This Row],[kan_params]]</f>
        <v>71980</v>
      </c>
      <c r="X72">
        <f>Digits_pres_final[[#This Row],[kan_test_acc]]</f>
        <v>0.97296295563379931</v>
      </c>
      <c r="Y72">
        <f>Digits_pres_final[[#This Row],[mlp_test_acc]]</f>
        <v>0.96444444444444444</v>
      </c>
      <c r="Z72">
        <f>Digits_pres_final[[#This Row],[mlp_test_acc2]]</f>
        <v>0.96444444444444444</v>
      </c>
    </row>
    <row r="73" spans="1:26" hidden="1" x14ac:dyDescent="0.25">
      <c r="A73" t="s">
        <v>1979</v>
      </c>
      <c r="B73">
        <v>3</v>
      </c>
      <c r="C73">
        <v>3</v>
      </c>
      <c r="D73">
        <v>0</v>
      </c>
      <c r="E73" t="s">
        <v>1984</v>
      </c>
      <c r="F73">
        <v>72046</v>
      </c>
      <c r="G73">
        <v>102290364</v>
      </c>
      <c r="H73">
        <v>0.96148147185643507</v>
      </c>
      <c r="I73">
        <v>0.96240740740740738</v>
      </c>
      <c r="J73">
        <v>21970069.333333336</v>
      </c>
      <c r="K73">
        <v>127540</v>
      </c>
      <c r="L73">
        <v>2</v>
      </c>
      <c r="M73">
        <v>234</v>
      </c>
      <c r="N73">
        <v>0.96037037037037032</v>
      </c>
      <c r="O73">
        <v>21687658.083333332</v>
      </c>
      <c r="P73">
        <v>128555</v>
      </c>
      <c r="Q73">
        <v>2</v>
      </c>
      <c r="R73">
        <v>235</v>
      </c>
      <c r="S73" t="s">
        <v>2394</v>
      </c>
      <c r="U73" t="str">
        <f t="shared" si="1"/>
        <v/>
      </c>
      <c r="W73">
        <f>Digits_pres_final[[#This Row],[kan_params]]</f>
        <v>72046</v>
      </c>
      <c r="X73">
        <f>Digits_pres_final[[#This Row],[kan_test_acc]]</f>
        <v>0.96148147185643507</v>
      </c>
      <c r="Y73">
        <f>Digits_pres_final[[#This Row],[mlp_test_acc]]</f>
        <v>0.96240740740740738</v>
      </c>
      <c r="Z73">
        <f>Digits_pres_final[[#This Row],[mlp_test_acc2]]</f>
        <v>0.96037037037037032</v>
      </c>
    </row>
    <row r="74" spans="1:26" hidden="1" x14ac:dyDescent="0.25">
      <c r="A74" t="s">
        <v>1979</v>
      </c>
      <c r="B74">
        <v>3</v>
      </c>
      <c r="C74">
        <v>2</v>
      </c>
      <c r="D74">
        <v>0</v>
      </c>
      <c r="E74" t="s">
        <v>1998</v>
      </c>
      <c r="F74">
        <v>72356</v>
      </c>
      <c r="G74">
        <v>131242827.25</v>
      </c>
      <c r="H74">
        <v>0.97296296556790662</v>
      </c>
      <c r="I74">
        <v>0.97018518518518526</v>
      </c>
      <c r="J74">
        <v>23889897.583333336</v>
      </c>
      <c r="K74">
        <v>116639</v>
      </c>
      <c r="L74">
        <v>2</v>
      </c>
      <c r="M74">
        <v>223</v>
      </c>
      <c r="N74">
        <v>0.97203703703703703</v>
      </c>
      <c r="O74">
        <v>23647693.916666664</v>
      </c>
      <c r="P74">
        <v>117610</v>
      </c>
      <c r="Q74">
        <v>2</v>
      </c>
      <c r="R74">
        <v>224</v>
      </c>
      <c r="S74" t="s">
        <v>1999</v>
      </c>
      <c r="U74" t="str">
        <f t="shared" si="1"/>
        <v/>
      </c>
      <c r="W74">
        <f>Digits_pres_final[[#This Row],[kan_params]]</f>
        <v>72356</v>
      </c>
      <c r="X74">
        <f>Digits_pres_final[[#This Row],[kan_test_acc]]</f>
        <v>0.97296296556790662</v>
      </c>
      <c r="Y74">
        <f>Digits_pres_final[[#This Row],[mlp_test_acc]]</f>
        <v>0.97018518518518526</v>
      </c>
      <c r="Z74">
        <f>Digits_pres_final[[#This Row],[mlp_test_acc2]]</f>
        <v>0.97203703703703703</v>
      </c>
    </row>
    <row r="75" spans="1:26" x14ac:dyDescent="0.25">
      <c r="A75" t="s">
        <v>1979</v>
      </c>
      <c r="B75">
        <v>3</v>
      </c>
      <c r="C75">
        <v>4</v>
      </c>
      <c r="D75">
        <v>0</v>
      </c>
      <c r="E75" t="s">
        <v>2386</v>
      </c>
      <c r="F75">
        <v>72628</v>
      </c>
      <c r="G75">
        <v>69435087.416666672</v>
      </c>
      <c r="H75">
        <v>0.95648148159186053</v>
      </c>
      <c r="I75">
        <v>0.95500000000000007</v>
      </c>
      <c r="J75">
        <v>14776006.75</v>
      </c>
      <c r="K75">
        <v>137870</v>
      </c>
      <c r="L75">
        <v>2</v>
      </c>
      <c r="M75">
        <v>244</v>
      </c>
      <c r="N75">
        <v>0.95259259259259266</v>
      </c>
      <c r="O75">
        <v>14823774.25</v>
      </c>
      <c r="P75">
        <v>138925</v>
      </c>
      <c r="Q75">
        <v>2</v>
      </c>
      <c r="R75">
        <v>245</v>
      </c>
      <c r="S75" t="s">
        <v>2646</v>
      </c>
      <c r="U75" t="str">
        <f t="shared" si="1"/>
        <v/>
      </c>
      <c r="W75">
        <f>Digits_pres_final[[#This Row],[kan_params]]</f>
        <v>72628</v>
      </c>
      <c r="X75">
        <f>Digits_pres_final[[#This Row],[kan_test_acc]]</f>
        <v>0.95648148159186053</v>
      </c>
      <c r="Y75">
        <f>Digits_pres_final[[#This Row],[mlp_test_acc]]</f>
        <v>0.95500000000000007</v>
      </c>
      <c r="Z75">
        <f>Digits_pres_final[[#This Row],[mlp_test_acc2]]</f>
        <v>0.95259259259259266</v>
      </c>
    </row>
    <row r="76" spans="1:26" hidden="1" x14ac:dyDescent="0.25">
      <c r="A76" t="s">
        <v>1979</v>
      </c>
      <c r="B76">
        <v>3</v>
      </c>
      <c r="C76">
        <v>2</v>
      </c>
      <c r="D76">
        <v>0</v>
      </c>
      <c r="E76" t="s">
        <v>2124</v>
      </c>
      <c r="F76">
        <v>72844</v>
      </c>
      <c r="G76">
        <v>549150760.91666675</v>
      </c>
      <c r="H76">
        <v>0.97500000894069672</v>
      </c>
      <c r="I76">
        <v>0.9655555555555555</v>
      </c>
      <c r="J76">
        <v>30352170</v>
      </c>
      <c r="K76">
        <v>117610</v>
      </c>
      <c r="L76">
        <v>2</v>
      </c>
      <c r="M76">
        <v>224</v>
      </c>
      <c r="N76">
        <v>0.97185185185185186</v>
      </c>
      <c r="O76">
        <v>29726533.416666664</v>
      </c>
      <c r="P76">
        <v>118585</v>
      </c>
      <c r="Q76">
        <v>2</v>
      </c>
      <c r="R76">
        <v>225</v>
      </c>
      <c r="S76" t="s">
        <v>2125</v>
      </c>
      <c r="U76" t="str">
        <f t="shared" si="1"/>
        <v/>
      </c>
      <c r="W76">
        <f>Digits_pres_final[[#This Row],[kan_params]]</f>
        <v>72844</v>
      </c>
      <c r="X76">
        <f>Digits_pres_final[[#This Row],[kan_test_acc]]</f>
        <v>0.97500000894069672</v>
      </c>
      <c r="Y76">
        <f>Digits_pres_final[[#This Row],[mlp_test_acc]]</f>
        <v>0.9655555555555555</v>
      </c>
      <c r="Z76">
        <f>Digits_pres_final[[#This Row],[mlp_test_acc2]]</f>
        <v>0.97185185185185186</v>
      </c>
    </row>
    <row r="77" spans="1:26" hidden="1" x14ac:dyDescent="0.25">
      <c r="A77" t="s">
        <v>1979</v>
      </c>
      <c r="B77">
        <v>3</v>
      </c>
      <c r="C77">
        <v>2</v>
      </c>
      <c r="D77">
        <v>0</v>
      </c>
      <c r="E77" t="s">
        <v>2060</v>
      </c>
      <c r="F77">
        <v>73166</v>
      </c>
      <c r="G77">
        <v>302723699.5</v>
      </c>
      <c r="H77">
        <v>0.979814812541008</v>
      </c>
      <c r="I77">
        <v>0.97055555555555562</v>
      </c>
      <c r="J77">
        <v>24835702.75</v>
      </c>
      <c r="K77">
        <v>118585</v>
      </c>
      <c r="L77">
        <v>2</v>
      </c>
      <c r="M77">
        <v>225</v>
      </c>
      <c r="N77">
        <v>0.96981481481481491</v>
      </c>
      <c r="O77">
        <v>23607935.833333336</v>
      </c>
      <c r="P77">
        <v>119564</v>
      </c>
      <c r="Q77">
        <v>2</v>
      </c>
      <c r="R77">
        <v>226</v>
      </c>
      <c r="S77" t="s">
        <v>2061</v>
      </c>
      <c r="U77" t="str">
        <f t="shared" si="1"/>
        <v/>
      </c>
      <c r="W77">
        <f>Digits_pres_final[[#This Row],[kan_params]]</f>
        <v>73166</v>
      </c>
      <c r="X77">
        <f>Digits_pres_final[[#This Row],[kan_test_acc]]</f>
        <v>0.979814812541008</v>
      </c>
      <c r="Y77">
        <f>Digits_pres_final[[#This Row],[mlp_test_acc]]</f>
        <v>0.97055555555555562</v>
      </c>
      <c r="Z77">
        <f>Digits_pres_final[[#This Row],[mlp_test_acc2]]</f>
        <v>0.96981481481481491</v>
      </c>
    </row>
    <row r="78" spans="1:26" hidden="1" x14ac:dyDescent="0.25">
      <c r="A78" t="s">
        <v>1979</v>
      </c>
      <c r="B78">
        <v>3</v>
      </c>
      <c r="C78">
        <v>3</v>
      </c>
      <c r="D78">
        <v>0</v>
      </c>
      <c r="E78" t="s">
        <v>1986</v>
      </c>
      <c r="F78">
        <v>73380</v>
      </c>
      <c r="G78">
        <v>104613302</v>
      </c>
      <c r="H78">
        <v>0.95999999841054273</v>
      </c>
      <c r="I78">
        <v>0.9664814814814815</v>
      </c>
      <c r="J78">
        <v>22748236.25</v>
      </c>
      <c r="K78">
        <v>129574</v>
      </c>
      <c r="L78">
        <v>2</v>
      </c>
      <c r="M78">
        <v>236</v>
      </c>
      <c r="N78">
        <v>0.95981481481481479</v>
      </c>
      <c r="O78">
        <v>21932302.25</v>
      </c>
      <c r="P78">
        <v>130597</v>
      </c>
      <c r="Q78">
        <v>2</v>
      </c>
      <c r="R78">
        <v>237</v>
      </c>
      <c r="S78" t="s">
        <v>2395</v>
      </c>
      <c r="U78" t="str">
        <f t="shared" si="1"/>
        <v/>
      </c>
      <c r="W78">
        <f>Digits_pres_final[[#This Row],[kan_params]]</f>
        <v>73380</v>
      </c>
      <c r="X78">
        <f>Digits_pres_final[[#This Row],[kan_test_acc]]</f>
        <v>0.95999999841054273</v>
      </c>
      <c r="Y78">
        <f>Digits_pres_final[[#This Row],[mlp_test_acc]]</f>
        <v>0.9664814814814815</v>
      </c>
      <c r="Z78">
        <f>Digits_pres_final[[#This Row],[mlp_test_acc2]]</f>
        <v>0.95981481481481479</v>
      </c>
    </row>
    <row r="79" spans="1:26" hidden="1" x14ac:dyDescent="0.25">
      <c r="A79" t="s">
        <v>1979</v>
      </c>
      <c r="B79">
        <v>3</v>
      </c>
      <c r="C79">
        <v>2</v>
      </c>
      <c r="D79">
        <v>0</v>
      </c>
      <c r="E79" t="s">
        <v>2000</v>
      </c>
      <c r="F79">
        <v>73542</v>
      </c>
      <c r="G79">
        <v>138342634.75</v>
      </c>
      <c r="H79">
        <v>0.97499999900658918</v>
      </c>
      <c r="I79">
        <v>0.97203703703703703</v>
      </c>
      <c r="J79">
        <v>24322987.583333336</v>
      </c>
      <c r="K79">
        <v>118585</v>
      </c>
      <c r="L79">
        <v>2</v>
      </c>
      <c r="M79">
        <v>225</v>
      </c>
      <c r="N79">
        <v>0.97</v>
      </c>
      <c r="O79">
        <v>23472115.333333336</v>
      </c>
      <c r="P79">
        <v>119564</v>
      </c>
      <c r="Q79">
        <v>2</v>
      </c>
      <c r="R79">
        <v>226</v>
      </c>
      <c r="S79" t="s">
        <v>2001</v>
      </c>
      <c r="U79" t="str">
        <f t="shared" si="1"/>
        <v/>
      </c>
      <c r="W79">
        <f>Digits_pres_final[[#This Row],[kan_params]]</f>
        <v>73542</v>
      </c>
      <c r="X79">
        <f>Digits_pres_final[[#This Row],[kan_test_acc]]</f>
        <v>0.97499999900658918</v>
      </c>
      <c r="Y79">
        <f>Digits_pres_final[[#This Row],[mlp_test_acc]]</f>
        <v>0.97203703703703703</v>
      </c>
      <c r="Z79">
        <f>Digits_pres_final[[#This Row],[mlp_test_acc2]]</f>
        <v>0.97</v>
      </c>
    </row>
    <row r="80" spans="1:26" hidden="1" x14ac:dyDescent="0.25">
      <c r="A80" t="s">
        <v>1979</v>
      </c>
      <c r="B80">
        <v>3</v>
      </c>
      <c r="C80">
        <v>2</v>
      </c>
      <c r="D80">
        <v>0</v>
      </c>
      <c r="E80" t="s">
        <v>2126</v>
      </c>
      <c r="F80">
        <v>74062</v>
      </c>
      <c r="G80">
        <v>407644600.25</v>
      </c>
      <c r="H80">
        <v>0.97388889392216993</v>
      </c>
      <c r="I80">
        <v>0.95833333333333326</v>
      </c>
      <c r="J80">
        <v>26095713.416666664</v>
      </c>
      <c r="K80">
        <v>119564</v>
      </c>
      <c r="L80">
        <v>2</v>
      </c>
      <c r="M80">
        <v>226</v>
      </c>
      <c r="N80">
        <v>0.96537037037037043</v>
      </c>
      <c r="O80">
        <v>25464955.333333332</v>
      </c>
      <c r="P80">
        <v>120547</v>
      </c>
      <c r="Q80">
        <v>2</v>
      </c>
      <c r="R80">
        <v>227</v>
      </c>
      <c r="S80" t="s">
        <v>2127</v>
      </c>
      <c r="U80" t="str">
        <f t="shared" si="1"/>
        <v/>
      </c>
      <c r="W80">
        <f>Digits_pres_final[[#This Row],[kan_params]]</f>
        <v>74062</v>
      </c>
      <c r="X80">
        <f>Digits_pres_final[[#This Row],[kan_test_acc]]</f>
        <v>0.97388889392216993</v>
      </c>
      <c r="Y80">
        <f>Digits_pres_final[[#This Row],[mlp_test_acc]]</f>
        <v>0.95833333333333326</v>
      </c>
      <c r="Z80">
        <f>Digits_pres_final[[#This Row],[mlp_test_acc2]]</f>
        <v>0.96537037037037043</v>
      </c>
    </row>
    <row r="81" spans="1:26" x14ac:dyDescent="0.25">
      <c r="A81" t="s">
        <v>1979</v>
      </c>
      <c r="B81">
        <v>3</v>
      </c>
      <c r="C81">
        <v>4</v>
      </c>
      <c r="D81">
        <v>0</v>
      </c>
      <c r="E81" t="s">
        <v>2388</v>
      </c>
      <c r="F81">
        <v>74110</v>
      </c>
      <c r="G81">
        <v>100982566.16666666</v>
      </c>
      <c r="H81">
        <v>0.9583333283662796</v>
      </c>
      <c r="I81">
        <v>0.96574074074074079</v>
      </c>
      <c r="J81">
        <v>20805119.75</v>
      </c>
      <c r="K81">
        <v>139984</v>
      </c>
      <c r="L81">
        <v>2</v>
      </c>
      <c r="M81">
        <v>246</v>
      </c>
      <c r="N81">
        <v>0.96592592592592597</v>
      </c>
      <c r="O81">
        <v>20698015.333333336</v>
      </c>
      <c r="P81">
        <v>141047</v>
      </c>
      <c r="Q81">
        <v>2</v>
      </c>
      <c r="R81">
        <v>247</v>
      </c>
      <c r="S81" t="s">
        <v>2577</v>
      </c>
      <c r="U81" t="str">
        <f t="shared" si="1"/>
        <v/>
      </c>
      <c r="W81">
        <f>Digits_pres_final[[#This Row],[kan_params]]</f>
        <v>74110</v>
      </c>
      <c r="X81">
        <f>Digits_pres_final[[#This Row],[kan_test_acc]]</f>
        <v>0.9583333283662796</v>
      </c>
      <c r="Y81">
        <f>Digits_pres_final[[#This Row],[mlp_test_acc]]</f>
        <v>0.96574074074074079</v>
      </c>
      <c r="Z81">
        <f>Digits_pres_final[[#This Row],[mlp_test_acc2]]</f>
        <v>0.96592592592592597</v>
      </c>
    </row>
    <row r="82" spans="1:26" hidden="1" x14ac:dyDescent="0.25">
      <c r="A82" t="s">
        <v>1979</v>
      </c>
      <c r="B82">
        <v>3</v>
      </c>
      <c r="C82">
        <v>2</v>
      </c>
      <c r="D82">
        <v>0</v>
      </c>
      <c r="E82" t="s">
        <v>2062</v>
      </c>
      <c r="F82">
        <v>74352</v>
      </c>
      <c r="G82">
        <v>299130401.83333337</v>
      </c>
      <c r="H82">
        <v>0.98259258766969038</v>
      </c>
      <c r="I82">
        <v>0.96962962962962962</v>
      </c>
      <c r="J82">
        <v>24913371.25</v>
      </c>
      <c r="K82">
        <v>120547</v>
      </c>
      <c r="L82">
        <v>2</v>
      </c>
      <c r="M82">
        <v>227</v>
      </c>
      <c r="N82">
        <v>0.96944444444444444</v>
      </c>
      <c r="O82">
        <v>24131982.666666664</v>
      </c>
      <c r="P82">
        <v>121534</v>
      </c>
      <c r="Q82">
        <v>2</v>
      </c>
      <c r="R82">
        <v>228</v>
      </c>
      <c r="S82" t="s">
        <v>2063</v>
      </c>
      <c r="U82" t="str">
        <f t="shared" si="1"/>
        <v/>
      </c>
      <c r="W82">
        <f>Digits_pres_final[[#This Row],[kan_params]]</f>
        <v>74352</v>
      </c>
      <c r="X82">
        <f>Digits_pres_final[[#This Row],[kan_test_acc]]</f>
        <v>0.98259258766969038</v>
      </c>
      <c r="Y82">
        <f>Digits_pres_final[[#This Row],[mlp_test_acc]]</f>
        <v>0.96962962962962962</v>
      </c>
      <c r="Z82">
        <f>Digits_pres_final[[#This Row],[mlp_test_acc2]]</f>
        <v>0.96944444444444444</v>
      </c>
    </row>
    <row r="83" spans="1:26" hidden="1" x14ac:dyDescent="0.25">
      <c r="A83" t="s">
        <v>1979</v>
      </c>
      <c r="B83">
        <v>3</v>
      </c>
      <c r="C83">
        <v>3</v>
      </c>
      <c r="D83">
        <v>0</v>
      </c>
      <c r="E83" t="s">
        <v>1988</v>
      </c>
      <c r="F83">
        <v>74714</v>
      </c>
      <c r="G83">
        <v>108779560.16666667</v>
      </c>
      <c r="H83">
        <v>0.9614814817905426</v>
      </c>
      <c r="I83">
        <v>0.96666666666666667</v>
      </c>
      <c r="J83">
        <v>23070437.583333332</v>
      </c>
      <c r="K83">
        <v>132655</v>
      </c>
      <c r="L83">
        <v>2</v>
      </c>
      <c r="M83">
        <v>239</v>
      </c>
      <c r="N83">
        <v>0.96277777777777773</v>
      </c>
      <c r="O83">
        <v>22162975.333333336</v>
      </c>
      <c r="P83">
        <v>133690</v>
      </c>
      <c r="Q83">
        <v>2</v>
      </c>
      <c r="R83">
        <v>240</v>
      </c>
      <c r="S83" t="s">
        <v>2396</v>
      </c>
      <c r="U83" t="str">
        <f t="shared" si="1"/>
        <v/>
      </c>
      <c r="W83">
        <f>Digits_pres_final[[#This Row],[kan_params]]</f>
        <v>74714</v>
      </c>
      <c r="X83">
        <f>Digits_pres_final[[#This Row],[kan_test_acc]]</f>
        <v>0.9614814817905426</v>
      </c>
      <c r="Y83">
        <f>Digits_pres_final[[#This Row],[mlp_test_acc]]</f>
        <v>0.96666666666666667</v>
      </c>
      <c r="Z83">
        <f>Digits_pres_final[[#This Row],[mlp_test_acc2]]</f>
        <v>0.96277777777777773</v>
      </c>
    </row>
    <row r="84" spans="1:26" hidden="1" x14ac:dyDescent="0.25">
      <c r="A84" t="s">
        <v>1979</v>
      </c>
      <c r="B84">
        <v>3</v>
      </c>
      <c r="C84">
        <v>2</v>
      </c>
      <c r="D84">
        <v>0</v>
      </c>
      <c r="E84" t="s">
        <v>2002</v>
      </c>
      <c r="F84">
        <v>74728</v>
      </c>
      <c r="G84">
        <v>144419545.83333331</v>
      </c>
      <c r="H84">
        <v>0.97351851065953565</v>
      </c>
      <c r="I84">
        <v>0.97351851851851845</v>
      </c>
      <c r="J84">
        <v>23478916.666666664</v>
      </c>
      <c r="K84">
        <v>120547</v>
      </c>
      <c r="L84">
        <v>2</v>
      </c>
      <c r="M84">
        <v>227</v>
      </c>
      <c r="N84">
        <v>0.96870370370370362</v>
      </c>
      <c r="O84">
        <v>23570908.25</v>
      </c>
      <c r="P84">
        <v>121534</v>
      </c>
      <c r="Q84">
        <v>2</v>
      </c>
      <c r="R84">
        <v>228</v>
      </c>
      <c r="S84" t="s">
        <v>2003</v>
      </c>
      <c r="U84" t="str">
        <f t="shared" si="1"/>
        <v/>
      </c>
      <c r="W84">
        <f>Digits_pres_final[[#This Row],[kan_params]]</f>
        <v>74728</v>
      </c>
      <c r="X84">
        <f>Digits_pres_final[[#This Row],[kan_test_acc]]</f>
        <v>0.97351851065953565</v>
      </c>
      <c r="Y84">
        <f>Digits_pres_final[[#This Row],[mlp_test_acc]]</f>
        <v>0.97351851851851845</v>
      </c>
      <c r="Z84">
        <f>Digits_pres_final[[#This Row],[mlp_test_acc2]]</f>
        <v>0.96870370370370362</v>
      </c>
    </row>
    <row r="85" spans="1:26" hidden="1" x14ac:dyDescent="0.25">
      <c r="A85" t="s">
        <v>1979</v>
      </c>
      <c r="B85">
        <v>3</v>
      </c>
      <c r="C85">
        <v>2</v>
      </c>
      <c r="D85">
        <v>0</v>
      </c>
      <c r="E85" t="s">
        <v>2192</v>
      </c>
      <c r="F85">
        <v>74894</v>
      </c>
      <c r="G85">
        <v>287496932.41666669</v>
      </c>
      <c r="H85">
        <v>0.98666666448116302</v>
      </c>
      <c r="I85">
        <v>0.97851851851851857</v>
      </c>
      <c r="J85">
        <v>20486354.75</v>
      </c>
      <c r="K85">
        <v>121534</v>
      </c>
      <c r="L85">
        <v>2</v>
      </c>
      <c r="M85">
        <v>228</v>
      </c>
      <c r="N85">
        <v>0.97611111111111115</v>
      </c>
      <c r="O85">
        <v>19407119.083333336</v>
      </c>
      <c r="P85">
        <v>122525</v>
      </c>
      <c r="Q85">
        <v>2</v>
      </c>
      <c r="R85">
        <v>229</v>
      </c>
      <c r="S85" t="s">
        <v>2193</v>
      </c>
      <c r="U85" t="str">
        <f t="shared" si="1"/>
        <v/>
      </c>
      <c r="W85">
        <f>Digits_pres_final[[#This Row],[kan_params]]</f>
        <v>74894</v>
      </c>
      <c r="X85">
        <f>Digits_pres_final[[#This Row],[kan_test_acc]]</f>
        <v>0.98666666448116302</v>
      </c>
      <c r="Y85">
        <f>Digits_pres_final[[#This Row],[mlp_test_acc]]</f>
        <v>0.97851851851851857</v>
      </c>
      <c r="Z85">
        <f>Digits_pres_final[[#This Row],[mlp_test_acc2]]</f>
        <v>0.97611111111111115</v>
      </c>
    </row>
    <row r="86" spans="1:26" hidden="1" x14ac:dyDescent="0.25">
      <c r="A86" t="s">
        <v>1979</v>
      </c>
      <c r="B86">
        <v>3</v>
      </c>
      <c r="C86">
        <v>2</v>
      </c>
      <c r="D86">
        <v>0</v>
      </c>
      <c r="E86" t="s">
        <v>2128</v>
      </c>
      <c r="F86">
        <v>75280</v>
      </c>
      <c r="G86">
        <v>275768251.58333337</v>
      </c>
      <c r="H86">
        <v>0.96925925711790728</v>
      </c>
      <c r="I86">
        <v>0.95981481481481479</v>
      </c>
      <c r="J86">
        <v>23573675.916666664</v>
      </c>
      <c r="K86">
        <v>121534</v>
      </c>
      <c r="L86">
        <v>2</v>
      </c>
      <c r="M86">
        <v>228</v>
      </c>
      <c r="N86">
        <v>0.9555555555555556</v>
      </c>
      <c r="O86">
        <v>23226575.416666664</v>
      </c>
      <c r="P86">
        <v>122525</v>
      </c>
      <c r="Q86">
        <v>2</v>
      </c>
      <c r="R86">
        <v>229</v>
      </c>
      <c r="S86" t="s">
        <v>2129</v>
      </c>
      <c r="U86" t="str">
        <f t="shared" si="1"/>
        <v/>
      </c>
      <c r="W86">
        <f>Digits_pres_final[[#This Row],[kan_params]]</f>
        <v>75280</v>
      </c>
      <c r="X86">
        <f>Digits_pres_final[[#This Row],[kan_test_acc]]</f>
        <v>0.96925925711790728</v>
      </c>
      <c r="Y86">
        <f>Digits_pres_final[[#This Row],[mlp_test_acc]]</f>
        <v>0.95981481481481479</v>
      </c>
      <c r="Z86">
        <f>Digits_pres_final[[#This Row],[mlp_test_acc2]]</f>
        <v>0.9555555555555556</v>
      </c>
    </row>
    <row r="87" spans="1:26" hidden="1" x14ac:dyDescent="0.25">
      <c r="A87" t="s">
        <v>1979</v>
      </c>
      <c r="B87">
        <v>3</v>
      </c>
      <c r="C87">
        <v>2</v>
      </c>
      <c r="D87">
        <v>0</v>
      </c>
      <c r="E87" t="s">
        <v>2064</v>
      </c>
      <c r="F87">
        <v>75538</v>
      </c>
      <c r="G87">
        <v>303973653.41666663</v>
      </c>
      <c r="H87">
        <v>0.98277776439984632</v>
      </c>
      <c r="I87">
        <v>0.96870370370370373</v>
      </c>
      <c r="J87">
        <v>23772572.583333336</v>
      </c>
      <c r="K87">
        <v>122525</v>
      </c>
      <c r="L87">
        <v>2</v>
      </c>
      <c r="M87">
        <v>229</v>
      </c>
      <c r="N87">
        <v>0.97148148148148139</v>
      </c>
      <c r="O87">
        <v>23946910.666666664</v>
      </c>
      <c r="P87">
        <v>123520</v>
      </c>
      <c r="Q87">
        <v>2</v>
      </c>
      <c r="R87">
        <v>230</v>
      </c>
      <c r="S87" t="s">
        <v>2065</v>
      </c>
      <c r="U87" t="str">
        <f t="shared" si="1"/>
        <v/>
      </c>
      <c r="W87">
        <f>Digits_pres_final[[#This Row],[kan_params]]</f>
        <v>75538</v>
      </c>
      <c r="X87">
        <f>Digits_pres_final[[#This Row],[kan_test_acc]]</f>
        <v>0.98277776439984632</v>
      </c>
      <c r="Y87">
        <f>Digits_pres_final[[#This Row],[mlp_test_acc]]</f>
        <v>0.96870370370370373</v>
      </c>
      <c r="Z87">
        <f>Digits_pres_final[[#This Row],[mlp_test_acc2]]</f>
        <v>0.97148148148148139</v>
      </c>
    </row>
    <row r="88" spans="1:26" x14ac:dyDescent="0.25">
      <c r="A88" t="s">
        <v>1979</v>
      </c>
      <c r="B88">
        <v>3</v>
      </c>
      <c r="C88">
        <v>4</v>
      </c>
      <c r="D88">
        <v>0</v>
      </c>
      <c r="E88" t="s">
        <v>2390</v>
      </c>
      <c r="F88">
        <v>75592</v>
      </c>
      <c r="G88">
        <v>88211201</v>
      </c>
      <c r="H88">
        <v>0.95870370666186022</v>
      </c>
      <c r="I88">
        <v>0.9598148148148149</v>
      </c>
      <c r="J88">
        <v>18062651.583333332</v>
      </c>
      <c r="K88">
        <v>143185</v>
      </c>
      <c r="L88">
        <v>2</v>
      </c>
      <c r="M88">
        <v>249</v>
      </c>
      <c r="N88">
        <v>0.96425925925925937</v>
      </c>
      <c r="O88">
        <v>18098575.333333332</v>
      </c>
      <c r="P88">
        <v>144260</v>
      </c>
      <c r="Q88">
        <v>2</v>
      </c>
      <c r="R88">
        <v>250</v>
      </c>
      <c r="S88" t="s">
        <v>2578</v>
      </c>
      <c r="U88" t="str">
        <f t="shared" si="1"/>
        <v/>
      </c>
      <c r="W88">
        <f>Digits_pres_final[[#This Row],[kan_params]]</f>
        <v>75592</v>
      </c>
      <c r="X88">
        <f>Digits_pres_final[[#This Row],[kan_test_acc]]</f>
        <v>0.95870370666186022</v>
      </c>
      <c r="Y88">
        <f>Digits_pres_final[[#This Row],[mlp_test_acc]]</f>
        <v>0.9598148148148149</v>
      </c>
      <c r="Z88">
        <f>Digits_pres_final[[#This Row],[mlp_test_acc2]]</f>
        <v>0.96425925925925937</v>
      </c>
    </row>
    <row r="89" spans="1:26" hidden="1" x14ac:dyDescent="0.25">
      <c r="A89" t="s">
        <v>1979</v>
      </c>
      <c r="B89">
        <v>3</v>
      </c>
      <c r="C89">
        <v>2</v>
      </c>
      <c r="D89">
        <v>0</v>
      </c>
      <c r="E89" t="s">
        <v>2004</v>
      </c>
      <c r="F89">
        <v>75914</v>
      </c>
      <c r="G89">
        <v>156333550.75</v>
      </c>
      <c r="H89">
        <v>0.97018517057100928</v>
      </c>
      <c r="I89">
        <v>0.97240740740740739</v>
      </c>
      <c r="J89">
        <v>23505043.583333332</v>
      </c>
      <c r="K89">
        <v>122525</v>
      </c>
      <c r="L89">
        <v>2</v>
      </c>
      <c r="M89">
        <v>229</v>
      </c>
      <c r="N89">
        <v>0.97</v>
      </c>
      <c r="O89">
        <v>23469873.083333332</v>
      </c>
      <c r="P89">
        <v>123520</v>
      </c>
      <c r="Q89">
        <v>2</v>
      </c>
      <c r="R89">
        <v>230</v>
      </c>
      <c r="S89" t="s">
        <v>2005</v>
      </c>
      <c r="U89" t="str">
        <f t="shared" si="1"/>
        <v/>
      </c>
      <c r="W89">
        <f>Digits_pres_final[[#This Row],[kan_params]]</f>
        <v>75914</v>
      </c>
      <c r="X89">
        <f>Digits_pres_final[[#This Row],[kan_test_acc]]</f>
        <v>0.97018517057100928</v>
      </c>
      <c r="Y89">
        <f>Digits_pres_final[[#This Row],[mlp_test_acc]]</f>
        <v>0.97240740740740739</v>
      </c>
      <c r="Z89">
        <f>Digits_pres_final[[#This Row],[mlp_test_acc2]]</f>
        <v>0.97</v>
      </c>
    </row>
    <row r="90" spans="1:26" hidden="1" x14ac:dyDescent="0.25">
      <c r="A90" t="s">
        <v>1979</v>
      </c>
      <c r="B90">
        <v>3</v>
      </c>
      <c r="C90">
        <v>3</v>
      </c>
      <c r="D90">
        <v>0</v>
      </c>
      <c r="E90" t="s">
        <v>1990</v>
      </c>
      <c r="F90">
        <v>76048</v>
      </c>
      <c r="G90">
        <v>111144042.83333334</v>
      </c>
      <c r="H90">
        <v>0.96092592179775238</v>
      </c>
      <c r="I90">
        <v>0.96351851851851855</v>
      </c>
      <c r="J90">
        <v>22608964.75</v>
      </c>
      <c r="K90">
        <v>134729</v>
      </c>
      <c r="L90">
        <v>2</v>
      </c>
      <c r="M90">
        <v>241</v>
      </c>
      <c r="N90">
        <v>0.9655555555555555</v>
      </c>
      <c r="O90">
        <v>22282497.583333336</v>
      </c>
      <c r="P90">
        <v>135772</v>
      </c>
      <c r="Q90">
        <v>2</v>
      </c>
      <c r="R90">
        <v>242</v>
      </c>
      <c r="S90" t="s">
        <v>2397</v>
      </c>
      <c r="U90" t="str">
        <f t="shared" si="1"/>
        <v/>
      </c>
      <c r="W90">
        <f>Digits_pres_final[[#This Row],[kan_params]]</f>
        <v>76048</v>
      </c>
      <c r="X90">
        <f>Digits_pres_final[[#This Row],[kan_test_acc]]</f>
        <v>0.96092592179775238</v>
      </c>
      <c r="Y90">
        <f>Digits_pres_final[[#This Row],[mlp_test_acc]]</f>
        <v>0.96351851851851855</v>
      </c>
      <c r="Z90">
        <f>Digits_pres_final[[#This Row],[mlp_test_acc2]]</f>
        <v>0.9655555555555555</v>
      </c>
    </row>
    <row r="91" spans="1:26" hidden="1" x14ac:dyDescent="0.25">
      <c r="A91" t="s">
        <v>1979</v>
      </c>
      <c r="B91">
        <v>3</v>
      </c>
      <c r="C91">
        <v>2</v>
      </c>
      <c r="D91">
        <v>0</v>
      </c>
      <c r="E91" t="s">
        <v>2194</v>
      </c>
      <c r="F91">
        <v>76144</v>
      </c>
      <c r="G91">
        <v>331779700.08333337</v>
      </c>
      <c r="H91">
        <v>0.98129629592100776</v>
      </c>
      <c r="I91">
        <v>0.97203703703703703</v>
      </c>
      <c r="J91">
        <v>22765482.333333336</v>
      </c>
      <c r="K91">
        <v>123520</v>
      </c>
      <c r="L91">
        <v>2</v>
      </c>
      <c r="M91">
        <v>230</v>
      </c>
      <c r="N91">
        <v>0.97462962962962973</v>
      </c>
      <c r="O91">
        <v>21557411.5</v>
      </c>
      <c r="P91">
        <v>124519</v>
      </c>
      <c r="Q91">
        <v>2</v>
      </c>
      <c r="R91">
        <v>231</v>
      </c>
      <c r="S91" t="s">
        <v>2195</v>
      </c>
      <c r="U91" t="str">
        <f t="shared" si="1"/>
        <v/>
      </c>
      <c r="W91">
        <f>Digits_pres_final[[#This Row],[kan_params]]</f>
        <v>76144</v>
      </c>
      <c r="X91">
        <f>Digits_pres_final[[#This Row],[kan_test_acc]]</f>
        <v>0.98129629592100776</v>
      </c>
      <c r="Y91">
        <f>Digits_pres_final[[#This Row],[mlp_test_acc]]</f>
        <v>0.97203703703703703</v>
      </c>
      <c r="Z91">
        <f>Digits_pres_final[[#This Row],[mlp_test_acc2]]</f>
        <v>0.97462962962962973</v>
      </c>
    </row>
    <row r="92" spans="1:26" hidden="1" x14ac:dyDescent="0.25">
      <c r="A92" t="s">
        <v>1979</v>
      </c>
      <c r="B92">
        <v>3</v>
      </c>
      <c r="C92">
        <v>2</v>
      </c>
      <c r="D92">
        <v>0</v>
      </c>
      <c r="E92" t="s">
        <v>2130</v>
      </c>
      <c r="F92">
        <v>76498</v>
      </c>
      <c r="G92">
        <v>284639889.5</v>
      </c>
      <c r="H92">
        <v>0.96925925711790728</v>
      </c>
      <c r="I92">
        <v>0.96148148148148149</v>
      </c>
      <c r="J92">
        <v>23677254.833333332</v>
      </c>
      <c r="K92">
        <v>123520</v>
      </c>
      <c r="L92">
        <v>2</v>
      </c>
      <c r="M92">
        <v>230</v>
      </c>
      <c r="N92">
        <v>0.95407407407407407</v>
      </c>
      <c r="O92">
        <v>23468909.416666664</v>
      </c>
      <c r="P92">
        <v>124519</v>
      </c>
      <c r="Q92">
        <v>2</v>
      </c>
      <c r="R92">
        <v>231</v>
      </c>
      <c r="S92" t="s">
        <v>2131</v>
      </c>
      <c r="U92" t="str">
        <f t="shared" si="1"/>
        <v/>
      </c>
      <c r="W92">
        <f>Digits_pres_final[[#This Row],[kan_params]]</f>
        <v>76498</v>
      </c>
      <c r="X92">
        <f>Digits_pres_final[[#This Row],[kan_test_acc]]</f>
        <v>0.96925925711790728</v>
      </c>
      <c r="Y92">
        <f>Digits_pres_final[[#This Row],[mlp_test_acc]]</f>
        <v>0.96148148148148149</v>
      </c>
      <c r="Z92">
        <f>Digits_pres_final[[#This Row],[mlp_test_acc2]]</f>
        <v>0.95407407407407407</v>
      </c>
    </row>
    <row r="93" spans="1:26" hidden="1" x14ac:dyDescent="0.25">
      <c r="A93" t="s">
        <v>1979</v>
      </c>
      <c r="B93">
        <v>3</v>
      </c>
      <c r="C93">
        <v>2</v>
      </c>
      <c r="D93">
        <v>0</v>
      </c>
      <c r="E93" t="s">
        <v>2066</v>
      </c>
      <c r="F93">
        <v>76724</v>
      </c>
      <c r="G93">
        <v>289534204.5</v>
      </c>
      <c r="H93">
        <v>0.97981480757395434</v>
      </c>
      <c r="I93">
        <v>0.96870370370370362</v>
      </c>
      <c r="J93">
        <v>23016385.833333336</v>
      </c>
      <c r="K93">
        <v>124519</v>
      </c>
      <c r="L93">
        <v>2</v>
      </c>
      <c r="M93">
        <v>231</v>
      </c>
      <c r="N93">
        <v>0.97185185185185186</v>
      </c>
      <c r="O93">
        <v>24160158.416666664</v>
      </c>
      <c r="P93">
        <v>125522</v>
      </c>
      <c r="Q93">
        <v>2</v>
      </c>
      <c r="R93">
        <v>232</v>
      </c>
      <c r="S93" t="s">
        <v>2067</v>
      </c>
      <c r="U93" t="str">
        <f t="shared" si="1"/>
        <v/>
      </c>
      <c r="W93">
        <f>Digits_pres_final[[#This Row],[kan_params]]</f>
        <v>76724</v>
      </c>
      <c r="X93">
        <f>Digits_pres_final[[#This Row],[kan_test_acc]]</f>
        <v>0.97981480757395434</v>
      </c>
      <c r="Y93">
        <f>Digits_pres_final[[#This Row],[mlp_test_acc]]</f>
        <v>0.96870370370370362</v>
      </c>
      <c r="Z93">
        <f>Digits_pres_final[[#This Row],[mlp_test_acc2]]</f>
        <v>0.97185185185185186</v>
      </c>
    </row>
    <row r="94" spans="1:26" hidden="1" x14ac:dyDescent="0.25">
      <c r="A94" t="s">
        <v>1979</v>
      </c>
      <c r="B94">
        <v>3</v>
      </c>
      <c r="C94">
        <v>2</v>
      </c>
      <c r="D94">
        <v>0</v>
      </c>
      <c r="E94" t="s">
        <v>2260</v>
      </c>
      <c r="F94">
        <v>76944</v>
      </c>
      <c r="G94">
        <v>457460965.5</v>
      </c>
      <c r="H94">
        <v>0.97407406568527222</v>
      </c>
      <c r="I94">
        <v>0.95185185185185184</v>
      </c>
      <c r="J94">
        <v>29549635.833333336</v>
      </c>
      <c r="K94">
        <v>124519</v>
      </c>
      <c r="L94">
        <v>2</v>
      </c>
      <c r="M94">
        <v>231</v>
      </c>
      <c r="N94">
        <v>0.95203703703703701</v>
      </c>
      <c r="O94">
        <v>29186840.333333336</v>
      </c>
      <c r="P94">
        <v>125522</v>
      </c>
      <c r="Q94">
        <v>2</v>
      </c>
      <c r="R94">
        <v>232</v>
      </c>
      <c r="S94" t="s">
        <v>2261</v>
      </c>
      <c r="U94" t="str">
        <f t="shared" si="1"/>
        <v/>
      </c>
      <c r="W94">
        <f>Digits_pres_final[[#This Row],[kan_params]]</f>
        <v>76944</v>
      </c>
      <c r="X94">
        <f>Digits_pres_final[[#This Row],[kan_test_acc]]</f>
        <v>0.97407406568527222</v>
      </c>
      <c r="Y94">
        <f>Digits_pres_final[[#This Row],[mlp_test_acc]]</f>
        <v>0.95185185185185184</v>
      </c>
      <c r="Z94">
        <f>Digits_pres_final[[#This Row],[mlp_test_acc2]]</f>
        <v>0.95203703703703701</v>
      </c>
    </row>
    <row r="95" spans="1:26" x14ac:dyDescent="0.25">
      <c r="A95" t="s">
        <v>1979</v>
      </c>
      <c r="B95">
        <v>3</v>
      </c>
      <c r="C95">
        <v>4</v>
      </c>
      <c r="D95">
        <v>0</v>
      </c>
      <c r="E95" t="s">
        <v>1980</v>
      </c>
      <c r="F95">
        <v>77074</v>
      </c>
      <c r="G95">
        <v>70623281.666666672</v>
      </c>
      <c r="H95">
        <v>0.95870371162891388</v>
      </c>
      <c r="I95">
        <v>0.95518518518518525</v>
      </c>
      <c r="J95">
        <v>16324777.916666666</v>
      </c>
      <c r="K95">
        <v>145339</v>
      </c>
      <c r="L95">
        <v>2</v>
      </c>
      <c r="M95">
        <v>251</v>
      </c>
      <c r="N95">
        <v>0.9555555555555556</v>
      </c>
      <c r="O95">
        <v>16326509.416666666</v>
      </c>
      <c r="P95">
        <v>146422</v>
      </c>
      <c r="Q95">
        <v>2</v>
      </c>
      <c r="R95">
        <v>252</v>
      </c>
      <c r="S95" t="s">
        <v>2579</v>
      </c>
      <c r="U95" t="str">
        <f t="shared" si="1"/>
        <v/>
      </c>
      <c r="W95">
        <f>Digits_pres_final[[#This Row],[kan_params]]</f>
        <v>77074</v>
      </c>
      <c r="X95">
        <f>Digits_pres_final[[#This Row],[kan_test_acc]]</f>
        <v>0.95870371162891388</v>
      </c>
      <c r="Y95">
        <f>Digits_pres_final[[#This Row],[mlp_test_acc]]</f>
        <v>0.95518518518518525</v>
      </c>
      <c r="Z95">
        <f>Digits_pres_final[[#This Row],[mlp_test_acc2]]</f>
        <v>0.9555555555555556</v>
      </c>
    </row>
    <row r="96" spans="1:26" hidden="1" x14ac:dyDescent="0.25">
      <c r="A96" t="s">
        <v>1979</v>
      </c>
      <c r="B96">
        <v>3</v>
      </c>
      <c r="C96">
        <v>2</v>
      </c>
      <c r="D96">
        <v>0</v>
      </c>
      <c r="E96" t="s">
        <v>2006</v>
      </c>
      <c r="F96">
        <v>77100</v>
      </c>
      <c r="G96">
        <v>164343647.5</v>
      </c>
      <c r="H96">
        <v>0.97203703224658966</v>
      </c>
      <c r="I96">
        <v>0.97240740740740739</v>
      </c>
      <c r="J96">
        <v>24837395.083333332</v>
      </c>
      <c r="K96">
        <v>124519</v>
      </c>
      <c r="L96">
        <v>2</v>
      </c>
      <c r="M96">
        <v>231</v>
      </c>
      <c r="N96">
        <v>0.97092592592592597</v>
      </c>
      <c r="O96">
        <v>23456411.166666664</v>
      </c>
      <c r="P96">
        <v>125522</v>
      </c>
      <c r="Q96">
        <v>2</v>
      </c>
      <c r="R96">
        <v>232</v>
      </c>
      <c r="S96" t="s">
        <v>2007</v>
      </c>
      <c r="U96" t="str">
        <f t="shared" si="1"/>
        <v/>
      </c>
      <c r="W96">
        <f>Digits_pres_final[[#This Row],[kan_params]]</f>
        <v>77100</v>
      </c>
      <c r="X96">
        <f>Digits_pres_final[[#This Row],[kan_test_acc]]</f>
        <v>0.97203703224658966</v>
      </c>
      <c r="Y96">
        <f>Digits_pres_final[[#This Row],[mlp_test_acc]]</f>
        <v>0.97240740740740739</v>
      </c>
      <c r="Z96">
        <f>Digits_pres_final[[#This Row],[mlp_test_acc2]]</f>
        <v>0.97092592592592597</v>
      </c>
    </row>
    <row r="97" spans="1:26" hidden="1" x14ac:dyDescent="0.25">
      <c r="A97" t="s">
        <v>1979</v>
      </c>
      <c r="B97">
        <v>3</v>
      </c>
      <c r="C97">
        <v>3</v>
      </c>
      <c r="D97">
        <v>0</v>
      </c>
      <c r="E97" t="s">
        <v>1992</v>
      </c>
      <c r="F97">
        <v>77382</v>
      </c>
      <c r="G97">
        <v>113269426.91666666</v>
      </c>
      <c r="H97">
        <v>0.95814814666906989</v>
      </c>
      <c r="I97">
        <v>0.96518518518518515</v>
      </c>
      <c r="J97">
        <v>22922669.833333336</v>
      </c>
      <c r="K97">
        <v>136819</v>
      </c>
      <c r="L97">
        <v>2</v>
      </c>
      <c r="M97">
        <v>243</v>
      </c>
      <c r="N97">
        <v>0.96500000000000008</v>
      </c>
      <c r="O97">
        <v>22805009</v>
      </c>
      <c r="P97">
        <v>137870</v>
      </c>
      <c r="Q97">
        <v>2</v>
      </c>
      <c r="R97">
        <v>244</v>
      </c>
      <c r="S97" t="s">
        <v>2398</v>
      </c>
      <c r="U97" t="str">
        <f t="shared" si="1"/>
        <v/>
      </c>
      <c r="W97">
        <f>Digits_pres_final[[#This Row],[kan_params]]</f>
        <v>77382</v>
      </c>
      <c r="X97">
        <f>Digits_pres_final[[#This Row],[kan_test_acc]]</f>
        <v>0.95814814666906989</v>
      </c>
      <c r="Y97">
        <f>Digits_pres_final[[#This Row],[mlp_test_acc]]</f>
        <v>0.96518518518518515</v>
      </c>
      <c r="Z97">
        <f>Digits_pres_final[[#This Row],[mlp_test_acc2]]</f>
        <v>0.96500000000000008</v>
      </c>
    </row>
    <row r="98" spans="1:26" hidden="1" x14ac:dyDescent="0.25">
      <c r="A98" t="s">
        <v>1979</v>
      </c>
      <c r="B98">
        <v>3</v>
      </c>
      <c r="C98">
        <v>2</v>
      </c>
      <c r="D98">
        <v>0</v>
      </c>
      <c r="E98" t="s">
        <v>2196</v>
      </c>
      <c r="F98">
        <v>77394</v>
      </c>
      <c r="G98">
        <v>331731310</v>
      </c>
      <c r="H98">
        <v>0.97296296060085297</v>
      </c>
      <c r="I98">
        <v>0.96796296296296291</v>
      </c>
      <c r="J98">
        <v>24721042.833333336</v>
      </c>
      <c r="K98">
        <v>125522</v>
      </c>
      <c r="L98">
        <v>2</v>
      </c>
      <c r="M98">
        <v>232</v>
      </c>
      <c r="N98">
        <v>0.97185185185185197</v>
      </c>
      <c r="O98">
        <v>24594980.583333336</v>
      </c>
      <c r="P98">
        <v>126529</v>
      </c>
      <c r="Q98">
        <v>2</v>
      </c>
      <c r="R98">
        <v>233</v>
      </c>
      <c r="S98" t="s">
        <v>2197</v>
      </c>
      <c r="U98" t="str">
        <f t="shared" si="1"/>
        <v/>
      </c>
      <c r="W98">
        <f>Digits_pres_final[[#This Row],[kan_params]]</f>
        <v>77394</v>
      </c>
      <c r="X98">
        <f>Digits_pres_final[[#This Row],[kan_test_acc]]</f>
        <v>0.97296296060085297</v>
      </c>
      <c r="Y98">
        <f>Digits_pres_final[[#This Row],[mlp_test_acc]]</f>
        <v>0.96796296296296291</v>
      </c>
      <c r="Z98">
        <f>Digits_pres_final[[#This Row],[mlp_test_acc2]]</f>
        <v>0.97185185185185197</v>
      </c>
    </row>
    <row r="99" spans="1:26" hidden="1" x14ac:dyDescent="0.25">
      <c r="A99" t="s">
        <v>1979</v>
      </c>
      <c r="B99">
        <v>3</v>
      </c>
      <c r="C99">
        <v>2</v>
      </c>
      <c r="D99">
        <v>0</v>
      </c>
      <c r="E99" t="s">
        <v>2132</v>
      </c>
      <c r="F99">
        <v>77716</v>
      </c>
      <c r="G99">
        <v>285458067.33333331</v>
      </c>
      <c r="H99">
        <v>0.9722222238779068</v>
      </c>
      <c r="I99">
        <v>0.95666666666666667</v>
      </c>
      <c r="J99">
        <v>23719817.166666664</v>
      </c>
      <c r="K99">
        <v>125522</v>
      </c>
      <c r="L99">
        <v>2</v>
      </c>
      <c r="M99">
        <v>232</v>
      </c>
      <c r="N99">
        <v>0.95833333333333326</v>
      </c>
      <c r="O99">
        <v>23350749.333333332</v>
      </c>
      <c r="P99">
        <v>126529</v>
      </c>
      <c r="Q99">
        <v>2</v>
      </c>
      <c r="R99">
        <v>233</v>
      </c>
      <c r="S99" t="s">
        <v>2133</v>
      </c>
      <c r="U99" t="str">
        <f t="shared" si="1"/>
        <v/>
      </c>
      <c r="W99">
        <f>Digits_pres_final[[#This Row],[kan_params]]</f>
        <v>77716</v>
      </c>
      <c r="X99">
        <f>Digits_pres_final[[#This Row],[kan_test_acc]]</f>
        <v>0.9722222238779068</v>
      </c>
      <c r="Y99">
        <f>Digits_pres_final[[#This Row],[mlp_test_acc]]</f>
        <v>0.95666666666666667</v>
      </c>
      <c r="Z99">
        <f>Digits_pres_final[[#This Row],[mlp_test_acc2]]</f>
        <v>0.95833333333333326</v>
      </c>
    </row>
    <row r="100" spans="1:26" hidden="1" x14ac:dyDescent="0.25">
      <c r="A100" t="s">
        <v>1979</v>
      </c>
      <c r="B100">
        <v>3</v>
      </c>
      <c r="C100">
        <v>2</v>
      </c>
      <c r="D100">
        <v>0</v>
      </c>
      <c r="E100" t="s">
        <v>2068</v>
      </c>
      <c r="F100">
        <v>77910</v>
      </c>
      <c r="G100">
        <v>316727918.91666669</v>
      </c>
      <c r="H100">
        <v>0.97870370248953509</v>
      </c>
      <c r="I100">
        <v>0.96722222222222221</v>
      </c>
      <c r="J100">
        <v>23551283.166666668</v>
      </c>
      <c r="K100">
        <v>125522</v>
      </c>
      <c r="L100">
        <v>2</v>
      </c>
      <c r="M100">
        <v>232</v>
      </c>
      <c r="N100">
        <v>0.97166666666666668</v>
      </c>
      <c r="O100">
        <v>24823776.083333332</v>
      </c>
      <c r="P100">
        <v>126529</v>
      </c>
      <c r="Q100">
        <v>2</v>
      </c>
      <c r="R100">
        <v>233</v>
      </c>
      <c r="S100" t="s">
        <v>2069</v>
      </c>
      <c r="U100" t="str">
        <f t="shared" si="1"/>
        <v/>
      </c>
      <c r="W100">
        <f>Digits_pres_final[[#This Row],[kan_params]]</f>
        <v>77910</v>
      </c>
      <c r="X100">
        <f>Digits_pres_final[[#This Row],[kan_test_acc]]</f>
        <v>0.97870370248953509</v>
      </c>
      <c r="Y100">
        <f>Digits_pres_final[[#This Row],[mlp_test_acc]]</f>
        <v>0.96722222222222221</v>
      </c>
      <c r="Z100">
        <f>Digits_pres_final[[#This Row],[mlp_test_acc2]]</f>
        <v>0.97166666666666668</v>
      </c>
    </row>
    <row r="101" spans="1:26" hidden="1" x14ac:dyDescent="0.25">
      <c r="A101" t="s">
        <v>1979</v>
      </c>
      <c r="B101">
        <v>3</v>
      </c>
      <c r="C101">
        <v>2</v>
      </c>
      <c r="D101">
        <v>0</v>
      </c>
      <c r="E101" t="s">
        <v>2262</v>
      </c>
      <c r="F101">
        <v>78226</v>
      </c>
      <c r="G101">
        <v>293949691.83333331</v>
      </c>
      <c r="H101">
        <v>0.98037036259969068</v>
      </c>
      <c r="I101">
        <v>0.96574074074074079</v>
      </c>
      <c r="J101">
        <v>21907964.75</v>
      </c>
      <c r="K101">
        <v>126529</v>
      </c>
      <c r="L101">
        <v>2</v>
      </c>
      <c r="M101">
        <v>233</v>
      </c>
      <c r="N101">
        <v>0.96574074074074079</v>
      </c>
      <c r="O101">
        <v>21155551.166666668</v>
      </c>
      <c r="P101">
        <v>127540</v>
      </c>
      <c r="Q101">
        <v>2</v>
      </c>
      <c r="R101">
        <v>234</v>
      </c>
      <c r="S101" t="s">
        <v>2263</v>
      </c>
      <c r="U101" t="str">
        <f t="shared" si="1"/>
        <v/>
      </c>
      <c r="W101">
        <f>Digits_pres_final[[#This Row],[kan_params]]</f>
        <v>78226</v>
      </c>
      <c r="X101">
        <f>Digits_pres_final[[#This Row],[kan_test_acc]]</f>
        <v>0.98037036259969068</v>
      </c>
      <c r="Y101">
        <f>Digits_pres_final[[#This Row],[mlp_test_acc]]</f>
        <v>0.96574074074074079</v>
      </c>
      <c r="Z101">
        <f>Digits_pres_final[[#This Row],[mlp_test_acc2]]</f>
        <v>0.96574074074074079</v>
      </c>
    </row>
    <row r="102" spans="1:26" x14ac:dyDescent="0.25">
      <c r="A102" t="s">
        <v>1979</v>
      </c>
      <c r="B102">
        <v>3</v>
      </c>
      <c r="C102">
        <v>4</v>
      </c>
      <c r="D102">
        <v>0</v>
      </c>
      <c r="E102" t="s">
        <v>1982</v>
      </c>
      <c r="F102">
        <v>78556</v>
      </c>
      <c r="G102">
        <v>69793313.333333343</v>
      </c>
      <c r="H102">
        <v>0.9607407351334889</v>
      </c>
      <c r="I102">
        <v>0.9555555555555556</v>
      </c>
      <c r="J102">
        <v>16466274.583333332</v>
      </c>
      <c r="K102">
        <v>148600</v>
      </c>
      <c r="L102">
        <v>2</v>
      </c>
      <c r="M102">
        <v>254</v>
      </c>
      <c r="N102">
        <v>0.95370370370370372</v>
      </c>
      <c r="O102">
        <v>16976401.416666668</v>
      </c>
      <c r="P102">
        <v>149695</v>
      </c>
      <c r="Q102">
        <v>2</v>
      </c>
      <c r="R102">
        <v>255</v>
      </c>
      <c r="S102" t="s">
        <v>2580</v>
      </c>
      <c r="U102" t="str">
        <f t="shared" si="1"/>
        <v/>
      </c>
      <c r="W102">
        <f>Digits_pres_final[[#This Row],[kan_params]]</f>
        <v>78556</v>
      </c>
      <c r="X102">
        <f>Digits_pres_final[[#This Row],[kan_test_acc]]</f>
        <v>0.9607407351334889</v>
      </c>
      <c r="Y102">
        <f>Digits_pres_final[[#This Row],[mlp_test_acc]]</f>
        <v>0.9555555555555556</v>
      </c>
      <c r="Z102">
        <f>Digits_pres_final[[#This Row],[mlp_test_acc2]]</f>
        <v>0.95370370370370372</v>
      </c>
    </row>
    <row r="103" spans="1:26" hidden="1" x14ac:dyDescent="0.25">
      <c r="A103" t="s">
        <v>1979</v>
      </c>
      <c r="B103">
        <v>3</v>
      </c>
      <c r="C103">
        <v>2</v>
      </c>
      <c r="D103">
        <v>0</v>
      </c>
      <c r="E103" t="s">
        <v>2198</v>
      </c>
      <c r="F103">
        <v>78644</v>
      </c>
      <c r="G103">
        <v>325886364</v>
      </c>
      <c r="H103">
        <v>0.97203703224658966</v>
      </c>
      <c r="I103">
        <v>0.96962962962962962</v>
      </c>
      <c r="J103">
        <v>24523805.666666664</v>
      </c>
      <c r="K103">
        <v>127540</v>
      </c>
      <c r="L103">
        <v>2</v>
      </c>
      <c r="M103">
        <v>234</v>
      </c>
      <c r="N103">
        <v>0.97129629629629632</v>
      </c>
      <c r="O103">
        <v>24218730.583333336</v>
      </c>
      <c r="P103">
        <v>128555</v>
      </c>
      <c r="Q103">
        <v>2</v>
      </c>
      <c r="R103">
        <v>235</v>
      </c>
      <c r="S103" t="s">
        <v>2199</v>
      </c>
      <c r="U103" t="str">
        <f t="shared" si="1"/>
        <v/>
      </c>
      <c r="W103">
        <f>Digits_pres_final[[#This Row],[kan_params]]</f>
        <v>78644</v>
      </c>
      <c r="X103">
        <f>Digits_pres_final[[#This Row],[kan_test_acc]]</f>
        <v>0.97203703224658966</v>
      </c>
      <c r="Y103">
        <f>Digits_pres_final[[#This Row],[mlp_test_acc]]</f>
        <v>0.96962962962962962</v>
      </c>
      <c r="Z103">
        <f>Digits_pres_final[[#This Row],[mlp_test_acc2]]</f>
        <v>0.97129629629629632</v>
      </c>
    </row>
    <row r="104" spans="1:26" hidden="1" x14ac:dyDescent="0.25">
      <c r="A104" t="s">
        <v>1979</v>
      </c>
      <c r="B104">
        <v>3</v>
      </c>
      <c r="C104">
        <v>3</v>
      </c>
      <c r="D104">
        <v>0</v>
      </c>
      <c r="E104" t="s">
        <v>1994</v>
      </c>
      <c r="F104">
        <v>78716</v>
      </c>
      <c r="G104">
        <v>114607332.41666666</v>
      </c>
      <c r="H104">
        <v>0.96296296517054236</v>
      </c>
      <c r="I104">
        <v>0.96444444444444444</v>
      </c>
      <c r="J104">
        <v>23761932.916666664</v>
      </c>
      <c r="K104">
        <v>138925</v>
      </c>
      <c r="L104">
        <v>2</v>
      </c>
      <c r="M104">
        <v>245</v>
      </c>
      <c r="N104">
        <v>0.96370370370370373</v>
      </c>
      <c r="O104">
        <v>23431719.75</v>
      </c>
      <c r="P104">
        <v>139984</v>
      </c>
      <c r="Q104">
        <v>2</v>
      </c>
      <c r="R104">
        <v>246</v>
      </c>
      <c r="S104" t="s">
        <v>2399</v>
      </c>
      <c r="U104" t="str">
        <f t="shared" si="1"/>
        <v/>
      </c>
      <c r="W104">
        <f>Digits_pres_final[[#This Row],[kan_params]]</f>
        <v>78716</v>
      </c>
      <c r="X104">
        <f>Digits_pres_final[[#This Row],[kan_test_acc]]</f>
        <v>0.96296296517054236</v>
      </c>
      <c r="Y104">
        <f>Digits_pres_final[[#This Row],[mlp_test_acc]]</f>
        <v>0.96444444444444444</v>
      </c>
      <c r="Z104">
        <f>Digits_pres_final[[#This Row],[mlp_test_acc2]]</f>
        <v>0.96370370370370373</v>
      </c>
    </row>
    <row r="105" spans="1:26" hidden="1" x14ac:dyDescent="0.25">
      <c r="A105" t="s">
        <v>1979</v>
      </c>
      <c r="B105">
        <v>3</v>
      </c>
      <c r="C105">
        <v>2</v>
      </c>
      <c r="D105">
        <v>0</v>
      </c>
      <c r="E105" t="s">
        <v>2134</v>
      </c>
      <c r="F105">
        <v>78934</v>
      </c>
      <c r="G105">
        <v>309077070.41666663</v>
      </c>
      <c r="H105">
        <v>0.96722222367922472</v>
      </c>
      <c r="I105">
        <v>0.95611111111111113</v>
      </c>
      <c r="J105">
        <v>24120379</v>
      </c>
      <c r="K105">
        <v>127540</v>
      </c>
      <c r="L105">
        <v>2</v>
      </c>
      <c r="M105">
        <v>234</v>
      </c>
      <c r="N105">
        <v>0.95833333333333326</v>
      </c>
      <c r="O105">
        <v>23504195.25</v>
      </c>
      <c r="P105">
        <v>128555</v>
      </c>
      <c r="Q105">
        <v>2</v>
      </c>
      <c r="R105">
        <v>235</v>
      </c>
      <c r="S105" t="s">
        <v>2135</v>
      </c>
      <c r="U105" t="str">
        <f t="shared" si="1"/>
        <v/>
      </c>
      <c r="W105">
        <f>Digits_pres_final[[#This Row],[kan_params]]</f>
        <v>78934</v>
      </c>
      <c r="X105">
        <f>Digits_pres_final[[#This Row],[kan_test_acc]]</f>
        <v>0.96722222367922472</v>
      </c>
      <c r="Y105">
        <f>Digits_pres_final[[#This Row],[mlp_test_acc]]</f>
        <v>0.95611111111111113</v>
      </c>
      <c r="Z105">
        <f>Digits_pres_final[[#This Row],[mlp_test_acc2]]</f>
        <v>0.95833333333333326</v>
      </c>
    </row>
    <row r="106" spans="1:26" hidden="1" x14ac:dyDescent="0.25">
      <c r="A106" t="s">
        <v>1979</v>
      </c>
      <c r="B106">
        <v>3</v>
      </c>
      <c r="C106">
        <v>2</v>
      </c>
      <c r="D106">
        <v>0</v>
      </c>
      <c r="E106" t="s">
        <v>2326</v>
      </c>
      <c r="F106">
        <v>78994</v>
      </c>
      <c r="G106">
        <v>468047053.75</v>
      </c>
      <c r="H106">
        <v>0.96555555363496137</v>
      </c>
      <c r="I106">
        <v>0.94370370370370371</v>
      </c>
      <c r="J106">
        <v>29161250.5</v>
      </c>
      <c r="K106">
        <v>127540</v>
      </c>
      <c r="L106">
        <v>2</v>
      </c>
      <c r="M106">
        <v>234</v>
      </c>
      <c r="N106">
        <v>0.942962962962963</v>
      </c>
      <c r="O106">
        <v>29045863.833333332</v>
      </c>
      <c r="P106">
        <v>128555</v>
      </c>
      <c r="Q106">
        <v>2</v>
      </c>
      <c r="R106">
        <v>235</v>
      </c>
      <c r="S106" t="s">
        <v>2327</v>
      </c>
      <c r="U106" t="str">
        <f t="shared" si="1"/>
        <v/>
      </c>
      <c r="W106">
        <f>Digits_pres_final[[#This Row],[kan_params]]</f>
        <v>78994</v>
      </c>
      <c r="X106">
        <f>Digits_pres_final[[#This Row],[kan_test_acc]]</f>
        <v>0.96555555363496137</v>
      </c>
      <c r="Y106">
        <f>Digits_pres_final[[#This Row],[mlp_test_acc]]</f>
        <v>0.94370370370370371</v>
      </c>
      <c r="Z106">
        <f>Digits_pres_final[[#This Row],[mlp_test_acc2]]</f>
        <v>0.942962962962963</v>
      </c>
    </row>
    <row r="107" spans="1:26" hidden="1" x14ac:dyDescent="0.25">
      <c r="A107" t="s">
        <v>1979</v>
      </c>
      <c r="B107">
        <v>3</v>
      </c>
      <c r="C107">
        <v>2</v>
      </c>
      <c r="D107">
        <v>0</v>
      </c>
      <c r="E107" t="s">
        <v>2070</v>
      </c>
      <c r="F107">
        <v>79096</v>
      </c>
      <c r="G107">
        <v>330655852.25</v>
      </c>
      <c r="H107">
        <v>0.98055555423100782</v>
      </c>
      <c r="I107">
        <v>0.96796296296296291</v>
      </c>
      <c r="J107">
        <v>23817461</v>
      </c>
      <c r="K107">
        <v>127540</v>
      </c>
      <c r="L107">
        <v>2</v>
      </c>
      <c r="M107">
        <v>234</v>
      </c>
      <c r="N107">
        <v>0.97185185185185186</v>
      </c>
      <c r="O107">
        <v>24216236.666666664</v>
      </c>
      <c r="P107">
        <v>128555</v>
      </c>
      <c r="Q107">
        <v>2</v>
      </c>
      <c r="R107">
        <v>235</v>
      </c>
      <c r="S107" t="s">
        <v>2071</v>
      </c>
      <c r="U107" t="str">
        <f t="shared" si="1"/>
        <v/>
      </c>
      <c r="W107">
        <f>Digits_pres_final[[#This Row],[kan_params]]</f>
        <v>79096</v>
      </c>
      <c r="X107">
        <f>Digits_pres_final[[#This Row],[kan_test_acc]]</f>
        <v>0.98055555423100782</v>
      </c>
      <c r="Y107">
        <f>Digits_pres_final[[#This Row],[mlp_test_acc]]</f>
        <v>0.96796296296296291</v>
      </c>
      <c r="Z107">
        <f>Digits_pres_final[[#This Row],[mlp_test_acc2]]</f>
        <v>0.97185185185185186</v>
      </c>
    </row>
    <row r="108" spans="1:26" hidden="1" x14ac:dyDescent="0.25">
      <c r="A108" t="s">
        <v>1979</v>
      </c>
      <c r="B108">
        <v>3</v>
      </c>
      <c r="C108">
        <v>2</v>
      </c>
      <c r="D108">
        <v>0</v>
      </c>
      <c r="E108" t="s">
        <v>2264</v>
      </c>
      <c r="F108">
        <v>79508</v>
      </c>
      <c r="G108">
        <v>174661956.66666666</v>
      </c>
      <c r="H108">
        <v>0.98944443960984541</v>
      </c>
      <c r="I108">
        <v>0.97981481481481481</v>
      </c>
      <c r="J108">
        <v>14562771.416666668</v>
      </c>
      <c r="K108">
        <v>128555</v>
      </c>
      <c r="L108">
        <v>2</v>
      </c>
      <c r="M108">
        <v>235</v>
      </c>
      <c r="N108">
        <v>0.98037037037037034</v>
      </c>
      <c r="O108">
        <v>14393030.416666666</v>
      </c>
      <c r="P108">
        <v>129574</v>
      </c>
      <c r="Q108">
        <v>2</v>
      </c>
      <c r="R108">
        <v>236</v>
      </c>
      <c r="S108" t="s">
        <v>2265</v>
      </c>
      <c r="U108" t="str">
        <f t="shared" si="1"/>
        <v/>
      </c>
      <c r="W108">
        <f>Digits_pres_final[[#This Row],[kan_params]]</f>
        <v>79508</v>
      </c>
      <c r="X108">
        <f>Digits_pres_final[[#This Row],[kan_test_acc]]</f>
        <v>0.98944443960984541</v>
      </c>
      <c r="Y108">
        <f>Digits_pres_final[[#This Row],[mlp_test_acc]]</f>
        <v>0.97981481481481481</v>
      </c>
      <c r="Z108">
        <f>Digits_pres_final[[#This Row],[mlp_test_acc2]]</f>
        <v>0.98037037037037034</v>
      </c>
    </row>
    <row r="109" spans="1:26" hidden="1" x14ac:dyDescent="0.25">
      <c r="A109" t="s">
        <v>1979</v>
      </c>
      <c r="B109">
        <v>3</v>
      </c>
      <c r="C109">
        <v>3</v>
      </c>
      <c r="D109">
        <v>0</v>
      </c>
      <c r="E109" t="s">
        <v>2056</v>
      </c>
      <c r="F109">
        <v>79626</v>
      </c>
      <c r="G109">
        <v>391809151.5</v>
      </c>
      <c r="H109">
        <v>0.97037037213643385</v>
      </c>
      <c r="I109">
        <v>0.96148148148148138</v>
      </c>
      <c r="J109">
        <v>33464077.833333336</v>
      </c>
      <c r="K109">
        <v>141047</v>
      </c>
      <c r="L109">
        <v>2</v>
      </c>
      <c r="M109">
        <v>247</v>
      </c>
      <c r="N109">
        <v>0.96203703703703702</v>
      </c>
      <c r="O109">
        <v>33727664.25</v>
      </c>
      <c r="P109">
        <v>142114</v>
      </c>
      <c r="Q109">
        <v>2</v>
      </c>
      <c r="R109">
        <v>248</v>
      </c>
      <c r="S109" t="s">
        <v>2421</v>
      </c>
      <c r="U109" t="str">
        <f t="shared" si="1"/>
        <v/>
      </c>
      <c r="W109">
        <f>Digits_pres_final[[#This Row],[kan_params]]</f>
        <v>79626</v>
      </c>
      <c r="X109">
        <f>Digits_pres_final[[#This Row],[kan_test_acc]]</f>
        <v>0.97037037213643385</v>
      </c>
      <c r="Y109">
        <f>Digits_pres_final[[#This Row],[mlp_test_acc]]</f>
        <v>0.96148148148148138</v>
      </c>
      <c r="Z109">
        <f>Digits_pres_final[[#This Row],[mlp_test_acc2]]</f>
        <v>0.96203703703703702</v>
      </c>
    </row>
    <row r="110" spans="1:26" hidden="1" x14ac:dyDescent="0.25">
      <c r="A110" t="s">
        <v>1979</v>
      </c>
      <c r="B110">
        <v>3</v>
      </c>
      <c r="C110">
        <v>2</v>
      </c>
      <c r="D110">
        <v>0</v>
      </c>
      <c r="E110" t="s">
        <v>2200</v>
      </c>
      <c r="F110">
        <v>79894</v>
      </c>
      <c r="G110">
        <v>324137527.25</v>
      </c>
      <c r="H110">
        <v>0.97407407065232587</v>
      </c>
      <c r="I110">
        <v>0.97111111111111104</v>
      </c>
      <c r="J110">
        <v>24531571.916666664</v>
      </c>
      <c r="K110">
        <v>129574</v>
      </c>
      <c r="L110">
        <v>2</v>
      </c>
      <c r="M110">
        <v>236</v>
      </c>
      <c r="N110">
        <v>0.97129629629629632</v>
      </c>
      <c r="O110">
        <v>23783050.583333336</v>
      </c>
      <c r="P110">
        <v>130597</v>
      </c>
      <c r="Q110">
        <v>2</v>
      </c>
      <c r="R110">
        <v>237</v>
      </c>
      <c r="S110" t="s">
        <v>2201</v>
      </c>
      <c r="U110" t="str">
        <f t="shared" si="1"/>
        <v/>
      </c>
      <c r="W110">
        <f>Digits_pres_final[[#This Row],[kan_params]]</f>
        <v>79894</v>
      </c>
      <c r="X110">
        <f>Digits_pres_final[[#This Row],[kan_test_acc]]</f>
        <v>0.97407407065232587</v>
      </c>
      <c r="Y110">
        <f>Digits_pres_final[[#This Row],[mlp_test_acc]]</f>
        <v>0.97111111111111104</v>
      </c>
      <c r="Z110">
        <f>Digits_pres_final[[#This Row],[mlp_test_acc2]]</f>
        <v>0.97129629629629632</v>
      </c>
    </row>
    <row r="111" spans="1:26" x14ac:dyDescent="0.25">
      <c r="A111" t="s">
        <v>1979</v>
      </c>
      <c r="B111">
        <v>3</v>
      </c>
      <c r="C111">
        <v>4</v>
      </c>
      <c r="D111">
        <v>0</v>
      </c>
      <c r="E111" t="s">
        <v>1984</v>
      </c>
      <c r="F111">
        <v>80038</v>
      </c>
      <c r="G111">
        <v>71219263.916666657</v>
      </c>
      <c r="H111">
        <v>0.9612962851921717</v>
      </c>
      <c r="I111">
        <v>0.95740740740740748</v>
      </c>
      <c r="J111">
        <v>16388889.333333332</v>
      </c>
      <c r="K111">
        <v>151897</v>
      </c>
      <c r="L111">
        <v>2</v>
      </c>
      <c r="M111">
        <v>257</v>
      </c>
      <c r="N111">
        <v>0.95629629629629631</v>
      </c>
      <c r="O111">
        <v>16839327.583333336</v>
      </c>
      <c r="P111">
        <v>153004</v>
      </c>
      <c r="Q111">
        <v>2</v>
      </c>
      <c r="R111">
        <v>258</v>
      </c>
      <c r="S111" t="s">
        <v>2581</v>
      </c>
      <c r="U111" t="str">
        <f t="shared" si="1"/>
        <v/>
      </c>
      <c r="W111">
        <f>Digits_pres_final[[#This Row],[kan_params]]</f>
        <v>80038</v>
      </c>
      <c r="X111">
        <f>Digits_pres_final[[#This Row],[kan_test_acc]]</f>
        <v>0.9612962851921717</v>
      </c>
      <c r="Y111">
        <f>Digits_pres_final[[#This Row],[mlp_test_acc]]</f>
        <v>0.95740740740740748</v>
      </c>
      <c r="Z111">
        <f>Digits_pres_final[[#This Row],[mlp_test_acc2]]</f>
        <v>0.95629629629629631</v>
      </c>
    </row>
    <row r="112" spans="1:26" hidden="1" x14ac:dyDescent="0.25">
      <c r="A112" t="s">
        <v>1979</v>
      </c>
      <c r="B112">
        <v>3</v>
      </c>
      <c r="C112">
        <v>3</v>
      </c>
      <c r="D112">
        <v>0</v>
      </c>
      <c r="E112" t="s">
        <v>1996</v>
      </c>
      <c r="F112">
        <v>80050</v>
      </c>
      <c r="G112">
        <v>117593384.5</v>
      </c>
      <c r="H112">
        <v>0.96777777373790741</v>
      </c>
      <c r="I112">
        <v>0.96018518518518525</v>
      </c>
      <c r="J112">
        <v>23294171.333333332</v>
      </c>
      <c r="K112">
        <v>142114</v>
      </c>
      <c r="L112">
        <v>2</v>
      </c>
      <c r="M112">
        <v>248</v>
      </c>
      <c r="N112">
        <v>0.96018518518518525</v>
      </c>
      <c r="O112">
        <v>23596582</v>
      </c>
      <c r="P112">
        <v>143185</v>
      </c>
      <c r="Q112">
        <v>2</v>
      </c>
      <c r="R112">
        <v>249</v>
      </c>
      <c r="S112" t="s">
        <v>2400</v>
      </c>
      <c r="U112" t="str">
        <f t="shared" si="1"/>
        <v/>
      </c>
      <c r="W112">
        <f>Digits_pres_final[[#This Row],[kan_params]]</f>
        <v>80050</v>
      </c>
      <c r="X112">
        <f>Digits_pres_final[[#This Row],[kan_test_acc]]</f>
        <v>0.96777777373790741</v>
      </c>
      <c r="Y112">
        <f>Digits_pres_final[[#This Row],[mlp_test_acc]]</f>
        <v>0.96018518518518525</v>
      </c>
      <c r="Z112">
        <f>Digits_pres_final[[#This Row],[mlp_test_acc2]]</f>
        <v>0.96018518518518525</v>
      </c>
    </row>
    <row r="113" spans="1:26" hidden="1" x14ac:dyDescent="0.25">
      <c r="A113" t="s">
        <v>1979</v>
      </c>
      <c r="B113">
        <v>3</v>
      </c>
      <c r="C113">
        <v>2</v>
      </c>
      <c r="D113">
        <v>0</v>
      </c>
      <c r="E113" t="s">
        <v>2136</v>
      </c>
      <c r="F113">
        <v>80152</v>
      </c>
      <c r="G113">
        <v>302060307.91666663</v>
      </c>
      <c r="H113">
        <v>0.96759259204069781</v>
      </c>
      <c r="I113">
        <v>0.9598148148148149</v>
      </c>
      <c r="J113">
        <v>24782204.666666664</v>
      </c>
      <c r="K113">
        <v>129574</v>
      </c>
      <c r="L113">
        <v>2</v>
      </c>
      <c r="M113">
        <v>236</v>
      </c>
      <c r="N113">
        <v>0.95462962962962961</v>
      </c>
      <c r="O113">
        <v>24240498.166666668</v>
      </c>
      <c r="P113">
        <v>130597</v>
      </c>
      <c r="Q113">
        <v>2</v>
      </c>
      <c r="R113">
        <v>237</v>
      </c>
      <c r="S113" t="s">
        <v>2137</v>
      </c>
      <c r="U113" t="str">
        <f t="shared" si="1"/>
        <v/>
      </c>
      <c r="W113">
        <f>Digits_pres_final[[#This Row],[kan_params]]</f>
        <v>80152</v>
      </c>
      <c r="X113">
        <f>Digits_pres_final[[#This Row],[kan_test_acc]]</f>
        <v>0.96759259204069781</v>
      </c>
      <c r="Y113">
        <f>Digits_pres_final[[#This Row],[mlp_test_acc]]</f>
        <v>0.9598148148148149</v>
      </c>
      <c r="Z113">
        <f>Digits_pres_final[[#This Row],[mlp_test_acc2]]</f>
        <v>0.95462962962962961</v>
      </c>
    </row>
    <row r="114" spans="1:26" hidden="1" x14ac:dyDescent="0.25">
      <c r="A114" t="s">
        <v>1979</v>
      </c>
      <c r="B114">
        <v>3</v>
      </c>
      <c r="C114">
        <v>2</v>
      </c>
      <c r="D114">
        <v>0</v>
      </c>
      <c r="E114" t="s">
        <v>2072</v>
      </c>
      <c r="F114">
        <v>80282</v>
      </c>
      <c r="G114">
        <v>295319913.58333331</v>
      </c>
      <c r="H114">
        <v>0.97796296576658881</v>
      </c>
      <c r="I114">
        <v>0.96944444444444444</v>
      </c>
      <c r="J114">
        <v>24513034.583333332</v>
      </c>
      <c r="K114">
        <v>129574</v>
      </c>
      <c r="L114">
        <v>2</v>
      </c>
      <c r="M114">
        <v>236</v>
      </c>
      <c r="N114">
        <v>0.96962962962962962</v>
      </c>
      <c r="O114">
        <v>24385636.666666664</v>
      </c>
      <c r="P114">
        <v>130597</v>
      </c>
      <c r="Q114">
        <v>2</v>
      </c>
      <c r="R114">
        <v>237</v>
      </c>
      <c r="S114" t="s">
        <v>2073</v>
      </c>
      <c r="U114" t="str">
        <f t="shared" si="1"/>
        <v/>
      </c>
      <c r="W114">
        <f>Digits_pres_final[[#This Row],[kan_params]]</f>
        <v>80282</v>
      </c>
      <c r="X114">
        <f>Digits_pres_final[[#This Row],[kan_test_acc]]</f>
        <v>0.97796296576658881</v>
      </c>
      <c r="Y114">
        <f>Digits_pres_final[[#This Row],[mlp_test_acc]]</f>
        <v>0.96944444444444444</v>
      </c>
      <c r="Z114">
        <f>Digits_pres_final[[#This Row],[mlp_test_acc2]]</f>
        <v>0.96962962962962962</v>
      </c>
    </row>
    <row r="115" spans="1:26" hidden="1" x14ac:dyDescent="0.25">
      <c r="A115" t="s">
        <v>1979</v>
      </c>
      <c r="B115">
        <v>3</v>
      </c>
      <c r="C115">
        <v>2</v>
      </c>
      <c r="D115">
        <v>0</v>
      </c>
      <c r="E115" t="s">
        <v>2328</v>
      </c>
      <c r="F115">
        <v>80308</v>
      </c>
      <c r="G115">
        <v>371530186.16666663</v>
      </c>
      <c r="H115">
        <v>0.9707407305637995</v>
      </c>
      <c r="I115">
        <v>0.94444444444444442</v>
      </c>
      <c r="J115">
        <v>28287754.5</v>
      </c>
      <c r="K115">
        <v>129574</v>
      </c>
      <c r="L115">
        <v>2</v>
      </c>
      <c r="M115">
        <v>236</v>
      </c>
      <c r="N115">
        <v>0.942962962962963</v>
      </c>
      <c r="O115">
        <v>27614378.166666664</v>
      </c>
      <c r="P115">
        <v>130597</v>
      </c>
      <c r="Q115">
        <v>2</v>
      </c>
      <c r="R115">
        <v>237</v>
      </c>
      <c r="S115" t="s">
        <v>2329</v>
      </c>
      <c r="U115" t="str">
        <f t="shared" si="1"/>
        <v/>
      </c>
      <c r="W115">
        <f>Digits_pres_final[[#This Row],[kan_params]]</f>
        <v>80308</v>
      </c>
      <c r="X115">
        <f>Digits_pres_final[[#This Row],[kan_test_acc]]</f>
        <v>0.9707407305637995</v>
      </c>
      <c r="Y115">
        <f>Digits_pres_final[[#This Row],[mlp_test_acc]]</f>
        <v>0.94444444444444442</v>
      </c>
      <c r="Z115">
        <f>Digits_pres_final[[#This Row],[mlp_test_acc2]]</f>
        <v>0.942962962962963</v>
      </c>
    </row>
    <row r="116" spans="1:26" hidden="1" x14ac:dyDescent="0.25">
      <c r="A116" t="s">
        <v>1979</v>
      </c>
      <c r="B116">
        <v>3</v>
      </c>
      <c r="C116">
        <v>2</v>
      </c>
      <c r="D116">
        <v>0</v>
      </c>
      <c r="E116" t="s">
        <v>2266</v>
      </c>
      <c r="F116">
        <v>80790</v>
      </c>
      <c r="G116">
        <v>161540253.66666666</v>
      </c>
      <c r="H116">
        <v>0.98907407621542609</v>
      </c>
      <c r="I116">
        <v>0.97833333333333328</v>
      </c>
      <c r="J116">
        <v>14300796.333333334</v>
      </c>
      <c r="K116">
        <v>130597</v>
      </c>
      <c r="L116">
        <v>2</v>
      </c>
      <c r="M116">
        <v>237</v>
      </c>
      <c r="N116">
        <v>0.97888888888888892</v>
      </c>
      <c r="O116">
        <v>14722817.25</v>
      </c>
      <c r="P116">
        <v>131624</v>
      </c>
      <c r="Q116">
        <v>2</v>
      </c>
      <c r="R116">
        <v>238</v>
      </c>
      <c r="S116" t="s">
        <v>2267</v>
      </c>
      <c r="U116" t="str">
        <f t="shared" si="1"/>
        <v/>
      </c>
      <c r="W116">
        <f>Digits_pres_final[[#This Row],[kan_params]]</f>
        <v>80790</v>
      </c>
      <c r="X116">
        <f>Digits_pres_final[[#This Row],[kan_test_acc]]</f>
        <v>0.98907407621542609</v>
      </c>
      <c r="Y116">
        <f>Digits_pres_final[[#This Row],[mlp_test_acc]]</f>
        <v>0.97833333333333328</v>
      </c>
      <c r="Z116">
        <f>Digits_pres_final[[#This Row],[mlp_test_acc2]]</f>
        <v>0.97888888888888892</v>
      </c>
    </row>
    <row r="117" spans="1:26" hidden="1" x14ac:dyDescent="0.25">
      <c r="A117" t="s">
        <v>1979</v>
      </c>
      <c r="B117">
        <v>3</v>
      </c>
      <c r="C117">
        <v>3</v>
      </c>
      <c r="D117">
        <v>0</v>
      </c>
      <c r="E117" t="s">
        <v>2058</v>
      </c>
      <c r="F117">
        <v>80960</v>
      </c>
      <c r="G117">
        <v>311234691.83333331</v>
      </c>
      <c r="H117">
        <v>0.97500000894069672</v>
      </c>
      <c r="I117">
        <v>0.96351851851851844</v>
      </c>
      <c r="J117">
        <v>28473279.666666664</v>
      </c>
      <c r="K117">
        <v>143185</v>
      </c>
      <c r="L117">
        <v>2</v>
      </c>
      <c r="M117">
        <v>249</v>
      </c>
      <c r="N117">
        <v>0.96333333333333337</v>
      </c>
      <c r="O117">
        <v>27993017.416666664</v>
      </c>
      <c r="P117">
        <v>144260</v>
      </c>
      <c r="Q117">
        <v>2</v>
      </c>
      <c r="R117">
        <v>250</v>
      </c>
      <c r="S117" t="s">
        <v>2422</v>
      </c>
      <c r="U117" t="str">
        <f t="shared" si="1"/>
        <v/>
      </c>
      <c r="W117">
        <f>Digits_pres_final[[#This Row],[kan_params]]</f>
        <v>80960</v>
      </c>
      <c r="X117">
        <f>Digits_pres_final[[#This Row],[kan_test_acc]]</f>
        <v>0.97500000894069672</v>
      </c>
      <c r="Y117">
        <f>Digits_pres_final[[#This Row],[mlp_test_acc]]</f>
        <v>0.96351851851851844</v>
      </c>
      <c r="Z117">
        <f>Digits_pres_final[[#This Row],[mlp_test_acc2]]</f>
        <v>0.96333333333333337</v>
      </c>
    </row>
    <row r="118" spans="1:26" hidden="1" x14ac:dyDescent="0.25">
      <c r="A118" t="s">
        <v>1979</v>
      </c>
      <c r="B118">
        <v>3</v>
      </c>
      <c r="C118">
        <v>2</v>
      </c>
      <c r="D118">
        <v>0</v>
      </c>
      <c r="E118" t="s">
        <v>2202</v>
      </c>
      <c r="F118">
        <v>81144</v>
      </c>
      <c r="G118">
        <v>336109347.58333331</v>
      </c>
      <c r="H118">
        <v>0.97481481730937958</v>
      </c>
      <c r="I118">
        <v>0.97</v>
      </c>
      <c r="J118">
        <v>25148666</v>
      </c>
      <c r="K118">
        <v>131624</v>
      </c>
      <c r="L118">
        <v>2</v>
      </c>
      <c r="M118">
        <v>238</v>
      </c>
      <c r="N118">
        <v>0.97240740740740739</v>
      </c>
      <c r="O118">
        <v>24214413.583333336</v>
      </c>
      <c r="P118">
        <v>132655</v>
      </c>
      <c r="Q118">
        <v>2</v>
      </c>
      <c r="R118">
        <v>239</v>
      </c>
      <c r="S118" t="s">
        <v>2203</v>
      </c>
      <c r="U118" t="str">
        <f t="shared" si="1"/>
        <v/>
      </c>
      <c r="W118">
        <f>Digits_pres_final[[#This Row],[kan_params]]</f>
        <v>81144</v>
      </c>
      <c r="X118">
        <f>Digits_pres_final[[#This Row],[kan_test_acc]]</f>
        <v>0.97481481730937958</v>
      </c>
      <c r="Y118">
        <f>Digits_pres_final[[#This Row],[mlp_test_acc]]</f>
        <v>0.97</v>
      </c>
      <c r="Z118">
        <f>Digits_pres_final[[#This Row],[mlp_test_acc2]]</f>
        <v>0.97240740740740739</v>
      </c>
    </row>
    <row r="119" spans="1:26" hidden="1" x14ac:dyDescent="0.25">
      <c r="A119" t="s">
        <v>1979</v>
      </c>
      <c r="B119">
        <v>3</v>
      </c>
      <c r="C119">
        <v>2</v>
      </c>
      <c r="D119">
        <v>0</v>
      </c>
      <c r="E119" t="s">
        <v>2138</v>
      </c>
      <c r="F119">
        <v>81370</v>
      </c>
      <c r="G119">
        <v>276079406.33333331</v>
      </c>
      <c r="H119">
        <v>0.97481481234232592</v>
      </c>
      <c r="I119">
        <v>0.9598148148148149</v>
      </c>
      <c r="J119">
        <v>24805984.416666664</v>
      </c>
      <c r="K119">
        <v>131624</v>
      </c>
      <c r="L119">
        <v>2</v>
      </c>
      <c r="M119">
        <v>238</v>
      </c>
      <c r="N119">
        <v>0.95814814814814819</v>
      </c>
      <c r="O119">
        <v>24444686.5</v>
      </c>
      <c r="P119">
        <v>132655</v>
      </c>
      <c r="Q119">
        <v>2</v>
      </c>
      <c r="R119">
        <v>239</v>
      </c>
      <c r="S119" t="s">
        <v>2139</v>
      </c>
      <c r="U119" t="str">
        <f t="shared" si="1"/>
        <v/>
      </c>
      <c r="W119">
        <f>Digits_pres_final[[#This Row],[kan_params]]</f>
        <v>81370</v>
      </c>
      <c r="X119">
        <f>Digits_pres_final[[#This Row],[kan_test_acc]]</f>
        <v>0.97481481234232592</v>
      </c>
      <c r="Y119">
        <f>Digits_pres_final[[#This Row],[mlp_test_acc]]</f>
        <v>0.9598148148148149</v>
      </c>
      <c r="Z119">
        <f>Digits_pres_final[[#This Row],[mlp_test_acc2]]</f>
        <v>0.95814814814814819</v>
      </c>
    </row>
    <row r="120" spans="1:26" hidden="1" x14ac:dyDescent="0.25">
      <c r="A120" t="s">
        <v>1979</v>
      </c>
      <c r="B120">
        <v>3</v>
      </c>
      <c r="C120">
        <v>3</v>
      </c>
      <c r="D120">
        <v>0</v>
      </c>
      <c r="E120" t="s">
        <v>1998</v>
      </c>
      <c r="F120">
        <v>81384</v>
      </c>
      <c r="G120">
        <v>126621396.33333334</v>
      </c>
      <c r="H120">
        <v>0.96740740040938067</v>
      </c>
      <c r="I120">
        <v>0.96055555555555561</v>
      </c>
      <c r="J120">
        <v>22344825.333333332</v>
      </c>
      <c r="K120">
        <v>144260</v>
      </c>
      <c r="L120">
        <v>2</v>
      </c>
      <c r="M120">
        <v>250</v>
      </c>
      <c r="N120">
        <v>0.9562962962962962</v>
      </c>
      <c r="O120">
        <v>23386265.75</v>
      </c>
      <c r="P120">
        <v>145339</v>
      </c>
      <c r="Q120">
        <v>2</v>
      </c>
      <c r="R120">
        <v>251</v>
      </c>
      <c r="S120" t="s">
        <v>2401</v>
      </c>
      <c r="U120" t="str">
        <f t="shared" si="1"/>
        <v/>
      </c>
      <c r="W120">
        <f>Digits_pres_final[[#This Row],[kan_params]]</f>
        <v>81384</v>
      </c>
      <c r="X120">
        <f>Digits_pres_final[[#This Row],[kan_test_acc]]</f>
        <v>0.96740740040938067</v>
      </c>
      <c r="Y120">
        <f>Digits_pres_final[[#This Row],[mlp_test_acc]]</f>
        <v>0.96055555555555561</v>
      </c>
      <c r="Z120">
        <f>Digits_pres_final[[#This Row],[mlp_test_acc2]]</f>
        <v>0.9562962962962962</v>
      </c>
    </row>
    <row r="121" spans="1:26" hidden="1" x14ac:dyDescent="0.25">
      <c r="A121" t="s">
        <v>1979</v>
      </c>
      <c r="B121">
        <v>3</v>
      </c>
      <c r="C121">
        <v>2</v>
      </c>
      <c r="D121">
        <v>0</v>
      </c>
      <c r="E121" t="s">
        <v>2074</v>
      </c>
      <c r="F121">
        <v>81468</v>
      </c>
      <c r="G121">
        <v>312117125</v>
      </c>
      <c r="H121">
        <v>0.97333333392937971</v>
      </c>
      <c r="I121">
        <v>0.96444444444444444</v>
      </c>
      <c r="J121">
        <v>25916390</v>
      </c>
      <c r="K121">
        <v>131624</v>
      </c>
      <c r="L121">
        <v>2</v>
      </c>
      <c r="M121">
        <v>238</v>
      </c>
      <c r="N121">
        <v>0.96333333333333337</v>
      </c>
      <c r="O121">
        <v>26332913.333333332</v>
      </c>
      <c r="P121">
        <v>132655</v>
      </c>
      <c r="Q121">
        <v>2</v>
      </c>
      <c r="R121">
        <v>239</v>
      </c>
      <c r="S121" t="s">
        <v>2075</v>
      </c>
      <c r="U121" t="str">
        <f t="shared" si="1"/>
        <v/>
      </c>
      <c r="W121">
        <f>Digits_pres_final[[#This Row],[kan_params]]</f>
        <v>81468</v>
      </c>
      <c r="X121">
        <f>Digits_pres_final[[#This Row],[kan_test_acc]]</f>
        <v>0.97333333392937971</v>
      </c>
      <c r="Y121">
        <f>Digits_pres_final[[#This Row],[mlp_test_acc]]</f>
        <v>0.96444444444444444</v>
      </c>
      <c r="Z121">
        <f>Digits_pres_final[[#This Row],[mlp_test_acc2]]</f>
        <v>0.96333333333333337</v>
      </c>
    </row>
    <row r="122" spans="1:26" x14ac:dyDescent="0.25">
      <c r="A122" t="s">
        <v>1979</v>
      </c>
      <c r="B122">
        <v>3</v>
      </c>
      <c r="C122">
        <v>4</v>
      </c>
      <c r="D122">
        <v>0</v>
      </c>
      <c r="E122" t="s">
        <v>1986</v>
      </c>
      <c r="F122">
        <v>81520</v>
      </c>
      <c r="G122">
        <v>71482742.416666657</v>
      </c>
      <c r="H122">
        <v>0.96129629015922546</v>
      </c>
      <c r="I122">
        <v>0.95703703703703713</v>
      </c>
      <c r="J122">
        <v>16646221.083333332</v>
      </c>
      <c r="K122">
        <v>154115</v>
      </c>
      <c r="L122">
        <v>2</v>
      </c>
      <c r="M122">
        <v>259</v>
      </c>
      <c r="N122">
        <v>0.9598148148148149</v>
      </c>
      <c r="O122">
        <v>16822567.416666664</v>
      </c>
      <c r="P122">
        <v>155230</v>
      </c>
      <c r="Q122">
        <v>2</v>
      </c>
      <c r="R122">
        <v>260</v>
      </c>
      <c r="S122" t="s">
        <v>2582</v>
      </c>
      <c r="U122" t="str">
        <f t="shared" si="1"/>
        <v/>
      </c>
      <c r="W122">
        <f>Digits_pres_final[[#This Row],[kan_params]]</f>
        <v>81520</v>
      </c>
      <c r="X122">
        <f>Digits_pres_final[[#This Row],[kan_test_acc]]</f>
        <v>0.96129629015922546</v>
      </c>
      <c r="Y122">
        <f>Digits_pres_final[[#This Row],[mlp_test_acc]]</f>
        <v>0.95703703703703713</v>
      </c>
      <c r="Z122">
        <f>Digits_pres_final[[#This Row],[mlp_test_acc2]]</f>
        <v>0.9598148148148149</v>
      </c>
    </row>
    <row r="123" spans="1:26" hidden="1" x14ac:dyDescent="0.25">
      <c r="A123" t="s">
        <v>1979</v>
      </c>
      <c r="B123">
        <v>3</v>
      </c>
      <c r="C123">
        <v>2</v>
      </c>
      <c r="D123">
        <v>0</v>
      </c>
      <c r="E123" t="s">
        <v>2330</v>
      </c>
      <c r="F123">
        <v>81622</v>
      </c>
      <c r="G123">
        <v>298079188.33333331</v>
      </c>
      <c r="H123">
        <v>0.97407406568527222</v>
      </c>
      <c r="I123">
        <v>0.94518518518518513</v>
      </c>
      <c r="J123">
        <v>26714478.333333332</v>
      </c>
      <c r="K123">
        <v>131624</v>
      </c>
      <c r="L123">
        <v>2</v>
      </c>
      <c r="M123">
        <v>238</v>
      </c>
      <c r="N123">
        <v>0.94499999999999995</v>
      </c>
      <c r="O123">
        <v>26307534.416666664</v>
      </c>
      <c r="P123">
        <v>132655</v>
      </c>
      <c r="Q123">
        <v>2</v>
      </c>
      <c r="R123">
        <v>239</v>
      </c>
      <c r="S123" t="s">
        <v>2331</v>
      </c>
      <c r="U123" t="str">
        <f t="shared" si="1"/>
        <v/>
      </c>
      <c r="W123">
        <f>Digits_pres_final[[#This Row],[kan_params]]</f>
        <v>81622</v>
      </c>
      <c r="X123">
        <f>Digits_pres_final[[#This Row],[kan_test_acc]]</f>
        <v>0.97407406568527222</v>
      </c>
      <c r="Y123">
        <f>Digits_pres_final[[#This Row],[mlp_test_acc]]</f>
        <v>0.94518518518518513</v>
      </c>
      <c r="Z123">
        <f>Digits_pres_final[[#This Row],[mlp_test_acc2]]</f>
        <v>0.94499999999999995</v>
      </c>
    </row>
    <row r="124" spans="1:26" hidden="1" x14ac:dyDescent="0.25">
      <c r="A124" t="s">
        <v>1979</v>
      </c>
      <c r="B124">
        <v>3</v>
      </c>
      <c r="C124">
        <v>3</v>
      </c>
      <c r="D124">
        <v>0</v>
      </c>
      <c r="E124" t="s">
        <v>2124</v>
      </c>
      <c r="F124">
        <v>81932</v>
      </c>
      <c r="G124">
        <v>400105152</v>
      </c>
      <c r="H124">
        <v>0.9699999988079071</v>
      </c>
      <c r="I124">
        <v>0.96592592592592585</v>
      </c>
      <c r="J124">
        <v>32252858.083333336</v>
      </c>
      <c r="K124">
        <v>145339</v>
      </c>
      <c r="L124">
        <v>2</v>
      </c>
      <c r="M124">
        <v>251</v>
      </c>
      <c r="N124">
        <v>0.96888888888888891</v>
      </c>
      <c r="O124">
        <v>31932557.833333332</v>
      </c>
      <c r="P124">
        <v>146422</v>
      </c>
      <c r="Q124">
        <v>2</v>
      </c>
      <c r="R124">
        <v>252</v>
      </c>
      <c r="S124" t="s">
        <v>2454</v>
      </c>
      <c r="U124" t="str">
        <f t="shared" si="1"/>
        <v/>
      </c>
      <c r="W124">
        <f>Digits_pres_final[[#This Row],[kan_params]]</f>
        <v>81932</v>
      </c>
      <c r="X124">
        <f>Digits_pres_final[[#This Row],[kan_test_acc]]</f>
        <v>0.9699999988079071</v>
      </c>
      <c r="Y124">
        <f>Digits_pres_final[[#This Row],[mlp_test_acc]]</f>
        <v>0.96592592592592585</v>
      </c>
      <c r="Z124">
        <f>Digits_pres_final[[#This Row],[mlp_test_acc2]]</f>
        <v>0.96888888888888891</v>
      </c>
    </row>
    <row r="125" spans="1:26" hidden="1" x14ac:dyDescent="0.25">
      <c r="A125" t="s">
        <v>1979</v>
      </c>
      <c r="B125">
        <v>3</v>
      </c>
      <c r="C125">
        <v>2</v>
      </c>
      <c r="D125">
        <v>0</v>
      </c>
      <c r="E125" t="s">
        <v>2268</v>
      </c>
      <c r="F125">
        <v>82072</v>
      </c>
      <c r="G125">
        <v>178326712.5</v>
      </c>
      <c r="H125">
        <v>0.98814815282821655</v>
      </c>
      <c r="I125">
        <v>0.97666666666666668</v>
      </c>
      <c r="J125">
        <v>14662856.25</v>
      </c>
      <c r="K125">
        <v>132655</v>
      </c>
      <c r="L125">
        <v>2</v>
      </c>
      <c r="M125">
        <v>239</v>
      </c>
      <c r="N125">
        <v>0.97925925925925927</v>
      </c>
      <c r="O125">
        <v>15105461.666666668</v>
      </c>
      <c r="P125">
        <v>133690</v>
      </c>
      <c r="Q125">
        <v>2</v>
      </c>
      <c r="R125">
        <v>240</v>
      </c>
      <c r="S125" t="s">
        <v>2269</v>
      </c>
      <c r="U125" t="str">
        <f t="shared" si="1"/>
        <v/>
      </c>
      <c r="W125">
        <f>Digits_pres_final[[#This Row],[kan_params]]</f>
        <v>82072</v>
      </c>
      <c r="X125">
        <f>Digits_pres_final[[#This Row],[kan_test_acc]]</f>
        <v>0.98814815282821655</v>
      </c>
      <c r="Y125">
        <f>Digits_pres_final[[#This Row],[mlp_test_acc]]</f>
        <v>0.97666666666666668</v>
      </c>
      <c r="Z125">
        <f>Digits_pres_final[[#This Row],[mlp_test_acc2]]</f>
        <v>0.97925925925925927</v>
      </c>
    </row>
    <row r="126" spans="1:26" hidden="1" x14ac:dyDescent="0.25">
      <c r="A126" t="s">
        <v>1979</v>
      </c>
      <c r="B126">
        <v>3</v>
      </c>
      <c r="C126">
        <v>3</v>
      </c>
      <c r="D126">
        <v>0</v>
      </c>
      <c r="E126" t="s">
        <v>2060</v>
      </c>
      <c r="F126">
        <v>82294</v>
      </c>
      <c r="G126">
        <v>260982919.83333331</v>
      </c>
      <c r="H126">
        <v>0.97259259223937988</v>
      </c>
      <c r="I126">
        <v>0.96777777777777774</v>
      </c>
      <c r="J126">
        <v>23387705.5</v>
      </c>
      <c r="K126">
        <v>145339</v>
      </c>
      <c r="L126">
        <v>2</v>
      </c>
      <c r="M126">
        <v>251</v>
      </c>
      <c r="N126">
        <v>0.96333333333333337</v>
      </c>
      <c r="O126">
        <v>22994857.166666664</v>
      </c>
      <c r="P126">
        <v>146422</v>
      </c>
      <c r="Q126">
        <v>2</v>
      </c>
      <c r="R126">
        <v>252</v>
      </c>
      <c r="S126" t="s">
        <v>2423</v>
      </c>
      <c r="U126" t="str">
        <f t="shared" si="1"/>
        <v/>
      </c>
      <c r="W126">
        <f>Digits_pres_final[[#This Row],[kan_params]]</f>
        <v>82294</v>
      </c>
      <c r="X126">
        <f>Digits_pres_final[[#This Row],[kan_test_acc]]</f>
        <v>0.97259259223937988</v>
      </c>
      <c r="Y126">
        <f>Digits_pres_final[[#This Row],[mlp_test_acc]]</f>
        <v>0.96777777777777774</v>
      </c>
      <c r="Z126">
        <f>Digits_pres_final[[#This Row],[mlp_test_acc2]]</f>
        <v>0.96333333333333337</v>
      </c>
    </row>
    <row r="127" spans="1:26" hidden="1" x14ac:dyDescent="0.25">
      <c r="A127" t="s">
        <v>1979</v>
      </c>
      <c r="B127">
        <v>3</v>
      </c>
      <c r="C127">
        <v>2</v>
      </c>
      <c r="D127">
        <v>0</v>
      </c>
      <c r="E127" t="s">
        <v>2204</v>
      </c>
      <c r="F127">
        <v>82394</v>
      </c>
      <c r="G127">
        <v>344895786.08333331</v>
      </c>
      <c r="H127">
        <v>0.97537037233511614</v>
      </c>
      <c r="I127">
        <v>0.96907407407407409</v>
      </c>
      <c r="J127">
        <v>25830142.916666664</v>
      </c>
      <c r="K127">
        <v>133690</v>
      </c>
      <c r="L127">
        <v>2</v>
      </c>
      <c r="M127">
        <v>240</v>
      </c>
      <c r="N127">
        <v>0.97166666666666668</v>
      </c>
      <c r="O127">
        <v>24427898.166666664</v>
      </c>
      <c r="P127">
        <v>134729</v>
      </c>
      <c r="Q127">
        <v>2</v>
      </c>
      <c r="R127">
        <v>241</v>
      </c>
      <c r="S127" t="s">
        <v>2205</v>
      </c>
      <c r="U127" t="str">
        <f t="shared" si="1"/>
        <v/>
      </c>
      <c r="W127">
        <f>Digits_pres_final[[#This Row],[kan_params]]</f>
        <v>82394</v>
      </c>
      <c r="X127">
        <f>Digits_pres_final[[#This Row],[kan_test_acc]]</f>
        <v>0.97537037233511614</v>
      </c>
      <c r="Y127">
        <f>Digits_pres_final[[#This Row],[mlp_test_acc]]</f>
        <v>0.96907407407407409</v>
      </c>
      <c r="Z127">
        <f>Digits_pres_final[[#This Row],[mlp_test_acc2]]</f>
        <v>0.97166666666666668</v>
      </c>
    </row>
    <row r="128" spans="1:26" hidden="1" x14ac:dyDescent="0.25">
      <c r="A128" t="s">
        <v>1979</v>
      </c>
      <c r="B128">
        <v>3</v>
      </c>
      <c r="C128">
        <v>2</v>
      </c>
      <c r="D128">
        <v>0</v>
      </c>
      <c r="E128" t="s">
        <v>2140</v>
      </c>
      <c r="F128">
        <v>82588</v>
      </c>
      <c r="G128">
        <v>292495331.58333331</v>
      </c>
      <c r="H128">
        <v>0.97333332896232605</v>
      </c>
      <c r="I128">
        <v>0.9588888888888889</v>
      </c>
      <c r="J128">
        <v>24399960.333333336</v>
      </c>
      <c r="K128">
        <v>133690</v>
      </c>
      <c r="L128">
        <v>2</v>
      </c>
      <c r="M128">
        <v>240</v>
      </c>
      <c r="N128">
        <v>0.96185185185185185</v>
      </c>
      <c r="O128">
        <v>24643533.333333332</v>
      </c>
      <c r="P128">
        <v>134729</v>
      </c>
      <c r="Q128">
        <v>2</v>
      </c>
      <c r="R128">
        <v>241</v>
      </c>
      <c r="S128" t="s">
        <v>2141</v>
      </c>
      <c r="U128" t="str">
        <f t="shared" si="1"/>
        <v/>
      </c>
      <c r="W128">
        <f>Digits_pres_final[[#This Row],[kan_params]]</f>
        <v>82588</v>
      </c>
      <c r="X128">
        <f>Digits_pres_final[[#This Row],[kan_test_acc]]</f>
        <v>0.97333332896232605</v>
      </c>
      <c r="Y128">
        <f>Digits_pres_final[[#This Row],[mlp_test_acc]]</f>
        <v>0.9588888888888889</v>
      </c>
      <c r="Z128">
        <f>Digits_pres_final[[#This Row],[mlp_test_acc2]]</f>
        <v>0.96185185185185185</v>
      </c>
    </row>
    <row r="129" spans="1:26" hidden="1" x14ac:dyDescent="0.25">
      <c r="A129" t="s">
        <v>1979</v>
      </c>
      <c r="B129">
        <v>3</v>
      </c>
      <c r="C129">
        <v>2</v>
      </c>
      <c r="D129">
        <v>0</v>
      </c>
      <c r="E129" t="s">
        <v>2076</v>
      </c>
      <c r="F129">
        <v>82654</v>
      </c>
      <c r="G129">
        <v>346782149.66666669</v>
      </c>
      <c r="H129">
        <v>0.97240741054217028</v>
      </c>
      <c r="I129">
        <v>0.96111111111111103</v>
      </c>
      <c r="J129">
        <v>26435799.25</v>
      </c>
      <c r="K129">
        <v>133690</v>
      </c>
      <c r="L129">
        <v>2</v>
      </c>
      <c r="M129">
        <v>240</v>
      </c>
      <c r="N129">
        <v>0.95962962962962961</v>
      </c>
      <c r="O129">
        <v>26832870.583333332</v>
      </c>
      <c r="P129">
        <v>134729</v>
      </c>
      <c r="Q129">
        <v>2</v>
      </c>
      <c r="R129">
        <v>241</v>
      </c>
      <c r="S129" t="s">
        <v>2077</v>
      </c>
      <c r="U129" t="str">
        <f t="shared" si="1"/>
        <v/>
      </c>
      <c r="W129">
        <f>Digits_pres_final[[#This Row],[kan_params]]</f>
        <v>82654</v>
      </c>
      <c r="X129">
        <f>Digits_pres_final[[#This Row],[kan_test_acc]]</f>
        <v>0.97240741054217028</v>
      </c>
      <c r="Y129">
        <f>Digits_pres_final[[#This Row],[mlp_test_acc]]</f>
        <v>0.96111111111111103</v>
      </c>
      <c r="Z129">
        <f>Digits_pres_final[[#This Row],[mlp_test_acc2]]</f>
        <v>0.95962962962962961</v>
      </c>
    </row>
    <row r="130" spans="1:26" hidden="1" x14ac:dyDescent="0.25">
      <c r="A130" t="s">
        <v>1979</v>
      </c>
      <c r="B130">
        <v>3</v>
      </c>
      <c r="C130">
        <v>3</v>
      </c>
      <c r="D130">
        <v>0</v>
      </c>
      <c r="E130" t="s">
        <v>2000</v>
      </c>
      <c r="F130">
        <v>82718</v>
      </c>
      <c r="G130">
        <v>144666470.5</v>
      </c>
      <c r="H130">
        <v>0.96592592199643446</v>
      </c>
      <c r="I130">
        <v>0.96537037037037043</v>
      </c>
      <c r="J130">
        <v>22739577.666666664</v>
      </c>
      <c r="K130">
        <v>146422</v>
      </c>
      <c r="L130">
        <v>2</v>
      </c>
      <c r="M130">
        <v>252</v>
      </c>
      <c r="N130">
        <v>0.95148148148148137</v>
      </c>
      <c r="O130">
        <v>23245041.25</v>
      </c>
      <c r="P130">
        <v>147509</v>
      </c>
      <c r="Q130">
        <v>2</v>
      </c>
      <c r="R130">
        <v>253</v>
      </c>
      <c r="S130" t="s">
        <v>2402</v>
      </c>
      <c r="U130" t="str">
        <f t="shared" si="1"/>
        <v/>
      </c>
      <c r="W130">
        <f>Digits_pres_final[[#This Row],[kan_params]]</f>
        <v>82718</v>
      </c>
      <c r="X130">
        <f>Digits_pres_final[[#This Row],[kan_test_acc]]</f>
        <v>0.96592592199643446</v>
      </c>
      <c r="Y130">
        <f>Digits_pres_final[[#This Row],[mlp_test_acc]]</f>
        <v>0.96537037037037043</v>
      </c>
      <c r="Z130">
        <f>Digits_pres_final[[#This Row],[mlp_test_acc2]]</f>
        <v>0.95148148148148137</v>
      </c>
    </row>
    <row r="131" spans="1:26" hidden="1" x14ac:dyDescent="0.25">
      <c r="A131" t="s">
        <v>1979</v>
      </c>
      <c r="B131">
        <v>3</v>
      </c>
      <c r="C131">
        <v>2</v>
      </c>
      <c r="D131">
        <v>0</v>
      </c>
      <c r="E131" t="s">
        <v>2332</v>
      </c>
      <c r="F131">
        <v>82936</v>
      </c>
      <c r="G131">
        <v>305128073.58333331</v>
      </c>
      <c r="H131">
        <v>0.97425925731658936</v>
      </c>
      <c r="I131">
        <v>0.94425925925925924</v>
      </c>
      <c r="J131">
        <v>26322242.083333332</v>
      </c>
      <c r="K131">
        <v>133690</v>
      </c>
      <c r="L131">
        <v>2</v>
      </c>
      <c r="M131">
        <v>240</v>
      </c>
      <c r="N131">
        <v>0.94499999999999995</v>
      </c>
      <c r="O131">
        <v>26564307.083333332</v>
      </c>
      <c r="P131">
        <v>134729</v>
      </c>
      <c r="Q131">
        <v>2</v>
      </c>
      <c r="R131">
        <v>241</v>
      </c>
      <c r="S131" t="s">
        <v>2333</v>
      </c>
      <c r="U131" t="str">
        <f t="shared" ref="U131:U194" si="2">IF(F132=F133,1,"")</f>
        <v/>
      </c>
      <c r="W131">
        <f>Digits_pres_final[[#This Row],[kan_params]]</f>
        <v>82936</v>
      </c>
      <c r="X131">
        <f>Digits_pres_final[[#This Row],[kan_test_acc]]</f>
        <v>0.97425925731658936</v>
      </c>
      <c r="Y131">
        <f>Digits_pres_final[[#This Row],[mlp_test_acc]]</f>
        <v>0.94425925925925924</v>
      </c>
      <c r="Z131">
        <f>Digits_pres_final[[#This Row],[mlp_test_acc2]]</f>
        <v>0.94499999999999995</v>
      </c>
    </row>
    <row r="132" spans="1:26" x14ac:dyDescent="0.25">
      <c r="A132" t="s">
        <v>1979</v>
      </c>
      <c r="B132">
        <v>3</v>
      </c>
      <c r="C132">
        <v>4</v>
      </c>
      <c r="D132">
        <v>0</v>
      </c>
      <c r="E132" t="s">
        <v>1988</v>
      </c>
      <c r="F132">
        <v>83002</v>
      </c>
      <c r="G132">
        <v>71237963.416666657</v>
      </c>
      <c r="H132">
        <v>0.95925925175348925</v>
      </c>
      <c r="I132">
        <v>0.95407407407407407</v>
      </c>
      <c r="J132">
        <v>17673910.75</v>
      </c>
      <c r="K132">
        <v>157472</v>
      </c>
      <c r="L132">
        <v>2</v>
      </c>
      <c r="M132">
        <v>262</v>
      </c>
      <c r="N132">
        <v>0.95666666666666667</v>
      </c>
      <c r="O132">
        <v>17114161.5</v>
      </c>
      <c r="P132">
        <v>158599</v>
      </c>
      <c r="Q132">
        <v>2</v>
      </c>
      <c r="R132">
        <v>263</v>
      </c>
      <c r="S132" t="s">
        <v>2583</v>
      </c>
      <c r="U132" t="str">
        <f t="shared" si="2"/>
        <v/>
      </c>
      <c r="W132">
        <f>Digits_pres_final[[#This Row],[kan_params]]</f>
        <v>83002</v>
      </c>
      <c r="X132">
        <f>Digits_pres_final[[#This Row],[kan_test_acc]]</f>
        <v>0.95925925175348925</v>
      </c>
      <c r="Y132">
        <f>Digits_pres_final[[#This Row],[mlp_test_acc]]</f>
        <v>0.95407407407407407</v>
      </c>
      <c r="Z132">
        <f>Digits_pres_final[[#This Row],[mlp_test_acc2]]</f>
        <v>0.95666666666666667</v>
      </c>
    </row>
    <row r="133" spans="1:26" hidden="1" x14ac:dyDescent="0.25">
      <c r="A133" t="s">
        <v>1979</v>
      </c>
      <c r="B133">
        <v>3</v>
      </c>
      <c r="C133">
        <v>3</v>
      </c>
      <c r="D133">
        <v>0</v>
      </c>
      <c r="E133" t="s">
        <v>2126</v>
      </c>
      <c r="F133">
        <v>83302</v>
      </c>
      <c r="G133">
        <v>315491466.16666669</v>
      </c>
      <c r="H133">
        <v>0.97296295563379931</v>
      </c>
      <c r="I133">
        <v>0.96277777777777773</v>
      </c>
      <c r="J133">
        <v>29747682.333333336</v>
      </c>
      <c r="K133">
        <v>147509</v>
      </c>
      <c r="L133">
        <v>2</v>
      </c>
      <c r="M133">
        <v>253</v>
      </c>
      <c r="N133">
        <v>0.9664814814814815</v>
      </c>
      <c r="O133">
        <v>29824297.166666664</v>
      </c>
      <c r="P133">
        <v>148600</v>
      </c>
      <c r="Q133">
        <v>2</v>
      </c>
      <c r="R133">
        <v>254</v>
      </c>
      <c r="S133" t="s">
        <v>2455</v>
      </c>
      <c r="U133" t="str">
        <f t="shared" si="2"/>
        <v/>
      </c>
      <c r="W133">
        <f>Digits_pres_final[[#This Row],[kan_params]]</f>
        <v>83302</v>
      </c>
      <c r="X133">
        <f>Digits_pres_final[[#This Row],[kan_test_acc]]</f>
        <v>0.97296295563379931</v>
      </c>
      <c r="Y133">
        <f>Digits_pres_final[[#This Row],[mlp_test_acc]]</f>
        <v>0.96277777777777773</v>
      </c>
      <c r="Z133">
        <f>Digits_pres_final[[#This Row],[mlp_test_acc2]]</f>
        <v>0.9664814814814815</v>
      </c>
    </row>
    <row r="134" spans="1:26" hidden="1" x14ac:dyDescent="0.25">
      <c r="A134" t="s">
        <v>1979</v>
      </c>
      <c r="B134">
        <v>3</v>
      </c>
      <c r="C134">
        <v>2</v>
      </c>
      <c r="D134">
        <v>0</v>
      </c>
      <c r="E134" t="s">
        <v>2270</v>
      </c>
      <c r="F134">
        <v>83354</v>
      </c>
      <c r="G134">
        <v>177066852.75</v>
      </c>
      <c r="H134">
        <v>0.98870370288689935</v>
      </c>
      <c r="I134">
        <v>0.97777777777777786</v>
      </c>
      <c r="J134">
        <v>15318983.666666666</v>
      </c>
      <c r="K134">
        <v>134729</v>
      </c>
      <c r="L134">
        <v>2</v>
      </c>
      <c r="M134">
        <v>241</v>
      </c>
      <c r="N134">
        <v>0.97888888888888892</v>
      </c>
      <c r="O134">
        <v>15021393.666666668</v>
      </c>
      <c r="P134">
        <v>135772</v>
      </c>
      <c r="Q134">
        <v>2</v>
      </c>
      <c r="R134">
        <v>242</v>
      </c>
      <c r="S134" t="s">
        <v>2271</v>
      </c>
      <c r="U134" t="str">
        <f t="shared" si="2"/>
        <v/>
      </c>
      <c r="W134">
        <f>Digits_pres_final[[#This Row],[kan_params]]</f>
        <v>83354</v>
      </c>
      <c r="X134">
        <f>Digits_pres_final[[#This Row],[kan_test_acc]]</f>
        <v>0.98870370288689935</v>
      </c>
      <c r="Y134">
        <f>Digits_pres_final[[#This Row],[mlp_test_acc]]</f>
        <v>0.97777777777777786</v>
      </c>
      <c r="Z134">
        <f>Digits_pres_final[[#This Row],[mlp_test_acc2]]</f>
        <v>0.97888888888888892</v>
      </c>
    </row>
    <row r="135" spans="1:26" hidden="1" x14ac:dyDescent="0.25">
      <c r="A135" t="s">
        <v>1979</v>
      </c>
      <c r="B135">
        <v>3</v>
      </c>
      <c r="C135">
        <v>3</v>
      </c>
      <c r="D135">
        <v>0</v>
      </c>
      <c r="E135" t="s">
        <v>2062</v>
      </c>
      <c r="F135">
        <v>83628</v>
      </c>
      <c r="G135">
        <v>258836717.33333331</v>
      </c>
      <c r="H135">
        <v>0.96944443881511688</v>
      </c>
      <c r="I135">
        <v>0.96666666666666656</v>
      </c>
      <c r="J135">
        <v>23263745.916666664</v>
      </c>
      <c r="K135">
        <v>147509</v>
      </c>
      <c r="L135">
        <v>2</v>
      </c>
      <c r="M135">
        <v>253</v>
      </c>
      <c r="N135">
        <v>0.96462962962962961</v>
      </c>
      <c r="O135">
        <v>23417624.916666664</v>
      </c>
      <c r="P135">
        <v>148600</v>
      </c>
      <c r="Q135">
        <v>2</v>
      </c>
      <c r="R135">
        <v>254</v>
      </c>
      <c r="S135" t="s">
        <v>2424</v>
      </c>
      <c r="U135" t="str">
        <f t="shared" si="2"/>
        <v/>
      </c>
      <c r="W135">
        <f>Digits_pres_final[[#This Row],[kan_params]]</f>
        <v>83628</v>
      </c>
      <c r="X135">
        <f>Digits_pres_final[[#This Row],[kan_test_acc]]</f>
        <v>0.96944443881511688</v>
      </c>
      <c r="Y135">
        <f>Digits_pres_final[[#This Row],[mlp_test_acc]]</f>
        <v>0.96666666666666656</v>
      </c>
      <c r="Z135">
        <f>Digits_pres_final[[#This Row],[mlp_test_acc2]]</f>
        <v>0.96462962962962961</v>
      </c>
    </row>
    <row r="136" spans="1:26" hidden="1" x14ac:dyDescent="0.25">
      <c r="A136" t="s">
        <v>1979</v>
      </c>
      <c r="B136">
        <v>3</v>
      </c>
      <c r="C136">
        <v>2</v>
      </c>
      <c r="D136">
        <v>0</v>
      </c>
      <c r="E136" t="s">
        <v>2206</v>
      </c>
      <c r="F136">
        <v>83644</v>
      </c>
      <c r="G136">
        <v>349669204.75</v>
      </c>
      <c r="H136">
        <v>0.97759259243806207</v>
      </c>
      <c r="I136">
        <v>0.97</v>
      </c>
      <c r="J136">
        <v>25251806.25</v>
      </c>
      <c r="K136">
        <v>135772</v>
      </c>
      <c r="L136">
        <v>2</v>
      </c>
      <c r="M136">
        <v>242</v>
      </c>
      <c r="N136">
        <v>0.96851851851851856</v>
      </c>
      <c r="O136">
        <v>24858101.083333332</v>
      </c>
      <c r="P136">
        <v>136819</v>
      </c>
      <c r="Q136">
        <v>2</v>
      </c>
      <c r="R136">
        <v>243</v>
      </c>
      <c r="S136" t="s">
        <v>2207</v>
      </c>
      <c r="U136" t="str">
        <f t="shared" si="2"/>
        <v/>
      </c>
      <c r="W136">
        <f>Digits_pres_final[[#This Row],[kan_params]]</f>
        <v>83644</v>
      </c>
      <c r="X136">
        <f>Digits_pres_final[[#This Row],[kan_test_acc]]</f>
        <v>0.97759259243806207</v>
      </c>
      <c r="Y136">
        <f>Digits_pres_final[[#This Row],[mlp_test_acc]]</f>
        <v>0.97</v>
      </c>
      <c r="Z136">
        <f>Digits_pres_final[[#This Row],[mlp_test_acc2]]</f>
        <v>0.96851851851851856</v>
      </c>
    </row>
    <row r="137" spans="1:26" hidden="1" x14ac:dyDescent="0.25">
      <c r="A137" t="s">
        <v>1979</v>
      </c>
      <c r="B137">
        <v>3</v>
      </c>
      <c r="C137">
        <v>2</v>
      </c>
      <c r="D137">
        <v>0</v>
      </c>
      <c r="E137" t="s">
        <v>2142</v>
      </c>
      <c r="F137">
        <v>83806</v>
      </c>
      <c r="G137">
        <v>307389747.33333331</v>
      </c>
      <c r="H137">
        <v>0.96981481711069739</v>
      </c>
      <c r="I137">
        <v>0.96111111111111103</v>
      </c>
      <c r="J137">
        <v>24894260.916666668</v>
      </c>
      <c r="K137">
        <v>135772</v>
      </c>
      <c r="L137">
        <v>2</v>
      </c>
      <c r="M137">
        <v>242</v>
      </c>
      <c r="N137">
        <v>0.96222222222222231</v>
      </c>
      <c r="O137">
        <v>24916040.75</v>
      </c>
      <c r="P137">
        <v>136819</v>
      </c>
      <c r="Q137">
        <v>2</v>
      </c>
      <c r="R137">
        <v>243</v>
      </c>
      <c r="S137" t="s">
        <v>2143</v>
      </c>
      <c r="U137" t="str">
        <f t="shared" si="2"/>
        <v/>
      </c>
      <c r="W137">
        <f>Digits_pres_final[[#This Row],[kan_params]]</f>
        <v>83806</v>
      </c>
      <c r="X137">
        <f>Digits_pres_final[[#This Row],[kan_test_acc]]</f>
        <v>0.96981481711069739</v>
      </c>
      <c r="Y137">
        <f>Digits_pres_final[[#This Row],[mlp_test_acc]]</f>
        <v>0.96111111111111103</v>
      </c>
      <c r="Z137">
        <f>Digits_pres_final[[#This Row],[mlp_test_acc2]]</f>
        <v>0.96222222222222231</v>
      </c>
    </row>
    <row r="138" spans="1:26" hidden="1" x14ac:dyDescent="0.25">
      <c r="A138" t="s">
        <v>1979</v>
      </c>
      <c r="B138">
        <v>3</v>
      </c>
      <c r="C138">
        <v>2</v>
      </c>
      <c r="D138">
        <v>0</v>
      </c>
      <c r="E138" t="s">
        <v>2078</v>
      </c>
      <c r="F138">
        <v>83840</v>
      </c>
      <c r="G138">
        <v>353813154.91666669</v>
      </c>
      <c r="H138">
        <v>0.97500000894069672</v>
      </c>
      <c r="I138">
        <v>0.96074074074074067</v>
      </c>
      <c r="J138">
        <v>26376191.166666664</v>
      </c>
      <c r="K138">
        <v>135772</v>
      </c>
      <c r="L138">
        <v>2</v>
      </c>
      <c r="M138">
        <v>242</v>
      </c>
      <c r="N138">
        <v>0.9605555555555555</v>
      </c>
      <c r="O138">
        <v>26821715.833333332</v>
      </c>
      <c r="P138">
        <v>136819</v>
      </c>
      <c r="Q138">
        <v>2</v>
      </c>
      <c r="R138">
        <v>243</v>
      </c>
      <c r="S138" t="s">
        <v>2079</v>
      </c>
      <c r="U138" t="str">
        <f t="shared" si="2"/>
        <v/>
      </c>
      <c r="W138">
        <f>Digits_pres_final[[#This Row],[kan_params]]</f>
        <v>83840</v>
      </c>
      <c r="X138">
        <f>Digits_pres_final[[#This Row],[kan_test_acc]]</f>
        <v>0.97500000894069672</v>
      </c>
      <c r="Y138">
        <f>Digits_pres_final[[#This Row],[mlp_test_acc]]</f>
        <v>0.96074074074074067</v>
      </c>
      <c r="Z138">
        <f>Digits_pres_final[[#This Row],[mlp_test_acc2]]</f>
        <v>0.9605555555555555</v>
      </c>
    </row>
    <row r="139" spans="1:26" hidden="1" x14ac:dyDescent="0.25">
      <c r="A139" t="s">
        <v>1979</v>
      </c>
      <c r="B139">
        <v>3</v>
      </c>
      <c r="C139">
        <v>3</v>
      </c>
      <c r="D139">
        <v>0</v>
      </c>
      <c r="E139" t="s">
        <v>2002</v>
      </c>
      <c r="F139">
        <v>84052</v>
      </c>
      <c r="G139">
        <v>153275586.08333334</v>
      </c>
      <c r="H139">
        <v>0.96518518030643463</v>
      </c>
      <c r="I139">
        <v>0.96666666666666667</v>
      </c>
      <c r="J139">
        <v>23270850.916666664</v>
      </c>
      <c r="K139">
        <v>148600</v>
      </c>
      <c r="L139">
        <v>2</v>
      </c>
      <c r="M139">
        <v>254</v>
      </c>
      <c r="N139">
        <v>0.95481481481481478</v>
      </c>
      <c r="O139">
        <v>22042430.916666664</v>
      </c>
      <c r="P139">
        <v>149695</v>
      </c>
      <c r="Q139">
        <v>2</v>
      </c>
      <c r="R139">
        <v>255</v>
      </c>
      <c r="S139" t="s">
        <v>2403</v>
      </c>
      <c r="U139" t="str">
        <f t="shared" si="2"/>
        <v/>
      </c>
      <c r="W139">
        <f>Digits_pres_final[[#This Row],[kan_params]]</f>
        <v>84052</v>
      </c>
      <c r="X139">
        <f>Digits_pres_final[[#This Row],[kan_test_acc]]</f>
        <v>0.96518518030643463</v>
      </c>
      <c r="Y139">
        <f>Digits_pres_final[[#This Row],[mlp_test_acc]]</f>
        <v>0.96666666666666667</v>
      </c>
      <c r="Z139">
        <f>Digits_pres_final[[#This Row],[mlp_test_acc2]]</f>
        <v>0.95481481481481478</v>
      </c>
    </row>
    <row r="140" spans="1:26" hidden="1" x14ac:dyDescent="0.25">
      <c r="A140" t="s">
        <v>1979</v>
      </c>
      <c r="B140">
        <v>3</v>
      </c>
      <c r="C140">
        <v>3</v>
      </c>
      <c r="D140">
        <v>0</v>
      </c>
      <c r="E140" t="s">
        <v>2192</v>
      </c>
      <c r="F140">
        <v>84238</v>
      </c>
      <c r="G140">
        <v>404138029.83333337</v>
      </c>
      <c r="H140">
        <v>0.96592592199643446</v>
      </c>
      <c r="I140">
        <v>0.96407407407407408</v>
      </c>
      <c r="J140">
        <v>33538606.166666664</v>
      </c>
      <c r="K140">
        <v>148600</v>
      </c>
      <c r="L140">
        <v>2</v>
      </c>
      <c r="M140">
        <v>254</v>
      </c>
      <c r="N140">
        <v>0.96537037037037043</v>
      </c>
      <c r="O140">
        <v>34194826.75</v>
      </c>
      <c r="P140">
        <v>149695</v>
      </c>
      <c r="Q140">
        <v>2</v>
      </c>
      <c r="R140">
        <v>255</v>
      </c>
      <c r="S140" t="s">
        <v>2487</v>
      </c>
      <c r="U140" t="str">
        <f t="shared" si="2"/>
        <v/>
      </c>
      <c r="W140">
        <f>Digits_pres_final[[#This Row],[kan_params]]</f>
        <v>84238</v>
      </c>
      <c r="X140">
        <f>Digits_pres_final[[#This Row],[kan_test_acc]]</f>
        <v>0.96592592199643446</v>
      </c>
      <c r="Y140">
        <f>Digits_pres_final[[#This Row],[mlp_test_acc]]</f>
        <v>0.96407407407407408</v>
      </c>
      <c r="Z140">
        <f>Digits_pres_final[[#This Row],[mlp_test_acc2]]</f>
        <v>0.96537037037037043</v>
      </c>
    </row>
    <row r="141" spans="1:26" hidden="1" x14ac:dyDescent="0.25">
      <c r="A141" t="s">
        <v>1979</v>
      </c>
      <c r="B141">
        <v>3</v>
      </c>
      <c r="C141">
        <v>2</v>
      </c>
      <c r="D141">
        <v>0</v>
      </c>
      <c r="E141" t="s">
        <v>2334</v>
      </c>
      <c r="F141">
        <v>84250</v>
      </c>
      <c r="G141">
        <v>304533394.66666663</v>
      </c>
      <c r="H141">
        <v>0.97185185551643372</v>
      </c>
      <c r="I141">
        <v>0.94518518518518513</v>
      </c>
      <c r="J141">
        <v>25859339.833333332</v>
      </c>
      <c r="K141">
        <v>135772</v>
      </c>
      <c r="L141">
        <v>2</v>
      </c>
      <c r="M141">
        <v>242</v>
      </c>
      <c r="N141">
        <v>0.94574074074074077</v>
      </c>
      <c r="O141">
        <v>25228261.75</v>
      </c>
      <c r="P141">
        <v>136819</v>
      </c>
      <c r="Q141">
        <v>2</v>
      </c>
      <c r="R141">
        <v>243</v>
      </c>
      <c r="S141" t="s">
        <v>2335</v>
      </c>
      <c r="U141" t="str">
        <f t="shared" si="2"/>
        <v/>
      </c>
      <c r="W141">
        <f>Digits_pres_final[[#This Row],[kan_params]]</f>
        <v>84250</v>
      </c>
      <c r="X141">
        <f>Digits_pres_final[[#This Row],[kan_test_acc]]</f>
        <v>0.97185185551643372</v>
      </c>
      <c r="Y141">
        <f>Digits_pres_final[[#This Row],[mlp_test_acc]]</f>
        <v>0.94518518518518513</v>
      </c>
      <c r="Z141">
        <f>Digits_pres_final[[#This Row],[mlp_test_acc2]]</f>
        <v>0.94574074074074077</v>
      </c>
    </row>
    <row r="142" spans="1:26" x14ac:dyDescent="0.25">
      <c r="A142" t="s">
        <v>1979</v>
      </c>
      <c r="B142">
        <v>3</v>
      </c>
      <c r="C142">
        <v>4</v>
      </c>
      <c r="D142">
        <v>0</v>
      </c>
      <c r="E142" t="s">
        <v>1990</v>
      </c>
      <c r="F142">
        <v>84484</v>
      </c>
      <c r="G142">
        <v>73790370.416666657</v>
      </c>
      <c r="H142">
        <v>0.95777776837348938</v>
      </c>
      <c r="I142">
        <v>0.95074074074074078</v>
      </c>
      <c r="J142">
        <v>18125088.833333336</v>
      </c>
      <c r="K142">
        <v>159730</v>
      </c>
      <c r="L142">
        <v>2</v>
      </c>
      <c r="M142">
        <v>264</v>
      </c>
      <c r="N142">
        <v>0.9562962962962962</v>
      </c>
      <c r="O142">
        <v>17277885</v>
      </c>
      <c r="P142">
        <v>160865</v>
      </c>
      <c r="Q142">
        <v>2</v>
      </c>
      <c r="R142">
        <v>265</v>
      </c>
      <c r="S142" t="s">
        <v>2584</v>
      </c>
      <c r="U142" t="str">
        <f t="shared" si="2"/>
        <v/>
      </c>
      <c r="W142">
        <f>Digits_pres_final[[#This Row],[kan_params]]</f>
        <v>84484</v>
      </c>
      <c r="X142">
        <f>Digits_pres_final[[#This Row],[kan_test_acc]]</f>
        <v>0.95777776837348938</v>
      </c>
      <c r="Y142">
        <f>Digits_pres_final[[#This Row],[mlp_test_acc]]</f>
        <v>0.95074074074074078</v>
      </c>
      <c r="Z142">
        <f>Digits_pres_final[[#This Row],[mlp_test_acc2]]</f>
        <v>0.9562962962962962</v>
      </c>
    </row>
    <row r="143" spans="1:26" hidden="1" x14ac:dyDescent="0.25">
      <c r="A143" t="s">
        <v>1979</v>
      </c>
      <c r="B143">
        <v>3</v>
      </c>
      <c r="C143">
        <v>2</v>
      </c>
      <c r="D143">
        <v>0</v>
      </c>
      <c r="E143" t="s">
        <v>2272</v>
      </c>
      <c r="F143">
        <v>84636</v>
      </c>
      <c r="G143">
        <v>171488359.5</v>
      </c>
      <c r="H143">
        <v>0.98999999463558197</v>
      </c>
      <c r="I143">
        <v>0.98092592592592598</v>
      </c>
      <c r="J143">
        <v>15975074.5</v>
      </c>
      <c r="K143">
        <v>136819</v>
      </c>
      <c r="L143">
        <v>2</v>
      </c>
      <c r="M143">
        <v>243</v>
      </c>
      <c r="N143">
        <v>0.98074074074074069</v>
      </c>
      <c r="O143">
        <v>14894250</v>
      </c>
      <c r="P143">
        <v>137870</v>
      </c>
      <c r="Q143">
        <v>2</v>
      </c>
      <c r="R143">
        <v>244</v>
      </c>
      <c r="S143" t="s">
        <v>2273</v>
      </c>
      <c r="U143" t="str">
        <f t="shared" si="2"/>
        <v/>
      </c>
      <c r="W143">
        <f>Digits_pres_final[[#This Row],[kan_params]]</f>
        <v>84636</v>
      </c>
      <c r="X143">
        <f>Digits_pres_final[[#This Row],[kan_test_acc]]</f>
        <v>0.98999999463558197</v>
      </c>
      <c r="Y143">
        <f>Digits_pres_final[[#This Row],[mlp_test_acc]]</f>
        <v>0.98092592592592598</v>
      </c>
      <c r="Z143">
        <f>Digits_pres_final[[#This Row],[mlp_test_acc2]]</f>
        <v>0.98074074074074069</v>
      </c>
    </row>
    <row r="144" spans="1:26" hidden="1" x14ac:dyDescent="0.25">
      <c r="A144" t="s">
        <v>1979</v>
      </c>
      <c r="B144">
        <v>3</v>
      </c>
      <c r="C144">
        <v>3</v>
      </c>
      <c r="D144">
        <v>0</v>
      </c>
      <c r="E144" t="s">
        <v>2128</v>
      </c>
      <c r="F144">
        <v>84672</v>
      </c>
      <c r="G144">
        <v>252334552.83333331</v>
      </c>
      <c r="H144">
        <v>0.97092591722806287</v>
      </c>
      <c r="I144">
        <v>0.96259259259259256</v>
      </c>
      <c r="J144">
        <v>28535903.333333336</v>
      </c>
      <c r="K144">
        <v>149695</v>
      </c>
      <c r="L144">
        <v>2</v>
      </c>
      <c r="M144">
        <v>255</v>
      </c>
      <c r="N144">
        <v>0.96296296296296302</v>
      </c>
      <c r="O144">
        <v>28107341.75</v>
      </c>
      <c r="P144">
        <v>150794</v>
      </c>
      <c r="Q144">
        <v>2</v>
      </c>
      <c r="R144">
        <v>256</v>
      </c>
      <c r="S144" t="s">
        <v>2456</v>
      </c>
      <c r="U144" t="str">
        <f t="shared" si="2"/>
        <v/>
      </c>
      <c r="W144">
        <f>Digits_pres_final[[#This Row],[kan_params]]</f>
        <v>84672</v>
      </c>
      <c r="X144">
        <f>Digits_pres_final[[#This Row],[kan_test_acc]]</f>
        <v>0.97092591722806287</v>
      </c>
      <c r="Y144">
        <f>Digits_pres_final[[#This Row],[mlp_test_acc]]</f>
        <v>0.96259259259259256</v>
      </c>
      <c r="Z144">
        <f>Digits_pres_final[[#This Row],[mlp_test_acc2]]</f>
        <v>0.96296296296296302</v>
      </c>
    </row>
    <row r="145" spans="1:26" hidden="1" x14ac:dyDescent="0.25">
      <c r="A145" t="s">
        <v>1979</v>
      </c>
      <c r="B145">
        <v>3</v>
      </c>
      <c r="C145">
        <v>2</v>
      </c>
      <c r="D145">
        <v>0</v>
      </c>
      <c r="E145" t="s">
        <v>2208</v>
      </c>
      <c r="F145">
        <v>84894</v>
      </c>
      <c r="G145">
        <v>356358334.66666669</v>
      </c>
      <c r="H145">
        <v>0.975185180703799</v>
      </c>
      <c r="I145">
        <v>0.97018518518518526</v>
      </c>
      <c r="J145">
        <v>25025163</v>
      </c>
      <c r="K145">
        <v>136819</v>
      </c>
      <c r="L145">
        <v>2</v>
      </c>
      <c r="M145">
        <v>243</v>
      </c>
      <c r="N145">
        <v>0.96759259259259256</v>
      </c>
      <c r="O145">
        <v>26005463.416666664</v>
      </c>
      <c r="P145">
        <v>137870</v>
      </c>
      <c r="Q145">
        <v>2</v>
      </c>
      <c r="R145">
        <v>244</v>
      </c>
      <c r="S145" t="s">
        <v>2209</v>
      </c>
      <c r="U145" t="str">
        <f t="shared" si="2"/>
        <v/>
      </c>
      <c r="W145">
        <f>Digits_pres_final[[#This Row],[kan_params]]</f>
        <v>84894</v>
      </c>
      <c r="X145">
        <f>Digits_pres_final[[#This Row],[kan_test_acc]]</f>
        <v>0.975185180703799</v>
      </c>
      <c r="Y145">
        <f>Digits_pres_final[[#This Row],[mlp_test_acc]]</f>
        <v>0.97018518518518526</v>
      </c>
      <c r="Z145">
        <f>Digits_pres_final[[#This Row],[mlp_test_acc2]]</f>
        <v>0.96759259259259256</v>
      </c>
    </row>
    <row r="146" spans="1:26" hidden="1" x14ac:dyDescent="0.25">
      <c r="A146" t="s">
        <v>1979</v>
      </c>
      <c r="B146">
        <v>3</v>
      </c>
      <c r="C146">
        <v>3</v>
      </c>
      <c r="D146">
        <v>0</v>
      </c>
      <c r="E146" t="s">
        <v>2064</v>
      </c>
      <c r="F146">
        <v>84962</v>
      </c>
      <c r="G146">
        <v>231510489</v>
      </c>
      <c r="H146">
        <v>0.96962962547938036</v>
      </c>
      <c r="I146">
        <v>0.96037037037037032</v>
      </c>
      <c r="J146">
        <v>24059623.083333332</v>
      </c>
      <c r="K146">
        <v>150794</v>
      </c>
      <c r="L146">
        <v>2</v>
      </c>
      <c r="M146">
        <v>256</v>
      </c>
      <c r="N146">
        <v>0.9638888888888888</v>
      </c>
      <c r="O146">
        <v>23664472</v>
      </c>
      <c r="P146">
        <v>151897</v>
      </c>
      <c r="Q146">
        <v>2</v>
      </c>
      <c r="R146">
        <v>257</v>
      </c>
      <c r="S146" t="s">
        <v>2425</v>
      </c>
      <c r="U146" t="str">
        <f t="shared" si="2"/>
        <v/>
      </c>
      <c r="W146">
        <f>Digits_pres_final[[#This Row],[kan_params]]</f>
        <v>84962</v>
      </c>
      <c r="X146">
        <f>Digits_pres_final[[#This Row],[kan_test_acc]]</f>
        <v>0.96962962547938036</v>
      </c>
      <c r="Y146">
        <f>Digits_pres_final[[#This Row],[mlp_test_acc]]</f>
        <v>0.96037037037037032</v>
      </c>
      <c r="Z146">
        <f>Digits_pres_final[[#This Row],[mlp_test_acc2]]</f>
        <v>0.9638888888888888</v>
      </c>
    </row>
    <row r="147" spans="1:26" hidden="1" x14ac:dyDescent="0.25">
      <c r="A147" t="s">
        <v>1979</v>
      </c>
      <c r="B147">
        <v>3</v>
      </c>
      <c r="C147">
        <v>2</v>
      </c>
      <c r="D147">
        <v>0</v>
      </c>
      <c r="E147" t="s">
        <v>2144</v>
      </c>
      <c r="F147">
        <v>85024</v>
      </c>
      <c r="G147">
        <v>304629525.41666663</v>
      </c>
      <c r="H147">
        <v>0.9690740704536438</v>
      </c>
      <c r="I147">
        <v>0.95944444444444443</v>
      </c>
      <c r="J147">
        <v>24934921.166666668</v>
      </c>
      <c r="K147">
        <v>137870</v>
      </c>
      <c r="L147">
        <v>2</v>
      </c>
      <c r="M147">
        <v>244</v>
      </c>
      <c r="N147">
        <v>0.96240740740740738</v>
      </c>
      <c r="O147">
        <v>26033077</v>
      </c>
      <c r="P147">
        <v>138925</v>
      </c>
      <c r="Q147">
        <v>2</v>
      </c>
      <c r="R147">
        <v>245</v>
      </c>
      <c r="S147" t="s">
        <v>2145</v>
      </c>
      <c r="U147" t="str">
        <f t="shared" si="2"/>
        <v/>
      </c>
      <c r="W147">
        <f>Digits_pres_final[[#This Row],[kan_params]]</f>
        <v>85024</v>
      </c>
      <c r="X147">
        <f>Digits_pres_final[[#This Row],[kan_test_acc]]</f>
        <v>0.9690740704536438</v>
      </c>
      <c r="Y147">
        <f>Digits_pres_final[[#This Row],[mlp_test_acc]]</f>
        <v>0.95944444444444443</v>
      </c>
      <c r="Z147">
        <f>Digits_pres_final[[#This Row],[mlp_test_acc2]]</f>
        <v>0.96240740740740738</v>
      </c>
    </row>
    <row r="148" spans="1:26" hidden="1" x14ac:dyDescent="0.25">
      <c r="A148" t="s">
        <v>1979</v>
      </c>
      <c r="B148">
        <v>3</v>
      </c>
      <c r="C148">
        <v>2</v>
      </c>
      <c r="D148">
        <v>0</v>
      </c>
      <c r="E148" t="s">
        <v>2080</v>
      </c>
      <c r="F148">
        <v>85026</v>
      </c>
      <c r="G148">
        <v>361182513.66666669</v>
      </c>
      <c r="H148">
        <v>0.97537038226922346</v>
      </c>
      <c r="I148">
        <v>0.9588888888888889</v>
      </c>
      <c r="J148">
        <v>26903342.5</v>
      </c>
      <c r="K148">
        <v>137870</v>
      </c>
      <c r="L148">
        <v>2</v>
      </c>
      <c r="M148">
        <v>244</v>
      </c>
      <c r="N148">
        <v>0.96166666666666667</v>
      </c>
      <c r="O148">
        <v>26939452.583333332</v>
      </c>
      <c r="P148">
        <v>138925</v>
      </c>
      <c r="Q148">
        <v>2</v>
      </c>
      <c r="R148">
        <v>245</v>
      </c>
      <c r="S148" t="s">
        <v>2081</v>
      </c>
      <c r="U148" t="str">
        <f t="shared" si="2"/>
        <v/>
      </c>
      <c r="W148">
        <f>Digits_pres_final[[#This Row],[kan_params]]</f>
        <v>85026</v>
      </c>
      <c r="X148">
        <f>Digits_pres_final[[#This Row],[kan_test_acc]]</f>
        <v>0.97537038226922346</v>
      </c>
      <c r="Y148">
        <f>Digits_pres_final[[#This Row],[mlp_test_acc]]</f>
        <v>0.9588888888888889</v>
      </c>
      <c r="Z148">
        <f>Digits_pres_final[[#This Row],[mlp_test_acc2]]</f>
        <v>0.96166666666666667</v>
      </c>
    </row>
    <row r="149" spans="1:26" hidden="1" x14ac:dyDescent="0.25">
      <c r="A149" t="s">
        <v>1979</v>
      </c>
      <c r="B149">
        <v>3</v>
      </c>
      <c r="C149">
        <v>3</v>
      </c>
      <c r="D149">
        <v>0</v>
      </c>
      <c r="E149" t="s">
        <v>2004</v>
      </c>
      <c r="F149">
        <v>85386</v>
      </c>
      <c r="G149">
        <v>150303450.66666669</v>
      </c>
      <c r="H149">
        <v>0.96740740040938067</v>
      </c>
      <c r="I149">
        <v>0.96111111111111103</v>
      </c>
      <c r="J149">
        <v>23164439.916666664</v>
      </c>
      <c r="K149">
        <v>150794</v>
      </c>
      <c r="L149">
        <v>2</v>
      </c>
      <c r="M149">
        <v>256</v>
      </c>
      <c r="N149">
        <v>0.95740740740740737</v>
      </c>
      <c r="O149">
        <v>22803730.5</v>
      </c>
      <c r="P149">
        <v>151897</v>
      </c>
      <c r="Q149">
        <v>2</v>
      </c>
      <c r="R149">
        <v>257</v>
      </c>
      <c r="S149" t="s">
        <v>2404</v>
      </c>
      <c r="U149" t="str">
        <f t="shared" si="2"/>
        <v/>
      </c>
      <c r="W149">
        <f>Digits_pres_final[[#This Row],[kan_params]]</f>
        <v>85386</v>
      </c>
      <c r="X149">
        <f>Digits_pres_final[[#This Row],[kan_test_acc]]</f>
        <v>0.96740740040938067</v>
      </c>
      <c r="Y149">
        <f>Digits_pres_final[[#This Row],[mlp_test_acc]]</f>
        <v>0.96111111111111103</v>
      </c>
      <c r="Z149">
        <f>Digits_pres_final[[#This Row],[mlp_test_acc2]]</f>
        <v>0.95740740740740737</v>
      </c>
    </row>
    <row r="150" spans="1:26" hidden="1" x14ac:dyDescent="0.25">
      <c r="A150" t="s">
        <v>1979</v>
      </c>
      <c r="B150">
        <v>3</v>
      </c>
      <c r="C150">
        <v>2</v>
      </c>
      <c r="D150">
        <v>0</v>
      </c>
      <c r="E150" t="s">
        <v>2336</v>
      </c>
      <c r="F150">
        <v>85564</v>
      </c>
      <c r="G150">
        <v>300676569.83333337</v>
      </c>
      <c r="H150">
        <v>0.97240741054217028</v>
      </c>
      <c r="I150">
        <v>0.94814814814814818</v>
      </c>
      <c r="J150">
        <v>26604491</v>
      </c>
      <c r="K150">
        <v>138925</v>
      </c>
      <c r="L150">
        <v>2</v>
      </c>
      <c r="M150">
        <v>245</v>
      </c>
      <c r="N150">
        <v>0.94685185185185183</v>
      </c>
      <c r="O150">
        <v>25725902.916666668</v>
      </c>
      <c r="P150">
        <v>139984</v>
      </c>
      <c r="Q150">
        <v>2</v>
      </c>
      <c r="R150">
        <v>246</v>
      </c>
      <c r="S150" t="s">
        <v>2337</v>
      </c>
      <c r="U150" t="str">
        <f t="shared" si="2"/>
        <v/>
      </c>
      <c r="W150">
        <f>Digits_pres_final[[#This Row],[kan_params]]</f>
        <v>85564</v>
      </c>
      <c r="X150">
        <f>Digits_pres_final[[#This Row],[kan_test_acc]]</f>
        <v>0.97240741054217028</v>
      </c>
      <c r="Y150">
        <f>Digits_pres_final[[#This Row],[mlp_test_acc]]</f>
        <v>0.94814814814814818</v>
      </c>
      <c r="Z150">
        <f>Digits_pres_final[[#This Row],[mlp_test_acc2]]</f>
        <v>0.94685185185185183</v>
      </c>
    </row>
    <row r="151" spans="1:26" hidden="1" x14ac:dyDescent="0.25">
      <c r="A151" t="s">
        <v>1979</v>
      </c>
      <c r="B151">
        <v>3</v>
      </c>
      <c r="C151">
        <v>3</v>
      </c>
      <c r="D151">
        <v>0</v>
      </c>
      <c r="E151" t="s">
        <v>2194</v>
      </c>
      <c r="F151">
        <v>85644</v>
      </c>
      <c r="G151">
        <v>351966021.58333337</v>
      </c>
      <c r="H151">
        <v>0.97092591722806287</v>
      </c>
      <c r="I151">
        <v>0.96629629629629632</v>
      </c>
      <c r="J151">
        <v>30309080.75</v>
      </c>
      <c r="K151">
        <v>151897</v>
      </c>
      <c r="L151">
        <v>2</v>
      </c>
      <c r="M151">
        <v>257</v>
      </c>
      <c r="N151">
        <v>0.96425925925925926</v>
      </c>
      <c r="O151">
        <v>29895954.583333336</v>
      </c>
      <c r="P151">
        <v>153004</v>
      </c>
      <c r="Q151">
        <v>2</v>
      </c>
      <c r="R151">
        <v>258</v>
      </c>
      <c r="S151" t="s">
        <v>2488</v>
      </c>
      <c r="U151" t="str">
        <f t="shared" si="2"/>
        <v/>
      </c>
      <c r="W151">
        <f>Digits_pres_final[[#This Row],[kan_params]]</f>
        <v>85644</v>
      </c>
      <c r="X151">
        <f>Digits_pres_final[[#This Row],[kan_test_acc]]</f>
        <v>0.97092591722806287</v>
      </c>
      <c r="Y151">
        <f>Digits_pres_final[[#This Row],[mlp_test_acc]]</f>
        <v>0.96629629629629632</v>
      </c>
      <c r="Z151">
        <f>Digits_pres_final[[#This Row],[mlp_test_acc2]]</f>
        <v>0.96425925925925926</v>
      </c>
    </row>
    <row r="152" spans="1:26" hidden="1" x14ac:dyDescent="0.25">
      <c r="A152" t="s">
        <v>1979</v>
      </c>
      <c r="B152">
        <v>3</v>
      </c>
      <c r="C152">
        <v>2</v>
      </c>
      <c r="D152">
        <v>0</v>
      </c>
      <c r="E152" t="s">
        <v>2274</v>
      </c>
      <c r="F152">
        <v>85918</v>
      </c>
      <c r="G152">
        <v>179279554.58333334</v>
      </c>
      <c r="H152">
        <v>0.98888887961705518</v>
      </c>
      <c r="I152">
        <v>0.98129629629629633</v>
      </c>
      <c r="J152">
        <v>16558652.083333334</v>
      </c>
      <c r="K152">
        <v>138925</v>
      </c>
      <c r="L152">
        <v>2</v>
      </c>
      <c r="M152">
        <v>245</v>
      </c>
      <c r="N152">
        <v>0.9814814814814814</v>
      </c>
      <c r="O152">
        <v>15132733.416666666</v>
      </c>
      <c r="P152">
        <v>139984</v>
      </c>
      <c r="Q152">
        <v>2</v>
      </c>
      <c r="R152">
        <v>246</v>
      </c>
      <c r="S152" t="s">
        <v>2275</v>
      </c>
      <c r="U152" t="str">
        <f t="shared" si="2"/>
        <v/>
      </c>
      <c r="W152">
        <f>Digits_pres_final[[#This Row],[kan_params]]</f>
        <v>85918</v>
      </c>
      <c r="X152">
        <f>Digits_pres_final[[#This Row],[kan_test_acc]]</f>
        <v>0.98888887961705518</v>
      </c>
      <c r="Y152">
        <f>Digits_pres_final[[#This Row],[mlp_test_acc]]</f>
        <v>0.98129629629629633</v>
      </c>
      <c r="Z152">
        <f>Digits_pres_final[[#This Row],[mlp_test_acc2]]</f>
        <v>0.9814814814814814</v>
      </c>
    </row>
    <row r="153" spans="1:26" x14ac:dyDescent="0.25">
      <c r="A153" t="s">
        <v>1979</v>
      </c>
      <c r="B153">
        <v>3</v>
      </c>
      <c r="C153">
        <v>4</v>
      </c>
      <c r="D153">
        <v>0</v>
      </c>
      <c r="E153" t="s">
        <v>1992</v>
      </c>
      <c r="F153">
        <v>85966</v>
      </c>
      <c r="G153">
        <v>80889008.916666657</v>
      </c>
      <c r="H153">
        <v>0.95574073493480682</v>
      </c>
      <c r="I153">
        <v>0.95351851851851854</v>
      </c>
      <c r="J153">
        <v>17796059.166666668</v>
      </c>
      <c r="K153">
        <v>163147</v>
      </c>
      <c r="L153">
        <v>2</v>
      </c>
      <c r="M153">
        <v>267</v>
      </c>
      <c r="N153">
        <v>0.95851851851851855</v>
      </c>
      <c r="O153">
        <v>17738008.833333332</v>
      </c>
      <c r="P153">
        <v>164294</v>
      </c>
      <c r="Q153">
        <v>2</v>
      </c>
      <c r="R153">
        <v>268</v>
      </c>
      <c r="S153" t="s">
        <v>2585</v>
      </c>
      <c r="U153" t="str">
        <f t="shared" si="2"/>
        <v/>
      </c>
      <c r="W153">
        <f>Digits_pres_final[[#This Row],[kan_params]]</f>
        <v>85966</v>
      </c>
      <c r="X153">
        <f>Digits_pres_final[[#This Row],[kan_test_acc]]</f>
        <v>0.95574073493480682</v>
      </c>
      <c r="Y153">
        <f>Digits_pres_final[[#This Row],[mlp_test_acc]]</f>
        <v>0.95351851851851854</v>
      </c>
      <c r="Z153">
        <f>Digits_pres_final[[#This Row],[mlp_test_acc2]]</f>
        <v>0.95851851851851855</v>
      </c>
    </row>
    <row r="154" spans="1:26" hidden="1" x14ac:dyDescent="0.25">
      <c r="A154" t="s">
        <v>1979</v>
      </c>
      <c r="B154">
        <v>3</v>
      </c>
      <c r="C154">
        <v>3</v>
      </c>
      <c r="D154">
        <v>0</v>
      </c>
      <c r="E154" t="s">
        <v>2130</v>
      </c>
      <c r="F154">
        <v>86042</v>
      </c>
      <c r="G154">
        <v>254785178.08333331</v>
      </c>
      <c r="H154">
        <v>0.96925925711790717</v>
      </c>
      <c r="I154">
        <v>0.96388888888888891</v>
      </c>
      <c r="J154">
        <v>28662680.083333336</v>
      </c>
      <c r="K154">
        <v>151897</v>
      </c>
      <c r="L154">
        <v>2</v>
      </c>
      <c r="M154">
        <v>257</v>
      </c>
      <c r="N154">
        <v>0.96111111111111114</v>
      </c>
      <c r="O154">
        <v>27778626.75</v>
      </c>
      <c r="P154">
        <v>153004</v>
      </c>
      <c r="Q154">
        <v>2</v>
      </c>
      <c r="R154">
        <v>258</v>
      </c>
      <c r="S154" t="s">
        <v>2457</v>
      </c>
      <c r="U154" t="str">
        <f t="shared" si="2"/>
        <v/>
      </c>
      <c r="W154">
        <f>Digits_pres_final[[#This Row],[kan_params]]</f>
        <v>86042</v>
      </c>
      <c r="X154">
        <f>Digits_pres_final[[#This Row],[kan_test_acc]]</f>
        <v>0.96925925711790717</v>
      </c>
      <c r="Y154">
        <f>Digits_pres_final[[#This Row],[mlp_test_acc]]</f>
        <v>0.96388888888888891</v>
      </c>
      <c r="Z154">
        <f>Digits_pres_final[[#This Row],[mlp_test_acc2]]</f>
        <v>0.96111111111111114</v>
      </c>
    </row>
    <row r="155" spans="1:26" hidden="1" x14ac:dyDescent="0.25">
      <c r="A155" t="s">
        <v>1979</v>
      </c>
      <c r="B155">
        <v>3</v>
      </c>
      <c r="C155">
        <v>2</v>
      </c>
      <c r="D155">
        <v>0</v>
      </c>
      <c r="E155" t="s">
        <v>2210</v>
      </c>
      <c r="F155">
        <v>86144</v>
      </c>
      <c r="G155">
        <v>336666747</v>
      </c>
      <c r="H155">
        <v>0.97388888895511627</v>
      </c>
      <c r="I155">
        <v>0.97055555555555562</v>
      </c>
      <c r="J155">
        <v>25844525.833333332</v>
      </c>
      <c r="K155">
        <v>138925</v>
      </c>
      <c r="L155">
        <v>2</v>
      </c>
      <c r="M155">
        <v>245</v>
      </c>
      <c r="N155">
        <v>0.96888888888888891</v>
      </c>
      <c r="O155">
        <v>25903665.25</v>
      </c>
      <c r="P155">
        <v>139984</v>
      </c>
      <c r="Q155">
        <v>2</v>
      </c>
      <c r="R155">
        <v>246</v>
      </c>
      <c r="S155" t="s">
        <v>2211</v>
      </c>
      <c r="U155" t="str">
        <f t="shared" si="2"/>
        <v/>
      </c>
      <c r="W155">
        <f>Digits_pres_final[[#This Row],[kan_params]]</f>
        <v>86144</v>
      </c>
      <c r="X155">
        <f>Digits_pres_final[[#This Row],[kan_test_acc]]</f>
        <v>0.97388888895511627</v>
      </c>
      <c r="Y155">
        <f>Digits_pres_final[[#This Row],[mlp_test_acc]]</f>
        <v>0.97055555555555562</v>
      </c>
      <c r="Z155">
        <f>Digits_pres_final[[#This Row],[mlp_test_acc2]]</f>
        <v>0.96888888888888891</v>
      </c>
    </row>
    <row r="156" spans="1:26" hidden="1" x14ac:dyDescent="0.25">
      <c r="A156" t="s">
        <v>1979</v>
      </c>
      <c r="B156">
        <v>3</v>
      </c>
      <c r="C156">
        <v>2</v>
      </c>
      <c r="D156">
        <v>0</v>
      </c>
      <c r="E156" t="s">
        <v>2082</v>
      </c>
      <c r="F156">
        <v>86212</v>
      </c>
      <c r="G156">
        <v>385709237.58333337</v>
      </c>
      <c r="H156">
        <v>0.97481482724348711</v>
      </c>
      <c r="I156">
        <v>0.95981481481481479</v>
      </c>
      <c r="J156">
        <v>27035769.75</v>
      </c>
      <c r="K156">
        <v>139984</v>
      </c>
      <c r="L156">
        <v>2</v>
      </c>
      <c r="M156">
        <v>246</v>
      </c>
      <c r="N156">
        <v>0.96129629629629632</v>
      </c>
      <c r="O156">
        <v>27291341.583333332</v>
      </c>
      <c r="P156">
        <v>141047</v>
      </c>
      <c r="Q156">
        <v>2</v>
      </c>
      <c r="R156">
        <v>247</v>
      </c>
      <c r="S156" t="s">
        <v>2083</v>
      </c>
      <c r="U156" t="str">
        <f t="shared" si="2"/>
        <v/>
      </c>
      <c r="W156">
        <f>Digits_pres_final[[#This Row],[kan_params]]</f>
        <v>86212</v>
      </c>
      <c r="X156">
        <f>Digits_pres_final[[#This Row],[kan_test_acc]]</f>
        <v>0.97481482724348711</v>
      </c>
      <c r="Y156">
        <f>Digits_pres_final[[#This Row],[mlp_test_acc]]</f>
        <v>0.95981481481481479</v>
      </c>
      <c r="Z156">
        <f>Digits_pres_final[[#This Row],[mlp_test_acc2]]</f>
        <v>0.96129629629629632</v>
      </c>
    </row>
    <row r="157" spans="1:26" hidden="1" x14ac:dyDescent="0.25">
      <c r="A157" t="s">
        <v>1979</v>
      </c>
      <c r="B157">
        <v>3</v>
      </c>
      <c r="C157">
        <v>2</v>
      </c>
      <c r="D157">
        <v>0</v>
      </c>
      <c r="E157" t="s">
        <v>2146</v>
      </c>
      <c r="F157">
        <v>86242</v>
      </c>
      <c r="G157">
        <v>294345549</v>
      </c>
      <c r="H157">
        <v>0.97166665891806292</v>
      </c>
      <c r="I157">
        <v>0.95870370370370361</v>
      </c>
      <c r="J157">
        <v>25064011</v>
      </c>
      <c r="K157">
        <v>139984</v>
      </c>
      <c r="L157">
        <v>2</v>
      </c>
      <c r="M157">
        <v>246</v>
      </c>
      <c r="N157">
        <v>0.95851851851851855</v>
      </c>
      <c r="O157">
        <v>26399867.833333332</v>
      </c>
      <c r="P157">
        <v>141047</v>
      </c>
      <c r="Q157">
        <v>2</v>
      </c>
      <c r="R157">
        <v>247</v>
      </c>
      <c r="S157" t="s">
        <v>2147</v>
      </c>
      <c r="U157" t="str">
        <f t="shared" si="2"/>
        <v/>
      </c>
      <c r="W157">
        <f>Digits_pres_final[[#This Row],[kan_params]]</f>
        <v>86242</v>
      </c>
      <c r="X157">
        <f>Digits_pres_final[[#This Row],[kan_test_acc]]</f>
        <v>0.97166665891806292</v>
      </c>
      <c r="Y157">
        <f>Digits_pres_final[[#This Row],[mlp_test_acc]]</f>
        <v>0.95870370370370361</v>
      </c>
      <c r="Z157">
        <f>Digits_pres_final[[#This Row],[mlp_test_acc2]]</f>
        <v>0.95851851851851855</v>
      </c>
    </row>
    <row r="158" spans="1:26" hidden="1" x14ac:dyDescent="0.25">
      <c r="A158" t="s">
        <v>1979</v>
      </c>
      <c r="B158">
        <v>3</v>
      </c>
      <c r="C158">
        <v>3</v>
      </c>
      <c r="D158">
        <v>0</v>
      </c>
      <c r="E158" t="s">
        <v>2066</v>
      </c>
      <c r="F158">
        <v>86296</v>
      </c>
      <c r="G158">
        <v>236273152.25</v>
      </c>
      <c r="H158">
        <v>0.96555555363496148</v>
      </c>
      <c r="I158">
        <v>0.9572222222222222</v>
      </c>
      <c r="J158">
        <v>24538233.333333332</v>
      </c>
      <c r="K158">
        <v>153004</v>
      </c>
      <c r="L158">
        <v>2</v>
      </c>
      <c r="M158">
        <v>258</v>
      </c>
      <c r="N158">
        <v>0.96370370370370373</v>
      </c>
      <c r="O158">
        <v>24031560.666666668</v>
      </c>
      <c r="P158">
        <v>154115</v>
      </c>
      <c r="Q158">
        <v>2</v>
      </c>
      <c r="R158">
        <v>259</v>
      </c>
      <c r="S158" t="s">
        <v>2426</v>
      </c>
      <c r="U158" t="str">
        <f t="shared" si="2"/>
        <v/>
      </c>
      <c r="W158">
        <f>Digits_pres_final[[#This Row],[kan_params]]</f>
        <v>86296</v>
      </c>
      <c r="X158">
        <f>Digits_pres_final[[#This Row],[kan_test_acc]]</f>
        <v>0.96555555363496148</v>
      </c>
      <c r="Y158">
        <f>Digits_pres_final[[#This Row],[mlp_test_acc]]</f>
        <v>0.9572222222222222</v>
      </c>
      <c r="Z158">
        <f>Digits_pres_final[[#This Row],[mlp_test_acc2]]</f>
        <v>0.96370370370370373</v>
      </c>
    </row>
    <row r="159" spans="1:26" hidden="1" x14ac:dyDescent="0.25">
      <c r="A159" t="s">
        <v>1979</v>
      </c>
      <c r="B159">
        <v>3</v>
      </c>
      <c r="C159">
        <v>3</v>
      </c>
      <c r="D159">
        <v>0</v>
      </c>
      <c r="E159" t="s">
        <v>2260</v>
      </c>
      <c r="F159">
        <v>86544</v>
      </c>
      <c r="G159">
        <v>466844008.25</v>
      </c>
      <c r="H159">
        <v>0.96777777373790741</v>
      </c>
      <c r="I159">
        <v>0.95648148148148149</v>
      </c>
      <c r="J159">
        <v>34427167</v>
      </c>
      <c r="K159">
        <v>153004</v>
      </c>
      <c r="L159">
        <v>2</v>
      </c>
      <c r="M159">
        <v>258</v>
      </c>
      <c r="N159">
        <v>0.95833333333333326</v>
      </c>
      <c r="O159">
        <v>35420920.75</v>
      </c>
      <c r="P159">
        <v>154115</v>
      </c>
      <c r="Q159">
        <v>2</v>
      </c>
      <c r="R159">
        <v>259</v>
      </c>
      <c r="S159" t="s">
        <v>2520</v>
      </c>
      <c r="U159" t="str">
        <f t="shared" si="2"/>
        <v/>
      </c>
      <c r="W159">
        <f>Digits_pres_final[[#This Row],[kan_params]]</f>
        <v>86544</v>
      </c>
      <c r="X159">
        <f>Digits_pres_final[[#This Row],[kan_test_acc]]</f>
        <v>0.96777777373790741</v>
      </c>
      <c r="Y159">
        <f>Digits_pres_final[[#This Row],[mlp_test_acc]]</f>
        <v>0.95648148148148149</v>
      </c>
      <c r="Z159">
        <f>Digits_pres_final[[#This Row],[mlp_test_acc2]]</f>
        <v>0.95833333333333326</v>
      </c>
    </row>
    <row r="160" spans="1:26" hidden="1" x14ac:dyDescent="0.25">
      <c r="A160" t="s">
        <v>1979</v>
      </c>
      <c r="B160">
        <v>3</v>
      </c>
      <c r="C160">
        <v>3</v>
      </c>
      <c r="D160">
        <v>0</v>
      </c>
      <c r="E160" t="s">
        <v>2006</v>
      </c>
      <c r="F160">
        <v>86720</v>
      </c>
      <c r="G160">
        <v>171758351.83333331</v>
      </c>
      <c r="H160">
        <v>0.96555554866790771</v>
      </c>
      <c r="I160">
        <v>0.95740740740740748</v>
      </c>
      <c r="J160">
        <v>24142761.5</v>
      </c>
      <c r="K160">
        <v>153004</v>
      </c>
      <c r="L160">
        <v>2</v>
      </c>
      <c r="M160">
        <v>258</v>
      </c>
      <c r="N160">
        <v>0.95814814814814819</v>
      </c>
      <c r="O160">
        <v>24582295.333333336</v>
      </c>
      <c r="P160">
        <v>154115</v>
      </c>
      <c r="Q160">
        <v>2</v>
      </c>
      <c r="R160">
        <v>259</v>
      </c>
      <c r="S160" t="s">
        <v>2405</v>
      </c>
      <c r="U160" t="str">
        <f t="shared" si="2"/>
        <v/>
      </c>
      <c r="W160">
        <f>Digits_pres_final[[#This Row],[kan_params]]</f>
        <v>86720</v>
      </c>
      <c r="X160">
        <f>Digits_pres_final[[#This Row],[kan_test_acc]]</f>
        <v>0.96555554866790771</v>
      </c>
      <c r="Y160">
        <f>Digits_pres_final[[#This Row],[mlp_test_acc]]</f>
        <v>0.95740740740740748</v>
      </c>
      <c r="Z160">
        <f>Digits_pres_final[[#This Row],[mlp_test_acc2]]</f>
        <v>0.95814814814814819</v>
      </c>
    </row>
    <row r="161" spans="1:26" hidden="1" x14ac:dyDescent="0.25">
      <c r="A161" t="s">
        <v>1979</v>
      </c>
      <c r="B161">
        <v>3</v>
      </c>
      <c r="C161">
        <v>2</v>
      </c>
      <c r="D161">
        <v>0</v>
      </c>
      <c r="E161" t="s">
        <v>2338</v>
      </c>
      <c r="F161">
        <v>86878</v>
      </c>
      <c r="G161">
        <v>307446745.75</v>
      </c>
      <c r="H161">
        <v>0.97388888895511627</v>
      </c>
      <c r="I161">
        <v>0.94518518518518513</v>
      </c>
      <c r="J161">
        <v>27310375.166666668</v>
      </c>
      <c r="K161">
        <v>141047</v>
      </c>
      <c r="L161">
        <v>2</v>
      </c>
      <c r="M161">
        <v>247</v>
      </c>
      <c r="N161">
        <v>0.94759259259259254</v>
      </c>
      <c r="O161">
        <v>24440340.416666668</v>
      </c>
      <c r="P161">
        <v>142114</v>
      </c>
      <c r="Q161">
        <v>2</v>
      </c>
      <c r="R161">
        <v>248</v>
      </c>
      <c r="S161" t="s">
        <v>2339</v>
      </c>
      <c r="U161" t="str">
        <f t="shared" si="2"/>
        <v/>
      </c>
      <c r="W161">
        <f>Digits_pres_final[[#This Row],[kan_params]]</f>
        <v>86878</v>
      </c>
      <c r="X161">
        <f>Digits_pres_final[[#This Row],[kan_test_acc]]</f>
        <v>0.97388888895511627</v>
      </c>
      <c r="Y161">
        <f>Digits_pres_final[[#This Row],[mlp_test_acc]]</f>
        <v>0.94518518518518513</v>
      </c>
      <c r="Z161">
        <f>Digits_pres_final[[#This Row],[mlp_test_acc2]]</f>
        <v>0.94759259259259254</v>
      </c>
    </row>
    <row r="162" spans="1:26" hidden="1" x14ac:dyDescent="0.25">
      <c r="A162" t="s">
        <v>1979</v>
      </c>
      <c r="B162">
        <v>3</v>
      </c>
      <c r="C162">
        <v>3</v>
      </c>
      <c r="D162">
        <v>0</v>
      </c>
      <c r="E162" t="s">
        <v>2196</v>
      </c>
      <c r="F162">
        <v>87050</v>
      </c>
      <c r="G162">
        <v>264493935.66666669</v>
      </c>
      <c r="H162">
        <v>0.96759258210659027</v>
      </c>
      <c r="I162">
        <v>0.96851851851851856</v>
      </c>
      <c r="J162">
        <v>27077633</v>
      </c>
      <c r="K162">
        <v>154115</v>
      </c>
      <c r="L162">
        <v>2</v>
      </c>
      <c r="M162">
        <v>259</v>
      </c>
      <c r="N162">
        <v>0.96444444444444444</v>
      </c>
      <c r="O162">
        <v>26780593.75</v>
      </c>
      <c r="P162">
        <v>155230</v>
      </c>
      <c r="Q162">
        <v>2</v>
      </c>
      <c r="R162">
        <v>260</v>
      </c>
      <c r="S162" t="s">
        <v>2489</v>
      </c>
      <c r="U162" t="str">
        <f t="shared" si="2"/>
        <v/>
      </c>
      <c r="W162">
        <f>Digits_pres_final[[#This Row],[kan_params]]</f>
        <v>87050</v>
      </c>
      <c r="X162">
        <f>Digits_pres_final[[#This Row],[kan_test_acc]]</f>
        <v>0.96759258210659027</v>
      </c>
      <c r="Y162">
        <f>Digits_pres_final[[#This Row],[mlp_test_acc]]</f>
        <v>0.96851851851851856</v>
      </c>
      <c r="Z162">
        <f>Digits_pres_final[[#This Row],[mlp_test_acc2]]</f>
        <v>0.96444444444444444</v>
      </c>
    </row>
    <row r="163" spans="1:26" hidden="1" x14ac:dyDescent="0.25">
      <c r="A163" t="s">
        <v>1979</v>
      </c>
      <c r="B163">
        <v>3</v>
      </c>
      <c r="C163">
        <v>2</v>
      </c>
      <c r="D163">
        <v>0</v>
      </c>
      <c r="E163" t="s">
        <v>2276</v>
      </c>
      <c r="F163">
        <v>87200</v>
      </c>
      <c r="G163">
        <v>178685941.58333334</v>
      </c>
      <c r="H163">
        <v>0.98925924797852827</v>
      </c>
      <c r="I163">
        <v>0.98018518518518516</v>
      </c>
      <c r="J163">
        <v>16671175</v>
      </c>
      <c r="K163">
        <v>141047</v>
      </c>
      <c r="L163">
        <v>2</v>
      </c>
      <c r="M163">
        <v>247</v>
      </c>
      <c r="N163">
        <v>0.9781481481481481</v>
      </c>
      <c r="O163">
        <v>15758109.333333332</v>
      </c>
      <c r="P163">
        <v>142114</v>
      </c>
      <c r="Q163">
        <v>2</v>
      </c>
      <c r="R163">
        <v>248</v>
      </c>
      <c r="S163" t="s">
        <v>2277</v>
      </c>
      <c r="U163" t="str">
        <f t="shared" si="2"/>
        <v/>
      </c>
      <c r="W163">
        <f>Digits_pres_final[[#This Row],[kan_params]]</f>
        <v>87200</v>
      </c>
      <c r="X163">
        <f>Digits_pres_final[[#This Row],[kan_test_acc]]</f>
        <v>0.98925924797852827</v>
      </c>
      <c r="Y163">
        <f>Digits_pres_final[[#This Row],[mlp_test_acc]]</f>
        <v>0.98018518518518516</v>
      </c>
      <c r="Z163">
        <f>Digits_pres_final[[#This Row],[mlp_test_acc2]]</f>
        <v>0.9781481481481481</v>
      </c>
    </row>
    <row r="164" spans="1:26" hidden="1" x14ac:dyDescent="0.25">
      <c r="A164" t="s">
        <v>1979</v>
      </c>
      <c r="B164">
        <v>3</v>
      </c>
      <c r="C164">
        <v>2</v>
      </c>
      <c r="D164">
        <v>0</v>
      </c>
      <c r="E164" t="s">
        <v>2212</v>
      </c>
      <c r="F164">
        <v>87394</v>
      </c>
      <c r="G164">
        <v>334063590.5</v>
      </c>
      <c r="H164">
        <v>0.98203704257806135</v>
      </c>
      <c r="I164">
        <v>0.97166666666666668</v>
      </c>
      <c r="J164">
        <v>24999938.75</v>
      </c>
      <c r="K164">
        <v>141047</v>
      </c>
      <c r="L164">
        <v>2</v>
      </c>
      <c r="M164">
        <v>247</v>
      </c>
      <c r="N164">
        <v>0.97</v>
      </c>
      <c r="O164">
        <v>24233828.75</v>
      </c>
      <c r="P164">
        <v>142114</v>
      </c>
      <c r="Q164">
        <v>2</v>
      </c>
      <c r="R164">
        <v>248</v>
      </c>
      <c r="S164" t="s">
        <v>2213</v>
      </c>
      <c r="U164" t="str">
        <f t="shared" si="2"/>
        <v/>
      </c>
      <c r="W164">
        <f>Digits_pres_final[[#This Row],[kan_params]]</f>
        <v>87394</v>
      </c>
      <c r="X164">
        <f>Digits_pres_final[[#This Row],[kan_test_acc]]</f>
        <v>0.98203704257806135</v>
      </c>
      <c r="Y164">
        <f>Digits_pres_final[[#This Row],[mlp_test_acc]]</f>
        <v>0.97166666666666668</v>
      </c>
      <c r="Z164">
        <f>Digits_pres_final[[#This Row],[mlp_test_acc2]]</f>
        <v>0.97</v>
      </c>
    </row>
    <row r="165" spans="1:26" hidden="1" x14ac:dyDescent="0.25">
      <c r="A165" t="s">
        <v>1979</v>
      </c>
      <c r="B165">
        <v>3</v>
      </c>
      <c r="C165">
        <v>2</v>
      </c>
      <c r="D165">
        <v>0</v>
      </c>
      <c r="E165" t="s">
        <v>2084</v>
      </c>
      <c r="F165">
        <v>87398</v>
      </c>
      <c r="G165">
        <v>376574870.66666663</v>
      </c>
      <c r="H165">
        <v>0.97333334386348724</v>
      </c>
      <c r="I165">
        <v>0.9605555555555555</v>
      </c>
      <c r="J165">
        <v>26986587.25</v>
      </c>
      <c r="K165">
        <v>141047</v>
      </c>
      <c r="L165">
        <v>2</v>
      </c>
      <c r="M165">
        <v>247</v>
      </c>
      <c r="N165">
        <v>0.96074074074074067</v>
      </c>
      <c r="O165">
        <v>28010792.666666664</v>
      </c>
      <c r="P165">
        <v>142114</v>
      </c>
      <c r="Q165">
        <v>2</v>
      </c>
      <c r="R165">
        <v>248</v>
      </c>
      <c r="S165" t="s">
        <v>2085</v>
      </c>
      <c r="U165" t="str">
        <f t="shared" si="2"/>
        <v/>
      </c>
      <c r="W165">
        <f>Digits_pres_final[[#This Row],[kan_params]]</f>
        <v>87398</v>
      </c>
      <c r="X165">
        <f>Digits_pres_final[[#This Row],[kan_test_acc]]</f>
        <v>0.97333334386348724</v>
      </c>
      <c r="Y165">
        <f>Digits_pres_final[[#This Row],[mlp_test_acc]]</f>
        <v>0.9605555555555555</v>
      </c>
      <c r="Z165">
        <f>Digits_pres_final[[#This Row],[mlp_test_acc2]]</f>
        <v>0.96074074074074067</v>
      </c>
    </row>
    <row r="166" spans="1:26" hidden="1" x14ac:dyDescent="0.25">
      <c r="A166" t="s">
        <v>1979</v>
      </c>
      <c r="B166">
        <v>3</v>
      </c>
      <c r="C166">
        <v>3</v>
      </c>
      <c r="D166">
        <v>0</v>
      </c>
      <c r="E166" t="s">
        <v>2132</v>
      </c>
      <c r="F166">
        <v>87412</v>
      </c>
      <c r="G166">
        <v>282271203.91666669</v>
      </c>
      <c r="H166">
        <v>0.97203703721364332</v>
      </c>
      <c r="I166">
        <v>0.96203703703703702</v>
      </c>
      <c r="J166">
        <v>28227775.833333336</v>
      </c>
      <c r="K166">
        <v>155230</v>
      </c>
      <c r="L166">
        <v>2</v>
      </c>
      <c r="M166">
        <v>260</v>
      </c>
      <c r="N166">
        <v>0.96240740740740738</v>
      </c>
      <c r="O166">
        <v>27295273.166666664</v>
      </c>
      <c r="P166">
        <v>156349</v>
      </c>
      <c r="Q166">
        <v>2</v>
      </c>
      <c r="R166">
        <v>261</v>
      </c>
      <c r="S166" t="s">
        <v>2458</v>
      </c>
      <c r="U166" t="str">
        <f t="shared" si="2"/>
        <v/>
      </c>
      <c r="W166">
        <f>Digits_pres_final[[#This Row],[kan_params]]</f>
        <v>87412</v>
      </c>
      <c r="X166">
        <f>Digits_pres_final[[#This Row],[kan_test_acc]]</f>
        <v>0.97203703721364332</v>
      </c>
      <c r="Y166">
        <f>Digits_pres_final[[#This Row],[mlp_test_acc]]</f>
        <v>0.96203703703703702</v>
      </c>
      <c r="Z166">
        <f>Digits_pres_final[[#This Row],[mlp_test_acc2]]</f>
        <v>0.96240740740740738</v>
      </c>
    </row>
    <row r="167" spans="1:26" x14ac:dyDescent="0.25">
      <c r="A167" t="s">
        <v>1979</v>
      </c>
      <c r="B167">
        <v>3</v>
      </c>
      <c r="C167">
        <v>4</v>
      </c>
      <c r="D167">
        <v>0</v>
      </c>
      <c r="E167" t="s">
        <v>1994</v>
      </c>
      <c r="F167">
        <v>87448</v>
      </c>
      <c r="G167">
        <v>78714716.75</v>
      </c>
      <c r="H167">
        <v>0.954999993244807</v>
      </c>
      <c r="I167">
        <v>0.95870370370370372</v>
      </c>
      <c r="J167">
        <v>18341235.333333336</v>
      </c>
      <c r="K167">
        <v>165445</v>
      </c>
      <c r="L167">
        <v>2</v>
      </c>
      <c r="M167">
        <v>269</v>
      </c>
      <c r="N167">
        <v>0.95555555555555549</v>
      </c>
      <c r="O167">
        <v>17981549.416666664</v>
      </c>
      <c r="P167">
        <v>166600</v>
      </c>
      <c r="Q167">
        <v>2</v>
      </c>
      <c r="R167">
        <v>270</v>
      </c>
      <c r="S167" t="s">
        <v>2586</v>
      </c>
      <c r="U167" t="str">
        <f t="shared" si="2"/>
        <v/>
      </c>
      <c r="W167">
        <f>Digits_pres_final[[#This Row],[kan_params]]</f>
        <v>87448</v>
      </c>
      <c r="X167">
        <f>Digits_pres_final[[#This Row],[kan_test_acc]]</f>
        <v>0.954999993244807</v>
      </c>
      <c r="Y167">
        <f>Digits_pres_final[[#This Row],[mlp_test_acc]]</f>
        <v>0.95870370370370372</v>
      </c>
      <c r="Z167">
        <f>Digits_pres_final[[#This Row],[mlp_test_acc2]]</f>
        <v>0.95555555555555549</v>
      </c>
    </row>
    <row r="168" spans="1:26" hidden="1" x14ac:dyDescent="0.25">
      <c r="A168" t="s">
        <v>1979</v>
      </c>
      <c r="B168">
        <v>3</v>
      </c>
      <c r="C168">
        <v>2</v>
      </c>
      <c r="D168">
        <v>0</v>
      </c>
      <c r="E168" t="s">
        <v>2148</v>
      </c>
      <c r="F168">
        <v>87460</v>
      </c>
      <c r="G168">
        <v>307678744.66666663</v>
      </c>
      <c r="H168">
        <v>0.97425926228364301</v>
      </c>
      <c r="I168">
        <v>0.95870370370370361</v>
      </c>
      <c r="J168">
        <v>26060647</v>
      </c>
      <c r="K168">
        <v>141047</v>
      </c>
      <c r="L168">
        <v>2</v>
      </c>
      <c r="M168">
        <v>247</v>
      </c>
      <c r="N168">
        <v>0.95574074074074078</v>
      </c>
      <c r="O168">
        <v>25905296.75</v>
      </c>
      <c r="P168">
        <v>142114</v>
      </c>
      <c r="Q168">
        <v>2</v>
      </c>
      <c r="R168">
        <v>248</v>
      </c>
      <c r="S168" t="s">
        <v>2149</v>
      </c>
      <c r="U168" t="str">
        <f t="shared" si="2"/>
        <v/>
      </c>
      <c r="W168">
        <f>Digits_pres_final[[#This Row],[kan_params]]</f>
        <v>87460</v>
      </c>
      <c r="X168">
        <f>Digits_pres_final[[#This Row],[kan_test_acc]]</f>
        <v>0.97425926228364301</v>
      </c>
      <c r="Y168">
        <f>Digits_pres_final[[#This Row],[mlp_test_acc]]</f>
        <v>0.95870370370370361</v>
      </c>
      <c r="Z168">
        <f>Digits_pres_final[[#This Row],[mlp_test_acc2]]</f>
        <v>0.95574074074074078</v>
      </c>
    </row>
    <row r="169" spans="1:26" hidden="1" x14ac:dyDescent="0.25">
      <c r="A169" t="s">
        <v>1979</v>
      </c>
      <c r="B169">
        <v>3</v>
      </c>
      <c r="C169">
        <v>3</v>
      </c>
      <c r="D169">
        <v>0</v>
      </c>
      <c r="E169" t="s">
        <v>2068</v>
      </c>
      <c r="F169">
        <v>87630</v>
      </c>
      <c r="G169">
        <v>247304240.75</v>
      </c>
      <c r="H169">
        <v>0.96444444358348846</v>
      </c>
      <c r="I169">
        <v>0.95833333333333326</v>
      </c>
      <c r="J169">
        <v>24920467.833333332</v>
      </c>
      <c r="K169">
        <v>155230</v>
      </c>
      <c r="L169">
        <v>2</v>
      </c>
      <c r="M169">
        <v>260</v>
      </c>
      <c r="N169">
        <v>0.96574074074074079</v>
      </c>
      <c r="O169">
        <v>24462471.5</v>
      </c>
      <c r="P169">
        <v>156349</v>
      </c>
      <c r="Q169">
        <v>2</v>
      </c>
      <c r="R169">
        <v>261</v>
      </c>
      <c r="S169" t="s">
        <v>2427</v>
      </c>
      <c r="U169" t="str">
        <f t="shared" si="2"/>
        <v/>
      </c>
      <c r="W169">
        <f>Digits_pres_final[[#This Row],[kan_params]]</f>
        <v>87630</v>
      </c>
      <c r="X169">
        <f>Digits_pres_final[[#This Row],[kan_test_acc]]</f>
        <v>0.96444444358348846</v>
      </c>
      <c r="Y169">
        <f>Digits_pres_final[[#This Row],[mlp_test_acc]]</f>
        <v>0.95833333333333326</v>
      </c>
      <c r="Z169">
        <f>Digits_pres_final[[#This Row],[mlp_test_acc2]]</f>
        <v>0.96574074074074079</v>
      </c>
    </row>
    <row r="170" spans="1:26" hidden="1" x14ac:dyDescent="0.25">
      <c r="A170" t="s">
        <v>1979</v>
      </c>
      <c r="B170">
        <v>3</v>
      </c>
      <c r="C170">
        <v>3</v>
      </c>
      <c r="D170">
        <v>0</v>
      </c>
      <c r="E170" t="s">
        <v>2262</v>
      </c>
      <c r="F170">
        <v>87986</v>
      </c>
      <c r="G170">
        <v>361337277.33333337</v>
      </c>
      <c r="H170">
        <v>0.96796295543511712</v>
      </c>
      <c r="I170">
        <v>0.95740740740740748</v>
      </c>
      <c r="J170">
        <v>31680401.916666668</v>
      </c>
      <c r="K170">
        <v>155230</v>
      </c>
      <c r="L170">
        <v>2</v>
      </c>
      <c r="M170">
        <v>260</v>
      </c>
      <c r="N170">
        <v>0.95870370370370361</v>
      </c>
      <c r="O170">
        <v>30849153.25</v>
      </c>
      <c r="P170">
        <v>156349</v>
      </c>
      <c r="Q170">
        <v>2</v>
      </c>
      <c r="R170">
        <v>261</v>
      </c>
      <c r="S170" t="s">
        <v>2521</v>
      </c>
      <c r="U170" t="str">
        <f t="shared" si="2"/>
        <v/>
      </c>
      <c r="W170">
        <f>Digits_pres_final[[#This Row],[kan_params]]</f>
        <v>87986</v>
      </c>
      <c r="X170">
        <f>Digits_pres_final[[#This Row],[kan_test_acc]]</f>
        <v>0.96796295543511712</v>
      </c>
      <c r="Y170">
        <f>Digits_pres_final[[#This Row],[mlp_test_acc]]</f>
        <v>0.95740740740740748</v>
      </c>
      <c r="Z170">
        <f>Digits_pres_final[[#This Row],[mlp_test_acc2]]</f>
        <v>0.95870370370370361</v>
      </c>
    </row>
    <row r="171" spans="1:26" hidden="1" x14ac:dyDescent="0.25">
      <c r="A171" t="s">
        <v>1979</v>
      </c>
      <c r="B171">
        <v>3</v>
      </c>
      <c r="C171">
        <v>2</v>
      </c>
      <c r="D171">
        <v>0</v>
      </c>
      <c r="E171" t="s">
        <v>2340</v>
      </c>
      <c r="F171">
        <v>88192</v>
      </c>
      <c r="G171">
        <v>312484862.91666663</v>
      </c>
      <c r="H171">
        <v>0.97333333392937971</v>
      </c>
      <c r="I171">
        <v>0.94611111111111112</v>
      </c>
      <c r="J171">
        <v>26987147.75</v>
      </c>
      <c r="K171">
        <v>143185</v>
      </c>
      <c r="L171">
        <v>2</v>
      </c>
      <c r="M171">
        <v>249</v>
      </c>
      <c r="N171">
        <v>0.94925925925925925</v>
      </c>
      <c r="O171">
        <v>24165059.083333336</v>
      </c>
      <c r="P171">
        <v>144260</v>
      </c>
      <c r="Q171">
        <v>2</v>
      </c>
      <c r="R171">
        <v>250</v>
      </c>
      <c r="S171" t="s">
        <v>2341</v>
      </c>
      <c r="U171" t="str">
        <f t="shared" si="2"/>
        <v/>
      </c>
      <c r="W171">
        <f>Digits_pres_final[[#This Row],[kan_params]]</f>
        <v>88192</v>
      </c>
      <c r="X171">
        <f>Digits_pres_final[[#This Row],[kan_test_acc]]</f>
        <v>0.97333333392937971</v>
      </c>
      <c r="Y171">
        <f>Digits_pres_final[[#This Row],[mlp_test_acc]]</f>
        <v>0.94611111111111112</v>
      </c>
      <c r="Z171">
        <f>Digits_pres_final[[#This Row],[mlp_test_acc2]]</f>
        <v>0.94925925925925925</v>
      </c>
    </row>
    <row r="172" spans="1:26" hidden="1" x14ac:dyDescent="0.25">
      <c r="A172" t="s">
        <v>1979</v>
      </c>
      <c r="B172">
        <v>3</v>
      </c>
      <c r="C172">
        <v>3</v>
      </c>
      <c r="D172">
        <v>0</v>
      </c>
      <c r="E172" t="s">
        <v>2198</v>
      </c>
      <c r="F172">
        <v>88456</v>
      </c>
      <c r="G172">
        <v>236219934.33333331</v>
      </c>
      <c r="H172">
        <v>0.96574073036511732</v>
      </c>
      <c r="I172">
        <v>0.96888888888888891</v>
      </c>
      <c r="J172">
        <v>26746194.833333332</v>
      </c>
      <c r="K172">
        <v>156349</v>
      </c>
      <c r="L172">
        <v>2</v>
      </c>
      <c r="M172">
        <v>261</v>
      </c>
      <c r="N172">
        <v>0.96611111111111114</v>
      </c>
      <c r="O172">
        <v>26756139.166666664</v>
      </c>
      <c r="P172">
        <v>157472</v>
      </c>
      <c r="Q172">
        <v>2</v>
      </c>
      <c r="R172">
        <v>262</v>
      </c>
      <c r="S172" t="s">
        <v>2490</v>
      </c>
      <c r="U172" t="str">
        <f t="shared" si="2"/>
        <v/>
      </c>
      <c r="W172">
        <f>Digits_pres_final[[#This Row],[kan_params]]</f>
        <v>88456</v>
      </c>
      <c r="X172">
        <f>Digits_pres_final[[#This Row],[kan_test_acc]]</f>
        <v>0.96574073036511732</v>
      </c>
      <c r="Y172">
        <f>Digits_pres_final[[#This Row],[mlp_test_acc]]</f>
        <v>0.96888888888888891</v>
      </c>
      <c r="Z172">
        <f>Digits_pres_final[[#This Row],[mlp_test_acc2]]</f>
        <v>0.96611111111111114</v>
      </c>
    </row>
    <row r="173" spans="1:26" x14ac:dyDescent="0.25">
      <c r="A173" t="s">
        <v>1979</v>
      </c>
      <c r="B173">
        <v>3</v>
      </c>
      <c r="C173">
        <v>4</v>
      </c>
      <c r="D173">
        <v>0</v>
      </c>
      <c r="E173" t="s">
        <v>2056</v>
      </c>
      <c r="F173">
        <v>88458</v>
      </c>
      <c r="G173">
        <v>417994148.91666663</v>
      </c>
      <c r="H173">
        <v>0.9496296296517055</v>
      </c>
      <c r="I173">
        <v>0.96601851851851861</v>
      </c>
      <c r="J173">
        <v>33482554.208333332</v>
      </c>
      <c r="K173">
        <v>167759</v>
      </c>
      <c r="L173">
        <v>2</v>
      </c>
      <c r="M173">
        <v>271</v>
      </c>
      <c r="N173">
        <v>0.96370370370370373</v>
      </c>
      <c r="O173">
        <v>31708731.416666668</v>
      </c>
      <c r="P173">
        <v>168922</v>
      </c>
      <c r="Q173">
        <v>2</v>
      </c>
      <c r="R173">
        <v>272</v>
      </c>
      <c r="S173" t="s">
        <v>2612</v>
      </c>
      <c r="U173" t="str">
        <f t="shared" si="2"/>
        <v/>
      </c>
      <c r="W173">
        <f>Digits_pres_final[[#This Row],[kan_params]]</f>
        <v>88458</v>
      </c>
      <c r="X173">
        <f>Digits_pres_final[[#This Row],[kan_test_acc]]</f>
        <v>0.9496296296517055</v>
      </c>
      <c r="Y173">
        <f>Digits_pres_final[[#This Row],[mlp_test_acc]]</f>
        <v>0.96601851851851861</v>
      </c>
      <c r="Z173">
        <f>Digits_pres_final[[#This Row],[mlp_test_acc2]]</f>
        <v>0.96370370370370373</v>
      </c>
    </row>
    <row r="174" spans="1:26" hidden="1" x14ac:dyDescent="0.25">
      <c r="A174" t="s">
        <v>1979</v>
      </c>
      <c r="B174">
        <v>3</v>
      </c>
      <c r="C174">
        <v>2</v>
      </c>
      <c r="D174">
        <v>0</v>
      </c>
      <c r="E174" t="s">
        <v>2278</v>
      </c>
      <c r="F174">
        <v>88482</v>
      </c>
      <c r="G174">
        <v>180211507.33333334</v>
      </c>
      <c r="H174">
        <v>0.99129629135131836</v>
      </c>
      <c r="I174">
        <v>0.97962962962962963</v>
      </c>
      <c r="J174">
        <v>15902766.833333332</v>
      </c>
      <c r="K174">
        <v>143185</v>
      </c>
      <c r="L174">
        <v>2</v>
      </c>
      <c r="M174">
        <v>249</v>
      </c>
      <c r="N174">
        <v>0.97833333333333328</v>
      </c>
      <c r="O174">
        <v>16742355.333333334</v>
      </c>
      <c r="P174">
        <v>144260</v>
      </c>
      <c r="Q174">
        <v>2</v>
      </c>
      <c r="R174">
        <v>250</v>
      </c>
      <c r="S174" t="s">
        <v>2279</v>
      </c>
      <c r="U174" t="str">
        <f t="shared" si="2"/>
        <v/>
      </c>
      <c r="W174">
        <f>Digits_pres_final[[#This Row],[kan_params]]</f>
        <v>88482</v>
      </c>
      <c r="X174">
        <f>Digits_pres_final[[#This Row],[kan_test_acc]]</f>
        <v>0.99129629135131836</v>
      </c>
      <c r="Y174">
        <f>Digits_pres_final[[#This Row],[mlp_test_acc]]</f>
        <v>0.97962962962962963</v>
      </c>
      <c r="Z174">
        <f>Digits_pres_final[[#This Row],[mlp_test_acc2]]</f>
        <v>0.97833333333333328</v>
      </c>
    </row>
    <row r="175" spans="1:26" hidden="1" x14ac:dyDescent="0.25">
      <c r="A175" t="s">
        <v>1979</v>
      </c>
      <c r="B175">
        <v>3</v>
      </c>
      <c r="C175">
        <v>2</v>
      </c>
      <c r="D175">
        <v>0</v>
      </c>
      <c r="E175" t="s">
        <v>2086</v>
      </c>
      <c r="F175">
        <v>88584</v>
      </c>
      <c r="G175">
        <v>368727706.66666663</v>
      </c>
      <c r="H175">
        <v>0.97111111879348755</v>
      </c>
      <c r="I175">
        <v>0.95851851851851855</v>
      </c>
      <c r="J175">
        <v>27598053.833333336</v>
      </c>
      <c r="K175">
        <v>143185</v>
      </c>
      <c r="L175">
        <v>2</v>
      </c>
      <c r="M175">
        <v>249</v>
      </c>
      <c r="N175">
        <v>0.96166666666666667</v>
      </c>
      <c r="O175">
        <v>27646932.833333336</v>
      </c>
      <c r="P175">
        <v>144260</v>
      </c>
      <c r="Q175">
        <v>2</v>
      </c>
      <c r="R175">
        <v>250</v>
      </c>
      <c r="S175" t="s">
        <v>2087</v>
      </c>
      <c r="U175" t="str">
        <f t="shared" si="2"/>
        <v/>
      </c>
      <c r="W175">
        <f>Digits_pres_final[[#This Row],[kan_params]]</f>
        <v>88584</v>
      </c>
      <c r="X175">
        <f>Digits_pres_final[[#This Row],[kan_test_acc]]</f>
        <v>0.97111111879348755</v>
      </c>
      <c r="Y175">
        <f>Digits_pres_final[[#This Row],[mlp_test_acc]]</f>
        <v>0.95851851851851855</v>
      </c>
      <c r="Z175">
        <f>Digits_pres_final[[#This Row],[mlp_test_acc2]]</f>
        <v>0.96166666666666667</v>
      </c>
    </row>
    <row r="176" spans="1:26" hidden="1" x14ac:dyDescent="0.25">
      <c r="A176" t="s">
        <v>1979</v>
      </c>
      <c r="B176">
        <v>3</v>
      </c>
      <c r="C176">
        <v>2</v>
      </c>
      <c r="D176">
        <v>0</v>
      </c>
      <c r="E176" t="s">
        <v>2214</v>
      </c>
      <c r="F176">
        <v>88644</v>
      </c>
      <c r="G176">
        <v>314112668.25</v>
      </c>
      <c r="H176">
        <v>0.98851852118968964</v>
      </c>
      <c r="I176">
        <v>0.97333333333333327</v>
      </c>
      <c r="J176">
        <v>24567379.666666668</v>
      </c>
      <c r="K176">
        <v>143185</v>
      </c>
      <c r="L176">
        <v>2</v>
      </c>
      <c r="M176">
        <v>249</v>
      </c>
      <c r="N176">
        <v>0.97055555555555562</v>
      </c>
      <c r="O176">
        <v>24243418.333333336</v>
      </c>
      <c r="P176">
        <v>144260</v>
      </c>
      <c r="Q176">
        <v>2</v>
      </c>
      <c r="R176">
        <v>250</v>
      </c>
      <c r="S176" t="s">
        <v>2215</v>
      </c>
      <c r="U176" t="str">
        <f t="shared" si="2"/>
        <v/>
      </c>
      <c r="W176">
        <f>Digits_pres_final[[#This Row],[kan_params]]</f>
        <v>88644</v>
      </c>
      <c r="X176">
        <f>Digits_pres_final[[#This Row],[kan_test_acc]]</f>
        <v>0.98851852118968964</v>
      </c>
      <c r="Y176">
        <f>Digits_pres_final[[#This Row],[mlp_test_acc]]</f>
        <v>0.97333333333333327</v>
      </c>
      <c r="Z176">
        <f>Digits_pres_final[[#This Row],[mlp_test_acc2]]</f>
        <v>0.97055555555555562</v>
      </c>
    </row>
    <row r="177" spans="1:26" hidden="1" x14ac:dyDescent="0.25">
      <c r="A177" t="s">
        <v>1979</v>
      </c>
      <c r="B177">
        <v>3</v>
      </c>
      <c r="C177">
        <v>2</v>
      </c>
      <c r="D177">
        <v>0</v>
      </c>
      <c r="E177" t="s">
        <v>2150</v>
      </c>
      <c r="F177">
        <v>88678</v>
      </c>
      <c r="G177">
        <v>326217872.08333331</v>
      </c>
      <c r="H177">
        <v>0.97166666885217023</v>
      </c>
      <c r="I177">
        <v>0.95814814814814819</v>
      </c>
      <c r="J177">
        <v>25900501.583333336</v>
      </c>
      <c r="K177">
        <v>143185</v>
      </c>
      <c r="L177">
        <v>2</v>
      </c>
      <c r="M177">
        <v>249</v>
      </c>
      <c r="N177">
        <v>0.95777777777777784</v>
      </c>
      <c r="O177">
        <v>26108078.666666668</v>
      </c>
      <c r="P177">
        <v>144260</v>
      </c>
      <c r="Q177">
        <v>2</v>
      </c>
      <c r="R177">
        <v>250</v>
      </c>
      <c r="S177" t="s">
        <v>2151</v>
      </c>
      <c r="U177" t="str">
        <f t="shared" si="2"/>
        <v/>
      </c>
      <c r="W177">
        <f>Digits_pres_final[[#This Row],[kan_params]]</f>
        <v>88678</v>
      </c>
      <c r="X177">
        <f>Digits_pres_final[[#This Row],[kan_test_acc]]</f>
        <v>0.97166666885217023</v>
      </c>
      <c r="Y177">
        <f>Digits_pres_final[[#This Row],[mlp_test_acc]]</f>
        <v>0.95814814814814819</v>
      </c>
      <c r="Z177">
        <f>Digits_pres_final[[#This Row],[mlp_test_acc2]]</f>
        <v>0.95777777777777784</v>
      </c>
    </row>
    <row r="178" spans="1:26" hidden="1" x14ac:dyDescent="0.25">
      <c r="A178" t="s">
        <v>1979</v>
      </c>
      <c r="B178">
        <v>3</v>
      </c>
      <c r="C178">
        <v>3</v>
      </c>
      <c r="D178">
        <v>0</v>
      </c>
      <c r="E178" t="s">
        <v>2134</v>
      </c>
      <c r="F178">
        <v>88782</v>
      </c>
      <c r="G178">
        <v>307250604.08333337</v>
      </c>
      <c r="H178">
        <v>0.97370369732379913</v>
      </c>
      <c r="I178">
        <v>0.96092592592592596</v>
      </c>
      <c r="J178">
        <v>28170797</v>
      </c>
      <c r="K178">
        <v>157472</v>
      </c>
      <c r="L178">
        <v>2</v>
      </c>
      <c r="M178">
        <v>262</v>
      </c>
      <c r="N178">
        <v>0.96203703703703702</v>
      </c>
      <c r="O178">
        <v>27821952.333333332</v>
      </c>
      <c r="P178">
        <v>158599</v>
      </c>
      <c r="Q178">
        <v>2</v>
      </c>
      <c r="R178">
        <v>263</v>
      </c>
      <c r="S178" t="s">
        <v>2459</v>
      </c>
      <c r="U178" t="str">
        <f t="shared" si="2"/>
        <v/>
      </c>
      <c r="W178">
        <f>Digits_pres_final[[#This Row],[kan_params]]</f>
        <v>88782</v>
      </c>
      <c r="X178">
        <f>Digits_pres_final[[#This Row],[kan_test_acc]]</f>
        <v>0.97370369732379913</v>
      </c>
      <c r="Y178">
        <f>Digits_pres_final[[#This Row],[mlp_test_acc]]</f>
        <v>0.96092592592592596</v>
      </c>
      <c r="Z178">
        <f>Digits_pres_final[[#This Row],[mlp_test_acc2]]</f>
        <v>0.96203703703703702</v>
      </c>
    </row>
    <row r="179" spans="1:26" hidden="1" x14ac:dyDescent="0.25">
      <c r="A179" t="s">
        <v>1979</v>
      </c>
      <c r="B179">
        <v>3</v>
      </c>
      <c r="C179">
        <v>3</v>
      </c>
      <c r="D179">
        <v>0</v>
      </c>
      <c r="E179" t="s">
        <v>2326</v>
      </c>
      <c r="F179">
        <v>88850</v>
      </c>
      <c r="G179">
        <v>269859578.41666669</v>
      </c>
      <c r="H179">
        <v>0.96481480697790789</v>
      </c>
      <c r="I179">
        <v>0.95648148148148149</v>
      </c>
      <c r="J179">
        <v>23175619.166666664</v>
      </c>
      <c r="K179">
        <v>157472</v>
      </c>
      <c r="L179">
        <v>2</v>
      </c>
      <c r="M179">
        <v>262</v>
      </c>
      <c r="N179">
        <v>0.95499999999999996</v>
      </c>
      <c r="O179">
        <v>22476617.083333336</v>
      </c>
      <c r="P179">
        <v>158599</v>
      </c>
      <c r="Q179">
        <v>2</v>
      </c>
      <c r="R179">
        <v>263</v>
      </c>
      <c r="S179" t="s">
        <v>2554</v>
      </c>
      <c r="U179" t="str">
        <f t="shared" si="2"/>
        <v/>
      </c>
      <c r="W179">
        <f>Digits_pres_final[[#This Row],[kan_params]]</f>
        <v>88850</v>
      </c>
      <c r="X179">
        <f>Digits_pres_final[[#This Row],[kan_test_acc]]</f>
        <v>0.96481480697790789</v>
      </c>
      <c r="Y179">
        <f>Digits_pres_final[[#This Row],[mlp_test_acc]]</f>
        <v>0.95648148148148149</v>
      </c>
      <c r="Z179">
        <f>Digits_pres_final[[#This Row],[mlp_test_acc2]]</f>
        <v>0.95499999999999996</v>
      </c>
    </row>
    <row r="180" spans="1:26" x14ac:dyDescent="0.25">
      <c r="A180" t="s">
        <v>1979</v>
      </c>
      <c r="B180">
        <v>3</v>
      </c>
      <c r="C180">
        <v>4</v>
      </c>
      <c r="D180">
        <v>0</v>
      </c>
      <c r="E180" t="s">
        <v>1996</v>
      </c>
      <c r="F180">
        <v>88930</v>
      </c>
      <c r="G180">
        <v>74726451</v>
      </c>
      <c r="H180">
        <v>0.95222221314907074</v>
      </c>
      <c r="I180">
        <v>0.95944444444444443</v>
      </c>
      <c r="J180">
        <v>18627573.5</v>
      </c>
      <c r="K180">
        <v>167759</v>
      </c>
      <c r="L180">
        <v>2</v>
      </c>
      <c r="M180">
        <v>271</v>
      </c>
      <c r="N180">
        <v>0.95685185185185184</v>
      </c>
      <c r="O180">
        <v>17911688.5</v>
      </c>
      <c r="P180">
        <v>168922</v>
      </c>
      <c r="Q180">
        <v>2</v>
      </c>
      <c r="R180">
        <v>272</v>
      </c>
      <c r="S180" t="s">
        <v>2587</v>
      </c>
      <c r="U180" t="str">
        <f t="shared" si="2"/>
        <v/>
      </c>
      <c r="W180">
        <f>Digits_pres_final[[#This Row],[kan_params]]</f>
        <v>88930</v>
      </c>
      <c r="X180">
        <f>Digits_pres_final[[#This Row],[kan_test_acc]]</f>
        <v>0.95222221314907074</v>
      </c>
      <c r="Y180">
        <f>Digits_pres_final[[#This Row],[mlp_test_acc]]</f>
        <v>0.95944444444444443</v>
      </c>
      <c r="Z180">
        <f>Digits_pres_final[[#This Row],[mlp_test_acc2]]</f>
        <v>0.95685185185185184</v>
      </c>
    </row>
    <row r="181" spans="1:26" hidden="1" x14ac:dyDescent="0.25">
      <c r="A181" t="s">
        <v>1979</v>
      </c>
      <c r="B181">
        <v>3</v>
      </c>
      <c r="C181">
        <v>3</v>
      </c>
      <c r="D181">
        <v>0</v>
      </c>
      <c r="E181" t="s">
        <v>2070</v>
      </c>
      <c r="F181">
        <v>88964</v>
      </c>
      <c r="G181">
        <v>232061927.33333331</v>
      </c>
      <c r="H181">
        <v>0.97018518050511671</v>
      </c>
      <c r="I181">
        <v>0.95759259259259255</v>
      </c>
      <c r="J181">
        <v>24957925.333333332</v>
      </c>
      <c r="K181">
        <v>157472</v>
      </c>
      <c r="L181">
        <v>2</v>
      </c>
      <c r="M181">
        <v>262</v>
      </c>
      <c r="N181">
        <v>0.96185185185185196</v>
      </c>
      <c r="O181">
        <v>24747635.833333332</v>
      </c>
      <c r="P181">
        <v>158599</v>
      </c>
      <c r="Q181">
        <v>2</v>
      </c>
      <c r="R181">
        <v>263</v>
      </c>
      <c r="S181" t="s">
        <v>2428</v>
      </c>
      <c r="U181" t="str">
        <f t="shared" si="2"/>
        <v/>
      </c>
      <c r="W181">
        <f>Digits_pres_final[[#This Row],[kan_params]]</f>
        <v>88964</v>
      </c>
      <c r="X181">
        <f>Digits_pres_final[[#This Row],[kan_test_acc]]</f>
        <v>0.97018518050511671</v>
      </c>
      <c r="Y181">
        <f>Digits_pres_final[[#This Row],[mlp_test_acc]]</f>
        <v>0.95759259259259255</v>
      </c>
      <c r="Z181">
        <f>Digits_pres_final[[#This Row],[mlp_test_acc2]]</f>
        <v>0.96185185185185196</v>
      </c>
    </row>
    <row r="182" spans="1:26" hidden="1" x14ac:dyDescent="0.25">
      <c r="A182" t="s">
        <v>1979</v>
      </c>
      <c r="B182">
        <v>3</v>
      </c>
      <c r="C182">
        <v>3</v>
      </c>
      <c r="D182">
        <v>0</v>
      </c>
      <c r="E182" t="s">
        <v>2264</v>
      </c>
      <c r="F182">
        <v>89428</v>
      </c>
      <c r="G182">
        <v>280129747.83333337</v>
      </c>
      <c r="H182">
        <v>0.96981481214364373</v>
      </c>
      <c r="I182">
        <v>0.95851851851851855</v>
      </c>
      <c r="J182">
        <v>29357341</v>
      </c>
      <c r="K182">
        <v>158599</v>
      </c>
      <c r="L182">
        <v>2</v>
      </c>
      <c r="M182">
        <v>263</v>
      </c>
      <c r="N182">
        <v>0.96129629629629632</v>
      </c>
      <c r="O182">
        <v>28162855.666666664</v>
      </c>
      <c r="P182">
        <v>159730</v>
      </c>
      <c r="Q182">
        <v>2</v>
      </c>
      <c r="R182">
        <v>264</v>
      </c>
      <c r="S182" t="s">
        <v>2522</v>
      </c>
      <c r="U182" t="str">
        <f t="shared" si="2"/>
        <v/>
      </c>
      <c r="W182">
        <f>Digits_pres_final[[#This Row],[kan_params]]</f>
        <v>89428</v>
      </c>
      <c r="X182">
        <f>Digits_pres_final[[#This Row],[kan_test_acc]]</f>
        <v>0.96981481214364373</v>
      </c>
      <c r="Y182">
        <f>Digits_pres_final[[#This Row],[mlp_test_acc]]</f>
        <v>0.95851851851851855</v>
      </c>
      <c r="Z182">
        <f>Digits_pres_final[[#This Row],[mlp_test_acc2]]</f>
        <v>0.96129629629629632</v>
      </c>
    </row>
    <row r="183" spans="1:26" hidden="1" x14ac:dyDescent="0.25">
      <c r="A183" t="s">
        <v>1979</v>
      </c>
      <c r="B183">
        <v>3</v>
      </c>
      <c r="C183">
        <v>2</v>
      </c>
      <c r="D183">
        <v>0</v>
      </c>
      <c r="E183" t="s">
        <v>2342</v>
      </c>
      <c r="F183">
        <v>89506</v>
      </c>
      <c r="G183">
        <v>316383901</v>
      </c>
      <c r="H183">
        <v>0.97296296060085297</v>
      </c>
      <c r="I183">
        <v>0.9522222222222223</v>
      </c>
      <c r="J183">
        <v>26488094.666666664</v>
      </c>
      <c r="K183">
        <v>145339</v>
      </c>
      <c r="L183">
        <v>2</v>
      </c>
      <c r="M183">
        <v>251</v>
      </c>
      <c r="N183">
        <v>0.94759259259259254</v>
      </c>
      <c r="O183">
        <v>25443034.75</v>
      </c>
      <c r="P183">
        <v>146422</v>
      </c>
      <c r="Q183">
        <v>2</v>
      </c>
      <c r="R183">
        <v>252</v>
      </c>
      <c r="S183" t="s">
        <v>2343</v>
      </c>
      <c r="U183" t="str">
        <f t="shared" si="2"/>
        <v/>
      </c>
      <c r="W183">
        <f>Digits_pres_final[[#This Row],[kan_params]]</f>
        <v>89506</v>
      </c>
      <c r="X183">
        <f>Digits_pres_final[[#This Row],[kan_test_acc]]</f>
        <v>0.97296296060085297</v>
      </c>
      <c r="Y183">
        <f>Digits_pres_final[[#This Row],[mlp_test_acc]]</f>
        <v>0.9522222222222223</v>
      </c>
      <c r="Z183">
        <f>Digits_pres_final[[#This Row],[mlp_test_acc2]]</f>
        <v>0.94759259259259254</v>
      </c>
    </row>
    <row r="184" spans="1:26" hidden="1" x14ac:dyDescent="0.25">
      <c r="A184" t="s">
        <v>1979</v>
      </c>
      <c r="B184">
        <v>3</v>
      </c>
      <c r="C184">
        <v>2</v>
      </c>
      <c r="D184">
        <v>0</v>
      </c>
      <c r="E184" t="s">
        <v>2280</v>
      </c>
      <c r="F184">
        <v>89764</v>
      </c>
      <c r="G184">
        <v>177132165.25</v>
      </c>
      <c r="H184">
        <v>0.99148147801558184</v>
      </c>
      <c r="I184">
        <v>0.97814814814814821</v>
      </c>
      <c r="J184">
        <v>15969354.333333332</v>
      </c>
      <c r="K184">
        <v>145339</v>
      </c>
      <c r="L184">
        <v>2</v>
      </c>
      <c r="M184">
        <v>251</v>
      </c>
      <c r="N184">
        <v>0.98055555555555551</v>
      </c>
      <c r="O184">
        <v>16810482.5</v>
      </c>
      <c r="P184">
        <v>146422</v>
      </c>
      <c r="Q184">
        <v>2</v>
      </c>
      <c r="R184">
        <v>252</v>
      </c>
      <c r="S184" t="s">
        <v>2281</v>
      </c>
      <c r="U184" t="str">
        <f t="shared" si="2"/>
        <v/>
      </c>
      <c r="W184">
        <f>Digits_pres_final[[#This Row],[kan_params]]</f>
        <v>89764</v>
      </c>
      <c r="X184">
        <f>Digits_pres_final[[#This Row],[kan_test_acc]]</f>
        <v>0.99148147801558184</v>
      </c>
      <c r="Y184">
        <f>Digits_pres_final[[#This Row],[mlp_test_acc]]</f>
        <v>0.97814814814814821</v>
      </c>
      <c r="Z184">
        <f>Digits_pres_final[[#This Row],[mlp_test_acc2]]</f>
        <v>0.98055555555555551</v>
      </c>
    </row>
    <row r="185" spans="1:26" hidden="1" x14ac:dyDescent="0.25">
      <c r="A185" t="s">
        <v>1979</v>
      </c>
      <c r="B185">
        <v>3</v>
      </c>
      <c r="C185">
        <v>2</v>
      </c>
      <c r="D185">
        <v>0</v>
      </c>
      <c r="E185" t="s">
        <v>2088</v>
      </c>
      <c r="F185">
        <v>89770</v>
      </c>
      <c r="G185">
        <v>361339782.16666663</v>
      </c>
      <c r="H185">
        <v>0.97407407561937975</v>
      </c>
      <c r="I185">
        <v>0.9572222222222222</v>
      </c>
      <c r="J185">
        <v>27637084.25</v>
      </c>
      <c r="K185">
        <v>145339</v>
      </c>
      <c r="L185">
        <v>2</v>
      </c>
      <c r="M185">
        <v>251</v>
      </c>
      <c r="N185">
        <v>0.96129629629629632</v>
      </c>
      <c r="O185">
        <v>27559240.5</v>
      </c>
      <c r="P185">
        <v>146422</v>
      </c>
      <c r="Q185">
        <v>2</v>
      </c>
      <c r="R185">
        <v>252</v>
      </c>
      <c r="S185" t="s">
        <v>2089</v>
      </c>
      <c r="U185" t="str">
        <f t="shared" si="2"/>
        <v/>
      </c>
      <c r="W185">
        <f>Digits_pres_final[[#This Row],[kan_params]]</f>
        <v>89770</v>
      </c>
      <c r="X185">
        <f>Digits_pres_final[[#This Row],[kan_test_acc]]</f>
        <v>0.97407407561937975</v>
      </c>
      <c r="Y185">
        <f>Digits_pres_final[[#This Row],[mlp_test_acc]]</f>
        <v>0.9572222222222222</v>
      </c>
      <c r="Z185">
        <f>Digits_pres_final[[#This Row],[mlp_test_acc2]]</f>
        <v>0.96129629629629632</v>
      </c>
    </row>
    <row r="186" spans="1:26" hidden="1" x14ac:dyDescent="0.25">
      <c r="A186" t="s">
        <v>1979</v>
      </c>
      <c r="B186">
        <v>3</v>
      </c>
      <c r="C186">
        <v>3</v>
      </c>
      <c r="D186">
        <v>0</v>
      </c>
      <c r="E186" t="s">
        <v>2200</v>
      </c>
      <c r="F186">
        <v>89862</v>
      </c>
      <c r="G186">
        <v>239629787.5</v>
      </c>
      <c r="H186">
        <v>0.96722221374511719</v>
      </c>
      <c r="I186">
        <v>0.96740740740740749</v>
      </c>
      <c r="J186">
        <v>26838776.916666664</v>
      </c>
      <c r="K186">
        <v>158599</v>
      </c>
      <c r="L186">
        <v>2</v>
      </c>
      <c r="M186">
        <v>263</v>
      </c>
      <c r="N186">
        <v>0.96629629629629632</v>
      </c>
      <c r="O186">
        <v>26611217.916666664</v>
      </c>
      <c r="P186">
        <v>159730</v>
      </c>
      <c r="Q186">
        <v>2</v>
      </c>
      <c r="R186">
        <v>264</v>
      </c>
      <c r="S186" t="s">
        <v>2491</v>
      </c>
      <c r="U186" t="str">
        <f t="shared" si="2"/>
        <v/>
      </c>
      <c r="W186">
        <f>Digits_pres_final[[#This Row],[kan_params]]</f>
        <v>89862</v>
      </c>
      <c r="X186">
        <f>Digits_pres_final[[#This Row],[kan_test_acc]]</f>
        <v>0.96722221374511719</v>
      </c>
      <c r="Y186">
        <f>Digits_pres_final[[#This Row],[mlp_test_acc]]</f>
        <v>0.96740740740740749</v>
      </c>
      <c r="Z186">
        <f>Digits_pres_final[[#This Row],[mlp_test_acc2]]</f>
        <v>0.96629629629629632</v>
      </c>
    </row>
    <row r="187" spans="1:26" hidden="1" x14ac:dyDescent="0.25">
      <c r="A187" t="s">
        <v>1979</v>
      </c>
      <c r="B187">
        <v>3</v>
      </c>
      <c r="C187">
        <v>2</v>
      </c>
      <c r="D187">
        <v>0</v>
      </c>
      <c r="E187" t="s">
        <v>2216</v>
      </c>
      <c r="F187">
        <v>89894</v>
      </c>
      <c r="G187">
        <v>275065652.16666663</v>
      </c>
      <c r="H187">
        <v>0.98666666944821679</v>
      </c>
      <c r="I187">
        <v>0.96925925925925926</v>
      </c>
      <c r="J187">
        <v>25135589.916666668</v>
      </c>
      <c r="K187">
        <v>145339</v>
      </c>
      <c r="L187">
        <v>2</v>
      </c>
      <c r="M187">
        <v>251</v>
      </c>
      <c r="N187">
        <v>0.97</v>
      </c>
      <c r="O187">
        <v>24430313.5</v>
      </c>
      <c r="P187">
        <v>146422</v>
      </c>
      <c r="Q187">
        <v>2</v>
      </c>
      <c r="R187">
        <v>252</v>
      </c>
      <c r="S187" t="s">
        <v>2217</v>
      </c>
      <c r="U187" t="str">
        <f t="shared" si="2"/>
        <v/>
      </c>
      <c r="W187">
        <f>Digits_pres_final[[#This Row],[kan_params]]</f>
        <v>89894</v>
      </c>
      <c r="X187">
        <f>Digits_pres_final[[#This Row],[kan_test_acc]]</f>
        <v>0.98666666944821679</v>
      </c>
      <c r="Y187">
        <f>Digits_pres_final[[#This Row],[mlp_test_acc]]</f>
        <v>0.96925925925925926</v>
      </c>
      <c r="Z187">
        <f>Digits_pres_final[[#This Row],[mlp_test_acc2]]</f>
        <v>0.97</v>
      </c>
    </row>
    <row r="188" spans="1:26" hidden="1" x14ac:dyDescent="0.25">
      <c r="A188" t="s">
        <v>1979</v>
      </c>
      <c r="B188">
        <v>3</v>
      </c>
      <c r="C188">
        <v>2</v>
      </c>
      <c r="D188">
        <v>0</v>
      </c>
      <c r="E188" t="s">
        <v>2152</v>
      </c>
      <c r="F188">
        <v>89896</v>
      </c>
      <c r="G188">
        <v>335686855.33333331</v>
      </c>
      <c r="H188">
        <v>0.97074074546496081</v>
      </c>
      <c r="I188">
        <v>0.95759259259259255</v>
      </c>
      <c r="J188">
        <v>25141803.166666664</v>
      </c>
      <c r="K188">
        <v>145339</v>
      </c>
      <c r="L188">
        <v>2</v>
      </c>
      <c r="M188">
        <v>251</v>
      </c>
      <c r="N188">
        <v>0.95833333333333326</v>
      </c>
      <c r="O188">
        <v>26049481</v>
      </c>
      <c r="P188">
        <v>146422</v>
      </c>
      <c r="Q188">
        <v>2</v>
      </c>
      <c r="R188">
        <v>252</v>
      </c>
      <c r="S188" t="s">
        <v>2153</v>
      </c>
      <c r="U188" t="str">
        <f t="shared" si="2"/>
        <v/>
      </c>
      <c r="W188">
        <f>Digits_pres_final[[#This Row],[kan_params]]</f>
        <v>89896</v>
      </c>
      <c r="X188">
        <f>Digits_pres_final[[#This Row],[kan_test_acc]]</f>
        <v>0.97074074546496081</v>
      </c>
      <c r="Y188">
        <f>Digits_pres_final[[#This Row],[mlp_test_acc]]</f>
        <v>0.95759259259259255</v>
      </c>
      <c r="Z188">
        <f>Digits_pres_final[[#This Row],[mlp_test_acc2]]</f>
        <v>0.95833333333333326</v>
      </c>
    </row>
    <row r="189" spans="1:26" x14ac:dyDescent="0.25">
      <c r="A189" t="s">
        <v>1979</v>
      </c>
      <c r="B189">
        <v>3</v>
      </c>
      <c r="C189">
        <v>4</v>
      </c>
      <c r="D189">
        <v>0</v>
      </c>
      <c r="E189" t="s">
        <v>2058</v>
      </c>
      <c r="F189">
        <v>89940</v>
      </c>
      <c r="G189">
        <v>257562392.66666669</v>
      </c>
      <c r="H189">
        <v>0.94537036617596937</v>
      </c>
      <c r="I189">
        <v>0.95916666666666672</v>
      </c>
      <c r="J189">
        <v>25242534.625</v>
      </c>
      <c r="K189">
        <v>170089</v>
      </c>
      <c r="L189">
        <v>2</v>
      </c>
      <c r="M189">
        <v>273</v>
      </c>
      <c r="N189">
        <v>0.95925925925925926</v>
      </c>
      <c r="O189">
        <v>23475445.333333336</v>
      </c>
      <c r="P189">
        <v>171260</v>
      </c>
      <c r="Q189">
        <v>2</v>
      </c>
      <c r="R189">
        <v>274</v>
      </c>
      <c r="S189" t="s">
        <v>2613</v>
      </c>
      <c r="U189" t="str">
        <f t="shared" si="2"/>
        <v/>
      </c>
      <c r="W189">
        <f>Digits_pres_final[[#This Row],[kan_params]]</f>
        <v>89940</v>
      </c>
      <c r="X189">
        <f>Digits_pres_final[[#This Row],[kan_test_acc]]</f>
        <v>0.94537036617596937</v>
      </c>
      <c r="Y189">
        <f>Digits_pres_final[[#This Row],[mlp_test_acc]]</f>
        <v>0.95916666666666672</v>
      </c>
      <c r="Z189">
        <f>Digits_pres_final[[#This Row],[mlp_test_acc2]]</f>
        <v>0.95925925925925926</v>
      </c>
    </row>
    <row r="190" spans="1:26" hidden="1" x14ac:dyDescent="0.25">
      <c r="A190" t="s">
        <v>1979</v>
      </c>
      <c r="B190">
        <v>3</v>
      </c>
      <c r="C190">
        <v>3</v>
      </c>
      <c r="D190">
        <v>0</v>
      </c>
      <c r="E190" t="s">
        <v>2136</v>
      </c>
      <c r="F190">
        <v>90152</v>
      </c>
      <c r="G190">
        <v>273005001.33333331</v>
      </c>
      <c r="H190">
        <v>0.9744444340467453</v>
      </c>
      <c r="I190">
        <v>0.9588888888888889</v>
      </c>
      <c r="J190">
        <v>28600598.833333336</v>
      </c>
      <c r="K190">
        <v>159730</v>
      </c>
      <c r="L190">
        <v>2</v>
      </c>
      <c r="M190">
        <v>264</v>
      </c>
      <c r="N190">
        <v>0.96166666666666667</v>
      </c>
      <c r="O190">
        <v>28964773.5</v>
      </c>
      <c r="P190">
        <v>160865</v>
      </c>
      <c r="Q190">
        <v>2</v>
      </c>
      <c r="R190">
        <v>265</v>
      </c>
      <c r="S190" t="s">
        <v>2460</v>
      </c>
      <c r="U190" t="str">
        <f t="shared" si="2"/>
        <v/>
      </c>
      <c r="W190">
        <f>Digits_pres_final[[#This Row],[kan_params]]</f>
        <v>90152</v>
      </c>
      <c r="X190">
        <f>Digits_pres_final[[#This Row],[kan_test_acc]]</f>
        <v>0.9744444340467453</v>
      </c>
      <c r="Y190">
        <f>Digits_pres_final[[#This Row],[mlp_test_acc]]</f>
        <v>0.9588888888888889</v>
      </c>
      <c r="Z190">
        <f>Digits_pres_final[[#This Row],[mlp_test_acc2]]</f>
        <v>0.96166666666666667</v>
      </c>
    </row>
    <row r="191" spans="1:26" hidden="1" x14ac:dyDescent="0.25">
      <c r="A191" t="s">
        <v>1979</v>
      </c>
      <c r="B191">
        <v>3</v>
      </c>
      <c r="C191">
        <v>3</v>
      </c>
      <c r="D191">
        <v>0</v>
      </c>
      <c r="E191" t="s">
        <v>2072</v>
      </c>
      <c r="F191">
        <v>90298</v>
      </c>
      <c r="G191">
        <v>242941052</v>
      </c>
      <c r="H191">
        <v>0.97037036220232653</v>
      </c>
      <c r="I191">
        <v>0.96</v>
      </c>
      <c r="J191">
        <v>25060078.083333332</v>
      </c>
      <c r="K191">
        <v>159730</v>
      </c>
      <c r="L191">
        <v>2</v>
      </c>
      <c r="M191">
        <v>264</v>
      </c>
      <c r="N191">
        <v>0.96074074074074078</v>
      </c>
      <c r="O191">
        <v>24528405.916666664</v>
      </c>
      <c r="P191">
        <v>160865</v>
      </c>
      <c r="Q191">
        <v>2</v>
      </c>
      <c r="R191">
        <v>265</v>
      </c>
      <c r="S191" t="s">
        <v>2429</v>
      </c>
      <c r="U191" t="str">
        <f t="shared" si="2"/>
        <v/>
      </c>
      <c r="W191">
        <f>Digits_pres_final[[#This Row],[kan_params]]</f>
        <v>90298</v>
      </c>
      <c r="X191">
        <f>Digits_pres_final[[#This Row],[kan_test_acc]]</f>
        <v>0.97037036220232653</v>
      </c>
      <c r="Y191">
        <f>Digits_pres_final[[#This Row],[mlp_test_acc]]</f>
        <v>0.96</v>
      </c>
      <c r="Z191">
        <f>Digits_pres_final[[#This Row],[mlp_test_acc2]]</f>
        <v>0.96074074074074078</v>
      </c>
    </row>
    <row r="192" spans="1:26" hidden="1" x14ac:dyDescent="0.25">
      <c r="A192" t="s">
        <v>1979</v>
      </c>
      <c r="B192">
        <v>3</v>
      </c>
      <c r="C192">
        <v>3</v>
      </c>
      <c r="D192">
        <v>0</v>
      </c>
      <c r="E192" t="s">
        <v>2328</v>
      </c>
      <c r="F192">
        <v>90328</v>
      </c>
      <c r="G192">
        <v>322109922.58333337</v>
      </c>
      <c r="H192">
        <v>0.96759258210659027</v>
      </c>
      <c r="I192">
        <v>0.95351851851851854</v>
      </c>
      <c r="J192">
        <v>27055979.916666664</v>
      </c>
      <c r="K192">
        <v>159730</v>
      </c>
      <c r="L192">
        <v>2</v>
      </c>
      <c r="M192">
        <v>264</v>
      </c>
      <c r="N192">
        <v>0.95611111111111113</v>
      </c>
      <c r="O192">
        <v>26298557.666666668</v>
      </c>
      <c r="P192">
        <v>160865</v>
      </c>
      <c r="Q192">
        <v>2</v>
      </c>
      <c r="R192">
        <v>265</v>
      </c>
      <c r="S192" t="s">
        <v>2555</v>
      </c>
      <c r="U192" t="str">
        <f t="shared" si="2"/>
        <v/>
      </c>
      <c r="W192">
        <f>Digits_pres_final[[#This Row],[kan_params]]</f>
        <v>90328</v>
      </c>
      <c r="X192">
        <f>Digits_pres_final[[#This Row],[kan_test_acc]]</f>
        <v>0.96759258210659027</v>
      </c>
      <c r="Y192">
        <f>Digits_pres_final[[#This Row],[mlp_test_acc]]</f>
        <v>0.95351851851851854</v>
      </c>
      <c r="Z192">
        <f>Digits_pres_final[[#This Row],[mlp_test_acc2]]</f>
        <v>0.95611111111111113</v>
      </c>
    </row>
    <row r="193" spans="1:26" x14ac:dyDescent="0.25">
      <c r="A193" t="s">
        <v>1979</v>
      </c>
      <c r="B193">
        <v>3</v>
      </c>
      <c r="C193">
        <v>4</v>
      </c>
      <c r="D193">
        <v>0</v>
      </c>
      <c r="E193" t="s">
        <v>1998</v>
      </c>
      <c r="F193">
        <v>90412</v>
      </c>
      <c r="G193">
        <v>78779893.083333328</v>
      </c>
      <c r="H193">
        <v>0.95592592159907019</v>
      </c>
      <c r="I193">
        <v>0.96074074074074067</v>
      </c>
      <c r="J193">
        <v>18336553.333333336</v>
      </c>
      <c r="K193">
        <v>171260</v>
      </c>
      <c r="L193">
        <v>2</v>
      </c>
      <c r="M193">
        <v>274</v>
      </c>
      <c r="N193">
        <v>0.96129629629629632</v>
      </c>
      <c r="O193">
        <v>18192431.833333336</v>
      </c>
      <c r="P193">
        <v>172435</v>
      </c>
      <c r="Q193">
        <v>2</v>
      </c>
      <c r="R193">
        <v>275</v>
      </c>
      <c r="S193" t="s">
        <v>2588</v>
      </c>
      <c r="U193" t="str">
        <f t="shared" si="2"/>
        <v/>
      </c>
      <c r="W193">
        <f>Digits_pres_final[[#This Row],[kan_params]]</f>
        <v>90412</v>
      </c>
      <c r="X193">
        <f>Digits_pres_final[[#This Row],[kan_test_acc]]</f>
        <v>0.95592592159907019</v>
      </c>
      <c r="Y193">
        <f>Digits_pres_final[[#This Row],[mlp_test_acc]]</f>
        <v>0.96074074074074067</v>
      </c>
      <c r="Z193">
        <f>Digits_pres_final[[#This Row],[mlp_test_acc2]]</f>
        <v>0.96129629629629632</v>
      </c>
    </row>
    <row r="194" spans="1:26" hidden="1" x14ac:dyDescent="0.25">
      <c r="A194" t="s">
        <v>1979</v>
      </c>
      <c r="B194">
        <v>3</v>
      </c>
      <c r="C194">
        <v>2</v>
      </c>
      <c r="D194">
        <v>0</v>
      </c>
      <c r="E194" t="s">
        <v>2344</v>
      </c>
      <c r="F194">
        <v>90820</v>
      </c>
      <c r="G194">
        <v>304943419.25</v>
      </c>
      <c r="H194">
        <v>0.97462963064511621</v>
      </c>
      <c r="I194">
        <v>0.94907407407407418</v>
      </c>
      <c r="J194">
        <v>26342936.666666664</v>
      </c>
      <c r="K194">
        <v>146422</v>
      </c>
      <c r="L194">
        <v>2</v>
      </c>
      <c r="M194">
        <v>252</v>
      </c>
      <c r="N194">
        <v>0.942962962962963</v>
      </c>
      <c r="O194">
        <v>25186111</v>
      </c>
      <c r="P194">
        <v>147509</v>
      </c>
      <c r="Q194">
        <v>2</v>
      </c>
      <c r="R194">
        <v>253</v>
      </c>
      <c r="S194" t="s">
        <v>2345</v>
      </c>
      <c r="U194" t="str">
        <f t="shared" si="2"/>
        <v/>
      </c>
      <c r="W194">
        <f>Digits_pres_final[[#This Row],[kan_params]]</f>
        <v>90820</v>
      </c>
      <c r="X194">
        <f>Digits_pres_final[[#This Row],[kan_test_acc]]</f>
        <v>0.97462963064511621</v>
      </c>
      <c r="Y194">
        <f>Digits_pres_final[[#This Row],[mlp_test_acc]]</f>
        <v>0.94907407407407418</v>
      </c>
      <c r="Z194">
        <f>Digits_pres_final[[#This Row],[mlp_test_acc2]]</f>
        <v>0.942962962962963</v>
      </c>
    </row>
    <row r="195" spans="1:26" hidden="1" x14ac:dyDescent="0.25">
      <c r="A195" t="s">
        <v>1979</v>
      </c>
      <c r="B195">
        <v>3</v>
      </c>
      <c r="C195">
        <v>3</v>
      </c>
      <c r="D195">
        <v>0</v>
      </c>
      <c r="E195" t="s">
        <v>2266</v>
      </c>
      <c r="F195">
        <v>90870</v>
      </c>
      <c r="G195">
        <v>317593884.83333337</v>
      </c>
      <c r="H195">
        <v>0.97037036716938019</v>
      </c>
      <c r="I195">
        <v>0.9588888888888889</v>
      </c>
      <c r="J195">
        <v>29274723.25</v>
      </c>
      <c r="K195">
        <v>160865</v>
      </c>
      <c r="L195">
        <v>2</v>
      </c>
      <c r="M195">
        <v>265</v>
      </c>
      <c r="N195">
        <v>0.96277777777777773</v>
      </c>
      <c r="O195">
        <v>28722537.666666664</v>
      </c>
      <c r="P195">
        <v>162004</v>
      </c>
      <c r="Q195">
        <v>2</v>
      </c>
      <c r="R195">
        <v>266</v>
      </c>
      <c r="S195" t="s">
        <v>2523</v>
      </c>
      <c r="U195" t="str">
        <f t="shared" ref="U195:U258" si="3">IF(F196=F197,1,"")</f>
        <v/>
      </c>
      <c r="W195">
        <f>Digits_pres_final[[#This Row],[kan_params]]</f>
        <v>90870</v>
      </c>
      <c r="X195">
        <f>Digits_pres_final[[#This Row],[kan_test_acc]]</f>
        <v>0.97037036716938019</v>
      </c>
      <c r="Y195">
        <f>Digits_pres_final[[#This Row],[mlp_test_acc]]</f>
        <v>0.9588888888888889</v>
      </c>
      <c r="Z195">
        <f>Digits_pres_final[[#This Row],[mlp_test_acc2]]</f>
        <v>0.96277777777777773</v>
      </c>
    </row>
    <row r="196" spans="1:26" hidden="1" x14ac:dyDescent="0.25">
      <c r="A196" t="s">
        <v>1979</v>
      </c>
      <c r="B196">
        <v>3</v>
      </c>
      <c r="C196">
        <v>2</v>
      </c>
      <c r="D196">
        <v>0</v>
      </c>
      <c r="E196" t="s">
        <v>2090</v>
      </c>
      <c r="F196">
        <v>90956</v>
      </c>
      <c r="G196">
        <v>374002423.75</v>
      </c>
      <c r="H196">
        <v>0.97722222407658887</v>
      </c>
      <c r="I196">
        <v>0.96092592592592596</v>
      </c>
      <c r="J196">
        <v>27774729.916666664</v>
      </c>
      <c r="K196">
        <v>147509</v>
      </c>
      <c r="L196">
        <v>2</v>
      </c>
      <c r="M196">
        <v>253</v>
      </c>
      <c r="N196">
        <v>0.96</v>
      </c>
      <c r="O196">
        <v>27803048.5</v>
      </c>
      <c r="P196">
        <v>148600</v>
      </c>
      <c r="Q196">
        <v>2</v>
      </c>
      <c r="R196">
        <v>254</v>
      </c>
      <c r="S196" t="s">
        <v>2091</v>
      </c>
      <c r="U196" t="str">
        <f t="shared" si="3"/>
        <v/>
      </c>
      <c r="W196">
        <f>Digits_pres_final[[#This Row],[kan_params]]</f>
        <v>90956</v>
      </c>
      <c r="X196">
        <f>Digits_pres_final[[#This Row],[kan_test_acc]]</f>
        <v>0.97722222407658887</v>
      </c>
      <c r="Y196">
        <f>Digits_pres_final[[#This Row],[mlp_test_acc]]</f>
        <v>0.96092592592592596</v>
      </c>
      <c r="Z196">
        <f>Digits_pres_final[[#This Row],[mlp_test_acc2]]</f>
        <v>0.96</v>
      </c>
    </row>
    <row r="197" spans="1:26" hidden="1" x14ac:dyDescent="0.25">
      <c r="A197" t="s">
        <v>1979</v>
      </c>
      <c r="B197">
        <v>3</v>
      </c>
      <c r="C197">
        <v>2</v>
      </c>
      <c r="D197">
        <v>0</v>
      </c>
      <c r="E197" t="s">
        <v>2282</v>
      </c>
      <c r="F197">
        <v>91046</v>
      </c>
      <c r="G197">
        <v>179565935.83333331</v>
      </c>
      <c r="H197">
        <v>0.99074073632558179</v>
      </c>
      <c r="I197">
        <v>0.97907407407407399</v>
      </c>
      <c r="J197">
        <v>16862100.5</v>
      </c>
      <c r="K197">
        <v>147509</v>
      </c>
      <c r="L197">
        <v>2</v>
      </c>
      <c r="M197">
        <v>253</v>
      </c>
      <c r="N197">
        <v>0.97962962962962963</v>
      </c>
      <c r="O197">
        <v>16692499.416666668</v>
      </c>
      <c r="P197">
        <v>148600</v>
      </c>
      <c r="Q197">
        <v>2</v>
      </c>
      <c r="R197">
        <v>254</v>
      </c>
      <c r="S197" t="s">
        <v>2283</v>
      </c>
      <c r="U197" t="str">
        <f t="shared" si="3"/>
        <v/>
      </c>
      <c r="W197">
        <f>Digits_pres_final[[#This Row],[kan_params]]</f>
        <v>91046</v>
      </c>
      <c r="X197">
        <f>Digits_pres_final[[#This Row],[kan_test_acc]]</f>
        <v>0.99074073632558179</v>
      </c>
      <c r="Y197">
        <f>Digits_pres_final[[#This Row],[mlp_test_acc]]</f>
        <v>0.97907407407407399</v>
      </c>
      <c r="Z197">
        <f>Digits_pres_final[[#This Row],[mlp_test_acc2]]</f>
        <v>0.97962962962962963</v>
      </c>
    </row>
    <row r="198" spans="1:26" hidden="1" x14ac:dyDescent="0.25">
      <c r="A198" t="s">
        <v>1979</v>
      </c>
      <c r="B198">
        <v>3</v>
      </c>
      <c r="C198">
        <v>2</v>
      </c>
      <c r="D198">
        <v>0</v>
      </c>
      <c r="E198" t="s">
        <v>2154</v>
      </c>
      <c r="F198">
        <v>91114</v>
      </c>
      <c r="G198">
        <v>328956071.16666663</v>
      </c>
      <c r="H198">
        <v>0.97092593212922418</v>
      </c>
      <c r="I198">
        <v>0.95777777777777784</v>
      </c>
      <c r="J198">
        <v>25181858.916666664</v>
      </c>
      <c r="K198">
        <v>147509</v>
      </c>
      <c r="L198">
        <v>2</v>
      </c>
      <c r="M198">
        <v>253</v>
      </c>
      <c r="N198">
        <v>0.95740740740740748</v>
      </c>
      <c r="O198">
        <v>26561550.833333332</v>
      </c>
      <c r="P198">
        <v>148600</v>
      </c>
      <c r="Q198">
        <v>2</v>
      </c>
      <c r="R198">
        <v>254</v>
      </c>
      <c r="S198" t="s">
        <v>2155</v>
      </c>
      <c r="U198" t="str">
        <f t="shared" si="3"/>
        <v/>
      </c>
      <c r="W198">
        <f>Digits_pres_final[[#This Row],[kan_params]]</f>
        <v>91114</v>
      </c>
      <c r="X198">
        <f>Digits_pres_final[[#This Row],[kan_test_acc]]</f>
        <v>0.97092593212922418</v>
      </c>
      <c r="Y198">
        <f>Digits_pres_final[[#This Row],[mlp_test_acc]]</f>
        <v>0.95777777777777784</v>
      </c>
      <c r="Z198">
        <f>Digits_pres_final[[#This Row],[mlp_test_acc2]]</f>
        <v>0.95740740740740748</v>
      </c>
    </row>
    <row r="199" spans="1:26" hidden="1" x14ac:dyDescent="0.25">
      <c r="A199" t="s">
        <v>1979</v>
      </c>
      <c r="B199">
        <v>3</v>
      </c>
      <c r="C199">
        <v>2</v>
      </c>
      <c r="D199">
        <v>0</v>
      </c>
      <c r="E199" t="s">
        <v>2218</v>
      </c>
      <c r="F199">
        <v>91144</v>
      </c>
      <c r="G199">
        <v>278591561.25</v>
      </c>
      <c r="H199">
        <v>0.981481487552325</v>
      </c>
      <c r="I199">
        <v>0.96592592592592585</v>
      </c>
      <c r="J199">
        <v>24914016.333333336</v>
      </c>
      <c r="K199">
        <v>147509</v>
      </c>
      <c r="L199">
        <v>2</v>
      </c>
      <c r="M199">
        <v>253</v>
      </c>
      <c r="N199">
        <v>0.96944444444444444</v>
      </c>
      <c r="O199">
        <v>24715110.25</v>
      </c>
      <c r="P199">
        <v>148600</v>
      </c>
      <c r="Q199">
        <v>2</v>
      </c>
      <c r="R199">
        <v>254</v>
      </c>
      <c r="S199" t="s">
        <v>2219</v>
      </c>
      <c r="U199" t="str">
        <f t="shared" si="3"/>
        <v/>
      </c>
      <c r="W199">
        <f>Digits_pres_final[[#This Row],[kan_params]]</f>
        <v>91144</v>
      </c>
      <c r="X199">
        <f>Digits_pres_final[[#This Row],[kan_test_acc]]</f>
        <v>0.981481487552325</v>
      </c>
      <c r="Y199">
        <f>Digits_pres_final[[#This Row],[mlp_test_acc]]</f>
        <v>0.96592592592592585</v>
      </c>
      <c r="Z199">
        <f>Digits_pres_final[[#This Row],[mlp_test_acc2]]</f>
        <v>0.96944444444444444</v>
      </c>
    </row>
    <row r="200" spans="1:26" hidden="1" x14ac:dyDescent="0.25">
      <c r="A200" t="s">
        <v>1979</v>
      </c>
      <c r="B200">
        <v>3</v>
      </c>
      <c r="C200">
        <v>3</v>
      </c>
      <c r="D200">
        <v>0</v>
      </c>
      <c r="E200" t="s">
        <v>2202</v>
      </c>
      <c r="F200">
        <v>91268</v>
      </c>
      <c r="G200">
        <v>272881577.58333337</v>
      </c>
      <c r="H200">
        <v>0.97129629552364349</v>
      </c>
      <c r="I200">
        <v>0.96574074074074079</v>
      </c>
      <c r="J200">
        <v>26726846.75</v>
      </c>
      <c r="K200">
        <v>162004</v>
      </c>
      <c r="L200">
        <v>2</v>
      </c>
      <c r="M200">
        <v>266</v>
      </c>
      <c r="N200">
        <v>0.96499999999999997</v>
      </c>
      <c r="O200">
        <v>27205197.833333332</v>
      </c>
      <c r="P200">
        <v>163147</v>
      </c>
      <c r="Q200">
        <v>2</v>
      </c>
      <c r="R200">
        <v>267</v>
      </c>
      <c r="S200" t="s">
        <v>2492</v>
      </c>
      <c r="U200" t="str">
        <f t="shared" si="3"/>
        <v/>
      </c>
      <c r="W200">
        <f>Digits_pres_final[[#This Row],[kan_params]]</f>
        <v>91268</v>
      </c>
      <c r="X200">
        <f>Digits_pres_final[[#This Row],[kan_test_acc]]</f>
        <v>0.97129629552364349</v>
      </c>
      <c r="Y200">
        <f>Digits_pres_final[[#This Row],[mlp_test_acc]]</f>
        <v>0.96574074074074079</v>
      </c>
      <c r="Z200">
        <f>Digits_pres_final[[#This Row],[mlp_test_acc2]]</f>
        <v>0.96499999999999997</v>
      </c>
    </row>
    <row r="201" spans="1:26" x14ac:dyDescent="0.25">
      <c r="A201" t="s">
        <v>1979</v>
      </c>
      <c r="B201">
        <v>3</v>
      </c>
      <c r="C201">
        <v>4</v>
      </c>
      <c r="D201">
        <v>0</v>
      </c>
      <c r="E201" t="s">
        <v>2060</v>
      </c>
      <c r="F201">
        <v>91422</v>
      </c>
      <c r="G201">
        <v>150279210.25</v>
      </c>
      <c r="H201">
        <v>0.94648147622744239</v>
      </c>
      <c r="I201">
        <v>0.95537037037037043</v>
      </c>
      <c r="J201">
        <v>18747261.833333336</v>
      </c>
      <c r="K201">
        <v>172435</v>
      </c>
      <c r="L201">
        <v>2</v>
      </c>
      <c r="M201">
        <v>275</v>
      </c>
      <c r="N201">
        <v>0.95518518518518514</v>
      </c>
      <c r="O201">
        <v>18155590.5</v>
      </c>
      <c r="P201">
        <v>173614</v>
      </c>
      <c r="Q201">
        <v>2</v>
      </c>
      <c r="R201">
        <v>276</v>
      </c>
      <c r="S201" t="s">
        <v>2614</v>
      </c>
      <c r="U201" t="str">
        <f t="shared" si="3"/>
        <v/>
      </c>
      <c r="W201">
        <f>Digits_pres_final[[#This Row],[kan_params]]</f>
        <v>91422</v>
      </c>
      <c r="X201">
        <f>Digits_pres_final[[#This Row],[kan_test_acc]]</f>
        <v>0.94648147622744239</v>
      </c>
      <c r="Y201">
        <f>Digits_pres_final[[#This Row],[mlp_test_acc]]</f>
        <v>0.95537037037037043</v>
      </c>
      <c r="Z201">
        <f>Digits_pres_final[[#This Row],[mlp_test_acc2]]</f>
        <v>0.95518518518518514</v>
      </c>
    </row>
    <row r="202" spans="1:26" hidden="1" x14ac:dyDescent="0.25">
      <c r="A202" t="s">
        <v>1979</v>
      </c>
      <c r="B202">
        <v>3</v>
      </c>
      <c r="C202">
        <v>3</v>
      </c>
      <c r="D202">
        <v>0</v>
      </c>
      <c r="E202" t="s">
        <v>2138</v>
      </c>
      <c r="F202">
        <v>91522</v>
      </c>
      <c r="G202">
        <v>249387944.5</v>
      </c>
      <c r="H202">
        <v>0.97740740080674482</v>
      </c>
      <c r="I202">
        <v>0.96166666666666667</v>
      </c>
      <c r="J202">
        <v>27152676.5</v>
      </c>
      <c r="K202">
        <v>162004</v>
      </c>
      <c r="L202">
        <v>2</v>
      </c>
      <c r="M202">
        <v>266</v>
      </c>
      <c r="N202">
        <v>0.96259259259259267</v>
      </c>
      <c r="O202">
        <v>29635198.666666668</v>
      </c>
      <c r="P202">
        <v>163147</v>
      </c>
      <c r="Q202">
        <v>2</v>
      </c>
      <c r="R202">
        <v>267</v>
      </c>
      <c r="S202" t="s">
        <v>2461</v>
      </c>
      <c r="U202" t="str">
        <f t="shared" si="3"/>
        <v/>
      </c>
      <c r="W202">
        <f>Digits_pres_final[[#This Row],[kan_params]]</f>
        <v>91522</v>
      </c>
      <c r="X202">
        <f>Digits_pres_final[[#This Row],[kan_test_acc]]</f>
        <v>0.97740740080674482</v>
      </c>
      <c r="Y202">
        <f>Digits_pres_final[[#This Row],[mlp_test_acc]]</f>
        <v>0.96166666666666667</v>
      </c>
      <c r="Z202">
        <f>Digits_pres_final[[#This Row],[mlp_test_acc2]]</f>
        <v>0.96259259259259267</v>
      </c>
    </row>
    <row r="203" spans="1:26" hidden="1" x14ac:dyDescent="0.25">
      <c r="A203" t="s">
        <v>1979</v>
      </c>
      <c r="B203">
        <v>3</v>
      </c>
      <c r="C203">
        <v>3</v>
      </c>
      <c r="D203">
        <v>0</v>
      </c>
      <c r="E203" t="s">
        <v>2074</v>
      </c>
      <c r="F203">
        <v>91632</v>
      </c>
      <c r="G203">
        <v>266407712.83333331</v>
      </c>
      <c r="H203">
        <v>0.96870370209217072</v>
      </c>
      <c r="I203">
        <v>0.96425925925925937</v>
      </c>
      <c r="J203">
        <v>25467644.666666664</v>
      </c>
      <c r="K203">
        <v>162004</v>
      </c>
      <c r="L203">
        <v>2</v>
      </c>
      <c r="M203">
        <v>266</v>
      </c>
      <c r="N203">
        <v>0.96500000000000008</v>
      </c>
      <c r="O203">
        <v>24175690.166666664</v>
      </c>
      <c r="P203">
        <v>163147</v>
      </c>
      <c r="Q203">
        <v>2</v>
      </c>
      <c r="R203">
        <v>267</v>
      </c>
      <c r="S203" t="s">
        <v>2430</v>
      </c>
      <c r="U203" t="str">
        <f t="shared" si="3"/>
        <v/>
      </c>
      <c r="W203">
        <f>Digits_pres_final[[#This Row],[kan_params]]</f>
        <v>91632</v>
      </c>
      <c r="X203">
        <f>Digits_pres_final[[#This Row],[kan_test_acc]]</f>
        <v>0.96870370209217072</v>
      </c>
      <c r="Y203">
        <f>Digits_pres_final[[#This Row],[mlp_test_acc]]</f>
        <v>0.96425925925925937</v>
      </c>
      <c r="Z203">
        <f>Digits_pres_final[[#This Row],[mlp_test_acc2]]</f>
        <v>0.96500000000000008</v>
      </c>
    </row>
    <row r="204" spans="1:26" hidden="1" x14ac:dyDescent="0.25">
      <c r="A204" t="s">
        <v>1979</v>
      </c>
      <c r="B204">
        <v>3</v>
      </c>
      <c r="C204">
        <v>3</v>
      </c>
      <c r="D204">
        <v>0</v>
      </c>
      <c r="E204" t="s">
        <v>2330</v>
      </c>
      <c r="F204">
        <v>91806</v>
      </c>
      <c r="G204">
        <v>322902411.58333337</v>
      </c>
      <c r="H204">
        <v>0.97351851065953565</v>
      </c>
      <c r="I204">
        <v>0.95129629629629631</v>
      </c>
      <c r="J204">
        <v>29965763.25</v>
      </c>
      <c r="K204">
        <v>162004</v>
      </c>
      <c r="L204">
        <v>2</v>
      </c>
      <c r="M204">
        <v>266</v>
      </c>
      <c r="N204">
        <v>0.95518518518518525</v>
      </c>
      <c r="O204">
        <v>29449000.166666668</v>
      </c>
      <c r="P204">
        <v>163147</v>
      </c>
      <c r="Q204">
        <v>2</v>
      </c>
      <c r="R204">
        <v>267</v>
      </c>
      <c r="S204" t="s">
        <v>2556</v>
      </c>
      <c r="U204" t="str">
        <f t="shared" si="3"/>
        <v/>
      </c>
      <c r="W204">
        <f>Digits_pres_final[[#This Row],[kan_params]]</f>
        <v>91806</v>
      </c>
      <c r="X204">
        <f>Digits_pres_final[[#This Row],[kan_test_acc]]</f>
        <v>0.97351851065953565</v>
      </c>
      <c r="Y204">
        <f>Digits_pres_final[[#This Row],[mlp_test_acc]]</f>
        <v>0.95129629629629631</v>
      </c>
      <c r="Z204">
        <f>Digits_pres_final[[#This Row],[mlp_test_acc2]]</f>
        <v>0.95518518518518525</v>
      </c>
    </row>
    <row r="205" spans="1:26" x14ac:dyDescent="0.25">
      <c r="A205" t="s">
        <v>1979</v>
      </c>
      <c r="B205">
        <v>3</v>
      </c>
      <c r="C205">
        <v>4</v>
      </c>
      <c r="D205">
        <v>0</v>
      </c>
      <c r="E205" t="s">
        <v>2000</v>
      </c>
      <c r="F205">
        <v>91894</v>
      </c>
      <c r="G205">
        <v>89651062.666666657</v>
      </c>
      <c r="H205">
        <v>0.95740740994612372</v>
      </c>
      <c r="I205">
        <v>0.95981481481481479</v>
      </c>
      <c r="J205">
        <v>18653871.666666668</v>
      </c>
      <c r="K205">
        <v>173614</v>
      </c>
      <c r="L205">
        <v>2</v>
      </c>
      <c r="M205">
        <v>276</v>
      </c>
      <c r="N205">
        <v>0.96166666666666667</v>
      </c>
      <c r="O205">
        <v>18305555.666666668</v>
      </c>
      <c r="P205">
        <v>174797</v>
      </c>
      <c r="Q205">
        <v>2</v>
      </c>
      <c r="R205">
        <v>277</v>
      </c>
      <c r="S205" t="s">
        <v>2589</v>
      </c>
      <c r="U205" t="str">
        <f t="shared" si="3"/>
        <v/>
      </c>
      <c r="W205">
        <f>Digits_pres_final[[#This Row],[kan_params]]</f>
        <v>91894</v>
      </c>
      <c r="X205">
        <f>Digits_pres_final[[#This Row],[kan_test_acc]]</f>
        <v>0.95740740994612372</v>
      </c>
      <c r="Y205">
        <f>Digits_pres_final[[#This Row],[mlp_test_acc]]</f>
        <v>0.95981481481481479</v>
      </c>
      <c r="Z205">
        <f>Digits_pres_final[[#This Row],[mlp_test_acc2]]</f>
        <v>0.96166666666666667</v>
      </c>
    </row>
    <row r="206" spans="1:26" hidden="1" x14ac:dyDescent="0.25">
      <c r="A206" t="s">
        <v>1979</v>
      </c>
      <c r="B206">
        <v>3</v>
      </c>
      <c r="C206">
        <v>2</v>
      </c>
      <c r="D206">
        <v>0</v>
      </c>
      <c r="E206" t="s">
        <v>2346</v>
      </c>
      <c r="F206">
        <v>92134</v>
      </c>
      <c r="G206">
        <v>301445965.58333337</v>
      </c>
      <c r="H206">
        <v>0.97407408555348718</v>
      </c>
      <c r="I206">
        <v>0.942962962962963</v>
      </c>
      <c r="J206">
        <v>27650178.083333332</v>
      </c>
      <c r="K206">
        <v>148600</v>
      </c>
      <c r="L206">
        <v>2</v>
      </c>
      <c r="M206">
        <v>254</v>
      </c>
      <c r="N206">
        <v>0.94277777777777771</v>
      </c>
      <c r="O206">
        <v>25705366.583333336</v>
      </c>
      <c r="P206">
        <v>149695</v>
      </c>
      <c r="Q206">
        <v>2</v>
      </c>
      <c r="R206">
        <v>255</v>
      </c>
      <c r="S206" t="s">
        <v>2347</v>
      </c>
      <c r="U206" t="str">
        <f t="shared" si="3"/>
        <v/>
      </c>
      <c r="W206">
        <f>Digits_pres_final[[#This Row],[kan_params]]</f>
        <v>92134</v>
      </c>
      <c r="X206">
        <f>Digits_pres_final[[#This Row],[kan_test_acc]]</f>
        <v>0.97407408555348718</v>
      </c>
      <c r="Y206">
        <f>Digits_pres_final[[#This Row],[mlp_test_acc]]</f>
        <v>0.942962962962963</v>
      </c>
      <c r="Z206">
        <f>Digits_pres_final[[#This Row],[mlp_test_acc2]]</f>
        <v>0.94277777777777771</v>
      </c>
    </row>
    <row r="207" spans="1:26" hidden="1" x14ac:dyDescent="0.25">
      <c r="A207" t="s">
        <v>1979</v>
      </c>
      <c r="B207">
        <v>3</v>
      </c>
      <c r="C207">
        <v>2</v>
      </c>
      <c r="D207">
        <v>0</v>
      </c>
      <c r="E207" t="s">
        <v>2026</v>
      </c>
      <c r="F207">
        <v>92142</v>
      </c>
      <c r="G207">
        <v>75623990.34375</v>
      </c>
      <c r="H207">
        <v>0.97187499515712261</v>
      </c>
      <c r="I207">
        <v>0.96868055555555554</v>
      </c>
      <c r="J207">
        <v>16411527.28125</v>
      </c>
      <c r="K207">
        <v>148600</v>
      </c>
      <c r="L207">
        <v>2</v>
      </c>
      <c r="M207">
        <v>254</v>
      </c>
      <c r="N207">
        <v>0.96680555555555547</v>
      </c>
      <c r="O207">
        <v>16745016.75</v>
      </c>
      <c r="P207">
        <v>149695</v>
      </c>
      <c r="Q207">
        <v>2</v>
      </c>
      <c r="R207">
        <v>255</v>
      </c>
      <c r="S207" t="s">
        <v>2027</v>
      </c>
      <c r="U207" t="str">
        <f t="shared" si="3"/>
        <v/>
      </c>
      <c r="W207">
        <f>Digits_pres_final[[#This Row],[kan_params]]</f>
        <v>92142</v>
      </c>
      <c r="X207">
        <f>Digits_pres_final[[#This Row],[kan_test_acc]]</f>
        <v>0.97187499515712261</v>
      </c>
      <c r="Y207">
        <f>Digits_pres_final[[#This Row],[mlp_test_acc]]</f>
        <v>0.96868055555555554</v>
      </c>
      <c r="Z207">
        <f>Digits_pres_final[[#This Row],[mlp_test_acc2]]</f>
        <v>0.96680555555555547</v>
      </c>
    </row>
    <row r="208" spans="1:26" hidden="1" x14ac:dyDescent="0.25">
      <c r="A208" t="s">
        <v>1979</v>
      </c>
      <c r="B208">
        <v>3</v>
      </c>
      <c r="C208">
        <v>3</v>
      </c>
      <c r="D208">
        <v>0</v>
      </c>
      <c r="E208" t="s">
        <v>2268</v>
      </c>
      <c r="F208">
        <v>92312</v>
      </c>
      <c r="G208">
        <v>349411040.75</v>
      </c>
      <c r="H208">
        <v>0.96796296536922455</v>
      </c>
      <c r="I208">
        <v>0.96314814814814809</v>
      </c>
      <c r="J208">
        <v>29101871.333333336</v>
      </c>
      <c r="K208">
        <v>163147</v>
      </c>
      <c r="L208">
        <v>2</v>
      </c>
      <c r="M208">
        <v>267</v>
      </c>
      <c r="N208">
        <v>0.96259259259259267</v>
      </c>
      <c r="O208">
        <v>29092258.333333336</v>
      </c>
      <c r="P208">
        <v>164294</v>
      </c>
      <c r="Q208">
        <v>2</v>
      </c>
      <c r="R208">
        <v>268</v>
      </c>
      <c r="S208" t="s">
        <v>2524</v>
      </c>
      <c r="U208" t="str">
        <f t="shared" si="3"/>
        <v/>
      </c>
      <c r="W208">
        <f>Digits_pres_final[[#This Row],[kan_params]]</f>
        <v>92312</v>
      </c>
      <c r="X208">
        <f>Digits_pres_final[[#This Row],[kan_test_acc]]</f>
        <v>0.96796296536922455</v>
      </c>
      <c r="Y208">
        <f>Digits_pres_final[[#This Row],[mlp_test_acc]]</f>
        <v>0.96314814814814809</v>
      </c>
      <c r="Z208">
        <f>Digits_pres_final[[#This Row],[mlp_test_acc2]]</f>
        <v>0.96259259259259267</v>
      </c>
    </row>
    <row r="209" spans="1:26" hidden="1" x14ac:dyDescent="0.25">
      <c r="A209" t="s">
        <v>1979</v>
      </c>
      <c r="B209">
        <v>3</v>
      </c>
      <c r="C209">
        <v>2</v>
      </c>
      <c r="D209">
        <v>0</v>
      </c>
      <c r="E209" t="s">
        <v>2284</v>
      </c>
      <c r="F209">
        <v>92328</v>
      </c>
      <c r="G209">
        <v>196444787.41666669</v>
      </c>
      <c r="H209">
        <v>0.99037036796410871</v>
      </c>
      <c r="I209">
        <v>0.97851851851851845</v>
      </c>
      <c r="J209">
        <v>17054093.666666664</v>
      </c>
      <c r="K209">
        <v>149695</v>
      </c>
      <c r="L209">
        <v>2</v>
      </c>
      <c r="M209">
        <v>255</v>
      </c>
      <c r="N209">
        <v>0.97944444444444445</v>
      </c>
      <c r="O209">
        <v>17064075.833333336</v>
      </c>
      <c r="P209">
        <v>150794</v>
      </c>
      <c r="Q209">
        <v>2</v>
      </c>
      <c r="R209">
        <v>256</v>
      </c>
      <c r="S209" t="s">
        <v>2285</v>
      </c>
      <c r="U209" t="str">
        <f t="shared" si="3"/>
        <v/>
      </c>
      <c r="W209">
        <f>Digits_pres_final[[#This Row],[kan_params]]</f>
        <v>92328</v>
      </c>
      <c r="X209">
        <f>Digits_pres_final[[#This Row],[kan_test_acc]]</f>
        <v>0.99037036796410871</v>
      </c>
      <c r="Y209">
        <f>Digits_pres_final[[#This Row],[mlp_test_acc]]</f>
        <v>0.97851851851851845</v>
      </c>
      <c r="Z209">
        <f>Digits_pres_final[[#This Row],[mlp_test_acc2]]</f>
        <v>0.97944444444444445</v>
      </c>
    </row>
    <row r="210" spans="1:26" hidden="1" x14ac:dyDescent="0.25">
      <c r="A210" t="s">
        <v>1979</v>
      </c>
      <c r="B210">
        <v>3</v>
      </c>
      <c r="C210">
        <v>2</v>
      </c>
      <c r="D210">
        <v>0</v>
      </c>
      <c r="E210" t="s">
        <v>2156</v>
      </c>
      <c r="F210">
        <v>92332</v>
      </c>
      <c r="G210">
        <v>326446964.5</v>
      </c>
      <c r="H210">
        <v>0.97222222884496057</v>
      </c>
      <c r="I210">
        <v>0.95666666666666667</v>
      </c>
      <c r="J210">
        <v>25264843.25</v>
      </c>
      <c r="K210">
        <v>149695</v>
      </c>
      <c r="L210">
        <v>2</v>
      </c>
      <c r="M210">
        <v>255</v>
      </c>
      <c r="N210">
        <v>0.9598148148148149</v>
      </c>
      <c r="O210">
        <v>26676251.166666664</v>
      </c>
      <c r="P210">
        <v>150794</v>
      </c>
      <c r="Q210">
        <v>2</v>
      </c>
      <c r="R210">
        <v>256</v>
      </c>
      <c r="S210" t="s">
        <v>2157</v>
      </c>
      <c r="U210" t="str">
        <f t="shared" si="3"/>
        <v/>
      </c>
      <c r="W210">
        <f>Digits_pres_final[[#This Row],[kan_params]]</f>
        <v>92332</v>
      </c>
      <c r="X210">
        <f>Digits_pres_final[[#This Row],[kan_test_acc]]</f>
        <v>0.97222222884496057</v>
      </c>
      <c r="Y210">
        <f>Digits_pres_final[[#This Row],[mlp_test_acc]]</f>
        <v>0.95666666666666667</v>
      </c>
      <c r="Z210">
        <f>Digits_pres_final[[#This Row],[mlp_test_acc2]]</f>
        <v>0.9598148148148149</v>
      </c>
    </row>
    <row r="211" spans="1:26" hidden="1" x14ac:dyDescent="0.25">
      <c r="A211" t="s">
        <v>1979</v>
      </c>
      <c r="B211">
        <v>3</v>
      </c>
      <c r="C211">
        <v>2</v>
      </c>
      <c r="D211">
        <v>0</v>
      </c>
      <c r="E211" t="s">
        <v>2220</v>
      </c>
      <c r="F211">
        <v>92394</v>
      </c>
      <c r="G211">
        <v>333387441.08333337</v>
      </c>
      <c r="H211">
        <v>0.98166666924953461</v>
      </c>
      <c r="I211">
        <v>0.96703703703703703</v>
      </c>
      <c r="J211">
        <v>25185340</v>
      </c>
      <c r="K211">
        <v>149695</v>
      </c>
      <c r="L211">
        <v>2</v>
      </c>
      <c r="M211">
        <v>255</v>
      </c>
      <c r="N211">
        <v>0.9714814814814815</v>
      </c>
      <c r="O211">
        <v>25594358.083333336</v>
      </c>
      <c r="P211">
        <v>150794</v>
      </c>
      <c r="Q211">
        <v>2</v>
      </c>
      <c r="R211">
        <v>256</v>
      </c>
      <c r="S211" t="s">
        <v>2221</v>
      </c>
      <c r="U211" t="str">
        <f t="shared" si="3"/>
        <v/>
      </c>
      <c r="W211">
        <f>Digits_pres_final[[#This Row],[kan_params]]</f>
        <v>92394</v>
      </c>
      <c r="X211">
        <f>Digits_pres_final[[#This Row],[kan_test_acc]]</f>
        <v>0.98166666924953461</v>
      </c>
      <c r="Y211">
        <f>Digits_pres_final[[#This Row],[mlp_test_acc]]</f>
        <v>0.96703703703703703</v>
      </c>
      <c r="Z211">
        <f>Digits_pres_final[[#This Row],[mlp_test_acc2]]</f>
        <v>0.9714814814814815</v>
      </c>
    </row>
    <row r="212" spans="1:26" hidden="1" x14ac:dyDescent="0.25">
      <c r="A212" t="s">
        <v>1979</v>
      </c>
      <c r="B212">
        <v>3</v>
      </c>
      <c r="C212">
        <v>3</v>
      </c>
      <c r="D212">
        <v>0</v>
      </c>
      <c r="E212" t="s">
        <v>2204</v>
      </c>
      <c r="F212">
        <v>92674</v>
      </c>
      <c r="G212">
        <v>295030320.5</v>
      </c>
      <c r="H212">
        <v>0.97333333392937971</v>
      </c>
      <c r="I212">
        <v>0.96703703703703703</v>
      </c>
      <c r="J212">
        <v>27642041.666666664</v>
      </c>
      <c r="K212">
        <v>164294</v>
      </c>
      <c r="L212">
        <v>2</v>
      </c>
      <c r="M212">
        <v>268</v>
      </c>
      <c r="N212">
        <v>0.9655555555555555</v>
      </c>
      <c r="O212">
        <v>27314015.25</v>
      </c>
      <c r="P212">
        <v>165445</v>
      </c>
      <c r="Q212">
        <v>2</v>
      </c>
      <c r="R212">
        <v>269</v>
      </c>
      <c r="S212" t="s">
        <v>2493</v>
      </c>
      <c r="U212" t="str">
        <f t="shared" si="3"/>
        <v/>
      </c>
      <c r="W212">
        <f>Digits_pres_final[[#This Row],[kan_params]]</f>
        <v>92674</v>
      </c>
      <c r="X212">
        <f>Digits_pres_final[[#This Row],[kan_test_acc]]</f>
        <v>0.97333333392937971</v>
      </c>
      <c r="Y212">
        <f>Digits_pres_final[[#This Row],[mlp_test_acc]]</f>
        <v>0.96703703703703703</v>
      </c>
      <c r="Z212">
        <f>Digits_pres_final[[#This Row],[mlp_test_acc2]]</f>
        <v>0.9655555555555555</v>
      </c>
    </row>
    <row r="213" spans="1:26" hidden="1" x14ac:dyDescent="0.25">
      <c r="A213" t="s">
        <v>1979</v>
      </c>
      <c r="B213">
        <v>3</v>
      </c>
      <c r="C213">
        <v>3</v>
      </c>
      <c r="D213">
        <v>0</v>
      </c>
      <c r="E213" t="s">
        <v>2140</v>
      </c>
      <c r="F213">
        <v>92892</v>
      </c>
      <c r="G213">
        <v>265416406.25</v>
      </c>
      <c r="H213">
        <v>0.97703703244527174</v>
      </c>
      <c r="I213">
        <v>0.9638888888888888</v>
      </c>
      <c r="J213">
        <v>26911352.083333332</v>
      </c>
      <c r="K213">
        <v>164294</v>
      </c>
      <c r="L213">
        <v>2</v>
      </c>
      <c r="M213">
        <v>268</v>
      </c>
      <c r="N213">
        <v>0.96148148148148138</v>
      </c>
      <c r="O213">
        <v>29384849.416666668</v>
      </c>
      <c r="P213">
        <v>165445</v>
      </c>
      <c r="Q213">
        <v>2</v>
      </c>
      <c r="R213">
        <v>269</v>
      </c>
      <c r="S213" t="s">
        <v>2462</v>
      </c>
      <c r="U213" t="str">
        <f t="shared" si="3"/>
        <v/>
      </c>
      <c r="W213">
        <f>Digits_pres_final[[#This Row],[kan_params]]</f>
        <v>92892</v>
      </c>
      <c r="X213">
        <f>Digits_pres_final[[#This Row],[kan_test_acc]]</f>
        <v>0.97703703244527174</v>
      </c>
      <c r="Y213">
        <f>Digits_pres_final[[#This Row],[mlp_test_acc]]</f>
        <v>0.9638888888888888</v>
      </c>
      <c r="Z213">
        <f>Digits_pres_final[[#This Row],[mlp_test_acc2]]</f>
        <v>0.96148148148148138</v>
      </c>
    </row>
    <row r="214" spans="1:26" x14ac:dyDescent="0.25">
      <c r="A214" t="s">
        <v>1979</v>
      </c>
      <c r="B214">
        <v>3</v>
      </c>
      <c r="C214">
        <v>4</v>
      </c>
      <c r="D214">
        <v>0</v>
      </c>
      <c r="E214" t="s">
        <v>2062</v>
      </c>
      <c r="F214">
        <v>92904</v>
      </c>
      <c r="G214">
        <v>151926210.75</v>
      </c>
      <c r="H214">
        <v>0.94592592120170593</v>
      </c>
      <c r="I214">
        <v>0.95685185185185184</v>
      </c>
      <c r="J214">
        <v>18748251.333333336</v>
      </c>
      <c r="K214">
        <v>175984</v>
      </c>
      <c r="L214">
        <v>2</v>
      </c>
      <c r="M214">
        <v>278</v>
      </c>
      <c r="N214">
        <v>0.95351851851851854</v>
      </c>
      <c r="O214">
        <v>18794337.416666664</v>
      </c>
      <c r="P214">
        <v>177175</v>
      </c>
      <c r="Q214">
        <v>2</v>
      </c>
      <c r="R214">
        <v>279</v>
      </c>
      <c r="S214" t="s">
        <v>2615</v>
      </c>
      <c r="U214" t="str">
        <f t="shared" si="3"/>
        <v/>
      </c>
      <c r="W214">
        <f>Digits_pres_final[[#This Row],[kan_params]]</f>
        <v>92904</v>
      </c>
      <c r="X214">
        <f>Digits_pres_final[[#This Row],[kan_test_acc]]</f>
        <v>0.94592592120170593</v>
      </c>
      <c r="Y214">
        <f>Digits_pres_final[[#This Row],[mlp_test_acc]]</f>
        <v>0.95685185185185184</v>
      </c>
      <c r="Z214">
        <f>Digits_pres_final[[#This Row],[mlp_test_acc2]]</f>
        <v>0.95351851851851854</v>
      </c>
    </row>
    <row r="215" spans="1:26" hidden="1" x14ac:dyDescent="0.25">
      <c r="A215" t="s">
        <v>1979</v>
      </c>
      <c r="B215">
        <v>3</v>
      </c>
      <c r="C215">
        <v>3</v>
      </c>
      <c r="D215">
        <v>0</v>
      </c>
      <c r="E215" t="s">
        <v>2076</v>
      </c>
      <c r="F215">
        <v>92966</v>
      </c>
      <c r="G215">
        <v>263792595.16666666</v>
      </c>
      <c r="H215">
        <v>0.96777777870496107</v>
      </c>
      <c r="I215">
        <v>0.96203703703703702</v>
      </c>
      <c r="J215">
        <v>25558141.333333336</v>
      </c>
      <c r="K215">
        <v>164294</v>
      </c>
      <c r="L215">
        <v>2</v>
      </c>
      <c r="M215">
        <v>268</v>
      </c>
      <c r="N215">
        <v>0.96629629629629632</v>
      </c>
      <c r="O215">
        <v>24820688.666666664</v>
      </c>
      <c r="P215">
        <v>165445</v>
      </c>
      <c r="Q215">
        <v>2</v>
      </c>
      <c r="R215">
        <v>269</v>
      </c>
      <c r="S215" t="s">
        <v>2431</v>
      </c>
      <c r="U215" t="str">
        <f t="shared" si="3"/>
        <v/>
      </c>
      <c r="W215">
        <f>Digits_pres_final[[#This Row],[kan_params]]</f>
        <v>92966</v>
      </c>
      <c r="X215">
        <f>Digits_pres_final[[#This Row],[kan_test_acc]]</f>
        <v>0.96777777870496107</v>
      </c>
      <c r="Y215">
        <f>Digits_pres_final[[#This Row],[mlp_test_acc]]</f>
        <v>0.96203703703703702</v>
      </c>
      <c r="Z215">
        <f>Digits_pres_final[[#This Row],[mlp_test_acc2]]</f>
        <v>0.96629629629629632</v>
      </c>
    </row>
    <row r="216" spans="1:26" hidden="1" x14ac:dyDescent="0.25">
      <c r="A216" t="s">
        <v>1979</v>
      </c>
      <c r="B216">
        <v>3</v>
      </c>
      <c r="C216">
        <v>3</v>
      </c>
      <c r="D216">
        <v>0</v>
      </c>
      <c r="E216" t="s">
        <v>2332</v>
      </c>
      <c r="F216">
        <v>93284</v>
      </c>
      <c r="G216">
        <v>329535113.75</v>
      </c>
      <c r="H216">
        <v>0.97370370229085279</v>
      </c>
      <c r="I216">
        <v>0.95277777777777772</v>
      </c>
      <c r="J216">
        <v>29880955.666666664</v>
      </c>
      <c r="K216">
        <v>165445</v>
      </c>
      <c r="L216">
        <v>2</v>
      </c>
      <c r="M216">
        <v>269</v>
      </c>
      <c r="N216">
        <v>0.95314814814814819</v>
      </c>
      <c r="O216">
        <v>29953585.916666668</v>
      </c>
      <c r="P216">
        <v>166600</v>
      </c>
      <c r="Q216">
        <v>2</v>
      </c>
      <c r="R216">
        <v>270</v>
      </c>
      <c r="S216" t="s">
        <v>2557</v>
      </c>
      <c r="U216" t="str">
        <f t="shared" si="3"/>
        <v/>
      </c>
      <c r="W216">
        <f>Digits_pres_final[[#This Row],[kan_params]]</f>
        <v>93284</v>
      </c>
      <c r="X216">
        <f>Digits_pres_final[[#This Row],[kan_test_acc]]</f>
        <v>0.97370370229085279</v>
      </c>
      <c r="Y216">
        <f>Digits_pres_final[[#This Row],[mlp_test_acc]]</f>
        <v>0.95277777777777772</v>
      </c>
      <c r="Z216">
        <f>Digits_pres_final[[#This Row],[mlp_test_acc2]]</f>
        <v>0.95314814814814819</v>
      </c>
    </row>
    <row r="217" spans="1:26" hidden="1" x14ac:dyDescent="0.25">
      <c r="A217" t="s">
        <v>1979</v>
      </c>
      <c r="B217">
        <v>3</v>
      </c>
      <c r="C217">
        <v>2</v>
      </c>
      <c r="D217">
        <v>0</v>
      </c>
      <c r="E217" t="s">
        <v>2028</v>
      </c>
      <c r="F217">
        <v>93328</v>
      </c>
      <c r="G217">
        <v>215369565.21875</v>
      </c>
      <c r="H217">
        <v>0.97423610960443807</v>
      </c>
      <c r="I217">
        <v>0.96581018518518524</v>
      </c>
      <c r="J217">
        <v>22990724.291666664</v>
      </c>
      <c r="K217">
        <v>150794</v>
      </c>
      <c r="L217">
        <v>2</v>
      </c>
      <c r="M217">
        <v>256</v>
      </c>
      <c r="N217">
        <v>0.96384259259259264</v>
      </c>
      <c r="O217">
        <v>22799158.4375</v>
      </c>
      <c r="P217">
        <v>151897</v>
      </c>
      <c r="Q217">
        <v>2</v>
      </c>
      <c r="R217">
        <v>257</v>
      </c>
      <c r="S217" t="s">
        <v>2029</v>
      </c>
      <c r="U217" t="str">
        <f t="shared" si="3"/>
        <v/>
      </c>
      <c r="W217">
        <f>Digits_pres_final[[#This Row],[kan_params]]</f>
        <v>93328</v>
      </c>
      <c r="X217">
        <f>Digits_pres_final[[#This Row],[kan_test_acc]]</f>
        <v>0.97423610960443807</v>
      </c>
      <c r="Y217">
        <f>Digits_pres_final[[#This Row],[mlp_test_acc]]</f>
        <v>0.96581018518518524</v>
      </c>
      <c r="Z217">
        <f>Digits_pres_final[[#This Row],[mlp_test_acc2]]</f>
        <v>0.96384259259259264</v>
      </c>
    </row>
    <row r="218" spans="1:26" x14ac:dyDescent="0.25">
      <c r="A218" t="s">
        <v>1979</v>
      </c>
      <c r="B218">
        <v>3</v>
      </c>
      <c r="C218">
        <v>4</v>
      </c>
      <c r="D218">
        <v>0</v>
      </c>
      <c r="E218" t="s">
        <v>2002</v>
      </c>
      <c r="F218">
        <v>93376</v>
      </c>
      <c r="G218">
        <v>88175900.75</v>
      </c>
      <c r="H218">
        <v>0.95388889312744141</v>
      </c>
      <c r="I218">
        <v>0.95685185185185184</v>
      </c>
      <c r="J218">
        <v>18878188</v>
      </c>
      <c r="K218">
        <v>177175</v>
      </c>
      <c r="L218">
        <v>2</v>
      </c>
      <c r="M218">
        <v>279</v>
      </c>
      <c r="N218">
        <v>0.95944444444444443</v>
      </c>
      <c r="O218">
        <v>18084481.916666668</v>
      </c>
      <c r="P218">
        <v>178370</v>
      </c>
      <c r="Q218">
        <v>2</v>
      </c>
      <c r="R218">
        <v>280</v>
      </c>
      <c r="S218" t="s">
        <v>2590</v>
      </c>
      <c r="U218" t="str">
        <f t="shared" si="3"/>
        <v/>
      </c>
      <c r="W218">
        <f>Digits_pres_final[[#This Row],[kan_params]]</f>
        <v>93376</v>
      </c>
      <c r="X218">
        <f>Digits_pres_final[[#This Row],[kan_test_acc]]</f>
        <v>0.95388889312744141</v>
      </c>
      <c r="Y218">
        <f>Digits_pres_final[[#This Row],[mlp_test_acc]]</f>
        <v>0.95685185185185184</v>
      </c>
      <c r="Z218">
        <f>Digits_pres_final[[#This Row],[mlp_test_acc2]]</f>
        <v>0.95944444444444443</v>
      </c>
    </row>
    <row r="219" spans="1:26" hidden="1" x14ac:dyDescent="0.25">
      <c r="A219" t="s">
        <v>1979</v>
      </c>
      <c r="B219">
        <v>3</v>
      </c>
      <c r="C219">
        <v>2</v>
      </c>
      <c r="D219">
        <v>0</v>
      </c>
      <c r="E219" t="s">
        <v>2348</v>
      </c>
      <c r="F219">
        <v>93448</v>
      </c>
      <c r="G219">
        <v>312989611.66666669</v>
      </c>
      <c r="H219">
        <v>0.9714814921220144</v>
      </c>
      <c r="I219">
        <v>0.94388888888888878</v>
      </c>
      <c r="J219">
        <v>28814657.333333332</v>
      </c>
      <c r="K219">
        <v>150794</v>
      </c>
      <c r="L219">
        <v>2</v>
      </c>
      <c r="M219">
        <v>256</v>
      </c>
      <c r="N219">
        <v>0.94407407407407407</v>
      </c>
      <c r="O219">
        <v>27372590.75</v>
      </c>
      <c r="P219">
        <v>151897</v>
      </c>
      <c r="Q219">
        <v>2</v>
      </c>
      <c r="R219">
        <v>257</v>
      </c>
      <c r="S219" t="s">
        <v>2349</v>
      </c>
      <c r="U219" t="str">
        <f t="shared" si="3"/>
        <v/>
      </c>
      <c r="W219">
        <f>Digits_pres_final[[#This Row],[kan_params]]</f>
        <v>93448</v>
      </c>
      <c r="X219">
        <f>Digits_pres_final[[#This Row],[kan_test_acc]]</f>
        <v>0.9714814921220144</v>
      </c>
      <c r="Y219">
        <f>Digits_pres_final[[#This Row],[mlp_test_acc]]</f>
        <v>0.94388888888888878</v>
      </c>
      <c r="Z219">
        <f>Digits_pres_final[[#This Row],[mlp_test_acc2]]</f>
        <v>0.94407407407407407</v>
      </c>
    </row>
    <row r="220" spans="1:26" hidden="1" x14ac:dyDescent="0.25">
      <c r="A220" t="s">
        <v>1979</v>
      </c>
      <c r="B220">
        <v>3</v>
      </c>
      <c r="C220">
        <v>2</v>
      </c>
      <c r="D220">
        <v>0</v>
      </c>
      <c r="E220" t="s">
        <v>2158</v>
      </c>
      <c r="F220">
        <v>93550</v>
      </c>
      <c r="G220">
        <v>346014806.08333337</v>
      </c>
      <c r="H220">
        <v>0.9714814921220144</v>
      </c>
      <c r="I220">
        <v>0.95611111111111113</v>
      </c>
      <c r="J220">
        <v>26130978</v>
      </c>
      <c r="K220">
        <v>151897</v>
      </c>
      <c r="L220">
        <v>2</v>
      </c>
      <c r="M220">
        <v>257</v>
      </c>
      <c r="N220">
        <v>0.96074074074074067</v>
      </c>
      <c r="O220">
        <v>26117923.666666664</v>
      </c>
      <c r="P220">
        <v>153004</v>
      </c>
      <c r="Q220">
        <v>2</v>
      </c>
      <c r="R220">
        <v>258</v>
      </c>
      <c r="S220" t="s">
        <v>2159</v>
      </c>
      <c r="U220" t="str">
        <f t="shared" si="3"/>
        <v/>
      </c>
      <c r="W220">
        <f>Digits_pres_final[[#This Row],[kan_params]]</f>
        <v>93550</v>
      </c>
      <c r="X220">
        <f>Digits_pres_final[[#This Row],[kan_test_acc]]</f>
        <v>0.9714814921220144</v>
      </c>
      <c r="Y220">
        <f>Digits_pres_final[[#This Row],[mlp_test_acc]]</f>
        <v>0.95611111111111113</v>
      </c>
      <c r="Z220">
        <f>Digits_pres_final[[#This Row],[mlp_test_acc2]]</f>
        <v>0.96074074074074067</v>
      </c>
    </row>
    <row r="221" spans="1:26" hidden="1" x14ac:dyDescent="0.25">
      <c r="A221" t="s">
        <v>1979</v>
      </c>
      <c r="B221">
        <v>3</v>
      </c>
      <c r="C221">
        <v>2</v>
      </c>
      <c r="D221">
        <v>0</v>
      </c>
      <c r="E221" t="s">
        <v>2286</v>
      </c>
      <c r="F221">
        <v>93610</v>
      </c>
      <c r="G221">
        <v>192902043.83333334</v>
      </c>
      <c r="H221">
        <v>0.98944443464279175</v>
      </c>
      <c r="I221">
        <v>0.97666666666666657</v>
      </c>
      <c r="J221">
        <v>17270121.333333336</v>
      </c>
      <c r="K221">
        <v>151897</v>
      </c>
      <c r="L221">
        <v>2</v>
      </c>
      <c r="M221">
        <v>257</v>
      </c>
      <c r="N221">
        <v>0.97833333333333328</v>
      </c>
      <c r="O221">
        <v>17049960.416666668</v>
      </c>
      <c r="P221">
        <v>153004</v>
      </c>
      <c r="Q221">
        <v>2</v>
      </c>
      <c r="R221">
        <v>258</v>
      </c>
      <c r="S221" t="s">
        <v>2287</v>
      </c>
      <c r="U221" t="str">
        <f t="shared" si="3"/>
        <v/>
      </c>
      <c r="W221">
        <f>Digits_pres_final[[#This Row],[kan_params]]</f>
        <v>93610</v>
      </c>
      <c r="X221">
        <f>Digits_pres_final[[#This Row],[kan_test_acc]]</f>
        <v>0.98944443464279175</v>
      </c>
      <c r="Y221">
        <f>Digits_pres_final[[#This Row],[mlp_test_acc]]</f>
        <v>0.97666666666666657</v>
      </c>
      <c r="Z221">
        <f>Digits_pres_final[[#This Row],[mlp_test_acc2]]</f>
        <v>0.97833333333333328</v>
      </c>
    </row>
    <row r="222" spans="1:26" hidden="1" x14ac:dyDescent="0.25">
      <c r="A222" t="s">
        <v>1979</v>
      </c>
      <c r="B222">
        <v>3</v>
      </c>
      <c r="C222">
        <v>2</v>
      </c>
      <c r="D222">
        <v>0</v>
      </c>
      <c r="E222" t="s">
        <v>2222</v>
      </c>
      <c r="F222">
        <v>93644</v>
      </c>
      <c r="G222">
        <v>349259956.91666669</v>
      </c>
      <c r="H222">
        <v>0.98333333432674408</v>
      </c>
      <c r="I222">
        <v>0.9681481481481482</v>
      </c>
      <c r="J222">
        <v>25434809.666666664</v>
      </c>
      <c r="K222">
        <v>151897</v>
      </c>
      <c r="L222">
        <v>2</v>
      </c>
      <c r="M222">
        <v>257</v>
      </c>
      <c r="N222">
        <v>0.97203703703703703</v>
      </c>
      <c r="O222">
        <v>25754777.333333336</v>
      </c>
      <c r="P222">
        <v>153004</v>
      </c>
      <c r="Q222">
        <v>2</v>
      </c>
      <c r="R222">
        <v>258</v>
      </c>
      <c r="S222" t="s">
        <v>2223</v>
      </c>
      <c r="U222" t="str">
        <f t="shared" si="3"/>
        <v/>
      </c>
      <c r="W222">
        <f>Digits_pres_final[[#This Row],[kan_params]]</f>
        <v>93644</v>
      </c>
      <c r="X222">
        <f>Digits_pres_final[[#This Row],[kan_test_acc]]</f>
        <v>0.98333333432674408</v>
      </c>
      <c r="Y222">
        <f>Digits_pres_final[[#This Row],[mlp_test_acc]]</f>
        <v>0.9681481481481482</v>
      </c>
      <c r="Z222">
        <f>Digits_pres_final[[#This Row],[mlp_test_acc2]]</f>
        <v>0.97203703703703703</v>
      </c>
    </row>
    <row r="223" spans="1:26" hidden="1" x14ac:dyDescent="0.25">
      <c r="A223" t="s">
        <v>1979</v>
      </c>
      <c r="B223">
        <v>3</v>
      </c>
      <c r="C223">
        <v>3</v>
      </c>
      <c r="D223">
        <v>0</v>
      </c>
      <c r="E223" t="s">
        <v>2270</v>
      </c>
      <c r="F223">
        <v>93754</v>
      </c>
      <c r="G223">
        <v>305190445.16666663</v>
      </c>
      <c r="H223">
        <v>0.9683333386977514</v>
      </c>
      <c r="I223">
        <v>0.96296296296296302</v>
      </c>
      <c r="J223">
        <v>28732379.583333336</v>
      </c>
      <c r="K223">
        <v>165445</v>
      </c>
      <c r="L223">
        <v>2</v>
      </c>
      <c r="M223">
        <v>269</v>
      </c>
      <c r="N223">
        <v>0.96185185185185185</v>
      </c>
      <c r="O223">
        <v>28986472.416666668</v>
      </c>
      <c r="P223">
        <v>166600</v>
      </c>
      <c r="Q223">
        <v>2</v>
      </c>
      <c r="R223">
        <v>270</v>
      </c>
      <c r="S223" t="s">
        <v>2525</v>
      </c>
      <c r="U223" t="str">
        <f t="shared" si="3"/>
        <v/>
      </c>
      <c r="W223">
        <f>Digits_pres_final[[#This Row],[kan_params]]</f>
        <v>93754</v>
      </c>
      <c r="X223">
        <f>Digits_pres_final[[#This Row],[kan_test_acc]]</f>
        <v>0.9683333386977514</v>
      </c>
      <c r="Y223">
        <f>Digits_pres_final[[#This Row],[mlp_test_acc]]</f>
        <v>0.96296296296296302</v>
      </c>
      <c r="Z223">
        <f>Digits_pres_final[[#This Row],[mlp_test_acc2]]</f>
        <v>0.96185185185185185</v>
      </c>
    </row>
    <row r="224" spans="1:26" hidden="1" x14ac:dyDescent="0.25">
      <c r="A224" t="s">
        <v>1979</v>
      </c>
      <c r="B224">
        <v>3</v>
      </c>
      <c r="C224">
        <v>3</v>
      </c>
      <c r="D224">
        <v>0</v>
      </c>
      <c r="E224" t="s">
        <v>2206</v>
      </c>
      <c r="F224">
        <v>94080</v>
      </c>
      <c r="G224">
        <v>296091583.58333331</v>
      </c>
      <c r="H224">
        <v>0.97037036716938019</v>
      </c>
      <c r="I224">
        <v>0.97</v>
      </c>
      <c r="J224">
        <v>27829445.333333332</v>
      </c>
      <c r="K224">
        <v>166600</v>
      </c>
      <c r="L224">
        <v>2</v>
      </c>
      <c r="M224">
        <v>270</v>
      </c>
      <c r="N224">
        <v>0.96740740740740749</v>
      </c>
      <c r="O224">
        <v>27386535.916666668</v>
      </c>
      <c r="P224">
        <v>167759</v>
      </c>
      <c r="Q224">
        <v>2</v>
      </c>
      <c r="R224">
        <v>271</v>
      </c>
      <c r="S224" t="s">
        <v>2494</v>
      </c>
      <c r="U224" t="str">
        <f t="shared" si="3"/>
        <v/>
      </c>
      <c r="W224">
        <f>Digits_pres_final[[#This Row],[kan_params]]</f>
        <v>94080</v>
      </c>
      <c r="X224">
        <f>Digits_pres_final[[#This Row],[kan_test_acc]]</f>
        <v>0.97037036716938019</v>
      </c>
      <c r="Y224">
        <f>Digits_pres_final[[#This Row],[mlp_test_acc]]</f>
        <v>0.97</v>
      </c>
      <c r="Z224">
        <f>Digits_pres_final[[#This Row],[mlp_test_acc2]]</f>
        <v>0.96740740740740749</v>
      </c>
    </row>
    <row r="225" spans="1:26" hidden="1" x14ac:dyDescent="0.25">
      <c r="A225" t="s">
        <v>1979</v>
      </c>
      <c r="B225">
        <v>3</v>
      </c>
      <c r="C225">
        <v>3</v>
      </c>
      <c r="D225">
        <v>0</v>
      </c>
      <c r="E225" t="s">
        <v>2142</v>
      </c>
      <c r="F225">
        <v>94262</v>
      </c>
      <c r="G225">
        <v>270347157.41666669</v>
      </c>
      <c r="H225">
        <v>0.97407407561937975</v>
      </c>
      <c r="I225">
        <v>0.9605555555555555</v>
      </c>
      <c r="J225">
        <v>28766536.083333332</v>
      </c>
      <c r="K225">
        <v>166600</v>
      </c>
      <c r="L225">
        <v>2</v>
      </c>
      <c r="M225">
        <v>270</v>
      </c>
      <c r="N225">
        <v>0.96166666666666667</v>
      </c>
      <c r="O225">
        <v>28213881.916666668</v>
      </c>
      <c r="P225">
        <v>167759</v>
      </c>
      <c r="Q225">
        <v>2</v>
      </c>
      <c r="R225">
        <v>271</v>
      </c>
      <c r="S225" t="s">
        <v>2463</v>
      </c>
      <c r="U225" t="str">
        <f t="shared" si="3"/>
        <v/>
      </c>
      <c r="W225">
        <f>Digits_pres_final[[#This Row],[kan_params]]</f>
        <v>94262</v>
      </c>
      <c r="X225">
        <f>Digits_pres_final[[#This Row],[kan_test_acc]]</f>
        <v>0.97407407561937975</v>
      </c>
      <c r="Y225">
        <f>Digits_pres_final[[#This Row],[mlp_test_acc]]</f>
        <v>0.9605555555555555</v>
      </c>
      <c r="Z225">
        <f>Digits_pres_final[[#This Row],[mlp_test_acc2]]</f>
        <v>0.96166666666666667</v>
      </c>
    </row>
    <row r="226" spans="1:26" hidden="1" x14ac:dyDescent="0.25">
      <c r="A226" t="s">
        <v>1979</v>
      </c>
      <c r="B226">
        <v>3</v>
      </c>
      <c r="C226">
        <v>3</v>
      </c>
      <c r="D226">
        <v>0</v>
      </c>
      <c r="E226" t="s">
        <v>2078</v>
      </c>
      <c r="F226">
        <v>94300</v>
      </c>
      <c r="G226">
        <v>277629958.66666669</v>
      </c>
      <c r="H226">
        <v>0.96611110369364428</v>
      </c>
      <c r="I226">
        <v>0.96444444444444444</v>
      </c>
      <c r="J226">
        <v>25769910.5</v>
      </c>
      <c r="K226">
        <v>166600</v>
      </c>
      <c r="L226">
        <v>2</v>
      </c>
      <c r="M226">
        <v>270</v>
      </c>
      <c r="N226">
        <v>0.96518518518518515</v>
      </c>
      <c r="O226">
        <v>25493229.083333336</v>
      </c>
      <c r="P226">
        <v>167759</v>
      </c>
      <c r="Q226">
        <v>2</v>
      </c>
      <c r="R226">
        <v>271</v>
      </c>
      <c r="S226" t="s">
        <v>2432</v>
      </c>
      <c r="U226" t="str">
        <f t="shared" si="3"/>
        <v/>
      </c>
      <c r="W226">
        <f>Digits_pres_final[[#This Row],[kan_params]]</f>
        <v>94300</v>
      </c>
      <c r="X226">
        <f>Digits_pres_final[[#This Row],[kan_test_acc]]</f>
        <v>0.96611110369364428</v>
      </c>
      <c r="Y226">
        <f>Digits_pres_final[[#This Row],[mlp_test_acc]]</f>
        <v>0.96444444444444444</v>
      </c>
      <c r="Z226">
        <f>Digits_pres_final[[#This Row],[mlp_test_acc2]]</f>
        <v>0.96518518518518515</v>
      </c>
    </row>
    <row r="227" spans="1:26" x14ac:dyDescent="0.25">
      <c r="A227" t="s">
        <v>1979</v>
      </c>
      <c r="B227">
        <v>3</v>
      </c>
      <c r="C227">
        <v>4</v>
      </c>
      <c r="D227">
        <v>0</v>
      </c>
      <c r="E227" t="s">
        <v>2064</v>
      </c>
      <c r="F227">
        <v>94386</v>
      </c>
      <c r="G227">
        <v>155149152.08333334</v>
      </c>
      <c r="H227">
        <v>0.94611111283302307</v>
      </c>
      <c r="I227">
        <v>0.95907407407407408</v>
      </c>
      <c r="J227">
        <v>18882063.75</v>
      </c>
      <c r="K227">
        <v>178370</v>
      </c>
      <c r="L227">
        <v>2</v>
      </c>
      <c r="M227">
        <v>280</v>
      </c>
      <c r="N227">
        <v>0.95407407407407407</v>
      </c>
      <c r="O227">
        <v>19199966.666666664</v>
      </c>
      <c r="P227">
        <v>179569</v>
      </c>
      <c r="Q227">
        <v>2</v>
      </c>
      <c r="R227">
        <v>281</v>
      </c>
      <c r="S227" t="s">
        <v>2616</v>
      </c>
      <c r="U227" t="str">
        <f t="shared" si="3"/>
        <v/>
      </c>
      <c r="W227">
        <f>Digits_pres_final[[#This Row],[kan_params]]</f>
        <v>94386</v>
      </c>
      <c r="X227">
        <f>Digits_pres_final[[#This Row],[kan_test_acc]]</f>
        <v>0.94611111283302307</v>
      </c>
      <c r="Y227">
        <f>Digits_pres_final[[#This Row],[mlp_test_acc]]</f>
        <v>0.95907407407407408</v>
      </c>
      <c r="Z227">
        <f>Digits_pres_final[[#This Row],[mlp_test_acc2]]</f>
        <v>0.95407407407407407</v>
      </c>
    </row>
    <row r="228" spans="1:26" hidden="1" x14ac:dyDescent="0.25">
      <c r="A228" t="s">
        <v>1979</v>
      </c>
      <c r="B228">
        <v>3</v>
      </c>
      <c r="C228">
        <v>2</v>
      </c>
      <c r="D228">
        <v>0</v>
      </c>
      <c r="E228" t="s">
        <v>2030</v>
      </c>
      <c r="F228">
        <v>94514</v>
      </c>
      <c r="G228">
        <v>351493763.5</v>
      </c>
      <c r="H228">
        <v>0.97925925751527143</v>
      </c>
      <c r="I228">
        <v>0.96</v>
      </c>
      <c r="J228">
        <v>28993138.75</v>
      </c>
      <c r="K228">
        <v>153004</v>
      </c>
      <c r="L228">
        <v>2</v>
      </c>
      <c r="M228">
        <v>258</v>
      </c>
      <c r="N228">
        <v>0.96370370370370373</v>
      </c>
      <c r="O228">
        <v>27696643.916666664</v>
      </c>
      <c r="P228">
        <v>154115</v>
      </c>
      <c r="Q228">
        <v>2</v>
      </c>
      <c r="R228">
        <v>259</v>
      </c>
      <c r="S228" t="s">
        <v>2031</v>
      </c>
      <c r="U228">
        <f t="shared" si="3"/>
        <v>1</v>
      </c>
      <c r="W228">
        <f>Digits_pres_final[[#This Row],[kan_params]]</f>
        <v>94514</v>
      </c>
      <c r="X228">
        <f>Digits_pres_final[[#This Row],[kan_test_acc]]</f>
        <v>0.97925925751527143</v>
      </c>
      <c r="Y228">
        <f>Digits_pres_final[[#This Row],[mlp_test_acc]]</f>
        <v>0.96</v>
      </c>
      <c r="Z228">
        <f>Digits_pres_final[[#This Row],[mlp_test_acc2]]</f>
        <v>0.96370370370370373</v>
      </c>
    </row>
    <row r="229" spans="1:26" hidden="1" x14ac:dyDescent="0.25">
      <c r="A229" t="s">
        <v>1979</v>
      </c>
      <c r="B229">
        <v>3</v>
      </c>
      <c r="C229">
        <v>2</v>
      </c>
      <c r="D229">
        <v>0</v>
      </c>
      <c r="E229" t="s">
        <v>2350</v>
      </c>
      <c r="F229">
        <v>94762</v>
      </c>
      <c r="G229">
        <v>316899702.08333337</v>
      </c>
      <c r="H229">
        <v>0.97462963561216998</v>
      </c>
      <c r="I229">
        <v>0.94666666666666655</v>
      </c>
      <c r="J229">
        <v>28827268.75</v>
      </c>
      <c r="K229">
        <v>153004</v>
      </c>
      <c r="L229">
        <v>2</v>
      </c>
      <c r="M229">
        <v>258</v>
      </c>
      <c r="N229">
        <v>0.94500000000000006</v>
      </c>
      <c r="O229">
        <v>28494114.166666664</v>
      </c>
      <c r="P229">
        <v>154115</v>
      </c>
      <c r="Q229">
        <v>2</v>
      </c>
      <c r="R229">
        <v>259</v>
      </c>
      <c r="S229" t="s">
        <v>2351</v>
      </c>
      <c r="U229" t="str">
        <f t="shared" si="3"/>
        <v/>
      </c>
      <c r="W229">
        <f>Digits_pres_final[[#This Row],[kan_params]]</f>
        <v>94762</v>
      </c>
      <c r="X229">
        <f>Digits_pres_final[[#This Row],[kan_test_acc]]</f>
        <v>0.97462963561216998</v>
      </c>
      <c r="Y229">
        <f>Digits_pres_final[[#This Row],[mlp_test_acc]]</f>
        <v>0.94666666666666655</v>
      </c>
      <c r="Z229">
        <f>Digits_pres_final[[#This Row],[mlp_test_acc2]]</f>
        <v>0.94500000000000006</v>
      </c>
    </row>
    <row r="230" spans="1:26" hidden="1" x14ac:dyDescent="0.25">
      <c r="A230" t="s">
        <v>1979</v>
      </c>
      <c r="B230">
        <v>3</v>
      </c>
      <c r="C230">
        <v>3</v>
      </c>
      <c r="D230">
        <v>0</v>
      </c>
      <c r="E230" t="s">
        <v>2334</v>
      </c>
      <c r="F230">
        <v>94762</v>
      </c>
      <c r="G230">
        <v>337432774.75</v>
      </c>
      <c r="H230">
        <v>0.96981481214364362</v>
      </c>
      <c r="I230">
        <v>0.95314814814814808</v>
      </c>
      <c r="J230">
        <v>30082321.25</v>
      </c>
      <c r="K230">
        <v>167759</v>
      </c>
      <c r="L230">
        <v>2</v>
      </c>
      <c r="M230">
        <v>271</v>
      </c>
      <c r="N230">
        <v>0.95537037037037043</v>
      </c>
      <c r="O230">
        <v>30352730.833333336</v>
      </c>
      <c r="P230">
        <v>168922</v>
      </c>
      <c r="Q230">
        <v>2</v>
      </c>
      <c r="R230">
        <v>272</v>
      </c>
      <c r="S230" t="s">
        <v>2558</v>
      </c>
      <c r="U230" t="str">
        <f t="shared" si="3"/>
        <v/>
      </c>
      <c r="W230">
        <f>Digits_pres_final[[#This Row],[kan_params]]</f>
        <v>94762</v>
      </c>
      <c r="X230">
        <f>Digits_pres_final[[#This Row],[kan_test_acc]]</f>
        <v>0.96981481214364362</v>
      </c>
      <c r="Y230">
        <f>Digits_pres_final[[#This Row],[mlp_test_acc]]</f>
        <v>0.95314814814814808</v>
      </c>
      <c r="Z230">
        <f>Digits_pres_final[[#This Row],[mlp_test_acc2]]</f>
        <v>0.95537037037037043</v>
      </c>
    </row>
    <row r="231" spans="1:26" hidden="1" x14ac:dyDescent="0.25">
      <c r="A231" t="s">
        <v>1979</v>
      </c>
      <c r="B231">
        <v>3</v>
      </c>
      <c r="C231">
        <v>2</v>
      </c>
      <c r="D231">
        <v>0</v>
      </c>
      <c r="E231" t="s">
        <v>2094</v>
      </c>
      <c r="F231">
        <v>94768</v>
      </c>
      <c r="G231">
        <v>220249174.47916666</v>
      </c>
      <c r="H231">
        <v>0.96995370027919603</v>
      </c>
      <c r="I231">
        <v>0.96314814814814809</v>
      </c>
      <c r="J231">
        <v>21517139.270833336</v>
      </c>
      <c r="K231">
        <v>153004</v>
      </c>
      <c r="L231">
        <v>2</v>
      </c>
      <c r="M231">
        <v>258</v>
      </c>
      <c r="N231">
        <v>0.96194444444444449</v>
      </c>
      <c r="O231">
        <v>21056330.239583336</v>
      </c>
      <c r="P231">
        <v>154115</v>
      </c>
      <c r="Q231">
        <v>2</v>
      </c>
      <c r="R231">
        <v>259</v>
      </c>
      <c r="S231" t="s">
        <v>2095</v>
      </c>
      <c r="U231" t="str">
        <f t="shared" si="3"/>
        <v/>
      </c>
      <c r="W231">
        <f>Digits_pres_final[[#This Row],[kan_params]]</f>
        <v>94768</v>
      </c>
      <c r="X231">
        <f>Digits_pres_final[[#This Row],[kan_test_acc]]</f>
        <v>0.96995370027919603</v>
      </c>
      <c r="Y231">
        <f>Digits_pres_final[[#This Row],[mlp_test_acc]]</f>
        <v>0.96314814814814809</v>
      </c>
      <c r="Z231">
        <f>Digits_pres_final[[#This Row],[mlp_test_acc2]]</f>
        <v>0.96194444444444449</v>
      </c>
    </row>
    <row r="232" spans="1:26" x14ac:dyDescent="0.25">
      <c r="A232" t="s">
        <v>1979</v>
      </c>
      <c r="B232">
        <v>3</v>
      </c>
      <c r="C232">
        <v>4</v>
      </c>
      <c r="D232">
        <v>0</v>
      </c>
      <c r="E232" t="s">
        <v>2004</v>
      </c>
      <c r="F232">
        <v>94858</v>
      </c>
      <c r="G232">
        <v>87449317</v>
      </c>
      <c r="H232">
        <v>0.95666667322317767</v>
      </c>
      <c r="I232">
        <v>0.95555555555555549</v>
      </c>
      <c r="J232">
        <v>18671242.416666664</v>
      </c>
      <c r="K232">
        <v>179569</v>
      </c>
      <c r="L232">
        <v>2</v>
      </c>
      <c r="M232">
        <v>281</v>
      </c>
      <c r="N232">
        <v>0.95611111111111113</v>
      </c>
      <c r="O232">
        <v>18456780.166666668</v>
      </c>
      <c r="P232">
        <v>180772</v>
      </c>
      <c r="Q232">
        <v>2</v>
      </c>
      <c r="R232">
        <v>282</v>
      </c>
      <c r="S232" t="s">
        <v>2591</v>
      </c>
      <c r="U232" t="str">
        <f t="shared" si="3"/>
        <v/>
      </c>
      <c r="W232">
        <f>Digits_pres_final[[#This Row],[kan_params]]</f>
        <v>94858</v>
      </c>
      <c r="X232">
        <f>Digits_pres_final[[#This Row],[kan_test_acc]]</f>
        <v>0.95666667322317767</v>
      </c>
      <c r="Y232">
        <f>Digits_pres_final[[#This Row],[mlp_test_acc]]</f>
        <v>0.95555555555555549</v>
      </c>
      <c r="Z232">
        <f>Digits_pres_final[[#This Row],[mlp_test_acc2]]</f>
        <v>0.95611111111111113</v>
      </c>
    </row>
    <row r="233" spans="1:26" hidden="1" x14ac:dyDescent="0.25">
      <c r="A233" t="s">
        <v>1979</v>
      </c>
      <c r="B233">
        <v>3</v>
      </c>
      <c r="C233">
        <v>2</v>
      </c>
      <c r="D233">
        <v>0</v>
      </c>
      <c r="E233" t="s">
        <v>2288</v>
      </c>
      <c r="F233">
        <v>94892</v>
      </c>
      <c r="G233">
        <v>186055811.33333334</v>
      </c>
      <c r="H233">
        <v>0.99074073135852814</v>
      </c>
      <c r="I233">
        <v>0.97870370370370363</v>
      </c>
      <c r="J233">
        <v>17291632.083333336</v>
      </c>
      <c r="K233">
        <v>153004</v>
      </c>
      <c r="L233">
        <v>2</v>
      </c>
      <c r="M233">
        <v>258</v>
      </c>
      <c r="N233">
        <v>0.97740740740740739</v>
      </c>
      <c r="O233">
        <v>17602392.666666668</v>
      </c>
      <c r="P233">
        <v>154115</v>
      </c>
      <c r="Q233">
        <v>2</v>
      </c>
      <c r="R233">
        <v>259</v>
      </c>
      <c r="S233" t="s">
        <v>2289</v>
      </c>
      <c r="U233" t="str">
        <f t="shared" si="3"/>
        <v/>
      </c>
      <c r="W233">
        <f>Digits_pres_final[[#This Row],[kan_params]]</f>
        <v>94892</v>
      </c>
      <c r="X233">
        <f>Digits_pres_final[[#This Row],[kan_test_acc]]</f>
        <v>0.99074073135852814</v>
      </c>
      <c r="Y233">
        <f>Digits_pres_final[[#This Row],[mlp_test_acc]]</f>
        <v>0.97870370370370363</v>
      </c>
      <c r="Z233">
        <f>Digits_pres_final[[#This Row],[mlp_test_acc2]]</f>
        <v>0.97740740740740739</v>
      </c>
    </row>
    <row r="234" spans="1:26" hidden="1" x14ac:dyDescent="0.25">
      <c r="A234" t="s">
        <v>1979</v>
      </c>
      <c r="B234">
        <v>3</v>
      </c>
      <c r="C234">
        <v>2</v>
      </c>
      <c r="D234">
        <v>0</v>
      </c>
      <c r="E234" t="s">
        <v>2224</v>
      </c>
      <c r="F234">
        <v>94894</v>
      </c>
      <c r="G234">
        <v>313881034.75</v>
      </c>
      <c r="H234">
        <v>0.98500000437100721</v>
      </c>
      <c r="I234">
        <v>0.97111111111111115</v>
      </c>
      <c r="J234">
        <v>25001379.166666664</v>
      </c>
      <c r="K234">
        <v>153004</v>
      </c>
      <c r="L234">
        <v>2</v>
      </c>
      <c r="M234">
        <v>258</v>
      </c>
      <c r="N234">
        <v>0.9714814814814815</v>
      </c>
      <c r="O234">
        <v>25862717.333333336</v>
      </c>
      <c r="P234">
        <v>154115</v>
      </c>
      <c r="Q234">
        <v>2</v>
      </c>
      <c r="R234">
        <v>259</v>
      </c>
      <c r="S234" t="s">
        <v>2225</v>
      </c>
      <c r="U234" t="str">
        <f t="shared" si="3"/>
        <v/>
      </c>
      <c r="W234">
        <f>Digits_pres_final[[#This Row],[kan_params]]</f>
        <v>94894</v>
      </c>
      <c r="X234">
        <f>Digits_pres_final[[#This Row],[kan_test_acc]]</f>
        <v>0.98500000437100721</v>
      </c>
      <c r="Y234">
        <f>Digits_pres_final[[#This Row],[mlp_test_acc]]</f>
        <v>0.97111111111111115</v>
      </c>
      <c r="Z234">
        <f>Digits_pres_final[[#This Row],[mlp_test_acc2]]</f>
        <v>0.9714814814814815</v>
      </c>
    </row>
    <row r="235" spans="1:26" hidden="1" x14ac:dyDescent="0.25">
      <c r="A235" t="s">
        <v>1979</v>
      </c>
      <c r="B235">
        <v>3</v>
      </c>
      <c r="C235">
        <v>3</v>
      </c>
      <c r="D235">
        <v>0</v>
      </c>
      <c r="E235" t="s">
        <v>2272</v>
      </c>
      <c r="F235">
        <v>95196</v>
      </c>
      <c r="G235">
        <v>290983644.33333337</v>
      </c>
      <c r="H235">
        <v>0.9722222238779068</v>
      </c>
      <c r="I235">
        <v>0.96148148148148149</v>
      </c>
      <c r="J235">
        <v>29079379.25</v>
      </c>
      <c r="K235">
        <v>168922</v>
      </c>
      <c r="L235">
        <v>2</v>
      </c>
      <c r="M235">
        <v>272</v>
      </c>
      <c r="N235">
        <v>0.96277777777777773</v>
      </c>
      <c r="O235">
        <v>29738259.833333336</v>
      </c>
      <c r="P235">
        <v>170089</v>
      </c>
      <c r="Q235">
        <v>2</v>
      </c>
      <c r="R235">
        <v>273</v>
      </c>
      <c r="S235" t="s">
        <v>2526</v>
      </c>
      <c r="U235" t="str">
        <f t="shared" si="3"/>
        <v/>
      </c>
      <c r="W235">
        <f>Digits_pres_final[[#This Row],[kan_params]]</f>
        <v>95196</v>
      </c>
      <c r="X235">
        <f>Digits_pres_final[[#This Row],[kan_test_acc]]</f>
        <v>0.9722222238779068</v>
      </c>
      <c r="Y235">
        <f>Digits_pres_final[[#This Row],[mlp_test_acc]]</f>
        <v>0.96148148148148149</v>
      </c>
      <c r="Z235">
        <f>Digits_pres_final[[#This Row],[mlp_test_acc2]]</f>
        <v>0.96277777777777773</v>
      </c>
    </row>
    <row r="236" spans="1:26" hidden="1" x14ac:dyDescent="0.25">
      <c r="A236" t="s">
        <v>1979</v>
      </c>
      <c r="B236">
        <v>3</v>
      </c>
      <c r="C236">
        <v>3</v>
      </c>
      <c r="D236">
        <v>0</v>
      </c>
      <c r="E236" t="s">
        <v>2208</v>
      </c>
      <c r="F236">
        <v>95486</v>
      </c>
      <c r="G236">
        <v>277139592.41666663</v>
      </c>
      <c r="H236">
        <v>0.97277777890364336</v>
      </c>
      <c r="I236">
        <v>0.96796296296296291</v>
      </c>
      <c r="J236">
        <v>26612657.5</v>
      </c>
      <c r="K236">
        <v>168922</v>
      </c>
      <c r="L236">
        <v>2</v>
      </c>
      <c r="M236">
        <v>272</v>
      </c>
      <c r="N236">
        <v>0.96722222222222221</v>
      </c>
      <c r="O236">
        <v>27071985</v>
      </c>
      <c r="P236">
        <v>170089</v>
      </c>
      <c r="Q236">
        <v>2</v>
      </c>
      <c r="R236">
        <v>273</v>
      </c>
      <c r="S236" t="s">
        <v>2495</v>
      </c>
      <c r="U236" t="str">
        <f t="shared" si="3"/>
        <v/>
      </c>
      <c r="W236">
        <f>Digits_pres_final[[#This Row],[kan_params]]</f>
        <v>95486</v>
      </c>
      <c r="X236">
        <f>Digits_pres_final[[#This Row],[kan_test_acc]]</f>
        <v>0.97277777890364336</v>
      </c>
      <c r="Y236">
        <f>Digits_pres_final[[#This Row],[mlp_test_acc]]</f>
        <v>0.96796296296296291</v>
      </c>
      <c r="Z236">
        <f>Digits_pres_final[[#This Row],[mlp_test_acc2]]</f>
        <v>0.96722222222222221</v>
      </c>
    </row>
    <row r="237" spans="1:26" hidden="1" x14ac:dyDescent="0.25">
      <c r="A237" t="s">
        <v>1979</v>
      </c>
      <c r="B237">
        <v>3</v>
      </c>
      <c r="C237">
        <v>3</v>
      </c>
      <c r="D237">
        <v>0</v>
      </c>
      <c r="E237" t="s">
        <v>2144</v>
      </c>
      <c r="F237">
        <v>95632</v>
      </c>
      <c r="G237">
        <v>260292341.58333334</v>
      </c>
      <c r="H237">
        <v>0.97629629572232568</v>
      </c>
      <c r="I237">
        <v>0.9605555555555555</v>
      </c>
      <c r="J237">
        <v>28681391.583333332</v>
      </c>
      <c r="K237">
        <v>168922</v>
      </c>
      <c r="L237">
        <v>2</v>
      </c>
      <c r="M237">
        <v>272</v>
      </c>
      <c r="N237">
        <v>0.96370370370370373</v>
      </c>
      <c r="O237">
        <v>28220146.5</v>
      </c>
      <c r="P237">
        <v>170089</v>
      </c>
      <c r="Q237">
        <v>2</v>
      </c>
      <c r="R237">
        <v>273</v>
      </c>
      <c r="S237" t="s">
        <v>2464</v>
      </c>
      <c r="U237" t="str">
        <f t="shared" si="3"/>
        <v/>
      </c>
      <c r="W237">
        <f>Digits_pres_final[[#This Row],[kan_params]]</f>
        <v>95632</v>
      </c>
      <c r="X237">
        <f>Digits_pres_final[[#This Row],[kan_test_acc]]</f>
        <v>0.97629629572232568</v>
      </c>
      <c r="Y237">
        <f>Digits_pres_final[[#This Row],[mlp_test_acc]]</f>
        <v>0.9605555555555555</v>
      </c>
      <c r="Z237">
        <f>Digits_pres_final[[#This Row],[mlp_test_acc2]]</f>
        <v>0.96370370370370373</v>
      </c>
    </row>
    <row r="238" spans="1:26" hidden="1" x14ac:dyDescent="0.25">
      <c r="A238" t="s">
        <v>1979</v>
      </c>
      <c r="B238">
        <v>3</v>
      </c>
      <c r="C238">
        <v>3</v>
      </c>
      <c r="D238">
        <v>0</v>
      </c>
      <c r="E238" t="s">
        <v>2080</v>
      </c>
      <c r="F238">
        <v>95634</v>
      </c>
      <c r="G238">
        <v>282988315.66666669</v>
      </c>
      <c r="H238">
        <v>0.96555554866790771</v>
      </c>
      <c r="I238">
        <v>0.96555555555555561</v>
      </c>
      <c r="J238">
        <v>25718015.25</v>
      </c>
      <c r="K238">
        <v>168922</v>
      </c>
      <c r="L238">
        <v>2</v>
      </c>
      <c r="M238">
        <v>272</v>
      </c>
      <c r="N238">
        <v>0.96185185185185185</v>
      </c>
      <c r="O238">
        <v>25400318.666666668</v>
      </c>
      <c r="P238">
        <v>170089</v>
      </c>
      <c r="Q238">
        <v>2</v>
      </c>
      <c r="R238">
        <v>273</v>
      </c>
      <c r="S238" t="s">
        <v>2433</v>
      </c>
      <c r="U238" t="str">
        <f t="shared" si="3"/>
        <v/>
      </c>
      <c r="W238">
        <f>Digits_pres_final[[#This Row],[kan_params]]</f>
        <v>95634</v>
      </c>
      <c r="X238">
        <f>Digits_pres_final[[#This Row],[kan_test_acc]]</f>
        <v>0.96555554866790771</v>
      </c>
      <c r="Y238">
        <f>Digits_pres_final[[#This Row],[mlp_test_acc]]</f>
        <v>0.96555555555555561</v>
      </c>
      <c r="Z238">
        <f>Digits_pres_final[[#This Row],[mlp_test_acc2]]</f>
        <v>0.96185185185185185</v>
      </c>
    </row>
    <row r="239" spans="1:26" hidden="1" x14ac:dyDescent="0.25">
      <c r="A239" t="s">
        <v>1979</v>
      </c>
      <c r="B239">
        <v>3</v>
      </c>
      <c r="C239">
        <v>2</v>
      </c>
      <c r="D239">
        <v>0</v>
      </c>
      <c r="E239" t="s">
        <v>2032</v>
      </c>
      <c r="F239">
        <v>95700</v>
      </c>
      <c r="G239">
        <v>383875417</v>
      </c>
      <c r="H239">
        <v>0.97685185074806213</v>
      </c>
      <c r="I239">
        <v>0.95833333333333337</v>
      </c>
      <c r="J239">
        <v>28955402.416666668</v>
      </c>
      <c r="K239">
        <v>155230</v>
      </c>
      <c r="L239">
        <v>2</v>
      </c>
      <c r="M239">
        <v>260</v>
      </c>
      <c r="N239">
        <v>0.96203703703703702</v>
      </c>
      <c r="O239">
        <v>26872326</v>
      </c>
      <c r="P239">
        <v>156349</v>
      </c>
      <c r="Q239">
        <v>2</v>
      </c>
      <c r="R239">
        <v>261</v>
      </c>
      <c r="S239" t="s">
        <v>2033</v>
      </c>
      <c r="U239" t="str">
        <f t="shared" si="3"/>
        <v/>
      </c>
      <c r="W239">
        <f>Digits_pres_final[[#This Row],[kan_params]]</f>
        <v>95700</v>
      </c>
      <c r="X239">
        <f>Digits_pres_final[[#This Row],[kan_test_acc]]</f>
        <v>0.97685185074806213</v>
      </c>
      <c r="Y239">
        <f>Digits_pres_final[[#This Row],[mlp_test_acc]]</f>
        <v>0.95833333333333337</v>
      </c>
      <c r="Z239">
        <f>Digits_pres_final[[#This Row],[mlp_test_acc2]]</f>
        <v>0.96203703703703702</v>
      </c>
    </row>
    <row r="240" spans="1:26" x14ac:dyDescent="0.25">
      <c r="A240" t="s">
        <v>1979</v>
      </c>
      <c r="B240">
        <v>3</v>
      </c>
      <c r="C240">
        <v>4</v>
      </c>
      <c r="D240">
        <v>0</v>
      </c>
      <c r="E240" t="s">
        <v>2066</v>
      </c>
      <c r="F240">
        <v>95868</v>
      </c>
      <c r="G240">
        <v>160427316.91666669</v>
      </c>
      <c r="H240">
        <v>0.94981482128302253</v>
      </c>
      <c r="I240">
        <v>0.96111111111111103</v>
      </c>
      <c r="J240">
        <v>19289642.583333336</v>
      </c>
      <c r="K240">
        <v>181979</v>
      </c>
      <c r="L240">
        <v>2</v>
      </c>
      <c r="M240">
        <v>283</v>
      </c>
      <c r="N240">
        <v>0.95314814814814808</v>
      </c>
      <c r="O240">
        <v>19300566.333333332</v>
      </c>
      <c r="P240">
        <v>183190</v>
      </c>
      <c r="Q240">
        <v>2</v>
      </c>
      <c r="R240">
        <v>284</v>
      </c>
      <c r="S240" t="s">
        <v>2617</v>
      </c>
      <c r="U240" t="str">
        <f t="shared" si="3"/>
        <v/>
      </c>
      <c r="W240">
        <f>Digits_pres_final[[#This Row],[kan_params]]</f>
        <v>95868</v>
      </c>
      <c r="X240">
        <f>Digits_pres_final[[#This Row],[kan_test_acc]]</f>
        <v>0.94981482128302253</v>
      </c>
      <c r="Y240">
        <f>Digits_pres_final[[#This Row],[mlp_test_acc]]</f>
        <v>0.96111111111111103</v>
      </c>
      <c r="Z240">
        <f>Digits_pres_final[[#This Row],[mlp_test_acc2]]</f>
        <v>0.95314814814814808</v>
      </c>
    </row>
    <row r="241" spans="1:26" hidden="1" x14ac:dyDescent="0.25">
      <c r="A241" t="s">
        <v>1979</v>
      </c>
      <c r="B241">
        <v>3</v>
      </c>
      <c r="C241">
        <v>2</v>
      </c>
      <c r="D241">
        <v>0</v>
      </c>
      <c r="E241" t="s">
        <v>2096</v>
      </c>
      <c r="F241">
        <v>95986</v>
      </c>
      <c r="G241">
        <v>214267350.89583334</v>
      </c>
      <c r="H241">
        <v>0.97217592534919572</v>
      </c>
      <c r="I241">
        <v>0.96092592592592596</v>
      </c>
      <c r="J241">
        <v>21580689.020833336</v>
      </c>
      <c r="K241">
        <v>155230</v>
      </c>
      <c r="L241">
        <v>2</v>
      </c>
      <c r="M241">
        <v>260</v>
      </c>
      <c r="N241">
        <v>0.96287037037037038</v>
      </c>
      <c r="O241">
        <v>22296218.489583336</v>
      </c>
      <c r="P241">
        <v>156349</v>
      </c>
      <c r="Q241">
        <v>2</v>
      </c>
      <c r="R241">
        <v>261</v>
      </c>
      <c r="S241" t="s">
        <v>2097</v>
      </c>
      <c r="U241" t="str">
        <f t="shared" si="3"/>
        <v/>
      </c>
      <c r="W241">
        <f>Digits_pres_final[[#This Row],[kan_params]]</f>
        <v>95986</v>
      </c>
      <c r="X241">
        <f>Digits_pres_final[[#This Row],[kan_test_acc]]</f>
        <v>0.97217592534919572</v>
      </c>
      <c r="Y241">
        <f>Digits_pres_final[[#This Row],[mlp_test_acc]]</f>
        <v>0.96092592592592596</v>
      </c>
      <c r="Z241">
        <f>Digits_pres_final[[#This Row],[mlp_test_acc2]]</f>
        <v>0.96287037037037038</v>
      </c>
    </row>
    <row r="242" spans="1:26" hidden="1" x14ac:dyDescent="0.25">
      <c r="A242" t="s">
        <v>1979</v>
      </c>
      <c r="B242">
        <v>3</v>
      </c>
      <c r="C242">
        <v>2</v>
      </c>
      <c r="D242">
        <v>0</v>
      </c>
      <c r="E242" t="s">
        <v>2352</v>
      </c>
      <c r="F242">
        <v>96076</v>
      </c>
      <c r="G242">
        <v>347905372.33333337</v>
      </c>
      <c r="H242">
        <v>0.97407407561937975</v>
      </c>
      <c r="I242">
        <v>0.94666666666666655</v>
      </c>
      <c r="J242">
        <v>28287481.416666668</v>
      </c>
      <c r="K242">
        <v>155230</v>
      </c>
      <c r="L242">
        <v>2</v>
      </c>
      <c r="M242">
        <v>260</v>
      </c>
      <c r="N242">
        <v>0.94481481481481477</v>
      </c>
      <c r="O242">
        <v>28491595.916666664</v>
      </c>
      <c r="P242">
        <v>156349</v>
      </c>
      <c r="Q242">
        <v>2</v>
      </c>
      <c r="R242">
        <v>261</v>
      </c>
      <c r="S242" t="s">
        <v>2353</v>
      </c>
      <c r="U242" t="str">
        <f t="shared" si="3"/>
        <v/>
      </c>
      <c r="W242">
        <f>Digits_pres_final[[#This Row],[kan_params]]</f>
        <v>96076</v>
      </c>
      <c r="X242">
        <f>Digits_pres_final[[#This Row],[kan_test_acc]]</f>
        <v>0.97407407561937975</v>
      </c>
      <c r="Y242">
        <f>Digits_pres_final[[#This Row],[mlp_test_acc]]</f>
        <v>0.94666666666666655</v>
      </c>
      <c r="Z242">
        <f>Digits_pres_final[[#This Row],[mlp_test_acc2]]</f>
        <v>0.94481481481481477</v>
      </c>
    </row>
    <row r="243" spans="1:26" hidden="1" x14ac:dyDescent="0.25">
      <c r="A243" t="s">
        <v>1979</v>
      </c>
      <c r="B243">
        <v>3</v>
      </c>
      <c r="C243">
        <v>2</v>
      </c>
      <c r="D243">
        <v>0</v>
      </c>
      <c r="E243" t="s">
        <v>2226</v>
      </c>
      <c r="F243">
        <v>96144</v>
      </c>
      <c r="G243">
        <v>303134837.16666663</v>
      </c>
      <c r="H243">
        <v>0.98629629611968994</v>
      </c>
      <c r="I243">
        <v>0.97055555555555562</v>
      </c>
      <c r="J243">
        <v>24797245.416666664</v>
      </c>
      <c r="K243">
        <v>155230</v>
      </c>
      <c r="L243">
        <v>2</v>
      </c>
      <c r="M243">
        <v>260</v>
      </c>
      <c r="N243">
        <v>0.97203703703703703</v>
      </c>
      <c r="O243">
        <v>25876304.833333336</v>
      </c>
      <c r="P243">
        <v>156349</v>
      </c>
      <c r="Q243">
        <v>2</v>
      </c>
      <c r="R243">
        <v>261</v>
      </c>
      <c r="S243" t="s">
        <v>2227</v>
      </c>
      <c r="U243" t="str">
        <f t="shared" si="3"/>
        <v/>
      </c>
      <c r="W243">
        <f>Digits_pres_final[[#This Row],[kan_params]]</f>
        <v>96144</v>
      </c>
      <c r="X243">
        <f>Digits_pres_final[[#This Row],[kan_test_acc]]</f>
        <v>0.98629629611968994</v>
      </c>
      <c r="Y243">
        <f>Digits_pres_final[[#This Row],[mlp_test_acc]]</f>
        <v>0.97055555555555562</v>
      </c>
      <c r="Z243">
        <f>Digits_pres_final[[#This Row],[mlp_test_acc2]]</f>
        <v>0.97203703703703703</v>
      </c>
    </row>
    <row r="244" spans="1:26" hidden="1" x14ac:dyDescent="0.25">
      <c r="A244" t="s">
        <v>1979</v>
      </c>
      <c r="B244">
        <v>3</v>
      </c>
      <c r="C244">
        <v>2</v>
      </c>
      <c r="D244">
        <v>0</v>
      </c>
      <c r="E244" t="s">
        <v>2290</v>
      </c>
      <c r="F244">
        <v>96174</v>
      </c>
      <c r="G244">
        <v>197154996.16666669</v>
      </c>
      <c r="H244">
        <v>0.99111110468705488</v>
      </c>
      <c r="I244">
        <v>0.98185185185185186</v>
      </c>
      <c r="J244">
        <v>17533288.833333336</v>
      </c>
      <c r="K244">
        <v>155230</v>
      </c>
      <c r="L244">
        <v>2</v>
      </c>
      <c r="M244">
        <v>260</v>
      </c>
      <c r="N244">
        <v>0.97833333333333328</v>
      </c>
      <c r="O244">
        <v>18162486.333333336</v>
      </c>
      <c r="P244">
        <v>156349</v>
      </c>
      <c r="Q244">
        <v>2</v>
      </c>
      <c r="R244">
        <v>261</v>
      </c>
      <c r="S244" t="s">
        <v>2291</v>
      </c>
      <c r="U244" t="str">
        <f t="shared" si="3"/>
        <v/>
      </c>
      <c r="W244">
        <f>Digits_pres_final[[#This Row],[kan_params]]</f>
        <v>96174</v>
      </c>
      <c r="X244">
        <f>Digits_pres_final[[#This Row],[kan_test_acc]]</f>
        <v>0.99111110468705488</v>
      </c>
      <c r="Y244">
        <f>Digits_pres_final[[#This Row],[mlp_test_acc]]</f>
        <v>0.98185185185185186</v>
      </c>
      <c r="Z244">
        <f>Digits_pres_final[[#This Row],[mlp_test_acc2]]</f>
        <v>0.97833333333333328</v>
      </c>
    </row>
    <row r="245" spans="1:26" hidden="1" x14ac:dyDescent="0.25">
      <c r="A245" t="s">
        <v>1979</v>
      </c>
      <c r="B245">
        <v>3</v>
      </c>
      <c r="C245">
        <v>3</v>
      </c>
      <c r="D245">
        <v>0</v>
      </c>
      <c r="E245" t="s">
        <v>2336</v>
      </c>
      <c r="F245">
        <v>96240</v>
      </c>
      <c r="G245">
        <v>287746660.58333331</v>
      </c>
      <c r="H245">
        <v>0.97333332896232605</v>
      </c>
      <c r="I245">
        <v>0.9505555555555556</v>
      </c>
      <c r="J245">
        <v>30649883.916666668</v>
      </c>
      <c r="K245">
        <v>170089</v>
      </c>
      <c r="L245">
        <v>2</v>
      </c>
      <c r="M245">
        <v>273</v>
      </c>
      <c r="N245">
        <v>0.95814814814814819</v>
      </c>
      <c r="O245">
        <v>30653008.833333336</v>
      </c>
      <c r="P245">
        <v>171260</v>
      </c>
      <c r="Q245">
        <v>2</v>
      </c>
      <c r="R245">
        <v>274</v>
      </c>
      <c r="S245" t="s">
        <v>2559</v>
      </c>
      <c r="U245" t="str">
        <f t="shared" si="3"/>
        <v/>
      </c>
      <c r="W245">
        <f>Digits_pres_final[[#This Row],[kan_params]]</f>
        <v>96240</v>
      </c>
      <c r="X245">
        <f>Digits_pres_final[[#This Row],[kan_test_acc]]</f>
        <v>0.97333332896232605</v>
      </c>
      <c r="Y245">
        <f>Digits_pres_final[[#This Row],[mlp_test_acc]]</f>
        <v>0.9505555555555556</v>
      </c>
      <c r="Z245">
        <f>Digits_pres_final[[#This Row],[mlp_test_acc2]]</f>
        <v>0.95814814814814819</v>
      </c>
    </row>
    <row r="246" spans="1:26" x14ac:dyDescent="0.25">
      <c r="A246" t="s">
        <v>1979</v>
      </c>
      <c r="B246">
        <v>3</v>
      </c>
      <c r="C246">
        <v>4</v>
      </c>
      <c r="D246">
        <v>0</v>
      </c>
      <c r="E246" t="s">
        <v>2006</v>
      </c>
      <c r="F246">
        <v>96340</v>
      </c>
      <c r="G246">
        <v>105780958.58333334</v>
      </c>
      <c r="H246">
        <v>0.9568518648544948</v>
      </c>
      <c r="I246">
        <v>0.95740740740740737</v>
      </c>
      <c r="J246">
        <v>18484899.833333336</v>
      </c>
      <c r="K246">
        <v>181979</v>
      </c>
      <c r="L246">
        <v>2</v>
      </c>
      <c r="M246">
        <v>283</v>
      </c>
      <c r="N246">
        <v>0.95407407407407407</v>
      </c>
      <c r="O246">
        <v>19158232.833333336</v>
      </c>
      <c r="P246">
        <v>183190</v>
      </c>
      <c r="Q246">
        <v>2</v>
      </c>
      <c r="R246">
        <v>284</v>
      </c>
      <c r="S246" t="s">
        <v>2592</v>
      </c>
      <c r="U246" t="str">
        <f t="shared" si="3"/>
        <v/>
      </c>
      <c r="W246">
        <f>Digits_pres_final[[#This Row],[kan_params]]</f>
        <v>96340</v>
      </c>
      <c r="X246">
        <f>Digits_pres_final[[#This Row],[kan_test_acc]]</f>
        <v>0.9568518648544948</v>
      </c>
      <c r="Y246">
        <f>Digits_pres_final[[#This Row],[mlp_test_acc]]</f>
        <v>0.95740740740740737</v>
      </c>
      <c r="Z246">
        <f>Digits_pres_final[[#This Row],[mlp_test_acc2]]</f>
        <v>0.95407407407407407</v>
      </c>
    </row>
    <row r="247" spans="1:26" hidden="1" x14ac:dyDescent="0.25">
      <c r="A247" t="s">
        <v>1979</v>
      </c>
      <c r="B247">
        <v>3</v>
      </c>
      <c r="C247">
        <v>3</v>
      </c>
      <c r="D247">
        <v>0</v>
      </c>
      <c r="E247" t="s">
        <v>2274</v>
      </c>
      <c r="F247">
        <v>96638</v>
      </c>
      <c r="G247">
        <v>320347967.08333337</v>
      </c>
      <c r="H247">
        <v>0.97166666388511658</v>
      </c>
      <c r="I247">
        <v>0.96074074074074067</v>
      </c>
      <c r="J247">
        <v>29442190.916666664</v>
      </c>
      <c r="K247">
        <v>171260</v>
      </c>
      <c r="L247">
        <v>2</v>
      </c>
      <c r="M247">
        <v>274</v>
      </c>
      <c r="N247">
        <v>0.96296296296296302</v>
      </c>
      <c r="O247">
        <v>30415928.75</v>
      </c>
      <c r="P247">
        <v>172435</v>
      </c>
      <c r="Q247">
        <v>2</v>
      </c>
      <c r="R247">
        <v>275</v>
      </c>
      <c r="S247" t="s">
        <v>2527</v>
      </c>
      <c r="U247" t="str">
        <f t="shared" si="3"/>
        <v/>
      </c>
      <c r="W247">
        <f>Digits_pres_final[[#This Row],[kan_params]]</f>
        <v>96638</v>
      </c>
      <c r="X247">
        <f>Digits_pres_final[[#This Row],[kan_test_acc]]</f>
        <v>0.97166666388511658</v>
      </c>
      <c r="Y247">
        <f>Digits_pres_final[[#This Row],[mlp_test_acc]]</f>
        <v>0.96074074074074067</v>
      </c>
      <c r="Z247">
        <f>Digits_pres_final[[#This Row],[mlp_test_acc2]]</f>
        <v>0.96296296296296302</v>
      </c>
    </row>
    <row r="248" spans="1:26" hidden="1" x14ac:dyDescent="0.25">
      <c r="A248" t="s">
        <v>1979</v>
      </c>
      <c r="B248">
        <v>3</v>
      </c>
      <c r="C248">
        <v>2</v>
      </c>
      <c r="D248">
        <v>0</v>
      </c>
      <c r="E248" t="s">
        <v>2034</v>
      </c>
      <c r="F248">
        <v>96886</v>
      </c>
      <c r="G248">
        <v>397053249.08333337</v>
      </c>
      <c r="H248">
        <v>0.96907407542069746</v>
      </c>
      <c r="I248">
        <v>0.95944444444444443</v>
      </c>
      <c r="J248">
        <v>28857200.916666668</v>
      </c>
      <c r="K248">
        <v>156349</v>
      </c>
      <c r="L248">
        <v>2</v>
      </c>
      <c r="M248">
        <v>261</v>
      </c>
      <c r="N248">
        <v>0.96111111111111114</v>
      </c>
      <c r="O248">
        <v>27879120.666666668</v>
      </c>
      <c r="P248">
        <v>157472</v>
      </c>
      <c r="Q248">
        <v>2</v>
      </c>
      <c r="R248">
        <v>262</v>
      </c>
      <c r="S248" t="s">
        <v>2035</v>
      </c>
      <c r="U248" t="str">
        <f t="shared" si="3"/>
        <v/>
      </c>
      <c r="W248">
        <f>Digits_pres_final[[#This Row],[kan_params]]</f>
        <v>96886</v>
      </c>
      <c r="X248">
        <f>Digits_pres_final[[#This Row],[kan_test_acc]]</f>
        <v>0.96907407542069746</v>
      </c>
      <c r="Y248">
        <f>Digits_pres_final[[#This Row],[mlp_test_acc]]</f>
        <v>0.95944444444444443</v>
      </c>
      <c r="Z248">
        <f>Digits_pres_final[[#This Row],[mlp_test_acc2]]</f>
        <v>0.96111111111111114</v>
      </c>
    </row>
    <row r="249" spans="1:26" hidden="1" x14ac:dyDescent="0.25">
      <c r="A249" t="s">
        <v>1979</v>
      </c>
      <c r="B249">
        <v>3</v>
      </c>
      <c r="C249">
        <v>3</v>
      </c>
      <c r="D249">
        <v>0</v>
      </c>
      <c r="E249" t="s">
        <v>2210</v>
      </c>
      <c r="F249">
        <v>96892</v>
      </c>
      <c r="G249">
        <v>261728471.25</v>
      </c>
      <c r="H249">
        <v>0.97388889392217004</v>
      </c>
      <c r="I249">
        <v>0.96499999999999997</v>
      </c>
      <c r="J249">
        <v>26563701.166666668</v>
      </c>
      <c r="K249">
        <v>171260</v>
      </c>
      <c r="L249">
        <v>2</v>
      </c>
      <c r="M249">
        <v>274</v>
      </c>
      <c r="N249">
        <v>0.96611111111111114</v>
      </c>
      <c r="O249">
        <v>26891492.166666664</v>
      </c>
      <c r="P249">
        <v>172435</v>
      </c>
      <c r="Q249">
        <v>2</v>
      </c>
      <c r="R249">
        <v>275</v>
      </c>
      <c r="S249" t="s">
        <v>2496</v>
      </c>
      <c r="U249" t="str">
        <f t="shared" si="3"/>
        <v/>
      </c>
      <c r="W249">
        <f>Digits_pres_final[[#This Row],[kan_params]]</f>
        <v>96892</v>
      </c>
      <c r="X249">
        <f>Digits_pres_final[[#This Row],[kan_test_acc]]</f>
        <v>0.97388889392217004</v>
      </c>
      <c r="Y249">
        <f>Digits_pres_final[[#This Row],[mlp_test_acc]]</f>
        <v>0.96499999999999997</v>
      </c>
      <c r="Z249">
        <f>Digits_pres_final[[#This Row],[mlp_test_acc2]]</f>
        <v>0.96611111111111114</v>
      </c>
    </row>
    <row r="250" spans="1:26" hidden="1" x14ac:dyDescent="0.25">
      <c r="A250" t="s">
        <v>1979</v>
      </c>
      <c r="B250">
        <v>3</v>
      </c>
      <c r="C250">
        <v>3</v>
      </c>
      <c r="D250">
        <v>0</v>
      </c>
      <c r="E250" t="s">
        <v>2082</v>
      </c>
      <c r="F250">
        <v>96968</v>
      </c>
      <c r="G250">
        <v>265568192.25</v>
      </c>
      <c r="H250">
        <v>0.96722222367922461</v>
      </c>
      <c r="I250">
        <v>0.96185185185185185</v>
      </c>
      <c r="J250">
        <v>25989028.833333336</v>
      </c>
      <c r="K250">
        <v>171260</v>
      </c>
      <c r="L250">
        <v>2</v>
      </c>
      <c r="M250">
        <v>274</v>
      </c>
      <c r="N250">
        <v>0.96314814814814809</v>
      </c>
      <c r="O250">
        <v>25018138.583333336</v>
      </c>
      <c r="P250">
        <v>172435</v>
      </c>
      <c r="Q250">
        <v>2</v>
      </c>
      <c r="R250">
        <v>275</v>
      </c>
      <c r="S250" t="s">
        <v>2434</v>
      </c>
      <c r="U250" t="str">
        <f t="shared" si="3"/>
        <v/>
      </c>
      <c r="W250">
        <f>Digits_pres_final[[#This Row],[kan_params]]</f>
        <v>96968</v>
      </c>
      <c r="X250">
        <f>Digits_pres_final[[#This Row],[kan_test_acc]]</f>
        <v>0.96722222367922461</v>
      </c>
      <c r="Y250">
        <f>Digits_pres_final[[#This Row],[mlp_test_acc]]</f>
        <v>0.96185185185185185</v>
      </c>
      <c r="Z250">
        <f>Digits_pres_final[[#This Row],[mlp_test_acc2]]</f>
        <v>0.96314814814814809</v>
      </c>
    </row>
    <row r="251" spans="1:26" hidden="1" x14ac:dyDescent="0.25">
      <c r="A251" t="s">
        <v>1979</v>
      </c>
      <c r="B251">
        <v>3</v>
      </c>
      <c r="C251">
        <v>3</v>
      </c>
      <c r="D251">
        <v>0</v>
      </c>
      <c r="E251" t="s">
        <v>2146</v>
      </c>
      <c r="F251">
        <v>97002</v>
      </c>
      <c r="G251">
        <v>286504201.83333337</v>
      </c>
      <c r="H251">
        <v>0.97666666408379876</v>
      </c>
      <c r="I251">
        <v>0.96370370370370373</v>
      </c>
      <c r="J251">
        <v>28842113</v>
      </c>
      <c r="K251">
        <v>171260</v>
      </c>
      <c r="L251">
        <v>2</v>
      </c>
      <c r="M251">
        <v>274</v>
      </c>
      <c r="N251">
        <v>0.96592592592592585</v>
      </c>
      <c r="O251">
        <v>29153276.416666664</v>
      </c>
      <c r="P251">
        <v>172435</v>
      </c>
      <c r="Q251">
        <v>2</v>
      </c>
      <c r="R251">
        <v>275</v>
      </c>
      <c r="S251" t="s">
        <v>2465</v>
      </c>
      <c r="U251" t="str">
        <f t="shared" si="3"/>
        <v/>
      </c>
      <c r="W251">
        <f>Digits_pres_final[[#This Row],[kan_params]]</f>
        <v>97002</v>
      </c>
      <c r="X251">
        <f>Digits_pres_final[[#This Row],[kan_test_acc]]</f>
        <v>0.97666666408379876</v>
      </c>
      <c r="Y251">
        <f>Digits_pres_final[[#This Row],[mlp_test_acc]]</f>
        <v>0.96370370370370373</v>
      </c>
      <c r="Z251">
        <f>Digits_pres_final[[#This Row],[mlp_test_acc2]]</f>
        <v>0.96592592592592585</v>
      </c>
    </row>
    <row r="252" spans="1:26" hidden="1" x14ac:dyDescent="0.25">
      <c r="A252" t="s">
        <v>1979</v>
      </c>
      <c r="B252">
        <v>3</v>
      </c>
      <c r="C252">
        <v>2</v>
      </c>
      <c r="D252">
        <v>0</v>
      </c>
      <c r="E252" t="s">
        <v>2098</v>
      </c>
      <c r="F252">
        <v>97204</v>
      </c>
      <c r="G252">
        <v>336261632.66666669</v>
      </c>
      <c r="H252">
        <v>0.97481481730937958</v>
      </c>
      <c r="I252">
        <v>0.95796296296296291</v>
      </c>
      <c r="J252">
        <v>26498113.916666668</v>
      </c>
      <c r="K252">
        <v>157472</v>
      </c>
      <c r="L252">
        <v>2</v>
      </c>
      <c r="M252">
        <v>262</v>
      </c>
      <c r="N252">
        <v>0.96148148148148149</v>
      </c>
      <c r="O252">
        <v>27252468</v>
      </c>
      <c r="P252">
        <v>158599</v>
      </c>
      <c r="Q252">
        <v>2</v>
      </c>
      <c r="R252">
        <v>263</v>
      </c>
      <c r="S252" t="s">
        <v>2099</v>
      </c>
      <c r="U252" t="str">
        <f t="shared" si="3"/>
        <v/>
      </c>
      <c r="W252">
        <f>Digits_pres_final[[#This Row],[kan_params]]</f>
        <v>97204</v>
      </c>
      <c r="X252">
        <f>Digits_pres_final[[#This Row],[kan_test_acc]]</f>
        <v>0.97481481730937958</v>
      </c>
      <c r="Y252">
        <f>Digits_pres_final[[#This Row],[mlp_test_acc]]</f>
        <v>0.95796296296296291</v>
      </c>
      <c r="Z252">
        <f>Digits_pres_final[[#This Row],[mlp_test_acc2]]</f>
        <v>0.96148148148148149</v>
      </c>
    </row>
    <row r="253" spans="1:26" x14ac:dyDescent="0.25">
      <c r="A253" t="s">
        <v>1979</v>
      </c>
      <c r="B253">
        <v>3</v>
      </c>
      <c r="C253">
        <v>4</v>
      </c>
      <c r="D253">
        <v>0</v>
      </c>
      <c r="E253" t="s">
        <v>2068</v>
      </c>
      <c r="F253">
        <v>97350</v>
      </c>
      <c r="G253">
        <v>158424534.66666669</v>
      </c>
      <c r="H253">
        <v>0.94629629453023267</v>
      </c>
      <c r="I253">
        <v>0.96111111111111103</v>
      </c>
      <c r="J253">
        <v>19462953.833333336</v>
      </c>
      <c r="K253">
        <v>184405</v>
      </c>
      <c r="L253">
        <v>2</v>
      </c>
      <c r="M253">
        <v>285</v>
      </c>
      <c r="N253">
        <v>0.95129629629629631</v>
      </c>
      <c r="O253">
        <v>19461211</v>
      </c>
      <c r="P253">
        <v>185624</v>
      </c>
      <c r="Q253">
        <v>2</v>
      </c>
      <c r="R253">
        <v>286</v>
      </c>
      <c r="S253" t="s">
        <v>2618</v>
      </c>
      <c r="U253" t="str">
        <f t="shared" si="3"/>
        <v/>
      </c>
      <c r="W253">
        <f>Digits_pres_final[[#This Row],[kan_params]]</f>
        <v>97350</v>
      </c>
      <c r="X253">
        <f>Digits_pres_final[[#This Row],[kan_test_acc]]</f>
        <v>0.94629629453023267</v>
      </c>
      <c r="Y253">
        <f>Digits_pres_final[[#This Row],[mlp_test_acc]]</f>
        <v>0.96111111111111103</v>
      </c>
      <c r="Z253">
        <f>Digits_pres_final[[#This Row],[mlp_test_acc2]]</f>
        <v>0.95129629629629631</v>
      </c>
    </row>
    <row r="254" spans="1:26" hidden="1" x14ac:dyDescent="0.25">
      <c r="A254" t="s">
        <v>1979</v>
      </c>
      <c r="B254">
        <v>3</v>
      </c>
      <c r="C254">
        <v>2</v>
      </c>
      <c r="D254">
        <v>0</v>
      </c>
      <c r="E254" t="s">
        <v>2354</v>
      </c>
      <c r="F254">
        <v>97390</v>
      </c>
      <c r="G254">
        <v>381307927.66666669</v>
      </c>
      <c r="H254">
        <v>0.97203703721364343</v>
      </c>
      <c r="I254">
        <v>0.94685185185185183</v>
      </c>
      <c r="J254">
        <v>28509920.416666668</v>
      </c>
      <c r="K254">
        <v>157472</v>
      </c>
      <c r="L254">
        <v>2</v>
      </c>
      <c r="M254">
        <v>262</v>
      </c>
      <c r="N254">
        <v>0.94592592592592595</v>
      </c>
      <c r="O254">
        <v>28916616.75</v>
      </c>
      <c r="P254">
        <v>158599</v>
      </c>
      <c r="Q254">
        <v>2</v>
      </c>
      <c r="R254">
        <v>263</v>
      </c>
      <c r="S254" t="s">
        <v>2355</v>
      </c>
      <c r="U254" t="str">
        <f t="shared" si="3"/>
        <v/>
      </c>
      <c r="W254">
        <f>Digits_pres_final[[#This Row],[kan_params]]</f>
        <v>97390</v>
      </c>
      <c r="X254">
        <f>Digits_pres_final[[#This Row],[kan_test_acc]]</f>
        <v>0.97203703721364343</v>
      </c>
      <c r="Y254">
        <f>Digits_pres_final[[#This Row],[mlp_test_acc]]</f>
        <v>0.94685185185185183</v>
      </c>
      <c r="Z254">
        <f>Digits_pres_final[[#This Row],[mlp_test_acc2]]</f>
        <v>0.94592592592592595</v>
      </c>
    </row>
    <row r="255" spans="1:26" hidden="1" x14ac:dyDescent="0.25">
      <c r="A255" t="s">
        <v>1979</v>
      </c>
      <c r="B255">
        <v>3</v>
      </c>
      <c r="C255">
        <v>2</v>
      </c>
      <c r="D255">
        <v>0</v>
      </c>
      <c r="E255" t="s">
        <v>2162</v>
      </c>
      <c r="F255">
        <v>97394</v>
      </c>
      <c r="G255">
        <v>187483443.63541666</v>
      </c>
      <c r="H255">
        <v>0.96627314823369193</v>
      </c>
      <c r="I255">
        <v>0.96215277777777786</v>
      </c>
      <c r="J255">
        <v>21374008.145833336</v>
      </c>
      <c r="K255">
        <v>157472</v>
      </c>
      <c r="L255">
        <v>2</v>
      </c>
      <c r="M255">
        <v>262</v>
      </c>
      <c r="N255">
        <v>0.96349537037037036</v>
      </c>
      <c r="O255">
        <v>20781068.645833336</v>
      </c>
      <c r="P255">
        <v>158599</v>
      </c>
      <c r="Q255">
        <v>2</v>
      </c>
      <c r="R255">
        <v>263</v>
      </c>
      <c r="S255" t="s">
        <v>2163</v>
      </c>
      <c r="U255" t="str">
        <f t="shared" si="3"/>
        <v/>
      </c>
      <c r="W255">
        <f>Digits_pres_final[[#This Row],[kan_params]]</f>
        <v>97394</v>
      </c>
      <c r="X255">
        <f>Digits_pres_final[[#This Row],[kan_test_acc]]</f>
        <v>0.96627314823369193</v>
      </c>
      <c r="Y255">
        <f>Digits_pres_final[[#This Row],[mlp_test_acc]]</f>
        <v>0.96215277777777786</v>
      </c>
      <c r="Z255">
        <f>Digits_pres_final[[#This Row],[mlp_test_acc2]]</f>
        <v>0.96349537037037036</v>
      </c>
    </row>
    <row r="256" spans="1:26" hidden="1" x14ac:dyDescent="0.25">
      <c r="A256" t="s">
        <v>1979</v>
      </c>
      <c r="B256">
        <v>3</v>
      </c>
      <c r="C256">
        <v>2</v>
      </c>
      <c r="D256">
        <v>0</v>
      </c>
      <c r="E256" t="s">
        <v>2292</v>
      </c>
      <c r="F256">
        <v>97456</v>
      </c>
      <c r="G256">
        <v>205955205.33333331</v>
      </c>
      <c r="H256">
        <v>0.98888887961705518</v>
      </c>
      <c r="I256">
        <v>0.98314814814814822</v>
      </c>
      <c r="J256">
        <v>18016993.916666668</v>
      </c>
      <c r="K256">
        <v>157472</v>
      </c>
      <c r="L256">
        <v>2</v>
      </c>
      <c r="M256">
        <v>262</v>
      </c>
      <c r="N256">
        <v>0.97833333333333328</v>
      </c>
      <c r="O256">
        <v>17980311.5</v>
      </c>
      <c r="P256">
        <v>158599</v>
      </c>
      <c r="Q256">
        <v>2</v>
      </c>
      <c r="R256">
        <v>263</v>
      </c>
      <c r="S256" t="s">
        <v>2293</v>
      </c>
      <c r="U256" t="str">
        <f t="shared" si="3"/>
        <v/>
      </c>
      <c r="W256">
        <f>Digits_pres_final[[#This Row],[kan_params]]</f>
        <v>97456</v>
      </c>
      <c r="X256">
        <f>Digits_pres_final[[#This Row],[kan_test_acc]]</f>
        <v>0.98888887961705518</v>
      </c>
      <c r="Y256">
        <f>Digits_pres_final[[#This Row],[mlp_test_acc]]</f>
        <v>0.98314814814814822</v>
      </c>
      <c r="Z256">
        <f>Digits_pres_final[[#This Row],[mlp_test_acc2]]</f>
        <v>0.97833333333333328</v>
      </c>
    </row>
    <row r="257" spans="1:26" hidden="1" x14ac:dyDescent="0.25">
      <c r="A257" t="s">
        <v>1979</v>
      </c>
      <c r="B257">
        <v>3</v>
      </c>
      <c r="C257">
        <v>3</v>
      </c>
      <c r="D257">
        <v>0</v>
      </c>
      <c r="E257" t="s">
        <v>2338</v>
      </c>
      <c r="F257">
        <v>97718</v>
      </c>
      <c r="G257">
        <v>280917349.16666669</v>
      </c>
      <c r="H257">
        <v>0.97777777413527178</v>
      </c>
      <c r="I257">
        <v>0.95277777777777772</v>
      </c>
      <c r="J257">
        <v>30866705.083333336</v>
      </c>
      <c r="K257">
        <v>172435</v>
      </c>
      <c r="L257">
        <v>2</v>
      </c>
      <c r="M257">
        <v>275</v>
      </c>
      <c r="N257">
        <v>0.95666666666666667</v>
      </c>
      <c r="O257">
        <v>30868105.416666668</v>
      </c>
      <c r="P257">
        <v>173614</v>
      </c>
      <c r="Q257">
        <v>2</v>
      </c>
      <c r="R257">
        <v>276</v>
      </c>
      <c r="S257" t="s">
        <v>2560</v>
      </c>
      <c r="U257" t="str">
        <f t="shared" si="3"/>
        <v/>
      </c>
      <c r="W257">
        <f>Digits_pres_final[[#This Row],[kan_params]]</f>
        <v>97718</v>
      </c>
      <c r="X257">
        <f>Digits_pres_final[[#This Row],[kan_test_acc]]</f>
        <v>0.97777777413527178</v>
      </c>
      <c r="Y257">
        <f>Digits_pres_final[[#This Row],[mlp_test_acc]]</f>
        <v>0.95277777777777772</v>
      </c>
      <c r="Z257">
        <f>Digits_pres_final[[#This Row],[mlp_test_acc2]]</f>
        <v>0.95666666666666667</v>
      </c>
    </row>
    <row r="258" spans="1:26" hidden="1" x14ac:dyDescent="0.25">
      <c r="A258" t="s">
        <v>1979</v>
      </c>
      <c r="B258">
        <v>3</v>
      </c>
      <c r="C258">
        <v>2</v>
      </c>
      <c r="D258">
        <v>0</v>
      </c>
      <c r="E258" t="s">
        <v>2036</v>
      </c>
      <c r="F258">
        <v>98072</v>
      </c>
      <c r="G258">
        <v>404951211.16666669</v>
      </c>
      <c r="H258">
        <v>0.97074074049790693</v>
      </c>
      <c r="I258">
        <v>0.95981481481481479</v>
      </c>
      <c r="J258">
        <v>28942740.25</v>
      </c>
      <c r="K258">
        <v>158599</v>
      </c>
      <c r="L258">
        <v>2</v>
      </c>
      <c r="M258">
        <v>263</v>
      </c>
      <c r="N258">
        <v>0.96333333333333337</v>
      </c>
      <c r="O258">
        <v>29394961.166666668</v>
      </c>
      <c r="P258">
        <v>159730</v>
      </c>
      <c r="Q258">
        <v>2</v>
      </c>
      <c r="R258">
        <v>264</v>
      </c>
      <c r="S258" t="s">
        <v>2037</v>
      </c>
      <c r="U258" t="str">
        <f t="shared" si="3"/>
        <v/>
      </c>
      <c r="W258">
        <f>Digits_pres_final[[#This Row],[kan_params]]</f>
        <v>98072</v>
      </c>
      <c r="X258">
        <f>Digits_pres_final[[#This Row],[kan_test_acc]]</f>
        <v>0.97074074049790693</v>
      </c>
      <c r="Y258">
        <f>Digits_pres_final[[#This Row],[mlp_test_acc]]</f>
        <v>0.95981481481481479</v>
      </c>
      <c r="Z258">
        <f>Digits_pres_final[[#This Row],[mlp_test_acc2]]</f>
        <v>0.96333333333333337</v>
      </c>
    </row>
    <row r="259" spans="1:26" hidden="1" x14ac:dyDescent="0.25">
      <c r="A259" t="s">
        <v>1979</v>
      </c>
      <c r="B259">
        <v>3</v>
      </c>
      <c r="C259">
        <v>3</v>
      </c>
      <c r="D259">
        <v>0</v>
      </c>
      <c r="E259" t="s">
        <v>2276</v>
      </c>
      <c r="F259">
        <v>98080</v>
      </c>
      <c r="G259">
        <v>312019295.33333337</v>
      </c>
      <c r="H259">
        <v>0.96777776877085375</v>
      </c>
      <c r="I259">
        <v>0.95981481481481479</v>
      </c>
      <c r="J259">
        <v>30010629.916666664</v>
      </c>
      <c r="K259">
        <v>173614</v>
      </c>
      <c r="L259">
        <v>2</v>
      </c>
      <c r="M259">
        <v>276</v>
      </c>
      <c r="N259">
        <v>0.96407407407407408</v>
      </c>
      <c r="O259">
        <v>30160422.166666664</v>
      </c>
      <c r="P259">
        <v>174797</v>
      </c>
      <c r="Q259">
        <v>2</v>
      </c>
      <c r="R259">
        <v>277</v>
      </c>
      <c r="S259" t="s">
        <v>2528</v>
      </c>
      <c r="U259" t="str">
        <f t="shared" ref="U259:U322" si="4">IF(F260=F261,1,"")</f>
        <v/>
      </c>
      <c r="W259">
        <f>Digits_pres_final[[#This Row],[kan_params]]</f>
        <v>98080</v>
      </c>
      <c r="X259">
        <f>Digits_pres_final[[#This Row],[kan_test_acc]]</f>
        <v>0.96777776877085375</v>
      </c>
      <c r="Y259">
        <f>Digits_pres_final[[#This Row],[mlp_test_acc]]</f>
        <v>0.95981481481481479</v>
      </c>
      <c r="Z259">
        <f>Digits_pres_final[[#This Row],[mlp_test_acc2]]</f>
        <v>0.96407407407407408</v>
      </c>
    </row>
    <row r="260" spans="1:26" hidden="1" x14ac:dyDescent="0.25">
      <c r="A260" t="s">
        <v>1979</v>
      </c>
      <c r="B260">
        <v>3</v>
      </c>
      <c r="C260">
        <v>3</v>
      </c>
      <c r="D260">
        <v>0</v>
      </c>
      <c r="E260" t="s">
        <v>2212</v>
      </c>
      <c r="F260">
        <v>98298</v>
      </c>
      <c r="G260">
        <v>278618546.5</v>
      </c>
      <c r="H260">
        <v>0.9729629705349605</v>
      </c>
      <c r="I260">
        <v>0.96796296296296291</v>
      </c>
      <c r="J260">
        <v>26973725.916666668</v>
      </c>
      <c r="K260">
        <v>173614</v>
      </c>
      <c r="L260">
        <v>2</v>
      </c>
      <c r="M260">
        <v>276</v>
      </c>
      <c r="N260">
        <v>0.96759259259259256</v>
      </c>
      <c r="O260">
        <v>27750553.75</v>
      </c>
      <c r="P260">
        <v>174797</v>
      </c>
      <c r="Q260">
        <v>2</v>
      </c>
      <c r="R260">
        <v>277</v>
      </c>
      <c r="S260" t="s">
        <v>2497</v>
      </c>
      <c r="U260" t="str">
        <f t="shared" si="4"/>
        <v/>
      </c>
      <c r="W260">
        <f>Digits_pres_final[[#This Row],[kan_params]]</f>
        <v>98298</v>
      </c>
      <c r="X260">
        <f>Digits_pres_final[[#This Row],[kan_test_acc]]</f>
        <v>0.9729629705349605</v>
      </c>
      <c r="Y260">
        <f>Digits_pres_final[[#This Row],[mlp_test_acc]]</f>
        <v>0.96796296296296291</v>
      </c>
      <c r="Z260">
        <f>Digits_pres_final[[#This Row],[mlp_test_acc2]]</f>
        <v>0.96759259259259256</v>
      </c>
    </row>
    <row r="261" spans="1:26" hidden="1" x14ac:dyDescent="0.25">
      <c r="A261" t="s">
        <v>1979</v>
      </c>
      <c r="B261">
        <v>3</v>
      </c>
      <c r="C261">
        <v>3</v>
      </c>
      <c r="D261">
        <v>0</v>
      </c>
      <c r="E261" t="s">
        <v>2084</v>
      </c>
      <c r="F261">
        <v>98302</v>
      </c>
      <c r="G261">
        <v>263095951.83333331</v>
      </c>
      <c r="H261">
        <v>0.97166666885217023</v>
      </c>
      <c r="I261">
        <v>0.96166666666666667</v>
      </c>
      <c r="J261">
        <v>26342467.916666664</v>
      </c>
      <c r="K261">
        <v>173614</v>
      </c>
      <c r="L261">
        <v>2</v>
      </c>
      <c r="M261">
        <v>276</v>
      </c>
      <c r="N261">
        <v>0.96351851851851844</v>
      </c>
      <c r="O261">
        <v>25427820.083333336</v>
      </c>
      <c r="P261">
        <v>174797</v>
      </c>
      <c r="Q261">
        <v>2</v>
      </c>
      <c r="R261">
        <v>277</v>
      </c>
      <c r="S261" t="s">
        <v>2435</v>
      </c>
      <c r="U261" t="str">
        <f t="shared" si="4"/>
        <v/>
      </c>
      <c r="W261">
        <f>Digits_pres_final[[#This Row],[kan_params]]</f>
        <v>98302</v>
      </c>
      <c r="X261">
        <f>Digits_pres_final[[#This Row],[kan_test_acc]]</f>
        <v>0.97166666885217023</v>
      </c>
      <c r="Y261">
        <f>Digits_pres_final[[#This Row],[mlp_test_acc]]</f>
        <v>0.96166666666666667</v>
      </c>
      <c r="Z261">
        <f>Digits_pres_final[[#This Row],[mlp_test_acc2]]</f>
        <v>0.96351851851851844</v>
      </c>
    </row>
    <row r="262" spans="1:26" hidden="1" x14ac:dyDescent="0.25">
      <c r="A262" t="s">
        <v>1979</v>
      </c>
      <c r="B262">
        <v>3</v>
      </c>
      <c r="C262">
        <v>3</v>
      </c>
      <c r="D262">
        <v>0</v>
      </c>
      <c r="E262" t="s">
        <v>2148</v>
      </c>
      <c r="F262">
        <v>98372</v>
      </c>
      <c r="G262">
        <v>304037466.58333337</v>
      </c>
      <c r="H262">
        <v>0.97277778387069702</v>
      </c>
      <c r="I262">
        <v>0.96259259259259267</v>
      </c>
      <c r="J262">
        <v>29709934.666666668</v>
      </c>
      <c r="K262">
        <v>173614</v>
      </c>
      <c r="L262">
        <v>2</v>
      </c>
      <c r="M262">
        <v>276</v>
      </c>
      <c r="N262">
        <v>0.96611111111111114</v>
      </c>
      <c r="O262">
        <v>30112433.25</v>
      </c>
      <c r="P262">
        <v>174797</v>
      </c>
      <c r="Q262">
        <v>2</v>
      </c>
      <c r="R262">
        <v>277</v>
      </c>
      <c r="S262" t="s">
        <v>2466</v>
      </c>
      <c r="U262" t="str">
        <f t="shared" si="4"/>
        <v/>
      </c>
      <c r="W262">
        <f>Digits_pres_final[[#This Row],[kan_params]]</f>
        <v>98372</v>
      </c>
      <c r="X262">
        <f>Digits_pres_final[[#This Row],[kan_test_acc]]</f>
        <v>0.97277778387069702</v>
      </c>
      <c r="Y262">
        <f>Digits_pres_final[[#This Row],[mlp_test_acc]]</f>
        <v>0.96259259259259267</v>
      </c>
      <c r="Z262">
        <f>Digits_pres_final[[#This Row],[mlp_test_acc2]]</f>
        <v>0.96611111111111114</v>
      </c>
    </row>
    <row r="263" spans="1:26" hidden="1" x14ac:dyDescent="0.25">
      <c r="A263" t="s">
        <v>1979</v>
      </c>
      <c r="B263">
        <v>3</v>
      </c>
      <c r="C263">
        <v>2</v>
      </c>
      <c r="D263">
        <v>0</v>
      </c>
      <c r="E263" t="s">
        <v>2100</v>
      </c>
      <c r="F263">
        <v>98422</v>
      </c>
      <c r="G263">
        <v>341672878.25</v>
      </c>
      <c r="H263">
        <v>0.97407407561937975</v>
      </c>
      <c r="I263">
        <v>0.96111111111111103</v>
      </c>
      <c r="J263">
        <v>26601053.666666668</v>
      </c>
      <c r="K263">
        <v>159730</v>
      </c>
      <c r="L263">
        <v>2</v>
      </c>
      <c r="M263">
        <v>264</v>
      </c>
      <c r="N263">
        <v>0.96111111111111114</v>
      </c>
      <c r="O263">
        <v>26786933.583333332</v>
      </c>
      <c r="P263">
        <v>160865</v>
      </c>
      <c r="Q263">
        <v>2</v>
      </c>
      <c r="R263">
        <v>265</v>
      </c>
      <c r="S263" t="s">
        <v>2101</v>
      </c>
      <c r="U263" t="str">
        <f t="shared" si="4"/>
        <v/>
      </c>
      <c r="W263">
        <f>Digits_pres_final[[#This Row],[kan_params]]</f>
        <v>98422</v>
      </c>
      <c r="X263">
        <f>Digits_pres_final[[#This Row],[kan_test_acc]]</f>
        <v>0.97407407561937975</v>
      </c>
      <c r="Y263">
        <f>Digits_pres_final[[#This Row],[mlp_test_acc]]</f>
        <v>0.96111111111111103</v>
      </c>
      <c r="Z263">
        <f>Digits_pres_final[[#This Row],[mlp_test_acc2]]</f>
        <v>0.96111111111111114</v>
      </c>
    </row>
    <row r="264" spans="1:26" hidden="1" x14ac:dyDescent="0.25">
      <c r="A264" t="s">
        <v>1979</v>
      </c>
      <c r="B264">
        <v>3</v>
      </c>
      <c r="C264">
        <v>2</v>
      </c>
      <c r="D264">
        <v>0</v>
      </c>
      <c r="E264" t="s">
        <v>2164</v>
      </c>
      <c r="F264">
        <v>98644</v>
      </c>
      <c r="G264">
        <v>196048479.71875</v>
      </c>
      <c r="H264">
        <v>0.97664352195958304</v>
      </c>
      <c r="I264">
        <v>0.96881944444444446</v>
      </c>
      <c r="J264">
        <v>21972753.5625</v>
      </c>
      <c r="K264">
        <v>159730</v>
      </c>
      <c r="L264">
        <v>2</v>
      </c>
      <c r="M264">
        <v>264</v>
      </c>
      <c r="N264">
        <v>0.97034722222222225</v>
      </c>
      <c r="O264">
        <v>20565806.229166664</v>
      </c>
      <c r="P264">
        <v>160865</v>
      </c>
      <c r="Q264">
        <v>2</v>
      </c>
      <c r="R264">
        <v>265</v>
      </c>
      <c r="S264" t="s">
        <v>2165</v>
      </c>
      <c r="U264" t="str">
        <f t="shared" si="4"/>
        <v/>
      </c>
      <c r="W264">
        <f>Digits_pres_final[[#This Row],[kan_params]]</f>
        <v>98644</v>
      </c>
      <c r="X264">
        <f>Digits_pres_final[[#This Row],[kan_test_acc]]</f>
        <v>0.97664352195958304</v>
      </c>
      <c r="Y264">
        <f>Digits_pres_final[[#This Row],[mlp_test_acc]]</f>
        <v>0.96881944444444446</v>
      </c>
      <c r="Z264">
        <f>Digits_pres_final[[#This Row],[mlp_test_acc2]]</f>
        <v>0.97034722222222225</v>
      </c>
    </row>
    <row r="265" spans="1:26" hidden="1" x14ac:dyDescent="0.25">
      <c r="A265" t="s">
        <v>1979</v>
      </c>
      <c r="B265">
        <v>3</v>
      </c>
      <c r="C265">
        <v>2</v>
      </c>
      <c r="D265">
        <v>0</v>
      </c>
      <c r="E265" t="s">
        <v>2356</v>
      </c>
      <c r="F265">
        <v>98704</v>
      </c>
      <c r="G265">
        <v>385626671.25</v>
      </c>
      <c r="H265">
        <v>0.97277777890364336</v>
      </c>
      <c r="I265">
        <v>0.94444444444444442</v>
      </c>
      <c r="J265">
        <v>29027964.166666668</v>
      </c>
      <c r="K265">
        <v>159730</v>
      </c>
      <c r="L265">
        <v>2</v>
      </c>
      <c r="M265">
        <v>264</v>
      </c>
      <c r="N265">
        <v>0.94722222222222219</v>
      </c>
      <c r="O265">
        <v>28177501.25</v>
      </c>
      <c r="P265">
        <v>160865</v>
      </c>
      <c r="Q265">
        <v>2</v>
      </c>
      <c r="R265">
        <v>265</v>
      </c>
      <c r="S265" t="s">
        <v>2357</v>
      </c>
      <c r="U265" t="str">
        <f t="shared" si="4"/>
        <v/>
      </c>
      <c r="W265">
        <f>Digits_pres_final[[#This Row],[kan_params]]</f>
        <v>98704</v>
      </c>
      <c r="X265">
        <f>Digits_pres_final[[#This Row],[kan_test_acc]]</f>
        <v>0.97277777890364336</v>
      </c>
      <c r="Y265">
        <f>Digits_pres_final[[#This Row],[mlp_test_acc]]</f>
        <v>0.94444444444444442</v>
      </c>
      <c r="Z265">
        <f>Digits_pres_final[[#This Row],[mlp_test_acc2]]</f>
        <v>0.94722222222222219</v>
      </c>
    </row>
    <row r="266" spans="1:26" hidden="1" x14ac:dyDescent="0.25">
      <c r="A266" t="s">
        <v>1979</v>
      </c>
      <c r="B266">
        <v>3</v>
      </c>
      <c r="C266">
        <v>2</v>
      </c>
      <c r="D266">
        <v>0</v>
      </c>
      <c r="E266" t="s">
        <v>2294</v>
      </c>
      <c r="F266">
        <v>98738</v>
      </c>
      <c r="G266">
        <v>210498604.66666666</v>
      </c>
      <c r="H266">
        <v>0.98759258786837267</v>
      </c>
      <c r="I266">
        <v>0.98111111111111116</v>
      </c>
      <c r="J266">
        <v>18152922.25</v>
      </c>
      <c r="K266">
        <v>159730</v>
      </c>
      <c r="L266">
        <v>2</v>
      </c>
      <c r="M266">
        <v>264</v>
      </c>
      <c r="N266">
        <v>0.97833333333333328</v>
      </c>
      <c r="O266">
        <v>18051999.333333336</v>
      </c>
      <c r="P266">
        <v>160865</v>
      </c>
      <c r="Q266">
        <v>2</v>
      </c>
      <c r="R266">
        <v>265</v>
      </c>
      <c r="S266" t="s">
        <v>2295</v>
      </c>
      <c r="U266" t="str">
        <f t="shared" si="4"/>
        <v/>
      </c>
      <c r="W266">
        <f>Digits_pres_final[[#This Row],[kan_params]]</f>
        <v>98738</v>
      </c>
      <c r="X266">
        <f>Digits_pres_final[[#This Row],[kan_test_acc]]</f>
        <v>0.98759258786837267</v>
      </c>
      <c r="Y266">
        <f>Digits_pres_final[[#This Row],[mlp_test_acc]]</f>
        <v>0.98111111111111116</v>
      </c>
      <c r="Z266">
        <f>Digits_pres_final[[#This Row],[mlp_test_acc2]]</f>
        <v>0.97833333333333328</v>
      </c>
    </row>
    <row r="267" spans="1:26" x14ac:dyDescent="0.25">
      <c r="A267" t="s">
        <v>1979</v>
      </c>
      <c r="B267">
        <v>3</v>
      </c>
      <c r="C267">
        <v>4</v>
      </c>
      <c r="D267">
        <v>0</v>
      </c>
      <c r="E267" t="s">
        <v>2070</v>
      </c>
      <c r="F267">
        <v>98832</v>
      </c>
      <c r="G267">
        <v>209158903.01666665</v>
      </c>
      <c r="H267">
        <v>0.95022221803665163</v>
      </c>
      <c r="I267">
        <v>0.96425925925925926</v>
      </c>
      <c r="J267">
        <v>23837238.699999999</v>
      </c>
      <c r="K267">
        <v>186847</v>
      </c>
      <c r="L267">
        <v>2</v>
      </c>
      <c r="M267">
        <v>287</v>
      </c>
      <c r="N267">
        <v>0.95907407407407408</v>
      </c>
      <c r="O267">
        <v>24845078.983333334</v>
      </c>
      <c r="P267">
        <v>188074</v>
      </c>
      <c r="Q267">
        <v>2</v>
      </c>
      <c r="R267">
        <v>288</v>
      </c>
      <c r="S267" t="s">
        <v>2619</v>
      </c>
      <c r="U267" t="str">
        <f t="shared" si="4"/>
        <v/>
      </c>
      <c r="W267">
        <f>Digits_pres_final[[#This Row],[kan_params]]</f>
        <v>98832</v>
      </c>
      <c r="X267">
        <f>Digits_pres_final[[#This Row],[kan_test_acc]]</f>
        <v>0.95022221803665163</v>
      </c>
      <c r="Y267">
        <f>Digits_pres_final[[#This Row],[mlp_test_acc]]</f>
        <v>0.96425925925925926</v>
      </c>
      <c r="Z267">
        <f>Digits_pres_final[[#This Row],[mlp_test_acc2]]</f>
        <v>0.95907407407407408</v>
      </c>
    </row>
    <row r="268" spans="1:26" hidden="1" x14ac:dyDescent="0.25">
      <c r="A268" t="s">
        <v>1979</v>
      </c>
      <c r="B268">
        <v>3</v>
      </c>
      <c r="C268">
        <v>3</v>
      </c>
      <c r="D268">
        <v>0</v>
      </c>
      <c r="E268" t="s">
        <v>2340</v>
      </c>
      <c r="F268">
        <v>99196</v>
      </c>
      <c r="G268">
        <v>372296021.41666669</v>
      </c>
      <c r="H268">
        <v>0.97648148735364282</v>
      </c>
      <c r="I268">
        <v>0.95296296296296301</v>
      </c>
      <c r="J268">
        <v>31730431.25</v>
      </c>
      <c r="K268">
        <v>175984</v>
      </c>
      <c r="L268">
        <v>2</v>
      </c>
      <c r="M268">
        <v>278</v>
      </c>
      <c r="N268">
        <v>0.95518518518518514</v>
      </c>
      <c r="O268">
        <v>31202353.916666668</v>
      </c>
      <c r="P268">
        <v>177175</v>
      </c>
      <c r="Q268">
        <v>2</v>
      </c>
      <c r="R268">
        <v>279</v>
      </c>
      <c r="S268" t="s">
        <v>2561</v>
      </c>
      <c r="U268" t="str">
        <f t="shared" si="4"/>
        <v/>
      </c>
      <c r="W268">
        <f>Digits_pres_final[[#This Row],[kan_params]]</f>
        <v>99196</v>
      </c>
      <c r="X268">
        <f>Digits_pres_final[[#This Row],[kan_test_acc]]</f>
        <v>0.97648148735364282</v>
      </c>
      <c r="Y268">
        <f>Digits_pres_final[[#This Row],[mlp_test_acc]]</f>
        <v>0.95296296296296301</v>
      </c>
      <c r="Z268">
        <f>Digits_pres_final[[#This Row],[mlp_test_acc2]]</f>
        <v>0.95518518518518514</v>
      </c>
    </row>
    <row r="269" spans="1:26" hidden="1" x14ac:dyDescent="0.25">
      <c r="A269" t="s">
        <v>1979</v>
      </c>
      <c r="B269">
        <v>3</v>
      </c>
      <c r="C269">
        <v>2</v>
      </c>
      <c r="D269">
        <v>0</v>
      </c>
      <c r="E269" t="s">
        <v>2038</v>
      </c>
      <c r="F269">
        <v>99258</v>
      </c>
      <c r="G269">
        <v>405313947.66666669</v>
      </c>
      <c r="H269">
        <v>0.9722222238779068</v>
      </c>
      <c r="I269">
        <v>0.96018518518518525</v>
      </c>
      <c r="J269">
        <v>28891918.416666664</v>
      </c>
      <c r="K269">
        <v>160865</v>
      </c>
      <c r="L269">
        <v>2</v>
      </c>
      <c r="M269">
        <v>265</v>
      </c>
      <c r="N269">
        <v>0.96259259259259256</v>
      </c>
      <c r="O269">
        <v>29662175.416666668</v>
      </c>
      <c r="P269">
        <v>162004</v>
      </c>
      <c r="Q269">
        <v>2</v>
      </c>
      <c r="R269">
        <v>266</v>
      </c>
      <c r="S269" t="s">
        <v>2039</v>
      </c>
      <c r="U269" t="str">
        <f t="shared" si="4"/>
        <v/>
      </c>
      <c r="W269">
        <f>Digits_pres_final[[#This Row],[kan_params]]</f>
        <v>99258</v>
      </c>
      <c r="X269">
        <f>Digits_pres_final[[#This Row],[kan_test_acc]]</f>
        <v>0.9722222238779068</v>
      </c>
      <c r="Y269">
        <f>Digits_pres_final[[#This Row],[mlp_test_acc]]</f>
        <v>0.96018518518518525</v>
      </c>
      <c r="Z269">
        <f>Digits_pres_final[[#This Row],[mlp_test_acc2]]</f>
        <v>0.96259259259259256</v>
      </c>
    </row>
    <row r="270" spans="1:26" hidden="1" x14ac:dyDescent="0.25">
      <c r="A270" t="s">
        <v>1979</v>
      </c>
      <c r="B270">
        <v>3</v>
      </c>
      <c r="C270">
        <v>3</v>
      </c>
      <c r="D270">
        <v>0</v>
      </c>
      <c r="E270" t="s">
        <v>2278</v>
      </c>
      <c r="F270">
        <v>99522</v>
      </c>
      <c r="G270">
        <v>304499879.25</v>
      </c>
      <c r="H270">
        <v>0.96740740537643433</v>
      </c>
      <c r="I270">
        <v>0.96203703703703702</v>
      </c>
      <c r="J270">
        <v>31055469</v>
      </c>
      <c r="K270">
        <v>175984</v>
      </c>
      <c r="L270">
        <v>2</v>
      </c>
      <c r="M270">
        <v>278</v>
      </c>
      <c r="N270">
        <v>0.96351851851851855</v>
      </c>
      <c r="O270">
        <v>31506037.5</v>
      </c>
      <c r="P270">
        <v>177175</v>
      </c>
      <c r="Q270">
        <v>2</v>
      </c>
      <c r="R270">
        <v>279</v>
      </c>
      <c r="S270" t="s">
        <v>2529</v>
      </c>
      <c r="U270" t="str">
        <f t="shared" si="4"/>
        <v/>
      </c>
      <c r="W270">
        <f>Digits_pres_final[[#This Row],[kan_params]]</f>
        <v>99522</v>
      </c>
      <c r="X270">
        <f>Digits_pres_final[[#This Row],[kan_test_acc]]</f>
        <v>0.96740740537643433</v>
      </c>
      <c r="Y270">
        <f>Digits_pres_final[[#This Row],[mlp_test_acc]]</f>
        <v>0.96203703703703702</v>
      </c>
      <c r="Z270">
        <f>Digits_pres_final[[#This Row],[mlp_test_acc2]]</f>
        <v>0.96351851851851855</v>
      </c>
    </row>
    <row r="271" spans="1:26" hidden="1" x14ac:dyDescent="0.25">
      <c r="A271" t="s">
        <v>1979</v>
      </c>
      <c r="B271">
        <v>3</v>
      </c>
      <c r="C271">
        <v>3</v>
      </c>
      <c r="D271">
        <v>0</v>
      </c>
      <c r="E271" t="s">
        <v>2086</v>
      </c>
      <c r="F271">
        <v>99636</v>
      </c>
      <c r="G271">
        <v>265320764.08333331</v>
      </c>
      <c r="H271">
        <v>0.97166667381922411</v>
      </c>
      <c r="I271">
        <v>0.96185185185185174</v>
      </c>
      <c r="J271">
        <v>26497009.333333332</v>
      </c>
      <c r="K271">
        <v>175984</v>
      </c>
      <c r="L271">
        <v>2</v>
      </c>
      <c r="M271">
        <v>278</v>
      </c>
      <c r="N271">
        <v>0.96277777777777773</v>
      </c>
      <c r="O271">
        <v>26435742.166666668</v>
      </c>
      <c r="P271">
        <v>177175</v>
      </c>
      <c r="Q271">
        <v>2</v>
      </c>
      <c r="R271">
        <v>279</v>
      </c>
      <c r="S271" t="s">
        <v>2436</v>
      </c>
      <c r="U271" t="str">
        <f t="shared" si="4"/>
        <v/>
      </c>
      <c r="W271">
        <f>Digits_pres_final[[#This Row],[kan_params]]</f>
        <v>99636</v>
      </c>
      <c r="X271">
        <f>Digits_pres_final[[#This Row],[kan_test_acc]]</f>
        <v>0.97166667381922411</v>
      </c>
      <c r="Y271">
        <f>Digits_pres_final[[#This Row],[mlp_test_acc]]</f>
        <v>0.96185185185185174</v>
      </c>
      <c r="Z271">
        <f>Digits_pres_final[[#This Row],[mlp_test_acc2]]</f>
        <v>0.96277777777777773</v>
      </c>
    </row>
    <row r="272" spans="1:26" hidden="1" x14ac:dyDescent="0.25">
      <c r="A272" t="s">
        <v>1979</v>
      </c>
      <c r="B272">
        <v>3</v>
      </c>
      <c r="C272">
        <v>2</v>
      </c>
      <c r="D272">
        <v>0</v>
      </c>
      <c r="E272" t="s">
        <v>2102</v>
      </c>
      <c r="F272">
        <v>99640</v>
      </c>
      <c r="G272">
        <v>359970293.41666663</v>
      </c>
      <c r="H272">
        <v>0.96777777870496107</v>
      </c>
      <c r="I272">
        <v>0.95907407407407397</v>
      </c>
      <c r="J272">
        <v>26596293.083333336</v>
      </c>
      <c r="K272">
        <v>160865</v>
      </c>
      <c r="L272">
        <v>2</v>
      </c>
      <c r="M272">
        <v>265</v>
      </c>
      <c r="N272">
        <v>0.95962962962962961</v>
      </c>
      <c r="O272">
        <v>27126805.583333332</v>
      </c>
      <c r="P272">
        <v>162004</v>
      </c>
      <c r="Q272">
        <v>2</v>
      </c>
      <c r="R272">
        <v>266</v>
      </c>
      <c r="S272" t="s">
        <v>2103</v>
      </c>
      <c r="U272" t="str">
        <f t="shared" si="4"/>
        <v/>
      </c>
      <c r="W272">
        <f>Digits_pres_final[[#This Row],[kan_params]]</f>
        <v>99640</v>
      </c>
      <c r="X272">
        <f>Digits_pres_final[[#This Row],[kan_test_acc]]</f>
        <v>0.96777777870496107</v>
      </c>
      <c r="Y272">
        <f>Digits_pres_final[[#This Row],[mlp_test_acc]]</f>
        <v>0.95907407407407397</v>
      </c>
      <c r="Z272">
        <f>Digits_pres_final[[#This Row],[mlp_test_acc2]]</f>
        <v>0.95962962962962961</v>
      </c>
    </row>
    <row r="273" spans="1:26" hidden="1" x14ac:dyDescent="0.25">
      <c r="A273" t="s">
        <v>1979</v>
      </c>
      <c r="B273">
        <v>3</v>
      </c>
      <c r="C273">
        <v>3</v>
      </c>
      <c r="D273">
        <v>0</v>
      </c>
      <c r="E273" t="s">
        <v>2214</v>
      </c>
      <c r="F273">
        <v>99704</v>
      </c>
      <c r="G273">
        <v>291483088.25</v>
      </c>
      <c r="H273">
        <v>0.97574074566364288</v>
      </c>
      <c r="I273">
        <v>0.96944444444444455</v>
      </c>
      <c r="J273">
        <v>27355762.75</v>
      </c>
      <c r="K273">
        <v>175984</v>
      </c>
      <c r="L273">
        <v>2</v>
      </c>
      <c r="M273">
        <v>278</v>
      </c>
      <c r="N273">
        <v>0.96777777777777785</v>
      </c>
      <c r="O273">
        <v>28126843.083333336</v>
      </c>
      <c r="P273">
        <v>177175</v>
      </c>
      <c r="Q273">
        <v>2</v>
      </c>
      <c r="R273">
        <v>279</v>
      </c>
      <c r="S273" t="s">
        <v>2498</v>
      </c>
      <c r="U273" t="str">
        <f t="shared" si="4"/>
        <v/>
      </c>
      <c r="W273">
        <f>Digits_pres_final[[#This Row],[kan_params]]</f>
        <v>99704</v>
      </c>
      <c r="X273">
        <f>Digits_pres_final[[#This Row],[kan_test_acc]]</f>
        <v>0.97574074566364288</v>
      </c>
      <c r="Y273">
        <f>Digits_pres_final[[#This Row],[mlp_test_acc]]</f>
        <v>0.96944444444444455</v>
      </c>
      <c r="Z273">
        <f>Digits_pres_final[[#This Row],[mlp_test_acc2]]</f>
        <v>0.96777777777777785</v>
      </c>
    </row>
    <row r="274" spans="1:26" hidden="1" x14ac:dyDescent="0.25">
      <c r="A274" t="s">
        <v>1979</v>
      </c>
      <c r="B274">
        <v>3</v>
      </c>
      <c r="C274">
        <v>3</v>
      </c>
      <c r="D274">
        <v>0</v>
      </c>
      <c r="E274" t="s">
        <v>2150</v>
      </c>
      <c r="F274">
        <v>99742</v>
      </c>
      <c r="G274">
        <v>299661864.91666663</v>
      </c>
      <c r="H274">
        <v>0.97185185551643372</v>
      </c>
      <c r="I274">
        <v>0.95851851851851855</v>
      </c>
      <c r="J274">
        <v>30297008.833333336</v>
      </c>
      <c r="K274">
        <v>177175</v>
      </c>
      <c r="L274">
        <v>2</v>
      </c>
      <c r="M274">
        <v>279</v>
      </c>
      <c r="N274">
        <v>0.96333333333333337</v>
      </c>
      <c r="O274">
        <v>30734498</v>
      </c>
      <c r="P274">
        <v>178370</v>
      </c>
      <c r="Q274">
        <v>2</v>
      </c>
      <c r="R274">
        <v>280</v>
      </c>
      <c r="S274" t="s">
        <v>2467</v>
      </c>
      <c r="U274" t="str">
        <f t="shared" si="4"/>
        <v/>
      </c>
      <c r="W274">
        <f>Digits_pres_final[[#This Row],[kan_params]]</f>
        <v>99742</v>
      </c>
      <c r="X274">
        <f>Digits_pres_final[[#This Row],[kan_test_acc]]</f>
        <v>0.97185185551643372</v>
      </c>
      <c r="Y274">
        <f>Digits_pres_final[[#This Row],[mlp_test_acc]]</f>
        <v>0.95851851851851855</v>
      </c>
      <c r="Z274">
        <f>Digits_pres_final[[#This Row],[mlp_test_acc2]]</f>
        <v>0.96333333333333337</v>
      </c>
    </row>
    <row r="275" spans="1:26" hidden="1" x14ac:dyDescent="0.25">
      <c r="A275" t="s">
        <v>1979</v>
      </c>
      <c r="B275">
        <v>3</v>
      </c>
      <c r="C275">
        <v>2</v>
      </c>
      <c r="D275">
        <v>0</v>
      </c>
      <c r="E275" t="s">
        <v>2166</v>
      </c>
      <c r="F275">
        <v>99894</v>
      </c>
      <c r="G275">
        <v>318262205.25</v>
      </c>
      <c r="H275">
        <v>0.98537036776542664</v>
      </c>
      <c r="I275">
        <v>0.97037037037037033</v>
      </c>
      <c r="J275">
        <v>25916124.5</v>
      </c>
      <c r="K275">
        <v>162004</v>
      </c>
      <c r="L275">
        <v>2</v>
      </c>
      <c r="M275">
        <v>266</v>
      </c>
      <c r="N275">
        <v>0.97333333333333338</v>
      </c>
      <c r="O275">
        <v>24220883.333333332</v>
      </c>
      <c r="P275">
        <v>163147</v>
      </c>
      <c r="Q275">
        <v>2</v>
      </c>
      <c r="R275">
        <v>267</v>
      </c>
      <c r="S275" t="s">
        <v>2167</v>
      </c>
      <c r="U275" t="str">
        <f t="shared" si="4"/>
        <v/>
      </c>
      <c r="W275">
        <f>Digits_pres_final[[#This Row],[kan_params]]</f>
        <v>99894</v>
      </c>
      <c r="X275">
        <f>Digits_pres_final[[#This Row],[kan_test_acc]]</f>
        <v>0.98537036776542664</v>
      </c>
      <c r="Y275">
        <f>Digits_pres_final[[#This Row],[mlp_test_acc]]</f>
        <v>0.97037037037037033</v>
      </c>
      <c r="Z275">
        <f>Digits_pres_final[[#This Row],[mlp_test_acc2]]</f>
        <v>0.97333333333333338</v>
      </c>
    </row>
    <row r="276" spans="1:26" hidden="1" x14ac:dyDescent="0.25">
      <c r="A276" t="s">
        <v>1979</v>
      </c>
      <c r="B276">
        <v>3</v>
      </c>
      <c r="C276">
        <v>2</v>
      </c>
      <c r="D276">
        <v>0</v>
      </c>
      <c r="E276" t="s">
        <v>2358</v>
      </c>
      <c r="F276">
        <v>100018</v>
      </c>
      <c r="G276">
        <v>396308505.33333331</v>
      </c>
      <c r="H276">
        <v>0.97037036716938019</v>
      </c>
      <c r="I276">
        <v>0.94388888888888878</v>
      </c>
      <c r="J276">
        <v>27732661.75</v>
      </c>
      <c r="K276">
        <v>162004</v>
      </c>
      <c r="L276">
        <v>2</v>
      </c>
      <c r="M276">
        <v>266</v>
      </c>
      <c r="N276">
        <v>0.94611111111111112</v>
      </c>
      <c r="O276">
        <v>27486731.666666664</v>
      </c>
      <c r="P276">
        <v>163147</v>
      </c>
      <c r="Q276">
        <v>2</v>
      </c>
      <c r="R276">
        <v>267</v>
      </c>
      <c r="S276" t="s">
        <v>2359</v>
      </c>
      <c r="U276" t="str">
        <f t="shared" si="4"/>
        <v/>
      </c>
      <c r="W276">
        <f>Digits_pres_final[[#This Row],[kan_params]]</f>
        <v>100018</v>
      </c>
      <c r="X276">
        <f>Digits_pres_final[[#This Row],[kan_test_acc]]</f>
        <v>0.97037036716938019</v>
      </c>
      <c r="Y276">
        <f>Digits_pres_final[[#This Row],[mlp_test_acc]]</f>
        <v>0.94388888888888878</v>
      </c>
      <c r="Z276">
        <f>Digits_pres_final[[#This Row],[mlp_test_acc2]]</f>
        <v>0.94611111111111112</v>
      </c>
    </row>
    <row r="277" spans="1:26" hidden="1" x14ac:dyDescent="0.25">
      <c r="A277" t="s">
        <v>1979</v>
      </c>
      <c r="B277">
        <v>3</v>
      </c>
      <c r="C277">
        <v>2</v>
      </c>
      <c r="D277">
        <v>0</v>
      </c>
      <c r="E277" t="s">
        <v>2230</v>
      </c>
      <c r="F277">
        <v>100020</v>
      </c>
      <c r="G277">
        <v>176300393.70833334</v>
      </c>
      <c r="H277">
        <v>0.97462962381541729</v>
      </c>
      <c r="I277">
        <v>0.96868055555555554</v>
      </c>
      <c r="J277">
        <v>20355349.760416664</v>
      </c>
      <c r="K277">
        <v>162004</v>
      </c>
      <c r="L277">
        <v>2</v>
      </c>
      <c r="M277">
        <v>266</v>
      </c>
      <c r="N277">
        <v>0.97081018518518514</v>
      </c>
      <c r="O277">
        <v>20662952.927083336</v>
      </c>
      <c r="P277">
        <v>163147</v>
      </c>
      <c r="Q277">
        <v>2</v>
      </c>
      <c r="R277">
        <v>267</v>
      </c>
      <c r="S277" t="s">
        <v>2231</v>
      </c>
      <c r="U277" t="str">
        <f t="shared" si="4"/>
        <v/>
      </c>
      <c r="W277">
        <f>Digits_pres_final[[#This Row],[kan_params]]</f>
        <v>100020</v>
      </c>
      <c r="X277">
        <f>Digits_pres_final[[#This Row],[kan_test_acc]]</f>
        <v>0.97462962381541729</v>
      </c>
      <c r="Y277">
        <f>Digits_pres_final[[#This Row],[mlp_test_acc]]</f>
        <v>0.96868055555555554</v>
      </c>
      <c r="Z277">
        <f>Digits_pres_final[[#This Row],[mlp_test_acc2]]</f>
        <v>0.97081018518518514</v>
      </c>
    </row>
    <row r="278" spans="1:26" x14ac:dyDescent="0.25">
      <c r="A278" t="s">
        <v>1979</v>
      </c>
      <c r="B278">
        <v>3</v>
      </c>
      <c r="C278">
        <v>4</v>
      </c>
      <c r="D278">
        <v>0</v>
      </c>
      <c r="E278" t="s">
        <v>2072</v>
      </c>
      <c r="F278">
        <v>100314</v>
      </c>
      <c r="G278">
        <v>306025298.35000002</v>
      </c>
      <c r="H278">
        <v>0.95762962996959688</v>
      </c>
      <c r="I278">
        <v>0.96611111111111114</v>
      </c>
      <c r="J278">
        <v>29385098.699999999</v>
      </c>
      <c r="K278">
        <v>189305</v>
      </c>
      <c r="L278">
        <v>2</v>
      </c>
      <c r="M278">
        <v>289</v>
      </c>
      <c r="N278">
        <v>0.96962962962962962</v>
      </c>
      <c r="O278">
        <v>30594482.066666666</v>
      </c>
      <c r="P278">
        <v>190540</v>
      </c>
      <c r="Q278">
        <v>2</v>
      </c>
      <c r="R278">
        <v>290</v>
      </c>
      <c r="S278" t="s">
        <v>2620</v>
      </c>
      <c r="U278" t="str">
        <f t="shared" si="4"/>
        <v/>
      </c>
      <c r="W278">
        <f>Digits_pres_final[[#This Row],[kan_params]]</f>
        <v>100314</v>
      </c>
      <c r="X278">
        <f>Digits_pres_final[[#This Row],[kan_test_acc]]</f>
        <v>0.95762962996959688</v>
      </c>
      <c r="Y278">
        <f>Digits_pres_final[[#This Row],[mlp_test_acc]]</f>
        <v>0.96611111111111114</v>
      </c>
      <c r="Z278">
        <f>Digits_pres_final[[#This Row],[mlp_test_acc2]]</f>
        <v>0.96962962962962962</v>
      </c>
    </row>
    <row r="279" spans="1:26" hidden="1" x14ac:dyDescent="0.25">
      <c r="A279" t="s">
        <v>1979</v>
      </c>
      <c r="B279">
        <v>3</v>
      </c>
      <c r="C279">
        <v>2</v>
      </c>
      <c r="D279">
        <v>0</v>
      </c>
      <c r="E279" t="s">
        <v>2040</v>
      </c>
      <c r="F279">
        <v>100444</v>
      </c>
      <c r="G279">
        <v>367574118.41666669</v>
      </c>
      <c r="H279">
        <v>0.97000000377496076</v>
      </c>
      <c r="I279">
        <v>0.96055555555555561</v>
      </c>
      <c r="J279">
        <v>28522711.833333336</v>
      </c>
      <c r="K279">
        <v>162004</v>
      </c>
      <c r="L279">
        <v>2</v>
      </c>
      <c r="M279">
        <v>266</v>
      </c>
      <c r="N279">
        <v>0.96259259259259256</v>
      </c>
      <c r="O279">
        <v>28900340.333333336</v>
      </c>
      <c r="P279">
        <v>163147</v>
      </c>
      <c r="Q279">
        <v>2</v>
      </c>
      <c r="R279">
        <v>267</v>
      </c>
      <c r="S279" t="s">
        <v>2041</v>
      </c>
      <c r="U279" t="str">
        <f t="shared" si="4"/>
        <v/>
      </c>
      <c r="W279">
        <f>Digits_pres_final[[#This Row],[kan_params]]</f>
        <v>100444</v>
      </c>
      <c r="X279">
        <f>Digits_pres_final[[#This Row],[kan_test_acc]]</f>
        <v>0.97000000377496076</v>
      </c>
      <c r="Y279">
        <f>Digits_pres_final[[#This Row],[mlp_test_acc]]</f>
        <v>0.96055555555555561</v>
      </c>
      <c r="Z279">
        <f>Digits_pres_final[[#This Row],[mlp_test_acc2]]</f>
        <v>0.96259259259259256</v>
      </c>
    </row>
    <row r="280" spans="1:26" hidden="1" x14ac:dyDescent="0.25">
      <c r="A280" t="s">
        <v>1979</v>
      </c>
      <c r="B280">
        <v>3</v>
      </c>
      <c r="C280">
        <v>3</v>
      </c>
      <c r="D280">
        <v>0</v>
      </c>
      <c r="E280" t="s">
        <v>2342</v>
      </c>
      <c r="F280">
        <v>100674</v>
      </c>
      <c r="G280">
        <v>387241667.25</v>
      </c>
      <c r="H280">
        <v>0.97740741074085236</v>
      </c>
      <c r="I280">
        <v>0.95259259259259266</v>
      </c>
      <c r="J280">
        <v>32093343.416666664</v>
      </c>
      <c r="K280">
        <v>178370</v>
      </c>
      <c r="L280">
        <v>2</v>
      </c>
      <c r="M280">
        <v>280</v>
      </c>
      <c r="N280">
        <v>0.95592592592592596</v>
      </c>
      <c r="O280">
        <v>31538178.166666668</v>
      </c>
      <c r="P280">
        <v>179569</v>
      </c>
      <c r="Q280">
        <v>2</v>
      </c>
      <c r="R280">
        <v>281</v>
      </c>
      <c r="S280" t="s">
        <v>2562</v>
      </c>
      <c r="U280" t="str">
        <f t="shared" si="4"/>
        <v/>
      </c>
      <c r="W280">
        <f>Digits_pres_final[[#This Row],[kan_params]]</f>
        <v>100674</v>
      </c>
      <c r="X280">
        <f>Digits_pres_final[[#This Row],[kan_test_acc]]</f>
        <v>0.97740741074085236</v>
      </c>
      <c r="Y280">
        <f>Digits_pres_final[[#This Row],[mlp_test_acc]]</f>
        <v>0.95259259259259266</v>
      </c>
      <c r="Z280">
        <f>Digits_pres_final[[#This Row],[mlp_test_acc2]]</f>
        <v>0.95592592592592596</v>
      </c>
    </row>
    <row r="281" spans="1:26" hidden="1" x14ac:dyDescent="0.25">
      <c r="A281" t="s">
        <v>1979</v>
      </c>
      <c r="B281">
        <v>3</v>
      </c>
      <c r="C281">
        <v>2</v>
      </c>
      <c r="D281">
        <v>0</v>
      </c>
      <c r="E281" t="s">
        <v>2104</v>
      </c>
      <c r="F281">
        <v>100858</v>
      </c>
      <c r="G281">
        <v>379708739.83333337</v>
      </c>
      <c r="H281">
        <v>0.96555555363496137</v>
      </c>
      <c r="I281">
        <v>0.95833333333333326</v>
      </c>
      <c r="J281">
        <v>26624764.5</v>
      </c>
      <c r="K281">
        <v>163147</v>
      </c>
      <c r="L281">
        <v>2</v>
      </c>
      <c r="M281">
        <v>267</v>
      </c>
      <c r="N281">
        <v>0.96037037037037032</v>
      </c>
      <c r="O281">
        <v>27559640.5</v>
      </c>
      <c r="P281">
        <v>164294</v>
      </c>
      <c r="Q281">
        <v>2</v>
      </c>
      <c r="R281">
        <v>268</v>
      </c>
      <c r="S281" t="s">
        <v>2105</v>
      </c>
      <c r="U281" t="str">
        <f t="shared" si="4"/>
        <v/>
      </c>
      <c r="W281">
        <f>Digits_pres_final[[#This Row],[kan_params]]</f>
        <v>100858</v>
      </c>
      <c r="X281">
        <f>Digits_pres_final[[#This Row],[kan_test_acc]]</f>
        <v>0.96555555363496137</v>
      </c>
      <c r="Y281">
        <f>Digits_pres_final[[#This Row],[mlp_test_acc]]</f>
        <v>0.95833333333333326</v>
      </c>
      <c r="Z281">
        <f>Digits_pres_final[[#This Row],[mlp_test_acc2]]</f>
        <v>0.96037037037037032</v>
      </c>
    </row>
    <row r="282" spans="1:26" hidden="1" x14ac:dyDescent="0.25">
      <c r="A282" t="s">
        <v>1979</v>
      </c>
      <c r="B282">
        <v>3</v>
      </c>
      <c r="C282">
        <v>3</v>
      </c>
      <c r="D282">
        <v>0</v>
      </c>
      <c r="E282" t="s">
        <v>2280</v>
      </c>
      <c r="F282">
        <v>100964</v>
      </c>
      <c r="G282">
        <v>298011564</v>
      </c>
      <c r="H282">
        <v>0.97166667878627777</v>
      </c>
      <c r="I282">
        <v>0.96240740740740738</v>
      </c>
      <c r="J282">
        <v>31683543.916666664</v>
      </c>
      <c r="K282">
        <v>178370</v>
      </c>
      <c r="L282">
        <v>2</v>
      </c>
      <c r="M282">
        <v>280</v>
      </c>
      <c r="N282">
        <v>0.96092592592592596</v>
      </c>
      <c r="O282">
        <v>32244077.916666668</v>
      </c>
      <c r="P282">
        <v>179569</v>
      </c>
      <c r="Q282">
        <v>2</v>
      </c>
      <c r="R282">
        <v>281</v>
      </c>
      <c r="S282" t="s">
        <v>2530</v>
      </c>
      <c r="U282" t="str">
        <f t="shared" si="4"/>
        <v/>
      </c>
      <c r="W282">
        <f>Digits_pres_final[[#This Row],[kan_params]]</f>
        <v>100964</v>
      </c>
      <c r="X282">
        <f>Digits_pres_final[[#This Row],[kan_test_acc]]</f>
        <v>0.97166667878627777</v>
      </c>
      <c r="Y282">
        <f>Digits_pres_final[[#This Row],[mlp_test_acc]]</f>
        <v>0.96240740740740738</v>
      </c>
      <c r="Z282">
        <f>Digits_pres_final[[#This Row],[mlp_test_acc2]]</f>
        <v>0.96092592592592596</v>
      </c>
    </row>
    <row r="283" spans="1:26" hidden="1" x14ac:dyDescent="0.25">
      <c r="A283" t="s">
        <v>1979</v>
      </c>
      <c r="B283">
        <v>3</v>
      </c>
      <c r="C283">
        <v>3</v>
      </c>
      <c r="D283">
        <v>0</v>
      </c>
      <c r="E283" t="s">
        <v>2088</v>
      </c>
      <c r="F283">
        <v>100970</v>
      </c>
      <c r="G283">
        <v>260948721.58333334</v>
      </c>
      <c r="H283">
        <v>0.97055556873480486</v>
      </c>
      <c r="I283">
        <v>0.95907407407407397</v>
      </c>
      <c r="J283">
        <v>26787427.75</v>
      </c>
      <c r="K283">
        <v>178370</v>
      </c>
      <c r="L283">
        <v>2</v>
      </c>
      <c r="M283">
        <v>280</v>
      </c>
      <c r="N283">
        <v>0.96148148148148138</v>
      </c>
      <c r="O283">
        <v>26858927.25</v>
      </c>
      <c r="P283">
        <v>179569</v>
      </c>
      <c r="Q283">
        <v>2</v>
      </c>
      <c r="R283">
        <v>281</v>
      </c>
      <c r="S283" t="s">
        <v>2437</v>
      </c>
      <c r="U283" t="str">
        <f t="shared" si="4"/>
        <v/>
      </c>
      <c r="W283">
        <f>Digits_pres_final[[#This Row],[kan_params]]</f>
        <v>100970</v>
      </c>
      <c r="X283">
        <f>Digits_pres_final[[#This Row],[kan_test_acc]]</f>
        <v>0.97055556873480486</v>
      </c>
      <c r="Y283">
        <f>Digits_pres_final[[#This Row],[mlp_test_acc]]</f>
        <v>0.95907407407407397</v>
      </c>
      <c r="Z283">
        <f>Digits_pres_final[[#This Row],[mlp_test_acc2]]</f>
        <v>0.96148148148148138</v>
      </c>
    </row>
    <row r="284" spans="1:26" hidden="1" x14ac:dyDescent="0.25">
      <c r="A284" t="s">
        <v>1979</v>
      </c>
      <c r="B284">
        <v>3</v>
      </c>
      <c r="C284">
        <v>3</v>
      </c>
      <c r="D284">
        <v>0</v>
      </c>
      <c r="E284" t="s">
        <v>2216</v>
      </c>
      <c r="F284">
        <v>101110</v>
      </c>
      <c r="G284">
        <v>295260439.83333337</v>
      </c>
      <c r="H284">
        <v>0.9753703773021698</v>
      </c>
      <c r="I284">
        <v>0.96685185185185185</v>
      </c>
      <c r="J284">
        <v>28353988.25</v>
      </c>
      <c r="K284">
        <v>179569</v>
      </c>
      <c r="L284">
        <v>2</v>
      </c>
      <c r="M284">
        <v>281</v>
      </c>
      <c r="N284">
        <v>0.96592592592592585</v>
      </c>
      <c r="O284">
        <v>28883039.166666668</v>
      </c>
      <c r="P284">
        <v>180772</v>
      </c>
      <c r="Q284">
        <v>2</v>
      </c>
      <c r="R284">
        <v>282</v>
      </c>
      <c r="S284" t="s">
        <v>2499</v>
      </c>
      <c r="U284" t="str">
        <f t="shared" si="4"/>
        <v/>
      </c>
      <c r="W284">
        <f>Digits_pres_final[[#This Row],[kan_params]]</f>
        <v>101110</v>
      </c>
      <c r="X284">
        <f>Digits_pres_final[[#This Row],[kan_test_acc]]</f>
        <v>0.9753703773021698</v>
      </c>
      <c r="Y284">
        <f>Digits_pres_final[[#This Row],[mlp_test_acc]]</f>
        <v>0.96685185185185185</v>
      </c>
      <c r="Z284">
        <f>Digits_pres_final[[#This Row],[mlp_test_acc2]]</f>
        <v>0.96592592592592585</v>
      </c>
    </row>
    <row r="285" spans="1:26" hidden="1" x14ac:dyDescent="0.25">
      <c r="A285" t="s">
        <v>1979</v>
      </c>
      <c r="B285">
        <v>3</v>
      </c>
      <c r="C285">
        <v>3</v>
      </c>
      <c r="D285">
        <v>0</v>
      </c>
      <c r="E285" t="s">
        <v>2152</v>
      </c>
      <c r="F285">
        <v>101112</v>
      </c>
      <c r="G285">
        <v>316743503.33333331</v>
      </c>
      <c r="H285">
        <v>0.97074074049790704</v>
      </c>
      <c r="I285">
        <v>0.95907407407407408</v>
      </c>
      <c r="J285">
        <v>30020263</v>
      </c>
      <c r="K285">
        <v>179569</v>
      </c>
      <c r="L285">
        <v>2</v>
      </c>
      <c r="M285">
        <v>281</v>
      </c>
      <c r="N285">
        <v>0.96185185185185185</v>
      </c>
      <c r="O285">
        <v>31022509.25</v>
      </c>
      <c r="P285">
        <v>180772</v>
      </c>
      <c r="Q285">
        <v>2</v>
      </c>
      <c r="R285">
        <v>282</v>
      </c>
      <c r="S285" t="s">
        <v>2468</v>
      </c>
      <c r="U285" t="str">
        <f t="shared" si="4"/>
        <v/>
      </c>
      <c r="W285">
        <f>Digits_pres_final[[#This Row],[kan_params]]</f>
        <v>101112</v>
      </c>
      <c r="X285">
        <f>Digits_pres_final[[#This Row],[kan_test_acc]]</f>
        <v>0.97074074049790704</v>
      </c>
      <c r="Y285">
        <f>Digits_pres_final[[#This Row],[mlp_test_acc]]</f>
        <v>0.95907407407407408</v>
      </c>
      <c r="Z285">
        <f>Digits_pres_final[[#This Row],[mlp_test_acc2]]</f>
        <v>0.96185185185185185</v>
      </c>
    </row>
    <row r="286" spans="1:26" hidden="1" x14ac:dyDescent="0.25">
      <c r="A286" t="s">
        <v>1979</v>
      </c>
      <c r="B286">
        <v>3</v>
      </c>
      <c r="C286">
        <v>2</v>
      </c>
      <c r="D286">
        <v>0</v>
      </c>
      <c r="E286" t="s">
        <v>2168</v>
      </c>
      <c r="F286">
        <v>101144</v>
      </c>
      <c r="G286">
        <v>335969542.66666663</v>
      </c>
      <c r="H286">
        <v>0.98574073115984595</v>
      </c>
      <c r="I286">
        <v>0.97166666666666668</v>
      </c>
      <c r="J286">
        <v>25166424.666666664</v>
      </c>
      <c r="K286">
        <v>163147</v>
      </c>
      <c r="L286">
        <v>2</v>
      </c>
      <c r="M286">
        <v>267</v>
      </c>
      <c r="N286">
        <v>0.97444444444444445</v>
      </c>
      <c r="O286">
        <v>24899692.666666664</v>
      </c>
      <c r="P286">
        <v>164294</v>
      </c>
      <c r="Q286">
        <v>2</v>
      </c>
      <c r="R286">
        <v>268</v>
      </c>
      <c r="S286" t="s">
        <v>2169</v>
      </c>
      <c r="U286" t="str">
        <f t="shared" si="4"/>
        <v/>
      </c>
      <c r="W286">
        <f>Digits_pres_final[[#This Row],[kan_params]]</f>
        <v>101144</v>
      </c>
      <c r="X286">
        <f>Digits_pres_final[[#This Row],[kan_test_acc]]</f>
        <v>0.98574073115984595</v>
      </c>
      <c r="Y286">
        <f>Digits_pres_final[[#This Row],[mlp_test_acc]]</f>
        <v>0.97166666666666668</v>
      </c>
      <c r="Z286">
        <f>Digits_pres_final[[#This Row],[mlp_test_acc2]]</f>
        <v>0.97444444444444445</v>
      </c>
    </row>
    <row r="287" spans="1:26" hidden="1" x14ac:dyDescent="0.25">
      <c r="A287" t="s">
        <v>1979</v>
      </c>
      <c r="B287">
        <v>3</v>
      </c>
      <c r="C287">
        <v>2</v>
      </c>
      <c r="D287">
        <v>0</v>
      </c>
      <c r="E287" t="s">
        <v>2232</v>
      </c>
      <c r="F287">
        <v>101302</v>
      </c>
      <c r="G287">
        <v>153655695.79166669</v>
      </c>
      <c r="H287">
        <v>0.97981482061247038</v>
      </c>
      <c r="I287">
        <v>0.97368055555555555</v>
      </c>
      <c r="J287">
        <v>17994580.177083336</v>
      </c>
      <c r="K287">
        <v>164294</v>
      </c>
      <c r="L287">
        <v>2</v>
      </c>
      <c r="M287">
        <v>268</v>
      </c>
      <c r="N287">
        <v>0.97525462962962961</v>
      </c>
      <c r="O287">
        <v>18073373.09375</v>
      </c>
      <c r="P287">
        <v>165445</v>
      </c>
      <c r="Q287">
        <v>2</v>
      </c>
      <c r="R287">
        <v>269</v>
      </c>
      <c r="S287" t="s">
        <v>2233</v>
      </c>
      <c r="U287" t="str">
        <f t="shared" si="4"/>
        <v/>
      </c>
      <c r="W287">
        <f>Digits_pres_final[[#This Row],[kan_params]]</f>
        <v>101302</v>
      </c>
      <c r="X287">
        <f>Digits_pres_final[[#This Row],[kan_test_acc]]</f>
        <v>0.97981482061247038</v>
      </c>
      <c r="Y287">
        <f>Digits_pres_final[[#This Row],[mlp_test_acc]]</f>
        <v>0.97368055555555555</v>
      </c>
      <c r="Z287">
        <f>Digits_pres_final[[#This Row],[mlp_test_acc2]]</f>
        <v>0.97525462962962961</v>
      </c>
    </row>
    <row r="288" spans="1:26" hidden="1" x14ac:dyDescent="0.25">
      <c r="A288" t="s">
        <v>1979</v>
      </c>
      <c r="B288">
        <v>3</v>
      </c>
      <c r="C288">
        <v>2</v>
      </c>
      <c r="D288">
        <v>0</v>
      </c>
      <c r="E288" t="s">
        <v>2360</v>
      </c>
      <c r="F288">
        <v>101332</v>
      </c>
      <c r="G288">
        <v>379548435.16666663</v>
      </c>
      <c r="H288">
        <v>0.96481481194496155</v>
      </c>
      <c r="I288">
        <v>0.94499999999999995</v>
      </c>
      <c r="J288">
        <v>25742139.25</v>
      </c>
      <c r="K288">
        <v>164294</v>
      </c>
      <c r="L288">
        <v>2</v>
      </c>
      <c r="M288">
        <v>268</v>
      </c>
      <c r="N288">
        <v>0.94592592592592595</v>
      </c>
      <c r="O288">
        <v>27520184.416666664</v>
      </c>
      <c r="P288">
        <v>165445</v>
      </c>
      <c r="Q288">
        <v>2</v>
      </c>
      <c r="R288">
        <v>269</v>
      </c>
      <c r="S288" t="s">
        <v>2361</v>
      </c>
      <c r="U288" t="str">
        <f t="shared" si="4"/>
        <v/>
      </c>
      <c r="W288">
        <f>Digits_pres_final[[#This Row],[kan_params]]</f>
        <v>101332</v>
      </c>
      <c r="X288">
        <f>Digits_pres_final[[#This Row],[kan_test_acc]]</f>
        <v>0.96481481194496155</v>
      </c>
      <c r="Y288">
        <f>Digits_pres_final[[#This Row],[mlp_test_acc]]</f>
        <v>0.94499999999999995</v>
      </c>
      <c r="Z288">
        <f>Digits_pres_final[[#This Row],[mlp_test_acc2]]</f>
        <v>0.94592592592592595</v>
      </c>
    </row>
    <row r="289" spans="1:26" hidden="1" x14ac:dyDescent="0.25">
      <c r="A289" t="s">
        <v>1979</v>
      </c>
      <c r="B289">
        <v>3</v>
      </c>
      <c r="C289">
        <v>2</v>
      </c>
      <c r="D289">
        <v>0</v>
      </c>
      <c r="E289" t="s">
        <v>2042</v>
      </c>
      <c r="F289">
        <v>101630</v>
      </c>
      <c r="G289">
        <v>366220018.33333337</v>
      </c>
      <c r="H289">
        <v>0.9722222238779068</v>
      </c>
      <c r="I289">
        <v>0.96037037037037032</v>
      </c>
      <c r="J289">
        <v>28357430.25</v>
      </c>
      <c r="K289">
        <v>164294</v>
      </c>
      <c r="L289">
        <v>2</v>
      </c>
      <c r="M289">
        <v>268</v>
      </c>
      <c r="N289">
        <v>0.96166666666666667</v>
      </c>
      <c r="O289">
        <v>29328628</v>
      </c>
      <c r="P289">
        <v>165445</v>
      </c>
      <c r="Q289">
        <v>2</v>
      </c>
      <c r="R289">
        <v>269</v>
      </c>
      <c r="S289" t="s">
        <v>2043</v>
      </c>
      <c r="U289" t="str">
        <f t="shared" si="4"/>
        <v/>
      </c>
      <c r="W289">
        <f>Digits_pres_final[[#This Row],[kan_params]]</f>
        <v>101630</v>
      </c>
      <c r="X289">
        <f>Digits_pres_final[[#This Row],[kan_test_acc]]</f>
        <v>0.9722222238779068</v>
      </c>
      <c r="Y289">
        <f>Digits_pres_final[[#This Row],[mlp_test_acc]]</f>
        <v>0.96037037037037032</v>
      </c>
      <c r="Z289">
        <f>Digits_pres_final[[#This Row],[mlp_test_acc2]]</f>
        <v>0.96166666666666667</v>
      </c>
    </row>
    <row r="290" spans="1:26" x14ac:dyDescent="0.25">
      <c r="A290" t="s">
        <v>1979</v>
      </c>
      <c r="B290">
        <v>3</v>
      </c>
      <c r="C290">
        <v>4</v>
      </c>
      <c r="D290">
        <v>0</v>
      </c>
      <c r="E290" t="s">
        <v>2074</v>
      </c>
      <c r="F290">
        <v>101796</v>
      </c>
      <c r="G290">
        <v>361737693</v>
      </c>
      <c r="H290">
        <v>0.96074074506759644</v>
      </c>
      <c r="I290">
        <v>0.96685185185185185</v>
      </c>
      <c r="J290">
        <v>31396655.916666664</v>
      </c>
      <c r="K290">
        <v>193022</v>
      </c>
      <c r="L290">
        <v>2</v>
      </c>
      <c r="M290">
        <v>292</v>
      </c>
      <c r="N290">
        <v>0.97111111111111104</v>
      </c>
      <c r="O290">
        <v>31439535.5</v>
      </c>
      <c r="P290">
        <v>194269</v>
      </c>
      <c r="Q290">
        <v>2</v>
      </c>
      <c r="R290">
        <v>293</v>
      </c>
      <c r="S290" t="s">
        <v>2621</v>
      </c>
      <c r="U290" t="str">
        <f t="shared" si="4"/>
        <v/>
      </c>
      <c r="W290">
        <f>Digits_pres_final[[#This Row],[kan_params]]</f>
        <v>101796</v>
      </c>
      <c r="X290">
        <f>Digits_pres_final[[#This Row],[kan_test_acc]]</f>
        <v>0.96074074506759644</v>
      </c>
      <c r="Y290">
        <f>Digits_pres_final[[#This Row],[mlp_test_acc]]</f>
        <v>0.96685185185185185</v>
      </c>
      <c r="Z290">
        <f>Digits_pres_final[[#This Row],[mlp_test_acc2]]</f>
        <v>0.97111111111111104</v>
      </c>
    </row>
    <row r="291" spans="1:26" hidden="1" x14ac:dyDescent="0.25">
      <c r="A291" t="s">
        <v>1979</v>
      </c>
      <c r="B291">
        <v>3</v>
      </c>
      <c r="C291">
        <v>2</v>
      </c>
      <c r="D291">
        <v>0</v>
      </c>
      <c r="E291" t="s">
        <v>2106</v>
      </c>
      <c r="F291">
        <v>102076</v>
      </c>
      <c r="G291">
        <v>408330699.5</v>
      </c>
      <c r="H291">
        <v>0.97018518050511671</v>
      </c>
      <c r="I291">
        <v>0.96388888888888891</v>
      </c>
      <c r="J291">
        <v>26532630.75</v>
      </c>
      <c r="K291">
        <v>165445</v>
      </c>
      <c r="L291">
        <v>2</v>
      </c>
      <c r="M291">
        <v>269</v>
      </c>
      <c r="N291">
        <v>0.96370370370370373</v>
      </c>
      <c r="O291">
        <v>27880020.833333336</v>
      </c>
      <c r="P291">
        <v>166600</v>
      </c>
      <c r="Q291">
        <v>2</v>
      </c>
      <c r="R291">
        <v>270</v>
      </c>
      <c r="S291" t="s">
        <v>2107</v>
      </c>
      <c r="U291" t="str">
        <f t="shared" si="4"/>
        <v/>
      </c>
      <c r="W291">
        <f>Digits_pres_final[[#This Row],[kan_params]]</f>
        <v>102076</v>
      </c>
      <c r="X291">
        <f>Digits_pres_final[[#This Row],[kan_test_acc]]</f>
        <v>0.97018518050511671</v>
      </c>
      <c r="Y291">
        <f>Digits_pres_final[[#This Row],[mlp_test_acc]]</f>
        <v>0.96388888888888891</v>
      </c>
      <c r="Z291">
        <f>Digits_pres_final[[#This Row],[mlp_test_acc2]]</f>
        <v>0.96370370370370373</v>
      </c>
    </row>
    <row r="292" spans="1:26" hidden="1" x14ac:dyDescent="0.25">
      <c r="A292" t="s">
        <v>1979</v>
      </c>
      <c r="B292">
        <v>3</v>
      </c>
      <c r="C292">
        <v>3</v>
      </c>
      <c r="D292">
        <v>0</v>
      </c>
      <c r="E292" t="s">
        <v>2344</v>
      </c>
      <c r="F292">
        <v>102152</v>
      </c>
      <c r="G292">
        <v>336802107</v>
      </c>
      <c r="H292">
        <v>0.96999999384085334</v>
      </c>
      <c r="I292">
        <v>0.95203703703703701</v>
      </c>
      <c r="J292">
        <v>31424097.083333332</v>
      </c>
      <c r="K292">
        <v>180772</v>
      </c>
      <c r="L292">
        <v>2</v>
      </c>
      <c r="M292">
        <v>282</v>
      </c>
      <c r="N292">
        <v>0.95611111111111113</v>
      </c>
      <c r="O292">
        <v>32078643.416666668</v>
      </c>
      <c r="P292">
        <v>181979</v>
      </c>
      <c r="Q292">
        <v>2</v>
      </c>
      <c r="R292">
        <v>283</v>
      </c>
      <c r="S292" t="s">
        <v>2563</v>
      </c>
      <c r="U292" t="str">
        <f t="shared" si="4"/>
        <v/>
      </c>
      <c r="W292">
        <f>Digits_pres_final[[#This Row],[kan_params]]</f>
        <v>102152</v>
      </c>
      <c r="X292">
        <f>Digits_pres_final[[#This Row],[kan_test_acc]]</f>
        <v>0.96999999384085334</v>
      </c>
      <c r="Y292">
        <f>Digits_pres_final[[#This Row],[mlp_test_acc]]</f>
        <v>0.95203703703703701</v>
      </c>
      <c r="Z292">
        <f>Digits_pres_final[[#This Row],[mlp_test_acc2]]</f>
        <v>0.95611111111111113</v>
      </c>
    </row>
    <row r="293" spans="1:26" hidden="1" x14ac:dyDescent="0.25">
      <c r="A293" t="s">
        <v>1979</v>
      </c>
      <c r="B293">
        <v>3</v>
      </c>
      <c r="C293">
        <v>3</v>
      </c>
      <c r="D293">
        <v>0</v>
      </c>
      <c r="E293" t="s">
        <v>2090</v>
      </c>
      <c r="F293">
        <v>102304</v>
      </c>
      <c r="G293">
        <v>275420731.80952382</v>
      </c>
      <c r="H293">
        <v>0.96899471325533737</v>
      </c>
      <c r="I293">
        <v>0.96013227513227517</v>
      </c>
      <c r="J293">
        <v>26810120.869047619</v>
      </c>
      <c r="K293">
        <v>180772</v>
      </c>
      <c r="L293">
        <v>2</v>
      </c>
      <c r="M293">
        <v>282</v>
      </c>
      <c r="N293">
        <v>0.95907407407407397</v>
      </c>
      <c r="O293">
        <v>27174045.202380951</v>
      </c>
      <c r="P293">
        <v>181979</v>
      </c>
      <c r="Q293">
        <v>2</v>
      </c>
      <c r="R293">
        <v>283</v>
      </c>
      <c r="S293" t="s">
        <v>2438</v>
      </c>
      <c r="U293" t="str">
        <f t="shared" si="4"/>
        <v/>
      </c>
      <c r="W293">
        <f>Digits_pres_final[[#This Row],[kan_params]]</f>
        <v>102304</v>
      </c>
      <c r="X293">
        <f>Digits_pres_final[[#This Row],[kan_test_acc]]</f>
        <v>0.96899471325533737</v>
      </c>
      <c r="Y293">
        <f>Digits_pres_final[[#This Row],[mlp_test_acc]]</f>
        <v>0.96013227513227517</v>
      </c>
      <c r="Z293">
        <f>Digits_pres_final[[#This Row],[mlp_test_acc2]]</f>
        <v>0.95907407407407397</v>
      </c>
    </row>
    <row r="294" spans="1:26" hidden="1" x14ac:dyDescent="0.25">
      <c r="A294" t="s">
        <v>1979</v>
      </c>
      <c r="B294">
        <v>3</v>
      </c>
      <c r="C294">
        <v>2</v>
      </c>
      <c r="D294">
        <v>0</v>
      </c>
      <c r="E294" t="s">
        <v>2170</v>
      </c>
      <c r="F294">
        <v>102394</v>
      </c>
      <c r="G294">
        <v>353445840.08333331</v>
      </c>
      <c r="H294">
        <v>0.9862962861855824</v>
      </c>
      <c r="I294">
        <v>0.97074074074074068</v>
      </c>
      <c r="J294">
        <v>24930672.083333332</v>
      </c>
      <c r="K294">
        <v>165445</v>
      </c>
      <c r="L294">
        <v>2</v>
      </c>
      <c r="M294">
        <v>269</v>
      </c>
      <c r="N294">
        <v>0.97518518518518515</v>
      </c>
      <c r="O294">
        <v>25768981.25</v>
      </c>
      <c r="P294">
        <v>166600</v>
      </c>
      <c r="Q294">
        <v>2</v>
      </c>
      <c r="R294">
        <v>270</v>
      </c>
      <c r="S294" t="s">
        <v>2171</v>
      </c>
      <c r="U294" t="str">
        <f t="shared" si="4"/>
        <v/>
      </c>
      <c r="W294">
        <f>Digits_pres_final[[#This Row],[kan_params]]</f>
        <v>102394</v>
      </c>
      <c r="X294">
        <f>Digits_pres_final[[#This Row],[kan_test_acc]]</f>
        <v>0.9862962861855824</v>
      </c>
      <c r="Y294">
        <f>Digits_pres_final[[#This Row],[mlp_test_acc]]</f>
        <v>0.97074074074074068</v>
      </c>
      <c r="Z294">
        <f>Digits_pres_final[[#This Row],[mlp_test_acc2]]</f>
        <v>0.97518518518518515</v>
      </c>
    </row>
    <row r="295" spans="1:26" hidden="1" x14ac:dyDescent="0.25">
      <c r="A295" t="s">
        <v>1979</v>
      </c>
      <c r="B295">
        <v>3</v>
      </c>
      <c r="C295">
        <v>3</v>
      </c>
      <c r="D295">
        <v>0</v>
      </c>
      <c r="E295" t="s">
        <v>2282</v>
      </c>
      <c r="F295">
        <v>102406</v>
      </c>
      <c r="G295">
        <v>288798007.41666669</v>
      </c>
      <c r="H295">
        <v>0.97296297550201416</v>
      </c>
      <c r="I295">
        <v>0.95814814814814819</v>
      </c>
      <c r="J295">
        <v>31281756.25</v>
      </c>
      <c r="K295">
        <v>180772</v>
      </c>
      <c r="L295">
        <v>2</v>
      </c>
      <c r="M295">
        <v>282</v>
      </c>
      <c r="N295">
        <v>0.96203703703703702</v>
      </c>
      <c r="O295">
        <v>31413651.5</v>
      </c>
      <c r="P295">
        <v>181979</v>
      </c>
      <c r="Q295">
        <v>2</v>
      </c>
      <c r="R295">
        <v>283</v>
      </c>
      <c r="S295" t="s">
        <v>2531</v>
      </c>
      <c r="U295" t="str">
        <f t="shared" si="4"/>
        <v/>
      </c>
      <c r="W295">
        <f>Digits_pres_final[[#This Row],[kan_params]]</f>
        <v>102406</v>
      </c>
      <c r="X295">
        <f>Digits_pres_final[[#This Row],[kan_test_acc]]</f>
        <v>0.97296297550201416</v>
      </c>
      <c r="Y295">
        <f>Digits_pres_final[[#This Row],[mlp_test_acc]]</f>
        <v>0.95814814814814819</v>
      </c>
      <c r="Z295">
        <f>Digits_pres_final[[#This Row],[mlp_test_acc2]]</f>
        <v>0.96203703703703702</v>
      </c>
    </row>
    <row r="296" spans="1:26" hidden="1" x14ac:dyDescent="0.25">
      <c r="A296" t="s">
        <v>1979</v>
      </c>
      <c r="B296">
        <v>3</v>
      </c>
      <c r="C296">
        <v>3</v>
      </c>
      <c r="D296">
        <v>0</v>
      </c>
      <c r="E296" t="s">
        <v>2154</v>
      </c>
      <c r="F296">
        <v>102482</v>
      </c>
      <c r="G296">
        <v>319517482.58333331</v>
      </c>
      <c r="H296">
        <v>0.97333333392937982</v>
      </c>
      <c r="I296">
        <v>0.96018518518518514</v>
      </c>
      <c r="J296">
        <v>29977932.166666664</v>
      </c>
      <c r="K296">
        <v>181979</v>
      </c>
      <c r="L296">
        <v>2</v>
      </c>
      <c r="M296">
        <v>283</v>
      </c>
      <c r="N296">
        <v>0.96537037037037032</v>
      </c>
      <c r="O296">
        <v>31164563</v>
      </c>
      <c r="P296">
        <v>183190</v>
      </c>
      <c r="Q296">
        <v>2</v>
      </c>
      <c r="R296">
        <v>284</v>
      </c>
      <c r="S296" t="s">
        <v>2469</v>
      </c>
      <c r="U296" t="str">
        <f t="shared" si="4"/>
        <v/>
      </c>
      <c r="W296">
        <f>Digits_pres_final[[#This Row],[kan_params]]</f>
        <v>102482</v>
      </c>
      <c r="X296">
        <f>Digits_pres_final[[#This Row],[kan_test_acc]]</f>
        <v>0.97333333392937982</v>
      </c>
      <c r="Y296">
        <f>Digits_pres_final[[#This Row],[mlp_test_acc]]</f>
        <v>0.96018518518518514</v>
      </c>
      <c r="Z296">
        <f>Digits_pres_final[[#This Row],[mlp_test_acc2]]</f>
        <v>0.96537037037037032</v>
      </c>
    </row>
    <row r="297" spans="1:26" hidden="1" x14ac:dyDescent="0.25">
      <c r="A297" t="s">
        <v>1979</v>
      </c>
      <c r="B297">
        <v>3</v>
      </c>
      <c r="C297">
        <v>3</v>
      </c>
      <c r="D297">
        <v>0</v>
      </c>
      <c r="E297" t="s">
        <v>2218</v>
      </c>
      <c r="F297">
        <v>102516</v>
      </c>
      <c r="G297">
        <v>292614424.58333337</v>
      </c>
      <c r="H297">
        <v>0.97370371222496033</v>
      </c>
      <c r="I297">
        <v>0.96777777777777785</v>
      </c>
      <c r="J297">
        <v>29552612.916666668</v>
      </c>
      <c r="K297">
        <v>181979</v>
      </c>
      <c r="L297">
        <v>2</v>
      </c>
      <c r="M297">
        <v>283</v>
      </c>
      <c r="N297">
        <v>0.9664814814814815</v>
      </c>
      <c r="O297">
        <v>29236425.416666668</v>
      </c>
      <c r="P297">
        <v>183190</v>
      </c>
      <c r="Q297">
        <v>2</v>
      </c>
      <c r="R297">
        <v>284</v>
      </c>
      <c r="S297" t="s">
        <v>2500</v>
      </c>
      <c r="U297" t="str">
        <f t="shared" si="4"/>
        <v/>
      </c>
      <c r="W297">
        <f>Digits_pres_final[[#This Row],[kan_params]]</f>
        <v>102516</v>
      </c>
      <c r="X297">
        <f>Digits_pres_final[[#This Row],[kan_test_acc]]</f>
        <v>0.97370371222496033</v>
      </c>
      <c r="Y297">
        <f>Digits_pres_final[[#This Row],[mlp_test_acc]]</f>
        <v>0.96777777777777785</v>
      </c>
      <c r="Z297">
        <f>Digits_pres_final[[#This Row],[mlp_test_acc2]]</f>
        <v>0.9664814814814815</v>
      </c>
    </row>
    <row r="298" spans="1:26" hidden="1" x14ac:dyDescent="0.25">
      <c r="A298" t="s">
        <v>1979</v>
      </c>
      <c r="B298">
        <v>3</v>
      </c>
      <c r="C298">
        <v>2</v>
      </c>
      <c r="D298">
        <v>0</v>
      </c>
      <c r="E298" t="s">
        <v>2234</v>
      </c>
      <c r="F298">
        <v>102584</v>
      </c>
      <c r="G298">
        <v>232145793.66666669</v>
      </c>
      <c r="H298">
        <v>0.99185185631116235</v>
      </c>
      <c r="I298">
        <v>0.97944444444444445</v>
      </c>
      <c r="J298">
        <v>18933902.083333336</v>
      </c>
      <c r="K298">
        <v>165445</v>
      </c>
      <c r="L298">
        <v>2</v>
      </c>
      <c r="M298">
        <v>269</v>
      </c>
      <c r="N298">
        <v>0.98074074074074069</v>
      </c>
      <c r="O298">
        <v>18294315.25</v>
      </c>
      <c r="P298">
        <v>166600</v>
      </c>
      <c r="Q298">
        <v>2</v>
      </c>
      <c r="R298">
        <v>270</v>
      </c>
      <c r="S298" t="s">
        <v>2235</v>
      </c>
      <c r="U298" t="str">
        <f t="shared" si="4"/>
        <v/>
      </c>
      <c r="W298">
        <f>Digits_pres_final[[#This Row],[kan_params]]</f>
        <v>102584</v>
      </c>
      <c r="X298">
        <f>Digits_pres_final[[#This Row],[kan_test_acc]]</f>
        <v>0.99185185631116235</v>
      </c>
      <c r="Y298">
        <f>Digits_pres_final[[#This Row],[mlp_test_acc]]</f>
        <v>0.97944444444444445</v>
      </c>
      <c r="Z298">
        <f>Digits_pres_final[[#This Row],[mlp_test_acc2]]</f>
        <v>0.98074074074074069</v>
      </c>
    </row>
    <row r="299" spans="1:26" hidden="1" x14ac:dyDescent="0.25">
      <c r="A299" t="s">
        <v>1979</v>
      </c>
      <c r="B299">
        <v>3</v>
      </c>
      <c r="C299">
        <v>2</v>
      </c>
      <c r="D299">
        <v>0</v>
      </c>
      <c r="E299" t="s">
        <v>2298</v>
      </c>
      <c r="F299">
        <v>102646</v>
      </c>
      <c r="G299">
        <v>136960570.69791669</v>
      </c>
      <c r="H299">
        <v>0.97650462451080489</v>
      </c>
      <c r="I299">
        <v>0.97099537037037043</v>
      </c>
      <c r="J299">
        <v>17203374.229166664</v>
      </c>
      <c r="K299">
        <v>166600</v>
      </c>
      <c r="L299">
        <v>2</v>
      </c>
      <c r="M299">
        <v>270</v>
      </c>
      <c r="N299">
        <v>0.9719212962962962</v>
      </c>
      <c r="O299">
        <v>17615569.78125</v>
      </c>
      <c r="P299">
        <v>167759</v>
      </c>
      <c r="Q299">
        <v>2</v>
      </c>
      <c r="R299">
        <v>271</v>
      </c>
      <c r="S299" t="s">
        <v>2299</v>
      </c>
      <c r="U299" t="str">
        <f t="shared" si="4"/>
        <v/>
      </c>
      <c r="W299">
        <f>Digits_pres_final[[#This Row],[kan_params]]</f>
        <v>102646</v>
      </c>
      <c r="X299">
        <f>Digits_pres_final[[#This Row],[kan_test_acc]]</f>
        <v>0.97650462451080489</v>
      </c>
      <c r="Y299">
        <f>Digits_pres_final[[#This Row],[mlp_test_acc]]</f>
        <v>0.97099537037037043</v>
      </c>
      <c r="Z299">
        <f>Digits_pres_final[[#This Row],[mlp_test_acc2]]</f>
        <v>0.9719212962962962</v>
      </c>
    </row>
    <row r="300" spans="1:26" hidden="1" x14ac:dyDescent="0.25">
      <c r="A300" t="s">
        <v>1979</v>
      </c>
      <c r="B300">
        <v>3</v>
      </c>
      <c r="C300">
        <v>2</v>
      </c>
      <c r="D300">
        <v>0</v>
      </c>
      <c r="E300" t="s">
        <v>2044</v>
      </c>
      <c r="F300">
        <v>102816</v>
      </c>
      <c r="G300">
        <v>401877105.58333337</v>
      </c>
      <c r="H300">
        <v>0.97092592219511675</v>
      </c>
      <c r="I300">
        <v>0.9605555555555555</v>
      </c>
      <c r="J300">
        <v>29150027.916666664</v>
      </c>
      <c r="K300">
        <v>166600</v>
      </c>
      <c r="L300">
        <v>2</v>
      </c>
      <c r="M300">
        <v>270</v>
      </c>
      <c r="N300">
        <v>0.96203703703703702</v>
      </c>
      <c r="O300">
        <v>30268418.333333336</v>
      </c>
      <c r="P300">
        <v>167759</v>
      </c>
      <c r="Q300">
        <v>2</v>
      </c>
      <c r="R300">
        <v>271</v>
      </c>
      <c r="S300" t="s">
        <v>2045</v>
      </c>
      <c r="U300" t="str">
        <f t="shared" si="4"/>
        <v/>
      </c>
      <c r="W300">
        <f>Digits_pres_final[[#This Row],[kan_params]]</f>
        <v>102816</v>
      </c>
      <c r="X300">
        <f>Digits_pres_final[[#This Row],[kan_test_acc]]</f>
        <v>0.97092592219511675</v>
      </c>
      <c r="Y300">
        <f>Digits_pres_final[[#This Row],[mlp_test_acc]]</f>
        <v>0.9605555555555555</v>
      </c>
      <c r="Z300">
        <f>Digits_pres_final[[#This Row],[mlp_test_acc2]]</f>
        <v>0.96203703703703702</v>
      </c>
    </row>
    <row r="301" spans="1:26" x14ac:dyDescent="0.25">
      <c r="A301" t="s">
        <v>1979</v>
      </c>
      <c r="B301">
        <v>3</v>
      </c>
      <c r="C301">
        <v>4</v>
      </c>
      <c r="D301">
        <v>0</v>
      </c>
      <c r="E301" t="s">
        <v>2076</v>
      </c>
      <c r="F301">
        <v>103278</v>
      </c>
      <c r="G301">
        <v>379776790.33333337</v>
      </c>
      <c r="H301">
        <v>0.96018519004185987</v>
      </c>
      <c r="I301">
        <v>0.96796296296296291</v>
      </c>
      <c r="J301">
        <v>31964863.416666664</v>
      </c>
      <c r="K301">
        <v>195520</v>
      </c>
      <c r="L301">
        <v>2</v>
      </c>
      <c r="M301">
        <v>294</v>
      </c>
      <c r="N301">
        <v>0.97074074074074068</v>
      </c>
      <c r="O301">
        <v>31507530.416666668</v>
      </c>
      <c r="P301">
        <v>196775</v>
      </c>
      <c r="Q301">
        <v>2</v>
      </c>
      <c r="R301">
        <v>295</v>
      </c>
      <c r="S301" t="s">
        <v>2622</v>
      </c>
      <c r="U301" t="str">
        <f t="shared" si="4"/>
        <v/>
      </c>
      <c r="W301">
        <f>Digits_pres_final[[#This Row],[kan_params]]</f>
        <v>103278</v>
      </c>
      <c r="X301">
        <f>Digits_pres_final[[#This Row],[kan_test_acc]]</f>
        <v>0.96018519004185987</v>
      </c>
      <c r="Y301">
        <f>Digits_pres_final[[#This Row],[mlp_test_acc]]</f>
        <v>0.96796296296296291</v>
      </c>
      <c r="Z301">
        <f>Digits_pres_final[[#This Row],[mlp_test_acc2]]</f>
        <v>0.97074074074074068</v>
      </c>
    </row>
    <row r="302" spans="1:26" hidden="1" x14ac:dyDescent="0.25">
      <c r="A302" t="s">
        <v>1979</v>
      </c>
      <c r="B302">
        <v>3</v>
      </c>
      <c r="C302">
        <v>2</v>
      </c>
      <c r="D302">
        <v>0</v>
      </c>
      <c r="E302" t="s">
        <v>2108</v>
      </c>
      <c r="F302">
        <v>103294</v>
      </c>
      <c r="G302">
        <v>416159489.83333331</v>
      </c>
      <c r="H302">
        <v>0.97499999403953552</v>
      </c>
      <c r="I302">
        <v>0.96685185185185185</v>
      </c>
      <c r="J302">
        <v>27248529.5</v>
      </c>
      <c r="K302">
        <v>166600</v>
      </c>
      <c r="L302">
        <v>2</v>
      </c>
      <c r="M302">
        <v>270</v>
      </c>
      <c r="N302">
        <v>0.97055555555555562</v>
      </c>
      <c r="O302">
        <v>28121724.416666664</v>
      </c>
      <c r="P302">
        <v>167759</v>
      </c>
      <c r="Q302">
        <v>2</v>
      </c>
      <c r="R302">
        <v>271</v>
      </c>
      <c r="S302" t="s">
        <v>2109</v>
      </c>
      <c r="U302" t="str">
        <f t="shared" si="4"/>
        <v/>
      </c>
      <c r="W302">
        <f>Digits_pres_final[[#This Row],[kan_params]]</f>
        <v>103294</v>
      </c>
      <c r="X302">
        <f>Digits_pres_final[[#This Row],[kan_test_acc]]</f>
        <v>0.97499999403953552</v>
      </c>
      <c r="Y302">
        <f>Digits_pres_final[[#This Row],[mlp_test_acc]]</f>
        <v>0.96685185185185185</v>
      </c>
      <c r="Z302">
        <f>Digits_pres_final[[#This Row],[mlp_test_acc2]]</f>
        <v>0.97055555555555562</v>
      </c>
    </row>
    <row r="303" spans="1:26" hidden="1" x14ac:dyDescent="0.25">
      <c r="A303" t="s">
        <v>1979</v>
      </c>
      <c r="B303">
        <v>3</v>
      </c>
      <c r="C303">
        <v>3</v>
      </c>
      <c r="D303">
        <v>0</v>
      </c>
      <c r="E303" t="s">
        <v>2346</v>
      </c>
      <c r="F303">
        <v>103630</v>
      </c>
      <c r="G303">
        <v>313219818.5</v>
      </c>
      <c r="H303">
        <v>0.96574073533217109</v>
      </c>
      <c r="I303">
        <v>0.94944444444444442</v>
      </c>
      <c r="J303">
        <v>32058512.333333332</v>
      </c>
      <c r="K303">
        <v>183190</v>
      </c>
      <c r="L303">
        <v>2</v>
      </c>
      <c r="M303">
        <v>284</v>
      </c>
      <c r="N303">
        <v>0.95574074074074078</v>
      </c>
      <c r="O303">
        <v>32386954.916666668</v>
      </c>
      <c r="P303">
        <v>184405</v>
      </c>
      <c r="Q303">
        <v>2</v>
      </c>
      <c r="R303">
        <v>285</v>
      </c>
      <c r="S303" t="s">
        <v>2564</v>
      </c>
      <c r="U303" t="str">
        <f t="shared" si="4"/>
        <v/>
      </c>
      <c r="W303">
        <f>Digits_pres_final[[#This Row],[kan_params]]</f>
        <v>103630</v>
      </c>
      <c r="X303">
        <f>Digits_pres_final[[#This Row],[kan_test_acc]]</f>
        <v>0.96574073533217109</v>
      </c>
      <c r="Y303">
        <f>Digits_pres_final[[#This Row],[mlp_test_acc]]</f>
        <v>0.94944444444444442</v>
      </c>
      <c r="Z303">
        <f>Digits_pres_final[[#This Row],[mlp_test_acc2]]</f>
        <v>0.95574074074074078</v>
      </c>
    </row>
    <row r="304" spans="1:26" hidden="1" x14ac:dyDescent="0.25">
      <c r="A304" t="s">
        <v>1979</v>
      </c>
      <c r="B304">
        <v>3</v>
      </c>
      <c r="C304">
        <v>3</v>
      </c>
      <c r="D304">
        <v>0</v>
      </c>
      <c r="E304" t="s">
        <v>2026</v>
      </c>
      <c r="F304">
        <v>103638</v>
      </c>
      <c r="G304">
        <v>190515513.5</v>
      </c>
      <c r="H304">
        <v>0.96203703184922529</v>
      </c>
      <c r="I304">
        <v>0.96</v>
      </c>
      <c r="J304">
        <v>25136313.166666664</v>
      </c>
      <c r="K304">
        <v>183190</v>
      </c>
      <c r="L304">
        <v>2</v>
      </c>
      <c r="M304">
        <v>284</v>
      </c>
      <c r="N304">
        <v>0.96592592592592597</v>
      </c>
      <c r="O304">
        <v>25035015.916666668</v>
      </c>
      <c r="P304">
        <v>184405</v>
      </c>
      <c r="Q304">
        <v>2</v>
      </c>
      <c r="R304">
        <v>285</v>
      </c>
      <c r="S304" t="s">
        <v>2406</v>
      </c>
      <c r="U304" t="str">
        <f t="shared" si="4"/>
        <v/>
      </c>
      <c r="W304">
        <f>Digits_pres_final[[#This Row],[kan_params]]</f>
        <v>103638</v>
      </c>
      <c r="X304">
        <f>Digits_pres_final[[#This Row],[kan_test_acc]]</f>
        <v>0.96203703184922529</v>
      </c>
      <c r="Y304">
        <f>Digits_pres_final[[#This Row],[mlp_test_acc]]</f>
        <v>0.96</v>
      </c>
      <c r="Z304">
        <f>Digits_pres_final[[#This Row],[mlp_test_acc2]]</f>
        <v>0.96592592592592597</v>
      </c>
    </row>
    <row r="305" spans="1:26" hidden="1" x14ac:dyDescent="0.25">
      <c r="A305" t="s">
        <v>1979</v>
      </c>
      <c r="B305">
        <v>3</v>
      </c>
      <c r="C305">
        <v>2</v>
      </c>
      <c r="D305">
        <v>0</v>
      </c>
      <c r="E305" t="s">
        <v>2172</v>
      </c>
      <c r="F305">
        <v>103644</v>
      </c>
      <c r="G305">
        <v>337296193</v>
      </c>
      <c r="H305">
        <v>0.98555554449558258</v>
      </c>
      <c r="I305">
        <v>0.97129629629629632</v>
      </c>
      <c r="J305">
        <v>25684880.25</v>
      </c>
      <c r="K305">
        <v>167759</v>
      </c>
      <c r="L305">
        <v>2</v>
      </c>
      <c r="M305">
        <v>271</v>
      </c>
      <c r="N305">
        <v>0.97296296296296303</v>
      </c>
      <c r="O305">
        <v>26175335.75</v>
      </c>
      <c r="P305">
        <v>168922</v>
      </c>
      <c r="Q305">
        <v>2</v>
      </c>
      <c r="R305">
        <v>272</v>
      </c>
      <c r="S305" t="s">
        <v>2173</v>
      </c>
      <c r="U305" t="str">
        <f t="shared" si="4"/>
        <v/>
      </c>
      <c r="W305">
        <f>Digits_pres_final[[#This Row],[kan_params]]</f>
        <v>103644</v>
      </c>
      <c r="X305">
        <f>Digits_pres_final[[#This Row],[kan_test_acc]]</f>
        <v>0.98555554449558258</v>
      </c>
      <c r="Y305">
        <f>Digits_pres_final[[#This Row],[mlp_test_acc]]</f>
        <v>0.97129629629629632</v>
      </c>
      <c r="Z305">
        <f>Digits_pres_final[[#This Row],[mlp_test_acc2]]</f>
        <v>0.97296296296296303</v>
      </c>
    </row>
    <row r="306" spans="1:26" hidden="1" x14ac:dyDescent="0.25">
      <c r="A306" t="s">
        <v>1979</v>
      </c>
      <c r="B306">
        <v>3</v>
      </c>
      <c r="C306">
        <v>3</v>
      </c>
      <c r="D306">
        <v>0</v>
      </c>
      <c r="E306" t="s">
        <v>2284</v>
      </c>
      <c r="F306">
        <v>103848</v>
      </c>
      <c r="G306">
        <v>304059690.91666669</v>
      </c>
      <c r="H306">
        <v>0.97722222407658887</v>
      </c>
      <c r="I306">
        <v>0.96259259259259267</v>
      </c>
      <c r="J306">
        <v>31251145.666666668</v>
      </c>
      <c r="K306">
        <v>184405</v>
      </c>
      <c r="L306">
        <v>2</v>
      </c>
      <c r="M306">
        <v>285</v>
      </c>
      <c r="N306">
        <v>0.96851851851851856</v>
      </c>
      <c r="O306">
        <v>30696562.583333332</v>
      </c>
      <c r="P306">
        <v>185624</v>
      </c>
      <c r="Q306">
        <v>2</v>
      </c>
      <c r="R306">
        <v>286</v>
      </c>
      <c r="S306" t="s">
        <v>2532</v>
      </c>
      <c r="U306" t="str">
        <f t="shared" si="4"/>
        <v/>
      </c>
      <c r="W306">
        <f>Digits_pres_final[[#This Row],[kan_params]]</f>
        <v>103848</v>
      </c>
      <c r="X306">
        <f>Digits_pres_final[[#This Row],[kan_test_acc]]</f>
        <v>0.97722222407658887</v>
      </c>
      <c r="Y306">
        <f>Digits_pres_final[[#This Row],[mlp_test_acc]]</f>
        <v>0.96259259259259267</v>
      </c>
      <c r="Z306">
        <f>Digits_pres_final[[#This Row],[mlp_test_acc2]]</f>
        <v>0.96851851851851856</v>
      </c>
    </row>
    <row r="307" spans="1:26" hidden="1" x14ac:dyDescent="0.25">
      <c r="A307" t="s">
        <v>1979</v>
      </c>
      <c r="B307">
        <v>3</v>
      </c>
      <c r="C307">
        <v>3</v>
      </c>
      <c r="D307">
        <v>0</v>
      </c>
      <c r="E307" t="s">
        <v>2156</v>
      </c>
      <c r="F307">
        <v>103852</v>
      </c>
      <c r="G307">
        <v>315861311.41666663</v>
      </c>
      <c r="H307">
        <v>0.97259258727232623</v>
      </c>
      <c r="I307">
        <v>0.96092592592592596</v>
      </c>
      <c r="J307">
        <v>31010371.25</v>
      </c>
      <c r="K307">
        <v>184405</v>
      </c>
      <c r="L307">
        <v>2</v>
      </c>
      <c r="M307">
        <v>285</v>
      </c>
      <c r="N307">
        <v>0.96444444444444444</v>
      </c>
      <c r="O307">
        <v>30649153.583333336</v>
      </c>
      <c r="P307">
        <v>185624</v>
      </c>
      <c r="Q307">
        <v>2</v>
      </c>
      <c r="R307">
        <v>286</v>
      </c>
      <c r="S307" t="s">
        <v>2470</v>
      </c>
      <c r="U307" t="str">
        <f t="shared" si="4"/>
        <v/>
      </c>
      <c r="W307">
        <f>Digits_pres_final[[#This Row],[kan_params]]</f>
        <v>103852</v>
      </c>
      <c r="X307">
        <f>Digits_pres_final[[#This Row],[kan_test_acc]]</f>
        <v>0.97259258727232623</v>
      </c>
      <c r="Y307">
        <f>Digits_pres_final[[#This Row],[mlp_test_acc]]</f>
        <v>0.96092592592592596</v>
      </c>
      <c r="Z307">
        <f>Digits_pres_final[[#This Row],[mlp_test_acc2]]</f>
        <v>0.96444444444444444</v>
      </c>
    </row>
    <row r="308" spans="1:26" hidden="1" x14ac:dyDescent="0.25">
      <c r="A308" t="s">
        <v>1979</v>
      </c>
      <c r="B308">
        <v>3</v>
      </c>
      <c r="C308">
        <v>2</v>
      </c>
      <c r="D308">
        <v>0</v>
      </c>
      <c r="E308" t="s">
        <v>2236</v>
      </c>
      <c r="F308">
        <v>103866</v>
      </c>
      <c r="G308">
        <v>234018504.83333331</v>
      </c>
      <c r="H308">
        <v>0.98777777453263604</v>
      </c>
      <c r="I308">
        <v>0.98018518518518516</v>
      </c>
      <c r="J308">
        <v>18155622.916666664</v>
      </c>
      <c r="K308">
        <v>167759</v>
      </c>
      <c r="L308">
        <v>2</v>
      </c>
      <c r="M308">
        <v>271</v>
      </c>
      <c r="N308">
        <v>0.98185185185185175</v>
      </c>
      <c r="O308">
        <v>18881906.75</v>
      </c>
      <c r="P308">
        <v>168922</v>
      </c>
      <c r="Q308">
        <v>2</v>
      </c>
      <c r="R308">
        <v>272</v>
      </c>
      <c r="S308" t="s">
        <v>2237</v>
      </c>
      <c r="U308" t="str">
        <f t="shared" si="4"/>
        <v/>
      </c>
      <c r="W308">
        <f>Digits_pres_final[[#This Row],[kan_params]]</f>
        <v>103866</v>
      </c>
      <c r="X308">
        <f>Digits_pres_final[[#This Row],[kan_test_acc]]</f>
        <v>0.98777777453263604</v>
      </c>
      <c r="Y308">
        <f>Digits_pres_final[[#This Row],[mlp_test_acc]]</f>
        <v>0.98018518518518516</v>
      </c>
      <c r="Z308">
        <f>Digits_pres_final[[#This Row],[mlp_test_acc2]]</f>
        <v>0.98185185185185175</v>
      </c>
    </row>
    <row r="309" spans="1:26" hidden="1" x14ac:dyDescent="0.25">
      <c r="A309" t="s">
        <v>1979</v>
      </c>
      <c r="B309">
        <v>3</v>
      </c>
      <c r="C309">
        <v>3</v>
      </c>
      <c r="D309">
        <v>0</v>
      </c>
      <c r="E309" t="s">
        <v>2220</v>
      </c>
      <c r="F309">
        <v>103922</v>
      </c>
      <c r="G309">
        <v>353971332.66666663</v>
      </c>
      <c r="H309">
        <v>0.96962963044643402</v>
      </c>
      <c r="I309">
        <v>0.96851851851851856</v>
      </c>
      <c r="J309">
        <v>30495194.083333336</v>
      </c>
      <c r="K309">
        <v>184405</v>
      </c>
      <c r="L309">
        <v>2</v>
      </c>
      <c r="M309">
        <v>285</v>
      </c>
      <c r="N309">
        <v>0.96851851851851856</v>
      </c>
      <c r="O309">
        <v>29348299.416666668</v>
      </c>
      <c r="P309">
        <v>185624</v>
      </c>
      <c r="Q309">
        <v>2</v>
      </c>
      <c r="R309">
        <v>286</v>
      </c>
      <c r="S309" t="s">
        <v>2501</v>
      </c>
      <c r="U309" t="str">
        <f t="shared" si="4"/>
        <v/>
      </c>
      <c r="W309">
        <f>Digits_pres_final[[#This Row],[kan_params]]</f>
        <v>103922</v>
      </c>
      <c r="X309">
        <f>Digits_pres_final[[#This Row],[kan_test_acc]]</f>
        <v>0.96962963044643402</v>
      </c>
      <c r="Y309">
        <f>Digits_pres_final[[#This Row],[mlp_test_acc]]</f>
        <v>0.96851851851851856</v>
      </c>
      <c r="Z309">
        <f>Digits_pres_final[[#This Row],[mlp_test_acc2]]</f>
        <v>0.96851851851851856</v>
      </c>
    </row>
    <row r="310" spans="1:26" hidden="1" x14ac:dyDescent="0.25">
      <c r="A310" t="s">
        <v>1979</v>
      </c>
      <c r="B310">
        <v>3</v>
      </c>
      <c r="C310">
        <v>2</v>
      </c>
      <c r="D310">
        <v>0</v>
      </c>
      <c r="E310" t="s">
        <v>2300</v>
      </c>
      <c r="F310">
        <v>103960</v>
      </c>
      <c r="G310">
        <v>219439323.61458334</v>
      </c>
      <c r="H310">
        <v>0.9670601741721232</v>
      </c>
      <c r="I310">
        <v>0.95488425925925924</v>
      </c>
      <c r="J310">
        <v>22513535.979166664</v>
      </c>
      <c r="K310">
        <v>167759</v>
      </c>
      <c r="L310">
        <v>2</v>
      </c>
      <c r="M310">
        <v>271</v>
      </c>
      <c r="N310">
        <v>0.95543981481481477</v>
      </c>
      <c r="O310">
        <v>22276849.197916664</v>
      </c>
      <c r="P310">
        <v>168922</v>
      </c>
      <c r="Q310">
        <v>2</v>
      </c>
      <c r="R310">
        <v>272</v>
      </c>
      <c r="S310" t="s">
        <v>2301</v>
      </c>
      <c r="U310" t="str">
        <f t="shared" si="4"/>
        <v/>
      </c>
      <c r="W310">
        <f>Digits_pres_final[[#This Row],[kan_params]]</f>
        <v>103960</v>
      </c>
      <c r="X310">
        <f>Digits_pres_final[[#This Row],[kan_test_acc]]</f>
        <v>0.9670601741721232</v>
      </c>
      <c r="Y310">
        <f>Digits_pres_final[[#This Row],[mlp_test_acc]]</f>
        <v>0.95488425925925924</v>
      </c>
      <c r="Z310">
        <f>Digits_pres_final[[#This Row],[mlp_test_acc2]]</f>
        <v>0.95543981481481477</v>
      </c>
    </row>
    <row r="311" spans="1:26" hidden="1" x14ac:dyDescent="0.25">
      <c r="A311" t="s">
        <v>1979</v>
      </c>
      <c r="B311">
        <v>3</v>
      </c>
      <c r="C311">
        <v>2</v>
      </c>
      <c r="D311">
        <v>0</v>
      </c>
      <c r="E311" t="s">
        <v>2046</v>
      </c>
      <c r="F311">
        <v>104002</v>
      </c>
      <c r="G311">
        <v>419698166.66666669</v>
      </c>
      <c r="H311">
        <v>0.97203703224658966</v>
      </c>
      <c r="I311">
        <v>0.95981481481481479</v>
      </c>
      <c r="J311">
        <v>29990503.5</v>
      </c>
      <c r="K311">
        <v>167759</v>
      </c>
      <c r="L311">
        <v>2</v>
      </c>
      <c r="M311">
        <v>271</v>
      </c>
      <c r="N311">
        <v>0.96277777777777773</v>
      </c>
      <c r="O311">
        <v>29820339.333333336</v>
      </c>
      <c r="P311">
        <v>168922</v>
      </c>
      <c r="Q311">
        <v>2</v>
      </c>
      <c r="R311">
        <v>272</v>
      </c>
      <c r="S311" t="s">
        <v>2047</v>
      </c>
      <c r="U311" t="str">
        <f t="shared" si="4"/>
        <v/>
      </c>
      <c r="W311">
        <f>Digits_pres_final[[#This Row],[kan_params]]</f>
        <v>104002</v>
      </c>
      <c r="X311">
        <f>Digits_pres_final[[#This Row],[kan_test_acc]]</f>
        <v>0.97203703224658966</v>
      </c>
      <c r="Y311">
        <f>Digits_pres_final[[#This Row],[mlp_test_acc]]</f>
        <v>0.95981481481481479</v>
      </c>
      <c r="Z311">
        <f>Digits_pres_final[[#This Row],[mlp_test_acc2]]</f>
        <v>0.96277777777777773</v>
      </c>
    </row>
    <row r="312" spans="1:26" hidden="1" x14ac:dyDescent="0.25">
      <c r="A312" t="s">
        <v>1979</v>
      </c>
      <c r="B312">
        <v>3</v>
      </c>
      <c r="C312">
        <v>2</v>
      </c>
      <c r="D312">
        <v>0</v>
      </c>
      <c r="E312" t="s">
        <v>2110</v>
      </c>
      <c r="F312">
        <v>104512</v>
      </c>
      <c r="G312">
        <v>423120176.58333331</v>
      </c>
      <c r="H312">
        <v>0.97833332916100824</v>
      </c>
      <c r="I312">
        <v>0.96703703703703703</v>
      </c>
      <c r="J312">
        <v>28028262.916666664</v>
      </c>
      <c r="K312">
        <v>168922</v>
      </c>
      <c r="L312">
        <v>2</v>
      </c>
      <c r="M312">
        <v>272</v>
      </c>
      <c r="N312">
        <v>0.9714814814814815</v>
      </c>
      <c r="O312">
        <v>28389981.833333332</v>
      </c>
      <c r="P312">
        <v>170089</v>
      </c>
      <c r="Q312">
        <v>2</v>
      </c>
      <c r="R312">
        <v>273</v>
      </c>
      <c r="S312" t="s">
        <v>2111</v>
      </c>
      <c r="U312" t="str">
        <f t="shared" si="4"/>
        <v/>
      </c>
      <c r="W312">
        <f>Digits_pres_final[[#This Row],[kan_params]]</f>
        <v>104512</v>
      </c>
      <c r="X312">
        <f>Digits_pres_final[[#This Row],[kan_test_acc]]</f>
        <v>0.97833332916100824</v>
      </c>
      <c r="Y312">
        <f>Digits_pres_final[[#This Row],[mlp_test_acc]]</f>
        <v>0.96703703703703703</v>
      </c>
      <c r="Z312">
        <f>Digits_pres_final[[#This Row],[mlp_test_acc2]]</f>
        <v>0.9714814814814815</v>
      </c>
    </row>
    <row r="313" spans="1:26" x14ac:dyDescent="0.25">
      <c r="A313" t="s">
        <v>1979</v>
      </c>
      <c r="B313">
        <v>3</v>
      </c>
      <c r="C313">
        <v>4</v>
      </c>
      <c r="D313">
        <v>0</v>
      </c>
      <c r="E313" t="s">
        <v>2078</v>
      </c>
      <c r="F313">
        <v>104760</v>
      </c>
      <c r="G313">
        <v>335275566.91666669</v>
      </c>
      <c r="H313">
        <v>0.96462963024775183</v>
      </c>
      <c r="I313">
        <v>0.96888888888888891</v>
      </c>
      <c r="J313">
        <v>31830021.416666664</v>
      </c>
      <c r="K313">
        <v>198034</v>
      </c>
      <c r="L313">
        <v>2</v>
      </c>
      <c r="M313">
        <v>296</v>
      </c>
      <c r="N313">
        <v>0.97129629629629632</v>
      </c>
      <c r="O313">
        <v>31195876.916666668</v>
      </c>
      <c r="P313">
        <v>199297</v>
      </c>
      <c r="Q313">
        <v>2</v>
      </c>
      <c r="R313">
        <v>297</v>
      </c>
      <c r="S313" t="s">
        <v>2623</v>
      </c>
      <c r="U313" t="str">
        <f t="shared" si="4"/>
        <v/>
      </c>
      <c r="W313">
        <f>Digits_pres_final[[#This Row],[kan_params]]</f>
        <v>104760</v>
      </c>
      <c r="X313">
        <f>Digits_pres_final[[#This Row],[kan_test_acc]]</f>
        <v>0.96462963024775183</v>
      </c>
      <c r="Y313">
        <f>Digits_pres_final[[#This Row],[mlp_test_acc]]</f>
        <v>0.96888888888888891</v>
      </c>
      <c r="Z313">
        <f>Digits_pres_final[[#This Row],[mlp_test_acc2]]</f>
        <v>0.97129629629629632</v>
      </c>
    </row>
    <row r="314" spans="1:26" hidden="1" x14ac:dyDescent="0.25">
      <c r="A314" t="s">
        <v>1979</v>
      </c>
      <c r="B314">
        <v>3</v>
      </c>
      <c r="C314">
        <v>2</v>
      </c>
      <c r="D314">
        <v>0</v>
      </c>
      <c r="E314" t="s">
        <v>2174</v>
      </c>
      <c r="F314">
        <v>104894</v>
      </c>
      <c r="G314">
        <v>331024833.83333337</v>
      </c>
      <c r="H314">
        <v>0.98703702787558245</v>
      </c>
      <c r="I314">
        <v>0.97185185185185186</v>
      </c>
      <c r="J314">
        <v>26084696.583333336</v>
      </c>
      <c r="K314">
        <v>170089</v>
      </c>
      <c r="L314">
        <v>2</v>
      </c>
      <c r="M314">
        <v>273</v>
      </c>
      <c r="N314">
        <v>0.9714814814814815</v>
      </c>
      <c r="O314">
        <v>26740861.083333336</v>
      </c>
      <c r="P314">
        <v>171260</v>
      </c>
      <c r="Q314">
        <v>2</v>
      </c>
      <c r="R314">
        <v>274</v>
      </c>
      <c r="S314" t="s">
        <v>2175</v>
      </c>
      <c r="U314" t="str">
        <f t="shared" si="4"/>
        <v/>
      </c>
      <c r="W314">
        <f>Digits_pres_final[[#This Row],[kan_params]]</f>
        <v>104894</v>
      </c>
      <c r="X314">
        <f>Digits_pres_final[[#This Row],[kan_test_acc]]</f>
        <v>0.98703702787558245</v>
      </c>
      <c r="Y314">
        <f>Digits_pres_final[[#This Row],[mlp_test_acc]]</f>
        <v>0.97185185185185186</v>
      </c>
      <c r="Z314">
        <f>Digits_pres_final[[#This Row],[mlp_test_acc2]]</f>
        <v>0.9714814814814815</v>
      </c>
    </row>
    <row r="315" spans="1:26" hidden="1" x14ac:dyDescent="0.25">
      <c r="A315" t="s">
        <v>1979</v>
      </c>
      <c r="B315">
        <v>3</v>
      </c>
      <c r="C315">
        <v>3</v>
      </c>
      <c r="D315">
        <v>0</v>
      </c>
      <c r="E315" t="s">
        <v>2028</v>
      </c>
      <c r="F315">
        <v>104972</v>
      </c>
      <c r="G315">
        <v>263003884.91666669</v>
      </c>
      <c r="H315">
        <v>0.96574074029922485</v>
      </c>
      <c r="I315">
        <v>0.96111111111111103</v>
      </c>
      <c r="J315">
        <v>28730832.833333332</v>
      </c>
      <c r="K315">
        <v>185624</v>
      </c>
      <c r="L315">
        <v>2</v>
      </c>
      <c r="M315">
        <v>286</v>
      </c>
      <c r="N315">
        <v>0.96611111111111114</v>
      </c>
      <c r="O315">
        <v>28945352.583333336</v>
      </c>
      <c r="P315">
        <v>186847</v>
      </c>
      <c r="Q315">
        <v>2</v>
      </c>
      <c r="R315">
        <v>287</v>
      </c>
      <c r="S315" t="s">
        <v>2407</v>
      </c>
      <c r="U315" t="str">
        <f t="shared" si="4"/>
        <v/>
      </c>
      <c r="W315">
        <f>Digits_pres_final[[#This Row],[kan_params]]</f>
        <v>104972</v>
      </c>
      <c r="X315">
        <f>Digits_pres_final[[#This Row],[kan_test_acc]]</f>
        <v>0.96574074029922485</v>
      </c>
      <c r="Y315">
        <f>Digits_pres_final[[#This Row],[mlp_test_acc]]</f>
        <v>0.96111111111111103</v>
      </c>
      <c r="Z315">
        <f>Digits_pres_final[[#This Row],[mlp_test_acc2]]</f>
        <v>0.96611111111111114</v>
      </c>
    </row>
    <row r="316" spans="1:26" hidden="1" x14ac:dyDescent="0.25">
      <c r="A316" t="s">
        <v>1979</v>
      </c>
      <c r="B316">
        <v>3</v>
      </c>
      <c r="C316">
        <v>3</v>
      </c>
      <c r="D316">
        <v>0</v>
      </c>
      <c r="E316" t="s">
        <v>2348</v>
      </c>
      <c r="F316">
        <v>105108</v>
      </c>
      <c r="G316">
        <v>296636659.66666663</v>
      </c>
      <c r="H316">
        <v>0.97203703721364332</v>
      </c>
      <c r="I316">
        <v>0.94907407407407407</v>
      </c>
      <c r="J316">
        <v>33510279.25</v>
      </c>
      <c r="K316">
        <v>185624</v>
      </c>
      <c r="L316">
        <v>2</v>
      </c>
      <c r="M316">
        <v>286</v>
      </c>
      <c r="N316">
        <v>0.95518518518518514</v>
      </c>
      <c r="O316">
        <v>31985425.083333336</v>
      </c>
      <c r="P316">
        <v>186847</v>
      </c>
      <c r="Q316">
        <v>2</v>
      </c>
      <c r="R316">
        <v>287</v>
      </c>
      <c r="S316" t="s">
        <v>2565</v>
      </c>
      <c r="U316" t="str">
        <f t="shared" si="4"/>
        <v/>
      </c>
      <c r="W316">
        <f>Digits_pres_final[[#This Row],[kan_params]]</f>
        <v>105108</v>
      </c>
      <c r="X316">
        <f>Digits_pres_final[[#This Row],[kan_test_acc]]</f>
        <v>0.97203703721364332</v>
      </c>
      <c r="Y316">
        <f>Digits_pres_final[[#This Row],[mlp_test_acc]]</f>
        <v>0.94907407407407407</v>
      </c>
      <c r="Z316">
        <f>Digits_pres_final[[#This Row],[mlp_test_acc2]]</f>
        <v>0.95518518518518514</v>
      </c>
    </row>
    <row r="317" spans="1:26" hidden="1" x14ac:dyDescent="0.25">
      <c r="A317" t="s">
        <v>1979</v>
      </c>
      <c r="B317">
        <v>3</v>
      </c>
      <c r="C317">
        <v>2</v>
      </c>
      <c r="D317">
        <v>0</v>
      </c>
      <c r="E317" t="s">
        <v>2238</v>
      </c>
      <c r="F317">
        <v>105148</v>
      </c>
      <c r="G317">
        <v>218505690.16666666</v>
      </c>
      <c r="H317">
        <v>0.98777777453263604</v>
      </c>
      <c r="I317">
        <v>0.98018518518518516</v>
      </c>
      <c r="J317">
        <v>17842108.25</v>
      </c>
      <c r="K317">
        <v>170089</v>
      </c>
      <c r="L317">
        <v>2</v>
      </c>
      <c r="M317">
        <v>273</v>
      </c>
      <c r="N317">
        <v>0.98166666666666669</v>
      </c>
      <c r="O317">
        <v>19131365.916666664</v>
      </c>
      <c r="P317">
        <v>171260</v>
      </c>
      <c r="Q317">
        <v>2</v>
      </c>
      <c r="R317">
        <v>274</v>
      </c>
      <c r="S317" t="s">
        <v>2239</v>
      </c>
      <c r="U317" t="str">
        <f t="shared" si="4"/>
        <v/>
      </c>
      <c r="W317">
        <f>Digits_pres_final[[#This Row],[kan_params]]</f>
        <v>105148</v>
      </c>
      <c r="X317">
        <f>Digits_pres_final[[#This Row],[kan_test_acc]]</f>
        <v>0.98777777453263604</v>
      </c>
      <c r="Y317">
        <f>Digits_pres_final[[#This Row],[mlp_test_acc]]</f>
        <v>0.98018518518518516</v>
      </c>
      <c r="Z317">
        <f>Digits_pres_final[[#This Row],[mlp_test_acc2]]</f>
        <v>0.98166666666666669</v>
      </c>
    </row>
    <row r="318" spans="1:26" hidden="1" x14ac:dyDescent="0.25">
      <c r="A318" t="s">
        <v>1979</v>
      </c>
      <c r="B318">
        <v>3</v>
      </c>
      <c r="C318">
        <v>2</v>
      </c>
      <c r="D318">
        <v>0</v>
      </c>
      <c r="E318" t="s">
        <v>2048</v>
      </c>
      <c r="F318">
        <v>105188</v>
      </c>
      <c r="G318">
        <v>443499732.58333337</v>
      </c>
      <c r="H318">
        <v>0.9774074057737987</v>
      </c>
      <c r="I318">
        <v>0.9588888888888889</v>
      </c>
      <c r="J318">
        <v>29631160.416666664</v>
      </c>
      <c r="K318">
        <v>170089</v>
      </c>
      <c r="L318">
        <v>2</v>
      </c>
      <c r="M318">
        <v>273</v>
      </c>
      <c r="N318">
        <v>0.96111111111111103</v>
      </c>
      <c r="O318">
        <v>29836432.416666664</v>
      </c>
      <c r="P318">
        <v>171260</v>
      </c>
      <c r="Q318">
        <v>2</v>
      </c>
      <c r="R318">
        <v>274</v>
      </c>
      <c r="S318" t="s">
        <v>2049</v>
      </c>
      <c r="U318" t="str">
        <f t="shared" si="4"/>
        <v/>
      </c>
      <c r="W318">
        <f>Digits_pres_final[[#This Row],[kan_params]]</f>
        <v>105188</v>
      </c>
      <c r="X318">
        <f>Digits_pres_final[[#This Row],[kan_test_acc]]</f>
        <v>0.9774074057737987</v>
      </c>
      <c r="Y318">
        <f>Digits_pres_final[[#This Row],[mlp_test_acc]]</f>
        <v>0.9588888888888889</v>
      </c>
      <c r="Z318">
        <f>Digits_pres_final[[#This Row],[mlp_test_acc2]]</f>
        <v>0.96111111111111103</v>
      </c>
    </row>
    <row r="319" spans="1:26" hidden="1" x14ac:dyDescent="0.25">
      <c r="A319" t="s">
        <v>1979</v>
      </c>
      <c r="B319">
        <v>3</v>
      </c>
      <c r="C319">
        <v>3</v>
      </c>
      <c r="D319">
        <v>0</v>
      </c>
      <c r="E319" t="s">
        <v>2158</v>
      </c>
      <c r="F319">
        <v>105222</v>
      </c>
      <c r="G319">
        <v>317212452.41666663</v>
      </c>
      <c r="H319">
        <v>0.97277777393658948</v>
      </c>
      <c r="I319">
        <v>0.96185185185185185</v>
      </c>
      <c r="J319">
        <v>31260771.416666668</v>
      </c>
      <c r="K319">
        <v>186847</v>
      </c>
      <c r="L319">
        <v>2</v>
      </c>
      <c r="M319">
        <v>287</v>
      </c>
      <c r="N319">
        <v>0.96166666666666667</v>
      </c>
      <c r="O319">
        <v>30954436.416666668</v>
      </c>
      <c r="P319">
        <v>188074</v>
      </c>
      <c r="Q319">
        <v>2</v>
      </c>
      <c r="R319">
        <v>288</v>
      </c>
      <c r="S319" t="s">
        <v>2471</v>
      </c>
      <c r="U319" t="str">
        <f t="shared" si="4"/>
        <v/>
      </c>
      <c r="W319">
        <f>Digits_pres_final[[#This Row],[kan_params]]</f>
        <v>105222</v>
      </c>
      <c r="X319">
        <f>Digits_pres_final[[#This Row],[kan_test_acc]]</f>
        <v>0.97277777393658948</v>
      </c>
      <c r="Y319">
        <f>Digits_pres_final[[#This Row],[mlp_test_acc]]</f>
        <v>0.96185185185185185</v>
      </c>
      <c r="Z319">
        <f>Digits_pres_final[[#This Row],[mlp_test_acc2]]</f>
        <v>0.96166666666666667</v>
      </c>
    </row>
    <row r="320" spans="1:26" hidden="1" x14ac:dyDescent="0.25">
      <c r="A320" t="s">
        <v>1979</v>
      </c>
      <c r="B320">
        <v>3</v>
      </c>
      <c r="C320">
        <v>2</v>
      </c>
      <c r="D320">
        <v>0</v>
      </c>
      <c r="E320" t="s">
        <v>2302</v>
      </c>
      <c r="F320">
        <v>105274</v>
      </c>
      <c r="G320">
        <v>356791730.91666669</v>
      </c>
      <c r="H320">
        <v>0.9637036919593811</v>
      </c>
      <c r="I320">
        <v>0.94444444444444442</v>
      </c>
      <c r="J320">
        <v>27449234.833333332</v>
      </c>
      <c r="K320">
        <v>170089</v>
      </c>
      <c r="L320">
        <v>2</v>
      </c>
      <c r="M320">
        <v>273</v>
      </c>
      <c r="N320">
        <v>0.94518518518518513</v>
      </c>
      <c r="O320">
        <v>25998876.25</v>
      </c>
      <c r="P320">
        <v>171260</v>
      </c>
      <c r="Q320">
        <v>2</v>
      </c>
      <c r="R320">
        <v>274</v>
      </c>
      <c r="S320" t="s">
        <v>2303</v>
      </c>
      <c r="U320" t="str">
        <f t="shared" si="4"/>
        <v/>
      </c>
      <c r="W320">
        <f>Digits_pres_final[[#This Row],[kan_params]]</f>
        <v>105274</v>
      </c>
      <c r="X320">
        <f>Digits_pres_final[[#This Row],[kan_test_acc]]</f>
        <v>0.9637036919593811</v>
      </c>
      <c r="Y320">
        <f>Digits_pres_final[[#This Row],[mlp_test_acc]]</f>
        <v>0.94444444444444442</v>
      </c>
      <c r="Z320">
        <f>Digits_pres_final[[#This Row],[mlp_test_acc2]]</f>
        <v>0.94518518518518513</v>
      </c>
    </row>
    <row r="321" spans="1:26" hidden="1" x14ac:dyDescent="0.25">
      <c r="A321" t="s">
        <v>1979</v>
      </c>
      <c r="B321">
        <v>3</v>
      </c>
      <c r="C321">
        <v>3</v>
      </c>
      <c r="D321">
        <v>0</v>
      </c>
      <c r="E321" t="s">
        <v>2286</v>
      </c>
      <c r="F321">
        <v>105290</v>
      </c>
      <c r="G321">
        <v>311216861.25</v>
      </c>
      <c r="H321">
        <v>0.98185184597969055</v>
      </c>
      <c r="I321">
        <v>0.97092592592592597</v>
      </c>
      <c r="J321">
        <v>31517183.583333336</v>
      </c>
      <c r="K321">
        <v>186847</v>
      </c>
      <c r="L321">
        <v>2</v>
      </c>
      <c r="M321">
        <v>287</v>
      </c>
      <c r="N321">
        <v>0.97444444444444445</v>
      </c>
      <c r="O321">
        <v>31165016.833333332</v>
      </c>
      <c r="P321">
        <v>188074</v>
      </c>
      <c r="Q321">
        <v>2</v>
      </c>
      <c r="R321">
        <v>288</v>
      </c>
      <c r="S321" t="s">
        <v>2533</v>
      </c>
      <c r="U321" t="str">
        <f t="shared" si="4"/>
        <v/>
      </c>
      <c r="W321">
        <f>Digits_pres_final[[#This Row],[kan_params]]</f>
        <v>105290</v>
      </c>
      <c r="X321">
        <f>Digits_pres_final[[#This Row],[kan_test_acc]]</f>
        <v>0.98185184597969055</v>
      </c>
      <c r="Y321">
        <f>Digits_pres_final[[#This Row],[mlp_test_acc]]</f>
        <v>0.97092592592592597</v>
      </c>
      <c r="Z321">
        <f>Digits_pres_final[[#This Row],[mlp_test_acc2]]</f>
        <v>0.97444444444444445</v>
      </c>
    </row>
    <row r="322" spans="1:26" hidden="1" x14ac:dyDescent="0.25">
      <c r="A322" t="s">
        <v>1979</v>
      </c>
      <c r="B322">
        <v>3</v>
      </c>
      <c r="C322">
        <v>3</v>
      </c>
      <c r="D322">
        <v>0</v>
      </c>
      <c r="E322" t="s">
        <v>2222</v>
      </c>
      <c r="F322">
        <v>105328</v>
      </c>
      <c r="G322">
        <v>364108238.16666663</v>
      </c>
      <c r="H322">
        <v>0.96499999364217115</v>
      </c>
      <c r="I322">
        <v>0.96537037037037043</v>
      </c>
      <c r="J322">
        <v>29975565.083333336</v>
      </c>
      <c r="K322">
        <v>186847</v>
      </c>
      <c r="L322">
        <v>2</v>
      </c>
      <c r="M322">
        <v>287</v>
      </c>
      <c r="N322">
        <v>0.96685185185185185</v>
      </c>
      <c r="O322">
        <v>30245564.5</v>
      </c>
      <c r="P322">
        <v>188074</v>
      </c>
      <c r="Q322">
        <v>2</v>
      </c>
      <c r="R322">
        <v>288</v>
      </c>
      <c r="S322" t="s">
        <v>2502</v>
      </c>
      <c r="U322" t="str">
        <f t="shared" si="4"/>
        <v/>
      </c>
      <c r="W322">
        <f>Digits_pres_final[[#This Row],[kan_params]]</f>
        <v>105328</v>
      </c>
      <c r="X322">
        <f>Digits_pres_final[[#This Row],[kan_test_acc]]</f>
        <v>0.96499999364217115</v>
      </c>
      <c r="Y322">
        <f>Digits_pres_final[[#This Row],[mlp_test_acc]]</f>
        <v>0.96537037037037043</v>
      </c>
      <c r="Z322">
        <f>Digits_pres_final[[#This Row],[mlp_test_acc2]]</f>
        <v>0.96685185185185185</v>
      </c>
    </row>
    <row r="323" spans="1:26" hidden="1" x14ac:dyDescent="0.25">
      <c r="A323" t="s">
        <v>1979</v>
      </c>
      <c r="B323">
        <v>3</v>
      </c>
      <c r="C323">
        <v>2</v>
      </c>
      <c r="D323">
        <v>0</v>
      </c>
      <c r="E323" t="s">
        <v>2112</v>
      </c>
      <c r="F323">
        <v>105730</v>
      </c>
      <c r="G323">
        <v>418832361.5</v>
      </c>
      <c r="H323">
        <v>0.97944443921248125</v>
      </c>
      <c r="I323">
        <v>0.96851851851851856</v>
      </c>
      <c r="J323">
        <v>27816531.25</v>
      </c>
      <c r="K323">
        <v>171260</v>
      </c>
      <c r="L323">
        <v>2</v>
      </c>
      <c r="M323">
        <v>274</v>
      </c>
      <c r="N323">
        <v>0.96796296296296291</v>
      </c>
      <c r="O323">
        <v>28321391.833333332</v>
      </c>
      <c r="P323">
        <v>172435</v>
      </c>
      <c r="Q323">
        <v>2</v>
      </c>
      <c r="R323">
        <v>275</v>
      </c>
      <c r="S323" t="s">
        <v>2113</v>
      </c>
      <c r="U323" t="str">
        <f t="shared" ref="U323:U386" si="5">IF(F324=F325,1,"")</f>
        <v/>
      </c>
      <c r="W323">
        <f>Digits_pres_final[[#This Row],[kan_params]]</f>
        <v>105730</v>
      </c>
      <c r="X323">
        <f>Digits_pres_final[[#This Row],[kan_test_acc]]</f>
        <v>0.97944443921248125</v>
      </c>
      <c r="Y323">
        <f>Digits_pres_final[[#This Row],[mlp_test_acc]]</f>
        <v>0.96851851851851856</v>
      </c>
      <c r="Z323">
        <f>Digits_pres_final[[#This Row],[mlp_test_acc2]]</f>
        <v>0.96796296296296291</v>
      </c>
    </row>
    <row r="324" spans="1:26" hidden="1" x14ac:dyDescent="0.25">
      <c r="A324" t="s">
        <v>1979</v>
      </c>
      <c r="B324">
        <v>3</v>
      </c>
      <c r="C324">
        <v>2</v>
      </c>
      <c r="D324">
        <v>0</v>
      </c>
      <c r="E324" t="s">
        <v>2176</v>
      </c>
      <c r="F324">
        <v>106144</v>
      </c>
      <c r="G324">
        <v>346620359.41666663</v>
      </c>
      <c r="H324">
        <v>0.98666665951410937</v>
      </c>
      <c r="I324">
        <v>0.97055555555555562</v>
      </c>
      <c r="J324">
        <v>26031543.25</v>
      </c>
      <c r="K324">
        <v>171260</v>
      </c>
      <c r="L324">
        <v>2</v>
      </c>
      <c r="M324">
        <v>274</v>
      </c>
      <c r="N324">
        <v>0.97111111111111104</v>
      </c>
      <c r="O324">
        <v>27056932</v>
      </c>
      <c r="P324">
        <v>172435</v>
      </c>
      <c r="Q324">
        <v>2</v>
      </c>
      <c r="R324">
        <v>275</v>
      </c>
      <c r="S324" t="s">
        <v>2177</v>
      </c>
      <c r="U324" t="str">
        <f t="shared" si="5"/>
        <v/>
      </c>
      <c r="W324">
        <f>Digits_pres_final[[#This Row],[kan_params]]</f>
        <v>106144</v>
      </c>
      <c r="X324">
        <f>Digits_pres_final[[#This Row],[kan_test_acc]]</f>
        <v>0.98666665951410937</v>
      </c>
      <c r="Y324">
        <f>Digits_pres_final[[#This Row],[mlp_test_acc]]</f>
        <v>0.97055555555555562</v>
      </c>
      <c r="Z324">
        <f>Digits_pres_final[[#This Row],[mlp_test_acc2]]</f>
        <v>0.97111111111111104</v>
      </c>
    </row>
    <row r="325" spans="1:26" x14ac:dyDescent="0.25">
      <c r="A325" t="s">
        <v>1979</v>
      </c>
      <c r="B325">
        <v>3</v>
      </c>
      <c r="C325">
        <v>4</v>
      </c>
      <c r="D325">
        <v>0</v>
      </c>
      <c r="E325" t="s">
        <v>2080</v>
      </c>
      <c r="F325">
        <v>106242</v>
      </c>
      <c r="G325">
        <v>323828422.5</v>
      </c>
      <c r="H325">
        <v>0.96666666368643439</v>
      </c>
      <c r="I325">
        <v>0.96907407407407409</v>
      </c>
      <c r="J325">
        <v>30724231.916666664</v>
      </c>
      <c r="K325">
        <v>200564</v>
      </c>
      <c r="L325">
        <v>2</v>
      </c>
      <c r="M325">
        <v>298</v>
      </c>
      <c r="N325">
        <v>0.97037037037037033</v>
      </c>
      <c r="O325">
        <v>31813729.5</v>
      </c>
      <c r="P325">
        <v>201835</v>
      </c>
      <c r="Q325">
        <v>2</v>
      </c>
      <c r="R325">
        <v>299</v>
      </c>
      <c r="S325" t="s">
        <v>2624</v>
      </c>
      <c r="U325" t="str">
        <f t="shared" si="5"/>
        <v/>
      </c>
      <c r="W325">
        <f>Digits_pres_final[[#This Row],[kan_params]]</f>
        <v>106242</v>
      </c>
      <c r="X325">
        <f>Digits_pres_final[[#This Row],[kan_test_acc]]</f>
        <v>0.96666666368643439</v>
      </c>
      <c r="Y325">
        <f>Digits_pres_final[[#This Row],[mlp_test_acc]]</f>
        <v>0.96907407407407409</v>
      </c>
      <c r="Z325">
        <f>Digits_pres_final[[#This Row],[mlp_test_acc2]]</f>
        <v>0.97037037037037033</v>
      </c>
    </row>
    <row r="326" spans="1:26" hidden="1" x14ac:dyDescent="0.25">
      <c r="A326" t="s">
        <v>1979</v>
      </c>
      <c r="B326">
        <v>3</v>
      </c>
      <c r="C326">
        <v>3</v>
      </c>
      <c r="D326">
        <v>0</v>
      </c>
      <c r="E326" t="s">
        <v>2030</v>
      </c>
      <c r="F326">
        <v>106306</v>
      </c>
      <c r="G326">
        <v>328599298.83333337</v>
      </c>
      <c r="H326">
        <v>0.96944444874922442</v>
      </c>
      <c r="I326">
        <v>0.96037037037037032</v>
      </c>
      <c r="J326">
        <v>32421049.166666664</v>
      </c>
      <c r="K326">
        <v>188074</v>
      </c>
      <c r="L326">
        <v>2</v>
      </c>
      <c r="M326">
        <v>288</v>
      </c>
      <c r="N326">
        <v>0.96185185185185185</v>
      </c>
      <c r="O326">
        <v>32698115</v>
      </c>
      <c r="P326">
        <v>189305</v>
      </c>
      <c r="Q326">
        <v>2</v>
      </c>
      <c r="R326">
        <v>289</v>
      </c>
      <c r="S326" t="s">
        <v>2408</v>
      </c>
      <c r="U326" t="str">
        <f t="shared" si="5"/>
        <v/>
      </c>
      <c r="W326">
        <f>Digits_pres_final[[#This Row],[kan_params]]</f>
        <v>106306</v>
      </c>
      <c r="X326">
        <f>Digits_pres_final[[#This Row],[kan_test_acc]]</f>
        <v>0.96944444874922442</v>
      </c>
      <c r="Y326">
        <f>Digits_pres_final[[#This Row],[mlp_test_acc]]</f>
        <v>0.96037037037037032</v>
      </c>
      <c r="Z326">
        <f>Digits_pres_final[[#This Row],[mlp_test_acc2]]</f>
        <v>0.96185185185185185</v>
      </c>
    </row>
    <row r="327" spans="1:26" hidden="1" x14ac:dyDescent="0.25">
      <c r="A327" t="s">
        <v>1979</v>
      </c>
      <c r="B327">
        <v>3</v>
      </c>
      <c r="C327">
        <v>2</v>
      </c>
      <c r="D327">
        <v>0</v>
      </c>
      <c r="E327" t="s">
        <v>2050</v>
      </c>
      <c r="F327">
        <v>106374</v>
      </c>
      <c r="G327">
        <v>448269451.5</v>
      </c>
      <c r="H327">
        <v>0.97962962587674463</v>
      </c>
      <c r="I327">
        <v>0.95925925925925926</v>
      </c>
      <c r="J327">
        <v>29470861.583333332</v>
      </c>
      <c r="K327">
        <v>172435</v>
      </c>
      <c r="L327">
        <v>2</v>
      </c>
      <c r="M327">
        <v>275</v>
      </c>
      <c r="N327">
        <v>0.96037037037037032</v>
      </c>
      <c r="O327">
        <v>30521500.75</v>
      </c>
      <c r="P327">
        <v>173614</v>
      </c>
      <c r="Q327">
        <v>2</v>
      </c>
      <c r="R327">
        <v>276</v>
      </c>
      <c r="S327" t="s">
        <v>2051</v>
      </c>
      <c r="U327" t="str">
        <f t="shared" si="5"/>
        <v/>
      </c>
      <c r="W327">
        <f>Digits_pres_final[[#This Row],[kan_params]]</f>
        <v>106374</v>
      </c>
      <c r="X327">
        <f>Digits_pres_final[[#This Row],[kan_test_acc]]</f>
        <v>0.97962962587674463</v>
      </c>
      <c r="Y327">
        <f>Digits_pres_final[[#This Row],[mlp_test_acc]]</f>
        <v>0.95925925925925926</v>
      </c>
      <c r="Z327">
        <f>Digits_pres_final[[#This Row],[mlp_test_acc2]]</f>
        <v>0.96037037037037032</v>
      </c>
    </row>
    <row r="328" spans="1:26" hidden="1" x14ac:dyDescent="0.25">
      <c r="A328" t="s">
        <v>1979</v>
      </c>
      <c r="B328">
        <v>3</v>
      </c>
      <c r="C328">
        <v>2</v>
      </c>
      <c r="D328">
        <v>0</v>
      </c>
      <c r="E328" t="s">
        <v>2240</v>
      </c>
      <c r="F328">
        <v>106430</v>
      </c>
      <c r="G328">
        <v>202864312.33333331</v>
      </c>
      <c r="H328">
        <v>0.99129629135131836</v>
      </c>
      <c r="I328">
        <v>0.98018518518518516</v>
      </c>
      <c r="J328">
        <v>18729177.583333336</v>
      </c>
      <c r="K328">
        <v>172435</v>
      </c>
      <c r="L328">
        <v>2</v>
      </c>
      <c r="M328">
        <v>275</v>
      </c>
      <c r="N328">
        <v>0.97870370370370363</v>
      </c>
      <c r="O328">
        <v>18979482.833333332</v>
      </c>
      <c r="P328">
        <v>173614</v>
      </c>
      <c r="Q328">
        <v>2</v>
      </c>
      <c r="R328">
        <v>276</v>
      </c>
      <c r="S328" t="s">
        <v>2241</v>
      </c>
      <c r="U328" t="str">
        <f t="shared" si="5"/>
        <v/>
      </c>
      <c r="W328">
        <f>Digits_pres_final[[#This Row],[kan_params]]</f>
        <v>106430</v>
      </c>
      <c r="X328">
        <f>Digits_pres_final[[#This Row],[kan_test_acc]]</f>
        <v>0.99129629135131836</v>
      </c>
      <c r="Y328">
        <f>Digits_pres_final[[#This Row],[mlp_test_acc]]</f>
        <v>0.98018518518518516</v>
      </c>
      <c r="Z328">
        <f>Digits_pres_final[[#This Row],[mlp_test_acc2]]</f>
        <v>0.97870370370370363</v>
      </c>
    </row>
    <row r="329" spans="1:26" hidden="1" x14ac:dyDescent="0.25">
      <c r="A329" t="s">
        <v>1979</v>
      </c>
      <c r="B329">
        <v>3</v>
      </c>
      <c r="C329">
        <v>3</v>
      </c>
      <c r="D329">
        <v>0</v>
      </c>
      <c r="E329" t="s">
        <v>2350</v>
      </c>
      <c r="F329">
        <v>106586</v>
      </c>
      <c r="G329">
        <v>318667039.58333337</v>
      </c>
      <c r="H329">
        <v>0.97222221891085314</v>
      </c>
      <c r="I329">
        <v>0.9505555555555556</v>
      </c>
      <c r="J329">
        <v>33153766.25</v>
      </c>
      <c r="K329">
        <v>189305</v>
      </c>
      <c r="L329">
        <v>2</v>
      </c>
      <c r="M329">
        <v>289</v>
      </c>
      <c r="N329">
        <v>0.95611111111111113</v>
      </c>
      <c r="O329">
        <v>31580132.583333336</v>
      </c>
      <c r="P329">
        <v>190540</v>
      </c>
      <c r="Q329">
        <v>2</v>
      </c>
      <c r="R329">
        <v>290</v>
      </c>
      <c r="S329" t="s">
        <v>2566</v>
      </c>
      <c r="U329" t="str">
        <f t="shared" si="5"/>
        <v/>
      </c>
      <c r="W329">
        <f>Digits_pres_final[[#This Row],[kan_params]]</f>
        <v>106586</v>
      </c>
      <c r="X329">
        <f>Digits_pres_final[[#This Row],[kan_test_acc]]</f>
        <v>0.97222221891085314</v>
      </c>
      <c r="Y329">
        <f>Digits_pres_final[[#This Row],[mlp_test_acc]]</f>
        <v>0.9505555555555556</v>
      </c>
      <c r="Z329">
        <f>Digits_pres_final[[#This Row],[mlp_test_acc2]]</f>
        <v>0.95611111111111113</v>
      </c>
    </row>
    <row r="330" spans="1:26" hidden="1" x14ac:dyDescent="0.25">
      <c r="A330" t="s">
        <v>1979</v>
      </c>
      <c r="B330">
        <v>3</v>
      </c>
      <c r="C330">
        <v>2</v>
      </c>
      <c r="D330">
        <v>0</v>
      </c>
      <c r="E330" t="s">
        <v>2304</v>
      </c>
      <c r="F330">
        <v>106588</v>
      </c>
      <c r="G330">
        <v>343668975.25</v>
      </c>
      <c r="H330">
        <v>0.96296295523643494</v>
      </c>
      <c r="I330">
        <v>0.94481481481481477</v>
      </c>
      <c r="J330">
        <v>26906820.833333332</v>
      </c>
      <c r="K330">
        <v>172435</v>
      </c>
      <c r="L330">
        <v>2</v>
      </c>
      <c r="M330">
        <v>275</v>
      </c>
      <c r="N330">
        <v>0.94444444444444442</v>
      </c>
      <c r="O330">
        <v>25901827.416666668</v>
      </c>
      <c r="P330">
        <v>173614</v>
      </c>
      <c r="Q330">
        <v>2</v>
      </c>
      <c r="R330">
        <v>276</v>
      </c>
      <c r="S330" t="s">
        <v>2305</v>
      </c>
      <c r="U330" t="str">
        <f t="shared" si="5"/>
        <v/>
      </c>
      <c r="W330">
        <f>Digits_pres_final[[#This Row],[kan_params]]</f>
        <v>106588</v>
      </c>
      <c r="X330">
        <f>Digits_pres_final[[#This Row],[kan_test_acc]]</f>
        <v>0.96296295523643494</v>
      </c>
      <c r="Y330">
        <f>Digits_pres_final[[#This Row],[mlp_test_acc]]</f>
        <v>0.94481481481481477</v>
      </c>
      <c r="Z330">
        <f>Digits_pres_final[[#This Row],[mlp_test_acc2]]</f>
        <v>0.94444444444444442</v>
      </c>
    </row>
    <row r="331" spans="1:26" hidden="1" x14ac:dyDescent="0.25">
      <c r="A331" t="s">
        <v>1979</v>
      </c>
      <c r="B331">
        <v>3</v>
      </c>
      <c r="C331">
        <v>3</v>
      </c>
      <c r="D331">
        <v>0</v>
      </c>
      <c r="E331" t="s">
        <v>2094</v>
      </c>
      <c r="F331">
        <v>106592</v>
      </c>
      <c r="G331">
        <v>315433486.7428571</v>
      </c>
      <c r="H331">
        <v>0.96747618360178811</v>
      </c>
      <c r="I331">
        <v>0.96231746031746024</v>
      </c>
      <c r="J331">
        <v>28078076.535714284</v>
      </c>
      <c r="K331">
        <v>189305</v>
      </c>
      <c r="L331">
        <v>2</v>
      </c>
      <c r="M331">
        <v>289</v>
      </c>
      <c r="N331">
        <v>0.96077777777777773</v>
      </c>
      <c r="O331">
        <v>28639548.785714284</v>
      </c>
      <c r="P331">
        <v>190540</v>
      </c>
      <c r="Q331">
        <v>2</v>
      </c>
      <c r="R331">
        <v>290</v>
      </c>
      <c r="S331" t="s">
        <v>2439</v>
      </c>
      <c r="U331" t="str">
        <f t="shared" si="5"/>
        <v/>
      </c>
      <c r="W331">
        <f>Digits_pres_final[[#This Row],[kan_params]]</f>
        <v>106592</v>
      </c>
      <c r="X331">
        <f>Digits_pres_final[[#This Row],[kan_test_acc]]</f>
        <v>0.96747618360178811</v>
      </c>
      <c r="Y331">
        <f>Digits_pres_final[[#This Row],[mlp_test_acc]]</f>
        <v>0.96231746031746024</v>
      </c>
      <c r="Z331">
        <f>Digits_pres_final[[#This Row],[mlp_test_acc2]]</f>
        <v>0.96077777777777773</v>
      </c>
    </row>
    <row r="332" spans="1:26" hidden="1" x14ac:dyDescent="0.25">
      <c r="A332" t="s">
        <v>1979</v>
      </c>
      <c r="B332">
        <v>3</v>
      </c>
      <c r="C332">
        <v>3</v>
      </c>
      <c r="D332">
        <v>0</v>
      </c>
      <c r="E332" t="s">
        <v>2288</v>
      </c>
      <c r="F332">
        <v>106732</v>
      </c>
      <c r="G332">
        <v>313402959.25</v>
      </c>
      <c r="H332">
        <v>0.97648147741953539</v>
      </c>
      <c r="I332">
        <v>0.97425925925925927</v>
      </c>
      <c r="J332">
        <v>31500872.166666664</v>
      </c>
      <c r="K332">
        <v>189305</v>
      </c>
      <c r="L332">
        <v>2</v>
      </c>
      <c r="M332">
        <v>289</v>
      </c>
      <c r="N332">
        <v>0.97518518518518515</v>
      </c>
      <c r="O332">
        <v>31695793.333333332</v>
      </c>
      <c r="P332">
        <v>190540</v>
      </c>
      <c r="Q332">
        <v>2</v>
      </c>
      <c r="R332">
        <v>290</v>
      </c>
      <c r="S332" t="s">
        <v>2534</v>
      </c>
      <c r="U332" t="str">
        <f t="shared" si="5"/>
        <v/>
      </c>
      <c r="W332">
        <f>Digits_pres_final[[#This Row],[kan_params]]</f>
        <v>106732</v>
      </c>
      <c r="X332">
        <f>Digits_pres_final[[#This Row],[kan_test_acc]]</f>
        <v>0.97648147741953539</v>
      </c>
      <c r="Y332">
        <f>Digits_pres_final[[#This Row],[mlp_test_acc]]</f>
        <v>0.97425925925925927</v>
      </c>
      <c r="Z332">
        <f>Digits_pres_final[[#This Row],[mlp_test_acc2]]</f>
        <v>0.97518518518518515</v>
      </c>
    </row>
    <row r="333" spans="1:26" hidden="1" x14ac:dyDescent="0.25">
      <c r="A333" t="s">
        <v>1979</v>
      </c>
      <c r="B333">
        <v>3</v>
      </c>
      <c r="C333">
        <v>3</v>
      </c>
      <c r="D333">
        <v>0</v>
      </c>
      <c r="E333" t="s">
        <v>2224</v>
      </c>
      <c r="F333">
        <v>106734</v>
      </c>
      <c r="G333">
        <v>297969086.41666663</v>
      </c>
      <c r="H333">
        <v>0.96759258707364393</v>
      </c>
      <c r="I333">
        <v>0.96407407407407408</v>
      </c>
      <c r="J333">
        <v>29858087.75</v>
      </c>
      <c r="K333">
        <v>189305</v>
      </c>
      <c r="L333">
        <v>2</v>
      </c>
      <c r="M333">
        <v>289</v>
      </c>
      <c r="N333">
        <v>0.96685185185185185</v>
      </c>
      <c r="O333">
        <v>30377129.583333332</v>
      </c>
      <c r="P333">
        <v>190540</v>
      </c>
      <c r="Q333">
        <v>2</v>
      </c>
      <c r="R333">
        <v>290</v>
      </c>
      <c r="S333" t="s">
        <v>2503</v>
      </c>
      <c r="U333" t="str">
        <f t="shared" si="5"/>
        <v/>
      </c>
      <c r="W333">
        <f>Digits_pres_final[[#This Row],[kan_params]]</f>
        <v>106734</v>
      </c>
      <c r="X333">
        <f>Digits_pres_final[[#This Row],[kan_test_acc]]</f>
        <v>0.96759258707364393</v>
      </c>
      <c r="Y333">
        <f>Digits_pres_final[[#This Row],[mlp_test_acc]]</f>
        <v>0.96407407407407408</v>
      </c>
      <c r="Z333">
        <f>Digits_pres_final[[#This Row],[mlp_test_acc2]]</f>
        <v>0.96685185185185185</v>
      </c>
    </row>
    <row r="334" spans="1:26" hidden="1" x14ac:dyDescent="0.25">
      <c r="A334" t="s">
        <v>1979</v>
      </c>
      <c r="B334">
        <v>3</v>
      </c>
      <c r="C334">
        <v>2</v>
      </c>
      <c r="D334">
        <v>0</v>
      </c>
      <c r="E334" t="s">
        <v>2114</v>
      </c>
      <c r="F334">
        <v>106948</v>
      </c>
      <c r="G334">
        <v>414401478.5</v>
      </c>
      <c r="H334">
        <v>0.97666666408379865</v>
      </c>
      <c r="I334">
        <v>0.9714814814814815</v>
      </c>
      <c r="J334">
        <v>28190207.416666668</v>
      </c>
      <c r="K334">
        <v>173614</v>
      </c>
      <c r="L334">
        <v>2</v>
      </c>
      <c r="M334">
        <v>276</v>
      </c>
      <c r="N334">
        <v>0.96907407407407409</v>
      </c>
      <c r="O334">
        <v>29126876.083333332</v>
      </c>
      <c r="P334">
        <v>174797</v>
      </c>
      <c r="Q334">
        <v>2</v>
      </c>
      <c r="R334">
        <v>277</v>
      </c>
      <c r="S334" t="s">
        <v>2115</v>
      </c>
      <c r="U334" t="str">
        <f t="shared" si="5"/>
        <v/>
      </c>
      <c r="W334">
        <f>Digits_pres_final[[#This Row],[kan_params]]</f>
        <v>106948</v>
      </c>
      <c r="X334">
        <f>Digits_pres_final[[#This Row],[kan_test_acc]]</f>
        <v>0.97666666408379865</v>
      </c>
      <c r="Y334">
        <f>Digits_pres_final[[#This Row],[mlp_test_acc]]</f>
        <v>0.9714814814814815</v>
      </c>
      <c r="Z334">
        <f>Digits_pres_final[[#This Row],[mlp_test_acc2]]</f>
        <v>0.96907407407407409</v>
      </c>
    </row>
    <row r="335" spans="1:26" hidden="1" x14ac:dyDescent="0.25">
      <c r="A335" t="s">
        <v>1979</v>
      </c>
      <c r="B335">
        <v>3</v>
      </c>
      <c r="C335">
        <v>2</v>
      </c>
      <c r="D335">
        <v>0</v>
      </c>
      <c r="E335" t="s">
        <v>2178</v>
      </c>
      <c r="F335">
        <v>107394</v>
      </c>
      <c r="G335">
        <v>346956643</v>
      </c>
      <c r="H335">
        <v>0.98444444437821699</v>
      </c>
      <c r="I335">
        <v>0.97166666666666668</v>
      </c>
      <c r="J335">
        <v>26259730.916666664</v>
      </c>
      <c r="K335">
        <v>173614</v>
      </c>
      <c r="L335">
        <v>2</v>
      </c>
      <c r="M335">
        <v>276</v>
      </c>
      <c r="N335">
        <v>0.97148148148148139</v>
      </c>
      <c r="O335">
        <v>27147307.25</v>
      </c>
      <c r="P335">
        <v>174797</v>
      </c>
      <c r="Q335">
        <v>2</v>
      </c>
      <c r="R335">
        <v>277</v>
      </c>
      <c r="S335" t="s">
        <v>2179</v>
      </c>
      <c r="U335" t="str">
        <f t="shared" si="5"/>
        <v/>
      </c>
      <c r="W335">
        <f>Digits_pres_final[[#This Row],[kan_params]]</f>
        <v>107394</v>
      </c>
      <c r="X335">
        <f>Digits_pres_final[[#This Row],[kan_test_acc]]</f>
        <v>0.98444444437821699</v>
      </c>
      <c r="Y335">
        <f>Digits_pres_final[[#This Row],[mlp_test_acc]]</f>
        <v>0.97166666666666668</v>
      </c>
      <c r="Z335">
        <f>Digits_pres_final[[#This Row],[mlp_test_acc2]]</f>
        <v>0.97148148148148139</v>
      </c>
    </row>
    <row r="336" spans="1:26" hidden="1" x14ac:dyDescent="0.25">
      <c r="A336" t="s">
        <v>1979</v>
      </c>
      <c r="B336">
        <v>3</v>
      </c>
      <c r="C336">
        <v>2</v>
      </c>
      <c r="D336">
        <v>0</v>
      </c>
      <c r="E336" t="s">
        <v>2052</v>
      </c>
      <c r="F336">
        <v>107560</v>
      </c>
      <c r="G336">
        <v>435662911.16666663</v>
      </c>
      <c r="H336">
        <v>0.979814812541008</v>
      </c>
      <c r="I336">
        <v>0.95814814814814819</v>
      </c>
      <c r="J336">
        <v>30398025.75</v>
      </c>
      <c r="K336">
        <v>173614</v>
      </c>
      <c r="L336">
        <v>2</v>
      </c>
      <c r="M336">
        <v>276</v>
      </c>
      <c r="N336">
        <v>0.96018518518518525</v>
      </c>
      <c r="O336">
        <v>31324886.916666668</v>
      </c>
      <c r="P336">
        <v>174797</v>
      </c>
      <c r="Q336">
        <v>2</v>
      </c>
      <c r="R336">
        <v>277</v>
      </c>
      <c r="S336" t="s">
        <v>2053</v>
      </c>
      <c r="U336" t="str">
        <f t="shared" si="5"/>
        <v/>
      </c>
      <c r="W336">
        <f>Digits_pres_final[[#This Row],[kan_params]]</f>
        <v>107560</v>
      </c>
      <c r="X336">
        <f>Digits_pres_final[[#This Row],[kan_test_acc]]</f>
        <v>0.979814812541008</v>
      </c>
      <c r="Y336">
        <f>Digits_pres_final[[#This Row],[mlp_test_acc]]</f>
        <v>0.95814814814814819</v>
      </c>
      <c r="Z336">
        <f>Digits_pres_final[[#This Row],[mlp_test_acc2]]</f>
        <v>0.96018518518518525</v>
      </c>
    </row>
    <row r="337" spans="1:26" hidden="1" x14ac:dyDescent="0.25">
      <c r="A337" t="s">
        <v>1979</v>
      </c>
      <c r="B337">
        <v>3</v>
      </c>
      <c r="C337">
        <v>3</v>
      </c>
      <c r="D337">
        <v>0</v>
      </c>
      <c r="E337" t="s">
        <v>2032</v>
      </c>
      <c r="F337">
        <v>107640</v>
      </c>
      <c r="G337">
        <v>352636194.08333337</v>
      </c>
      <c r="H337">
        <v>0.96833334366480517</v>
      </c>
      <c r="I337">
        <v>0.96148148148148149</v>
      </c>
      <c r="J337">
        <v>32220857.916666664</v>
      </c>
      <c r="K337">
        <v>190540</v>
      </c>
      <c r="L337">
        <v>2</v>
      </c>
      <c r="M337">
        <v>290</v>
      </c>
      <c r="N337">
        <v>0.96055555555555561</v>
      </c>
      <c r="O337">
        <v>32479654.25</v>
      </c>
      <c r="P337">
        <v>191779</v>
      </c>
      <c r="Q337">
        <v>2</v>
      </c>
      <c r="R337">
        <v>291</v>
      </c>
      <c r="S337" t="s">
        <v>2409</v>
      </c>
      <c r="U337" t="str">
        <f t="shared" si="5"/>
        <v/>
      </c>
      <c r="W337">
        <f>Digits_pres_final[[#This Row],[kan_params]]</f>
        <v>107640</v>
      </c>
      <c r="X337">
        <f>Digits_pres_final[[#This Row],[kan_test_acc]]</f>
        <v>0.96833334366480517</v>
      </c>
      <c r="Y337">
        <f>Digits_pres_final[[#This Row],[mlp_test_acc]]</f>
        <v>0.96148148148148149</v>
      </c>
      <c r="Z337">
        <f>Digits_pres_final[[#This Row],[mlp_test_acc2]]</f>
        <v>0.96055555555555561</v>
      </c>
    </row>
    <row r="338" spans="1:26" hidden="1" x14ac:dyDescent="0.25">
      <c r="A338" t="s">
        <v>1979</v>
      </c>
      <c r="B338">
        <v>3</v>
      </c>
      <c r="C338">
        <v>2</v>
      </c>
      <c r="D338">
        <v>0</v>
      </c>
      <c r="E338" t="s">
        <v>2242</v>
      </c>
      <c r="F338">
        <v>107712</v>
      </c>
      <c r="G338">
        <v>198387590</v>
      </c>
      <c r="H338">
        <v>0.99092591802279151</v>
      </c>
      <c r="I338">
        <v>0.98092592592592598</v>
      </c>
      <c r="J338">
        <v>18824748.666666664</v>
      </c>
      <c r="K338">
        <v>174797</v>
      </c>
      <c r="L338">
        <v>2</v>
      </c>
      <c r="M338">
        <v>277</v>
      </c>
      <c r="N338">
        <v>0.9790740740740741</v>
      </c>
      <c r="O338">
        <v>19066562.25</v>
      </c>
      <c r="P338">
        <v>175984</v>
      </c>
      <c r="Q338">
        <v>2</v>
      </c>
      <c r="R338">
        <v>278</v>
      </c>
      <c r="S338" t="s">
        <v>2243</v>
      </c>
      <c r="U338" t="str">
        <f t="shared" si="5"/>
        <v/>
      </c>
      <c r="W338">
        <f>Digits_pres_final[[#This Row],[kan_params]]</f>
        <v>107712</v>
      </c>
      <c r="X338">
        <f>Digits_pres_final[[#This Row],[kan_test_acc]]</f>
        <v>0.99092591802279151</v>
      </c>
      <c r="Y338">
        <f>Digits_pres_final[[#This Row],[mlp_test_acc]]</f>
        <v>0.98092592592592598</v>
      </c>
      <c r="Z338">
        <f>Digits_pres_final[[#This Row],[mlp_test_acc2]]</f>
        <v>0.9790740740740741</v>
      </c>
    </row>
    <row r="339" spans="1:26" x14ac:dyDescent="0.25">
      <c r="A339" t="s">
        <v>1979</v>
      </c>
      <c r="B339">
        <v>3</v>
      </c>
      <c r="C339">
        <v>4</v>
      </c>
      <c r="D339">
        <v>0</v>
      </c>
      <c r="E339" t="s">
        <v>2082</v>
      </c>
      <c r="F339">
        <v>107724</v>
      </c>
      <c r="G339">
        <v>381439445.66666663</v>
      </c>
      <c r="H339">
        <v>0.96555554370085395</v>
      </c>
      <c r="I339">
        <v>0.9655555555555555</v>
      </c>
      <c r="J339">
        <v>31006361.083333336</v>
      </c>
      <c r="K339">
        <v>204389</v>
      </c>
      <c r="L339">
        <v>2</v>
      </c>
      <c r="M339">
        <v>301</v>
      </c>
      <c r="N339">
        <v>0.96870370370370362</v>
      </c>
      <c r="O339">
        <v>33376765.416666664</v>
      </c>
      <c r="P339">
        <v>205672</v>
      </c>
      <c r="Q339">
        <v>2</v>
      </c>
      <c r="R339">
        <v>302</v>
      </c>
      <c r="S339" t="s">
        <v>2625</v>
      </c>
      <c r="U339" t="str">
        <f t="shared" si="5"/>
        <v/>
      </c>
      <c r="W339">
        <f>Digits_pres_final[[#This Row],[kan_params]]</f>
        <v>107724</v>
      </c>
      <c r="X339">
        <f>Digits_pres_final[[#This Row],[kan_test_acc]]</f>
        <v>0.96555554370085395</v>
      </c>
      <c r="Y339">
        <f>Digits_pres_final[[#This Row],[mlp_test_acc]]</f>
        <v>0.9655555555555555</v>
      </c>
      <c r="Z339">
        <f>Digits_pres_final[[#This Row],[mlp_test_acc2]]</f>
        <v>0.96870370370370362</v>
      </c>
    </row>
    <row r="340" spans="1:26" hidden="1" x14ac:dyDescent="0.25">
      <c r="A340" t="s">
        <v>1979</v>
      </c>
      <c r="B340">
        <v>3</v>
      </c>
      <c r="C340">
        <v>2</v>
      </c>
      <c r="D340">
        <v>0</v>
      </c>
      <c r="E340" t="s">
        <v>2306</v>
      </c>
      <c r="F340">
        <v>107902</v>
      </c>
      <c r="G340">
        <v>360282898.66666663</v>
      </c>
      <c r="H340">
        <v>0.96333332856496168</v>
      </c>
      <c r="I340">
        <v>0.94407407407407407</v>
      </c>
      <c r="J340">
        <v>26153931.083333332</v>
      </c>
      <c r="K340">
        <v>174797</v>
      </c>
      <c r="L340">
        <v>2</v>
      </c>
      <c r="M340">
        <v>277</v>
      </c>
      <c r="N340">
        <v>0.94537037037037042</v>
      </c>
      <c r="O340">
        <v>28245921.666666668</v>
      </c>
      <c r="P340">
        <v>175984</v>
      </c>
      <c r="Q340">
        <v>2</v>
      </c>
      <c r="R340">
        <v>278</v>
      </c>
      <c r="S340" t="s">
        <v>2307</v>
      </c>
      <c r="U340" t="str">
        <f t="shared" si="5"/>
        <v/>
      </c>
      <c r="W340">
        <f>Digits_pres_final[[#This Row],[kan_params]]</f>
        <v>107902</v>
      </c>
      <c r="X340">
        <f>Digits_pres_final[[#This Row],[kan_test_acc]]</f>
        <v>0.96333332856496168</v>
      </c>
      <c r="Y340">
        <f>Digits_pres_final[[#This Row],[mlp_test_acc]]</f>
        <v>0.94407407407407407</v>
      </c>
      <c r="Z340">
        <f>Digits_pres_final[[#This Row],[mlp_test_acc2]]</f>
        <v>0.94537037037037042</v>
      </c>
    </row>
    <row r="341" spans="1:26" hidden="1" x14ac:dyDescent="0.25">
      <c r="A341" t="s">
        <v>1979</v>
      </c>
      <c r="B341">
        <v>3</v>
      </c>
      <c r="C341">
        <v>3</v>
      </c>
      <c r="D341">
        <v>0</v>
      </c>
      <c r="E341" t="s">
        <v>2096</v>
      </c>
      <c r="F341">
        <v>107962</v>
      </c>
      <c r="G341">
        <v>324809799.43333334</v>
      </c>
      <c r="H341">
        <v>0.97107407251993816</v>
      </c>
      <c r="I341">
        <v>0.96199999999999997</v>
      </c>
      <c r="J341">
        <v>30862272.25</v>
      </c>
      <c r="K341">
        <v>191779</v>
      </c>
      <c r="L341">
        <v>2</v>
      </c>
      <c r="M341">
        <v>291</v>
      </c>
      <c r="N341">
        <v>0.96299999999999997</v>
      </c>
      <c r="O341">
        <v>30218148.916666664</v>
      </c>
      <c r="P341">
        <v>193022</v>
      </c>
      <c r="Q341">
        <v>2</v>
      </c>
      <c r="R341">
        <v>292</v>
      </c>
      <c r="S341" t="s">
        <v>2440</v>
      </c>
      <c r="U341" t="str">
        <f t="shared" si="5"/>
        <v/>
      </c>
      <c r="W341">
        <f>Digits_pres_final[[#This Row],[kan_params]]</f>
        <v>107962</v>
      </c>
      <c r="X341">
        <f>Digits_pres_final[[#This Row],[kan_test_acc]]</f>
        <v>0.97107407251993816</v>
      </c>
      <c r="Y341">
        <f>Digits_pres_final[[#This Row],[mlp_test_acc]]</f>
        <v>0.96199999999999997</v>
      </c>
      <c r="Z341">
        <f>Digits_pres_final[[#This Row],[mlp_test_acc2]]</f>
        <v>0.96299999999999997</v>
      </c>
    </row>
    <row r="342" spans="1:26" hidden="1" x14ac:dyDescent="0.25">
      <c r="A342" t="s">
        <v>1979</v>
      </c>
      <c r="B342">
        <v>3</v>
      </c>
      <c r="C342">
        <v>3</v>
      </c>
      <c r="D342">
        <v>0</v>
      </c>
      <c r="E342" t="s">
        <v>2352</v>
      </c>
      <c r="F342">
        <v>108064</v>
      </c>
      <c r="G342">
        <v>319226465.66666669</v>
      </c>
      <c r="H342">
        <v>0.96981480220953631</v>
      </c>
      <c r="I342">
        <v>0.95333333333333337</v>
      </c>
      <c r="J342">
        <v>32455243.75</v>
      </c>
      <c r="K342">
        <v>191779</v>
      </c>
      <c r="L342">
        <v>2</v>
      </c>
      <c r="M342">
        <v>291</v>
      </c>
      <c r="N342">
        <v>0.95611111111111113</v>
      </c>
      <c r="O342">
        <v>31596838</v>
      </c>
      <c r="P342">
        <v>193022</v>
      </c>
      <c r="Q342">
        <v>2</v>
      </c>
      <c r="R342">
        <v>292</v>
      </c>
      <c r="S342" t="s">
        <v>2567</v>
      </c>
      <c r="U342" t="str">
        <f t="shared" si="5"/>
        <v/>
      </c>
      <c r="W342">
        <f>Digits_pres_final[[#This Row],[kan_params]]</f>
        <v>108064</v>
      </c>
      <c r="X342">
        <f>Digits_pres_final[[#This Row],[kan_test_acc]]</f>
        <v>0.96981480220953631</v>
      </c>
      <c r="Y342">
        <f>Digits_pres_final[[#This Row],[mlp_test_acc]]</f>
        <v>0.95333333333333337</v>
      </c>
      <c r="Z342">
        <f>Digits_pres_final[[#This Row],[mlp_test_acc2]]</f>
        <v>0.95611111111111113</v>
      </c>
    </row>
    <row r="343" spans="1:26" hidden="1" x14ac:dyDescent="0.25">
      <c r="A343" t="s">
        <v>1979</v>
      </c>
      <c r="B343">
        <v>3</v>
      </c>
      <c r="C343">
        <v>3</v>
      </c>
      <c r="D343">
        <v>0</v>
      </c>
      <c r="E343" t="s">
        <v>2226</v>
      </c>
      <c r="F343">
        <v>108140</v>
      </c>
      <c r="G343">
        <v>302068275.08333331</v>
      </c>
      <c r="H343">
        <v>0.975185180703799</v>
      </c>
      <c r="I343">
        <v>0.96166666666666667</v>
      </c>
      <c r="J343">
        <v>31028378.083333332</v>
      </c>
      <c r="K343">
        <v>191779</v>
      </c>
      <c r="L343">
        <v>2</v>
      </c>
      <c r="M343">
        <v>291</v>
      </c>
      <c r="N343">
        <v>0.96055555555555561</v>
      </c>
      <c r="O343">
        <v>30823928.25</v>
      </c>
      <c r="P343">
        <v>193022</v>
      </c>
      <c r="Q343">
        <v>2</v>
      </c>
      <c r="R343">
        <v>292</v>
      </c>
      <c r="S343" t="s">
        <v>2504</v>
      </c>
      <c r="U343" t="str">
        <f t="shared" si="5"/>
        <v/>
      </c>
      <c r="W343">
        <f>Digits_pres_final[[#This Row],[kan_params]]</f>
        <v>108140</v>
      </c>
      <c r="X343">
        <f>Digits_pres_final[[#This Row],[kan_test_acc]]</f>
        <v>0.975185180703799</v>
      </c>
      <c r="Y343">
        <f>Digits_pres_final[[#This Row],[mlp_test_acc]]</f>
        <v>0.96166666666666667</v>
      </c>
      <c r="Z343">
        <f>Digits_pres_final[[#This Row],[mlp_test_acc2]]</f>
        <v>0.96055555555555561</v>
      </c>
    </row>
    <row r="344" spans="1:26" hidden="1" x14ac:dyDescent="0.25">
      <c r="A344" t="s">
        <v>1979</v>
      </c>
      <c r="B344">
        <v>3</v>
      </c>
      <c r="C344">
        <v>2</v>
      </c>
      <c r="D344">
        <v>0</v>
      </c>
      <c r="E344" t="s">
        <v>2116</v>
      </c>
      <c r="F344">
        <v>108166</v>
      </c>
      <c r="G344">
        <v>440275965.83333331</v>
      </c>
      <c r="H344">
        <v>0.97444444894790649</v>
      </c>
      <c r="I344">
        <v>0.97351851851851845</v>
      </c>
      <c r="J344">
        <v>28822916.75</v>
      </c>
      <c r="K344">
        <v>174797</v>
      </c>
      <c r="L344">
        <v>2</v>
      </c>
      <c r="M344">
        <v>277</v>
      </c>
      <c r="N344">
        <v>0.97</v>
      </c>
      <c r="O344">
        <v>29995832.833333332</v>
      </c>
      <c r="P344">
        <v>175984</v>
      </c>
      <c r="Q344">
        <v>2</v>
      </c>
      <c r="R344">
        <v>278</v>
      </c>
      <c r="S344" t="s">
        <v>2117</v>
      </c>
      <c r="U344" t="str">
        <f t="shared" si="5"/>
        <v/>
      </c>
      <c r="W344">
        <f>Digits_pres_final[[#This Row],[kan_params]]</f>
        <v>108166</v>
      </c>
      <c r="X344">
        <f>Digits_pres_final[[#This Row],[kan_test_acc]]</f>
        <v>0.97444444894790649</v>
      </c>
      <c r="Y344">
        <f>Digits_pres_final[[#This Row],[mlp_test_acc]]</f>
        <v>0.97351851851851845</v>
      </c>
      <c r="Z344">
        <f>Digits_pres_final[[#This Row],[mlp_test_acc2]]</f>
        <v>0.97</v>
      </c>
    </row>
    <row r="345" spans="1:26" hidden="1" x14ac:dyDescent="0.25">
      <c r="A345" t="s">
        <v>1979</v>
      </c>
      <c r="B345">
        <v>3</v>
      </c>
      <c r="C345">
        <v>3</v>
      </c>
      <c r="D345">
        <v>0</v>
      </c>
      <c r="E345" t="s">
        <v>2290</v>
      </c>
      <c r="F345">
        <v>108174</v>
      </c>
      <c r="G345">
        <v>332149212.75</v>
      </c>
      <c r="H345">
        <v>0.97407407561937975</v>
      </c>
      <c r="I345">
        <v>0.97555555555555551</v>
      </c>
      <c r="J345">
        <v>31248412.25</v>
      </c>
      <c r="K345">
        <v>191779</v>
      </c>
      <c r="L345">
        <v>2</v>
      </c>
      <c r="M345">
        <v>291</v>
      </c>
      <c r="N345">
        <v>0.97462962962962962</v>
      </c>
      <c r="O345">
        <v>31662768.333333332</v>
      </c>
      <c r="P345">
        <v>193022</v>
      </c>
      <c r="Q345">
        <v>2</v>
      </c>
      <c r="R345">
        <v>292</v>
      </c>
      <c r="S345" t="s">
        <v>2535</v>
      </c>
      <c r="U345" t="str">
        <f t="shared" si="5"/>
        <v/>
      </c>
      <c r="W345">
        <f>Digits_pres_final[[#This Row],[kan_params]]</f>
        <v>108174</v>
      </c>
      <c r="X345">
        <f>Digits_pres_final[[#This Row],[kan_test_acc]]</f>
        <v>0.97407407561937975</v>
      </c>
      <c r="Y345">
        <f>Digits_pres_final[[#This Row],[mlp_test_acc]]</f>
        <v>0.97555555555555551</v>
      </c>
      <c r="Z345">
        <f>Digits_pres_final[[#This Row],[mlp_test_acc2]]</f>
        <v>0.97462962962962962</v>
      </c>
    </row>
    <row r="346" spans="1:26" hidden="1" x14ac:dyDescent="0.25">
      <c r="A346" t="s">
        <v>1979</v>
      </c>
      <c r="B346">
        <v>3</v>
      </c>
      <c r="C346">
        <v>2</v>
      </c>
      <c r="D346">
        <v>0</v>
      </c>
      <c r="E346" t="s">
        <v>2180</v>
      </c>
      <c r="F346">
        <v>108644</v>
      </c>
      <c r="G346">
        <v>385596981.25</v>
      </c>
      <c r="H346">
        <v>0.98222221930821729</v>
      </c>
      <c r="I346">
        <v>0.97129629629629632</v>
      </c>
      <c r="J346">
        <v>26412206.333333332</v>
      </c>
      <c r="K346">
        <v>175984</v>
      </c>
      <c r="L346">
        <v>2</v>
      </c>
      <c r="M346">
        <v>278</v>
      </c>
      <c r="N346">
        <v>0.97129629629629632</v>
      </c>
      <c r="O346">
        <v>27403023.666666668</v>
      </c>
      <c r="P346">
        <v>177175</v>
      </c>
      <c r="Q346">
        <v>2</v>
      </c>
      <c r="R346">
        <v>279</v>
      </c>
      <c r="S346" t="s">
        <v>2181</v>
      </c>
      <c r="U346" t="str">
        <f t="shared" si="5"/>
        <v/>
      </c>
      <c r="W346">
        <f>Digits_pres_final[[#This Row],[kan_params]]</f>
        <v>108644</v>
      </c>
      <c r="X346">
        <f>Digits_pres_final[[#This Row],[kan_test_acc]]</f>
        <v>0.98222221930821729</v>
      </c>
      <c r="Y346">
        <f>Digits_pres_final[[#This Row],[mlp_test_acc]]</f>
        <v>0.97129629629629632</v>
      </c>
      <c r="Z346">
        <f>Digits_pres_final[[#This Row],[mlp_test_acc2]]</f>
        <v>0.97129629629629632</v>
      </c>
    </row>
    <row r="347" spans="1:26" hidden="1" x14ac:dyDescent="0.25">
      <c r="A347" t="s">
        <v>1979</v>
      </c>
      <c r="B347">
        <v>3</v>
      </c>
      <c r="C347">
        <v>2</v>
      </c>
      <c r="D347">
        <v>0</v>
      </c>
      <c r="E347" t="s">
        <v>2054</v>
      </c>
      <c r="F347">
        <v>108746</v>
      </c>
      <c r="G347">
        <v>470365191.83333331</v>
      </c>
      <c r="H347">
        <v>0.97740741074085236</v>
      </c>
      <c r="I347">
        <v>0.95444444444444443</v>
      </c>
      <c r="J347">
        <v>31539174.083333336</v>
      </c>
      <c r="K347">
        <v>175984</v>
      </c>
      <c r="L347">
        <v>2</v>
      </c>
      <c r="M347">
        <v>278</v>
      </c>
      <c r="N347">
        <v>0.95944444444444443</v>
      </c>
      <c r="O347">
        <v>31366357.333333336</v>
      </c>
      <c r="P347">
        <v>177175</v>
      </c>
      <c r="Q347">
        <v>2</v>
      </c>
      <c r="R347">
        <v>279</v>
      </c>
      <c r="S347" t="s">
        <v>2055</v>
      </c>
      <c r="U347" t="str">
        <f t="shared" si="5"/>
        <v/>
      </c>
      <c r="W347">
        <f>Digits_pres_final[[#This Row],[kan_params]]</f>
        <v>108746</v>
      </c>
      <c r="X347">
        <f>Digits_pres_final[[#This Row],[kan_test_acc]]</f>
        <v>0.97740741074085236</v>
      </c>
      <c r="Y347">
        <f>Digits_pres_final[[#This Row],[mlp_test_acc]]</f>
        <v>0.95444444444444443</v>
      </c>
      <c r="Z347">
        <f>Digits_pres_final[[#This Row],[mlp_test_acc2]]</f>
        <v>0.95944444444444443</v>
      </c>
    </row>
    <row r="348" spans="1:26" hidden="1" x14ac:dyDescent="0.25">
      <c r="A348" t="s">
        <v>1979</v>
      </c>
      <c r="B348">
        <v>3</v>
      </c>
      <c r="C348">
        <v>3</v>
      </c>
      <c r="D348">
        <v>0</v>
      </c>
      <c r="E348" t="s">
        <v>2034</v>
      </c>
      <c r="F348">
        <v>108974</v>
      </c>
      <c r="G348">
        <v>378412107.41666663</v>
      </c>
      <c r="H348">
        <v>0.97203704714775085</v>
      </c>
      <c r="I348">
        <v>0.96333333333333337</v>
      </c>
      <c r="J348">
        <v>31152772.5</v>
      </c>
      <c r="K348">
        <v>193022</v>
      </c>
      <c r="L348">
        <v>2</v>
      </c>
      <c r="M348">
        <v>292</v>
      </c>
      <c r="N348">
        <v>0.96037037037037032</v>
      </c>
      <c r="O348">
        <v>31796618.916666664</v>
      </c>
      <c r="P348">
        <v>194269</v>
      </c>
      <c r="Q348">
        <v>2</v>
      </c>
      <c r="R348">
        <v>293</v>
      </c>
      <c r="S348" t="s">
        <v>2410</v>
      </c>
      <c r="U348" t="str">
        <f t="shared" si="5"/>
        <v/>
      </c>
      <c r="W348">
        <f>Digits_pres_final[[#This Row],[kan_params]]</f>
        <v>108974</v>
      </c>
      <c r="X348">
        <f>Digits_pres_final[[#This Row],[kan_test_acc]]</f>
        <v>0.97203704714775085</v>
      </c>
      <c r="Y348">
        <f>Digits_pres_final[[#This Row],[mlp_test_acc]]</f>
        <v>0.96333333333333337</v>
      </c>
      <c r="Z348">
        <f>Digits_pres_final[[#This Row],[mlp_test_acc2]]</f>
        <v>0.96037037037037032</v>
      </c>
    </row>
    <row r="349" spans="1:26" hidden="1" x14ac:dyDescent="0.25">
      <c r="A349" t="s">
        <v>1979</v>
      </c>
      <c r="B349">
        <v>3</v>
      </c>
      <c r="C349">
        <v>2</v>
      </c>
      <c r="D349">
        <v>0</v>
      </c>
      <c r="E349" t="s">
        <v>2244</v>
      </c>
      <c r="F349">
        <v>108994</v>
      </c>
      <c r="G349">
        <v>225871242.16666669</v>
      </c>
      <c r="H349">
        <v>0.9885185112555821</v>
      </c>
      <c r="I349">
        <v>0.98</v>
      </c>
      <c r="J349">
        <v>18406912.416666664</v>
      </c>
      <c r="K349">
        <v>175984</v>
      </c>
      <c r="L349">
        <v>2</v>
      </c>
      <c r="M349">
        <v>278</v>
      </c>
      <c r="N349">
        <v>0.9790740740740741</v>
      </c>
      <c r="O349">
        <v>19266935.583333336</v>
      </c>
      <c r="P349">
        <v>177175</v>
      </c>
      <c r="Q349">
        <v>2</v>
      </c>
      <c r="R349">
        <v>279</v>
      </c>
      <c r="S349" t="s">
        <v>2245</v>
      </c>
      <c r="U349" t="str">
        <f t="shared" si="5"/>
        <v/>
      </c>
      <c r="W349">
        <f>Digits_pres_final[[#This Row],[kan_params]]</f>
        <v>108994</v>
      </c>
      <c r="X349">
        <f>Digits_pres_final[[#This Row],[kan_test_acc]]</f>
        <v>0.9885185112555821</v>
      </c>
      <c r="Y349">
        <f>Digits_pres_final[[#This Row],[mlp_test_acc]]</f>
        <v>0.98</v>
      </c>
      <c r="Z349">
        <f>Digits_pres_final[[#This Row],[mlp_test_acc2]]</f>
        <v>0.9790740740740741</v>
      </c>
    </row>
    <row r="350" spans="1:26" x14ac:dyDescent="0.25">
      <c r="A350" t="s">
        <v>1979</v>
      </c>
      <c r="B350">
        <v>3</v>
      </c>
      <c r="C350">
        <v>4</v>
      </c>
      <c r="D350">
        <v>0</v>
      </c>
      <c r="E350" t="s">
        <v>2084</v>
      </c>
      <c r="F350">
        <v>109206</v>
      </c>
      <c r="G350">
        <v>385669612.66666663</v>
      </c>
      <c r="H350">
        <v>0.96537035206953681</v>
      </c>
      <c r="I350">
        <v>0.96703703703703692</v>
      </c>
      <c r="J350">
        <v>32959767.25</v>
      </c>
      <c r="K350">
        <v>206959</v>
      </c>
      <c r="L350">
        <v>2</v>
      </c>
      <c r="M350">
        <v>303</v>
      </c>
      <c r="N350">
        <v>0.9681481481481482</v>
      </c>
      <c r="O350">
        <v>33530330.333333336</v>
      </c>
      <c r="P350">
        <v>208250</v>
      </c>
      <c r="Q350">
        <v>2</v>
      </c>
      <c r="R350">
        <v>304</v>
      </c>
      <c r="S350" t="s">
        <v>2626</v>
      </c>
      <c r="U350" t="str">
        <f t="shared" si="5"/>
        <v/>
      </c>
      <c r="W350">
        <f>Digits_pres_final[[#This Row],[kan_params]]</f>
        <v>109206</v>
      </c>
      <c r="X350">
        <f>Digits_pres_final[[#This Row],[kan_test_acc]]</f>
        <v>0.96537035206953681</v>
      </c>
      <c r="Y350">
        <f>Digits_pres_final[[#This Row],[mlp_test_acc]]</f>
        <v>0.96703703703703692</v>
      </c>
      <c r="Z350">
        <f>Digits_pres_final[[#This Row],[mlp_test_acc2]]</f>
        <v>0.9681481481481482</v>
      </c>
    </row>
    <row r="351" spans="1:26" hidden="1" x14ac:dyDescent="0.25">
      <c r="A351" t="s">
        <v>1979</v>
      </c>
      <c r="B351">
        <v>3</v>
      </c>
      <c r="C351">
        <v>2</v>
      </c>
      <c r="D351">
        <v>0</v>
      </c>
      <c r="E351" t="s">
        <v>2308</v>
      </c>
      <c r="F351">
        <v>109216</v>
      </c>
      <c r="G351">
        <v>392023536.16666663</v>
      </c>
      <c r="H351">
        <v>0.96499999860922503</v>
      </c>
      <c r="I351">
        <v>0.94481481481481477</v>
      </c>
      <c r="J351">
        <v>26062438.583333332</v>
      </c>
      <c r="K351">
        <v>177175</v>
      </c>
      <c r="L351">
        <v>2</v>
      </c>
      <c r="M351">
        <v>279</v>
      </c>
      <c r="N351">
        <v>0.94666666666666666</v>
      </c>
      <c r="O351">
        <v>28930486.666666668</v>
      </c>
      <c r="P351">
        <v>178370</v>
      </c>
      <c r="Q351">
        <v>2</v>
      </c>
      <c r="R351">
        <v>280</v>
      </c>
      <c r="S351" t="s">
        <v>2309</v>
      </c>
      <c r="U351" t="str">
        <f t="shared" si="5"/>
        <v/>
      </c>
      <c r="W351">
        <f>Digits_pres_final[[#This Row],[kan_params]]</f>
        <v>109216</v>
      </c>
      <c r="X351">
        <f>Digits_pres_final[[#This Row],[kan_test_acc]]</f>
        <v>0.96499999860922503</v>
      </c>
      <c r="Y351">
        <f>Digits_pres_final[[#This Row],[mlp_test_acc]]</f>
        <v>0.94481481481481477</v>
      </c>
      <c r="Z351">
        <f>Digits_pres_final[[#This Row],[mlp_test_acc2]]</f>
        <v>0.94666666666666666</v>
      </c>
    </row>
    <row r="352" spans="1:26" hidden="1" x14ac:dyDescent="0.25">
      <c r="A352" t="s">
        <v>1979</v>
      </c>
      <c r="B352">
        <v>3</v>
      </c>
      <c r="C352">
        <v>3</v>
      </c>
      <c r="D352">
        <v>0</v>
      </c>
      <c r="E352" t="s">
        <v>2098</v>
      </c>
      <c r="F352">
        <v>109332</v>
      </c>
      <c r="G352">
        <v>313329184.66666669</v>
      </c>
      <c r="H352">
        <v>0.9731481522321701</v>
      </c>
      <c r="I352">
        <v>0.96314814814814809</v>
      </c>
      <c r="J352">
        <v>31555383</v>
      </c>
      <c r="K352">
        <v>193022</v>
      </c>
      <c r="L352">
        <v>2</v>
      </c>
      <c r="M352">
        <v>292</v>
      </c>
      <c r="N352">
        <v>0.96592592592592585</v>
      </c>
      <c r="O352">
        <v>30952726.416666664</v>
      </c>
      <c r="P352">
        <v>194269</v>
      </c>
      <c r="Q352">
        <v>2</v>
      </c>
      <c r="R352">
        <v>293</v>
      </c>
      <c r="S352" t="s">
        <v>2441</v>
      </c>
      <c r="U352" t="str">
        <f t="shared" si="5"/>
        <v/>
      </c>
      <c r="W352">
        <f>Digits_pres_final[[#This Row],[kan_params]]</f>
        <v>109332</v>
      </c>
      <c r="X352">
        <f>Digits_pres_final[[#This Row],[kan_test_acc]]</f>
        <v>0.9731481522321701</v>
      </c>
      <c r="Y352">
        <f>Digits_pres_final[[#This Row],[mlp_test_acc]]</f>
        <v>0.96314814814814809</v>
      </c>
      <c r="Z352">
        <f>Digits_pres_final[[#This Row],[mlp_test_acc2]]</f>
        <v>0.96592592592592585</v>
      </c>
    </row>
    <row r="353" spans="1:26" hidden="1" x14ac:dyDescent="0.25">
      <c r="A353" t="s">
        <v>1979</v>
      </c>
      <c r="B353">
        <v>3</v>
      </c>
      <c r="C353">
        <v>2</v>
      </c>
      <c r="D353">
        <v>0</v>
      </c>
      <c r="E353" t="s">
        <v>2118</v>
      </c>
      <c r="F353">
        <v>109384</v>
      </c>
      <c r="G353">
        <v>511215273.83333337</v>
      </c>
      <c r="H353">
        <v>0.97648148238658905</v>
      </c>
      <c r="I353">
        <v>0.97129629629629632</v>
      </c>
      <c r="J353">
        <v>29304893.833333332</v>
      </c>
      <c r="K353">
        <v>177175</v>
      </c>
      <c r="L353">
        <v>2</v>
      </c>
      <c r="M353">
        <v>279</v>
      </c>
      <c r="N353">
        <v>0.96925925925925926</v>
      </c>
      <c r="O353">
        <v>29641632.666666664</v>
      </c>
      <c r="P353">
        <v>178370</v>
      </c>
      <c r="Q353">
        <v>2</v>
      </c>
      <c r="R353">
        <v>280</v>
      </c>
      <c r="S353" t="s">
        <v>2119</v>
      </c>
      <c r="U353" t="str">
        <f t="shared" si="5"/>
        <v/>
      </c>
      <c r="W353">
        <f>Digits_pres_final[[#This Row],[kan_params]]</f>
        <v>109384</v>
      </c>
      <c r="X353">
        <f>Digits_pres_final[[#This Row],[kan_test_acc]]</f>
        <v>0.97648148238658905</v>
      </c>
      <c r="Y353">
        <f>Digits_pres_final[[#This Row],[mlp_test_acc]]</f>
        <v>0.97129629629629632</v>
      </c>
      <c r="Z353">
        <f>Digits_pres_final[[#This Row],[mlp_test_acc2]]</f>
        <v>0.96925925925925926</v>
      </c>
    </row>
    <row r="354" spans="1:26" hidden="1" x14ac:dyDescent="0.25">
      <c r="A354" t="s">
        <v>1979</v>
      </c>
      <c r="B354">
        <v>3</v>
      </c>
      <c r="C354">
        <v>3</v>
      </c>
      <c r="D354">
        <v>0</v>
      </c>
      <c r="E354" t="s">
        <v>2354</v>
      </c>
      <c r="F354">
        <v>109542</v>
      </c>
      <c r="G354">
        <v>308799274.08333337</v>
      </c>
      <c r="H354">
        <v>0.97166665891806292</v>
      </c>
      <c r="I354">
        <v>0.95314814814814808</v>
      </c>
      <c r="J354">
        <v>32393925.833333336</v>
      </c>
      <c r="K354">
        <v>194269</v>
      </c>
      <c r="L354">
        <v>2</v>
      </c>
      <c r="M354">
        <v>293</v>
      </c>
      <c r="N354">
        <v>0.95314814814814819</v>
      </c>
      <c r="O354">
        <v>31748822</v>
      </c>
      <c r="P354">
        <v>195520</v>
      </c>
      <c r="Q354">
        <v>2</v>
      </c>
      <c r="R354">
        <v>294</v>
      </c>
      <c r="S354" t="s">
        <v>2568</v>
      </c>
      <c r="U354" t="str">
        <f t="shared" si="5"/>
        <v/>
      </c>
      <c r="W354">
        <f>Digits_pres_final[[#This Row],[kan_params]]</f>
        <v>109542</v>
      </c>
      <c r="X354">
        <f>Digits_pres_final[[#This Row],[kan_test_acc]]</f>
        <v>0.97166665891806292</v>
      </c>
      <c r="Y354">
        <f>Digits_pres_final[[#This Row],[mlp_test_acc]]</f>
        <v>0.95314814814814808</v>
      </c>
      <c r="Z354">
        <f>Digits_pres_final[[#This Row],[mlp_test_acc2]]</f>
        <v>0.95314814814814819</v>
      </c>
    </row>
    <row r="355" spans="1:26" hidden="1" x14ac:dyDescent="0.25">
      <c r="A355" t="s">
        <v>1979</v>
      </c>
      <c r="B355">
        <v>3</v>
      </c>
      <c r="C355">
        <v>3</v>
      </c>
      <c r="D355">
        <v>0</v>
      </c>
      <c r="E355" t="s">
        <v>2162</v>
      </c>
      <c r="F355">
        <v>109546</v>
      </c>
      <c r="G355">
        <v>313899853.58333331</v>
      </c>
      <c r="H355">
        <v>0.9746296306451161</v>
      </c>
      <c r="I355">
        <v>0.96148148148148138</v>
      </c>
      <c r="J355">
        <v>31026498.416666668</v>
      </c>
      <c r="K355">
        <v>194269</v>
      </c>
      <c r="L355">
        <v>2</v>
      </c>
      <c r="M355">
        <v>293</v>
      </c>
      <c r="N355">
        <v>0.95925925925925926</v>
      </c>
      <c r="O355">
        <v>31447489.25</v>
      </c>
      <c r="P355">
        <v>195520</v>
      </c>
      <c r="Q355">
        <v>2</v>
      </c>
      <c r="R355">
        <v>294</v>
      </c>
      <c r="S355" t="s">
        <v>2472</v>
      </c>
      <c r="U355" t="str">
        <f t="shared" si="5"/>
        <v/>
      </c>
      <c r="W355">
        <f>Digits_pres_final[[#This Row],[kan_params]]</f>
        <v>109546</v>
      </c>
      <c r="X355">
        <f>Digits_pres_final[[#This Row],[kan_test_acc]]</f>
        <v>0.9746296306451161</v>
      </c>
      <c r="Y355">
        <f>Digits_pres_final[[#This Row],[mlp_test_acc]]</f>
        <v>0.96148148148148138</v>
      </c>
      <c r="Z355">
        <f>Digits_pres_final[[#This Row],[mlp_test_acc2]]</f>
        <v>0.95925925925925926</v>
      </c>
    </row>
    <row r="356" spans="1:26" hidden="1" x14ac:dyDescent="0.25">
      <c r="A356" t="s">
        <v>1979</v>
      </c>
      <c r="B356">
        <v>3</v>
      </c>
      <c r="C356">
        <v>3</v>
      </c>
      <c r="D356">
        <v>0</v>
      </c>
      <c r="E356" t="s">
        <v>2292</v>
      </c>
      <c r="F356">
        <v>109616</v>
      </c>
      <c r="G356">
        <v>334777481.75</v>
      </c>
      <c r="H356">
        <v>0.97425926228364312</v>
      </c>
      <c r="I356">
        <v>0.97648148148148151</v>
      </c>
      <c r="J356">
        <v>31135391.166666668</v>
      </c>
      <c r="K356">
        <v>194269</v>
      </c>
      <c r="L356">
        <v>2</v>
      </c>
      <c r="M356">
        <v>293</v>
      </c>
      <c r="N356">
        <v>0.9757407407407408</v>
      </c>
      <c r="O356">
        <v>31794576</v>
      </c>
      <c r="P356">
        <v>195520</v>
      </c>
      <c r="Q356">
        <v>2</v>
      </c>
      <c r="R356">
        <v>294</v>
      </c>
      <c r="S356" t="s">
        <v>2536</v>
      </c>
      <c r="U356" t="str">
        <f t="shared" si="5"/>
        <v/>
      </c>
      <c r="W356">
        <f>Digits_pres_final[[#This Row],[kan_params]]</f>
        <v>109616</v>
      </c>
      <c r="X356">
        <f>Digits_pres_final[[#This Row],[kan_test_acc]]</f>
        <v>0.97425926228364312</v>
      </c>
      <c r="Y356">
        <f>Digits_pres_final[[#This Row],[mlp_test_acc]]</f>
        <v>0.97648148148148151</v>
      </c>
      <c r="Z356">
        <f>Digits_pres_final[[#This Row],[mlp_test_acc2]]</f>
        <v>0.9757407407407408</v>
      </c>
    </row>
    <row r="357" spans="1:26" hidden="1" x14ac:dyDescent="0.25">
      <c r="A357" t="s">
        <v>1979</v>
      </c>
      <c r="B357">
        <v>3</v>
      </c>
      <c r="C357">
        <v>2</v>
      </c>
      <c r="D357">
        <v>0</v>
      </c>
      <c r="E357" t="s">
        <v>2182</v>
      </c>
      <c r="F357">
        <v>109894</v>
      </c>
      <c r="G357">
        <v>380799580.75</v>
      </c>
      <c r="H357">
        <v>0.9809259225924809</v>
      </c>
      <c r="I357">
        <v>0.97185185185185186</v>
      </c>
      <c r="J357">
        <v>26590128.416666664</v>
      </c>
      <c r="K357">
        <v>178370</v>
      </c>
      <c r="L357">
        <v>2</v>
      </c>
      <c r="M357">
        <v>280</v>
      </c>
      <c r="N357">
        <v>0.9705555555555555</v>
      </c>
      <c r="O357">
        <v>26998827.916666668</v>
      </c>
      <c r="P357">
        <v>179569</v>
      </c>
      <c r="Q357">
        <v>2</v>
      </c>
      <c r="R357">
        <v>281</v>
      </c>
      <c r="S357" t="s">
        <v>2183</v>
      </c>
      <c r="U357" t="str">
        <f t="shared" si="5"/>
        <v/>
      </c>
      <c r="W357">
        <f>Digits_pres_final[[#This Row],[kan_params]]</f>
        <v>109894</v>
      </c>
      <c r="X357">
        <f>Digits_pres_final[[#This Row],[kan_test_acc]]</f>
        <v>0.9809259225924809</v>
      </c>
      <c r="Y357">
        <f>Digits_pres_final[[#This Row],[mlp_test_acc]]</f>
        <v>0.97185185185185186</v>
      </c>
      <c r="Z357">
        <f>Digits_pres_final[[#This Row],[mlp_test_acc2]]</f>
        <v>0.9705555555555555</v>
      </c>
    </row>
    <row r="358" spans="1:26" hidden="1" x14ac:dyDescent="0.25">
      <c r="A358" t="s">
        <v>1979</v>
      </c>
      <c r="B358">
        <v>3</v>
      </c>
      <c r="C358">
        <v>2</v>
      </c>
      <c r="D358">
        <v>0</v>
      </c>
      <c r="E358" t="s">
        <v>2246</v>
      </c>
      <c r="F358">
        <v>110276</v>
      </c>
      <c r="G358">
        <v>244999306.25</v>
      </c>
      <c r="H358">
        <v>0.98925925294558215</v>
      </c>
      <c r="I358">
        <v>0.97944444444444445</v>
      </c>
      <c r="J358">
        <v>18860277.083333336</v>
      </c>
      <c r="K358">
        <v>178370</v>
      </c>
      <c r="L358">
        <v>2</v>
      </c>
      <c r="M358">
        <v>280</v>
      </c>
      <c r="N358">
        <v>0.97888888888888892</v>
      </c>
      <c r="O358">
        <v>19909085.666666664</v>
      </c>
      <c r="P358">
        <v>179569</v>
      </c>
      <c r="Q358">
        <v>2</v>
      </c>
      <c r="R358">
        <v>281</v>
      </c>
      <c r="S358" t="s">
        <v>2247</v>
      </c>
      <c r="U358" t="str">
        <f t="shared" si="5"/>
        <v/>
      </c>
      <c r="W358">
        <f>Digits_pres_final[[#This Row],[kan_params]]</f>
        <v>110276</v>
      </c>
      <c r="X358">
        <f>Digits_pres_final[[#This Row],[kan_test_acc]]</f>
        <v>0.98925925294558215</v>
      </c>
      <c r="Y358">
        <f>Digits_pres_final[[#This Row],[mlp_test_acc]]</f>
        <v>0.97944444444444445</v>
      </c>
      <c r="Z358">
        <f>Digits_pres_final[[#This Row],[mlp_test_acc2]]</f>
        <v>0.97888888888888892</v>
      </c>
    </row>
    <row r="359" spans="1:26" hidden="1" x14ac:dyDescent="0.25">
      <c r="A359" t="s">
        <v>1979</v>
      </c>
      <c r="B359">
        <v>3</v>
      </c>
      <c r="C359">
        <v>3</v>
      </c>
      <c r="D359">
        <v>0</v>
      </c>
      <c r="E359" t="s">
        <v>2036</v>
      </c>
      <c r="F359">
        <v>110308</v>
      </c>
      <c r="G359">
        <v>340697835.91666663</v>
      </c>
      <c r="H359">
        <v>0.97555556893348694</v>
      </c>
      <c r="I359">
        <v>0.96296296296296302</v>
      </c>
      <c r="J359">
        <v>31399377.833333336</v>
      </c>
      <c r="K359">
        <v>195520</v>
      </c>
      <c r="L359">
        <v>2</v>
      </c>
      <c r="M359">
        <v>294</v>
      </c>
      <c r="N359">
        <v>0.95981481481481479</v>
      </c>
      <c r="O359">
        <v>32051975.666666664</v>
      </c>
      <c r="P359">
        <v>196775</v>
      </c>
      <c r="Q359">
        <v>2</v>
      </c>
      <c r="R359">
        <v>295</v>
      </c>
      <c r="S359" t="s">
        <v>2411</v>
      </c>
      <c r="U359" t="str">
        <f t="shared" si="5"/>
        <v/>
      </c>
      <c r="W359">
        <f>Digits_pres_final[[#This Row],[kan_params]]</f>
        <v>110308</v>
      </c>
      <c r="X359">
        <f>Digits_pres_final[[#This Row],[kan_test_acc]]</f>
        <v>0.97555556893348694</v>
      </c>
      <c r="Y359">
        <f>Digits_pres_final[[#This Row],[mlp_test_acc]]</f>
        <v>0.96296296296296302</v>
      </c>
      <c r="Z359">
        <f>Digits_pres_final[[#This Row],[mlp_test_acc2]]</f>
        <v>0.95981481481481479</v>
      </c>
    </row>
    <row r="360" spans="1:26" hidden="1" x14ac:dyDescent="0.25">
      <c r="A360" t="s">
        <v>1979</v>
      </c>
      <c r="B360">
        <v>3</v>
      </c>
      <c r="C360">
        <v>2</v>
      </c>
      <c r="D360">
        <v>0</v>
      </c>
      <c r="E360" t="s">
        <v>2310</v>
      </c>
      <c r="F360">
        <v>110530</v>
      </c>
      <c r="G360">
        <v>409250562.25</v>
      </c>
      <c r="H360">
        <v>0.96537036697069811</v>
      </c>
      <c r="I360">
        <v>0.94685185185185183</v>
      </c>
      <c r="J360">
        <v>27824095.666666664</v>
      </c>
      <c r="K360">
        <v>178370</v>
      </c>
      <c r="L360">
        <v>2</v>
      </c>
      <c r="M360">
        <v>280</v>
      </c>
      <c r="N360">
        <v>0.94703703703703712</v>
      </c>
      <c r="O360">
        <v>27587583.833333336</v>
      </c>
      <c r="P360">
        <v>179569</v>
      </c>
      <c r="Q360">
        <v>2</v>
      </c>
      <c r="R360">
        <v>281</v>
      </c>
      <c r="S360" t="s">
        <v>2311</v>
      </c>
      <c r="U360" t="str">
        <f t="shared" si="5"/>
        <v/>
      </c>
      <c r="W360">
        <f>Digits_pres_final[[#This Row],[kan_params]]</f>
        <v>110530</v>
      </c>
      <c r="X360">
        <f>Digits_pres_final[[#This Row],[kan_test_acc]]</f>
        <v>0.96537036697069811</v>
      </c>
      <c r="Y360">
        <f>Digits_pres_final[[#This Row],[mlp_test_acc]]</f>
        <v>0.94685185185185183</v>
      </c>
      <c r="Z360">
        <f>Digits_pres_final[[#This Row],[mlp_test_acc2]]</f>
        <v>0.94703703703703712</v>
      </c>
    </row>
    <row r="361" spans="1:26" hidden="1" x14ac:dyDescent="0.25">
      <c r="A361" t="s">
        <v>1979</v>
      </c>
      <c r="B361">
        <v>3</v>
      </c>
      <c r="C361">
        <v>2</v>
      </c>
      <c r="D361">
        <v>0</v>
      </c>
      <c r="E361" t="s">
        <v>2120</v>
      </c>
      <c r="F361">
        <v>110602</v>
      </c>
      <c r="G361">
        <v>537981890.16666675</v>
      </c>
      <c r="H361">
        <v>0.97703703244527174</v>
      </c>
      <c r="I361">
        <v>0.97074074074074079</v>
      </c>
      <c r="J361">
        <v>30092448.25</v>
      </c>
      <c r="K361">
        <v>179569</v>
      </c>
      <c r="L361">
        <v>2</v>
      </c>
      <c r="M361">
        <v>281</v>
      </c>
      <c r="N361">
        <v>0.97018518518518526</v>
      </c>
      <c r="O361">
        <v>29831504.666666664</v>
      </c>
      <c r="P361">
        <v>180772</v>
      </c>
      <c r="Q361">
        <v>2</v>
      </c>
      <c r="R361">
        <v>282</v>
      </c>
      <c r="S361" t="s">
        <v>2121</v>
      </c>
      <c r="U361" t="str">
        <f t="shared" si="5"/>
        <v/>
      </c>
      <c r="W361">
        <f>Digits_pres_final[[#This Row],[kan_params]]</f>
        <v>110602</v>
      </c>
      <c r="X361">
        <f>Digits_pres_final[[#This Row],[kan_test_acc]]</f>
        <v>0.97703703244527174</v>
      </c>
      <c r="Y361">
        <f>Digits_pres_final[[#This Row],[mlp_test_acc]]</f>
        <v>0.97074074074074079</v>
      </c>
      <c r="Z361">
        <f>Digits_pres_final[[#This Row],[mlp_test_acc2]]</f>
        <v>0.97018518518518526</v>
      </c>
    </row>
    <row r="362" spans="1:26" x14ac:dyDescent="0.25">
      <c r="A362" t="s">
        <v>1979</v>
      </c>
      <c r="B362">
        <v>3</v>
      </c>
      <c r="C362">
        <v>4</v>
      </c>
      <c r="D362">
        <v>0</v>
      </c>
      <c r="E362" t="s">
        <v>2086</v>
      </c>
      <c r="F362">
        <v>110688</v>
      </c>
      <c r="G362">
        <v>388278263.25</v>
      </c>
      <c r="H362">
        <v>0.96074073016643524</v>
      </c>
      <c r="I362">
        <v>0.96962962962962962</v>
      </c>
      <c r="J362">
        <v>33220097</v>
      </c>
      <c r="K362">
        <v>209545</v>
      </c>
      <c r="L362">
        <v>2</v>
      </c>
      <c r="M362">
        <v>305</v>
      </c>
      <c r="N362">
        <v>0.97018518518518526</v>
      </c>
      <c r="O362">
        <v>33445298.25</v>
      </c>
      <c r="P362">
        <v>210844</v>
      </c>
      <c r="Q362">
        <v>2</v>
      </c>
      <c r="R362">
        <v>306</v>
      </c>
      <c r="S362" t="s">
        <v>2627</v>
      </c>
      <c r="U362" t="str">
        <f t="shared" si="5"/>
        <v/>
      </c>
      <c r="W362">
        <f>Digits_pres_final[[#This Row],[kan_params]]</f>
        <v>110688</v>
      </c>
      <c r="X362">
        <f>Digits_pres_final[[#This Row],[kan_test_acc]]</f>
        <v>0.96074073016643524</v>
      </c>
      <c r="Y362">
        <f>Digits_pres_final[[#This Row],[mlp_test_acc]]</f>
        <v>0.96962962962962962</v>
      </c>
      <c r="Z362">
        <f>Digits_pres_final[[#This Row],[mlp_test_acc2]]</f>
        <v>0.97018518518518526</v>
      </c>
    </row>
    <row r="363" spans="1:26" hidden="1" x14ac:dyDescent="0.25">
      <c r="A363" t="s">
        <v>1979</v>
      </c>
      <c r="B363">
        <v>3</v>
      </c>
      <c r="C363">
        <v>3</v>
      </c>
      <c r="D363">
        <v>0</v>
      </c>
      <c r="E363" t="s">
        <v>2100</v>
      </c>
      <c r="F363">
        <v>110702</v>
      </c>
      <c r="G363">
        <v>351404145.08333337</v>
      </c>
      <c r="H363">
        <v>0.97444444398085273</v>
      </c>
      <c r="I363">
        <v>0.96462962962962961</v>
      </c>
      <c r="J363">
        <v>30724100</v>
      </c>
      <c r="K363">
        <v>195520</v>
      </c>
      <c r="L363">
        <v>2</v>
      </c>
      <c r="M363">
        <v>294</v>
      </c>
      <c r="N363">
        <v>0.96685185185185185</v>
      </c>
      <c r="O363">
        <v>32129663.333333336</v>
      </c>
      <c r="P363">
        <v>196775</v>
      </c>
      <c r="Q363">
        <v>2</v>
      </c>
      <c r="R363">
        <v>295</v>
      </c>
      <c r="S363" t="s">
        <v>2442</v>
      </c>
      <c r="U363" t="str">
        <f t="shared" si="5"/>
        <v/>
      </c>
      <c r="W363">
        <f>Digits_pres_final[[#This Row],[kan_params]]</f>
        <v>110702</v>
      </c>
      <c r="X363">
        <f>Digits_pres_final[[#This Row],[kan_test_acc]]</f>
        <v>0.97444444398085273</v>
      </c>
      <c r="Y363">
        <f>Digits_pres_final[[#This Row],[mlp_test_acc]]</f>
        <v>0.96462962962962961</v>
      </c>
      <c r="Z363">
        <f>Digits_pres_final[[#This Row],[mlp_test_acc2]]</f>
        <v>0.96685185185185185</v>
      </c>
    </row>
    <row r="364" spans="1:26" hidden="1" x14ac:dyDescent="0.25">
      <c r="A364" t="s">
        <v>1979</v>
      </c>
      <c r="B364">
        <v>3</v>
      </c>
      <c r="C364">
        <v>3</v>
      </c>
      <c r="D364">
        <v>0</v>
      </c>
      <c r="E364" t="s">
        <v>2164</v>
      </c>
      <c r="F364">
        <v>110952</v>
      </c>
      <c r="G364">
        <v>295732942.41666663</v>
      </c>
      <c r="H364">
        <v>0.96981481214364362</v>
      </c>
      <c r="I364">
        <v>0.9605555555555555</v>
      </c>
      <c r="J364">
        <v>30969946.083333336</v>
      </c>
      <c r="K364">
        <v>196775</v>
      </c>
      <c r="L364">
        <v>2</v>
      </c>
      <c r="M364">
        <v>295</v>
      </c>
      <c r="N364">
        <v>0.95240740740740737</v>
      </c>
      <c r="O364">
        <v>31529218</v>
      </c>
      <c r="P364">
        <v>198034</v>
      </c>
      <c r="Q364">
        <v>2</v>
      </c>
      <c r="R364">
        <v>296</v>
      </c>
      <c r="S364" t="s">
        <v>2473</v>
      </c>
      <c r="U364" t="str">
        <f t="shared" si="5"/>
        <v/>
      </c>
      <c r="W364">
        <f>Digits_pres_final[[#This Row],[kan_params]]</f>
        <v>110952</v>
      </c>
      <c r="X364">
        <f>Digits_pres_final[[#This Row],[kan_test_acc]]</f>
        <v>0.96981481214364362</v>
      </c>
      <c r="Y364">
        <f>Digits_pres_final[[#This Row],[mlp_test_acc]]</f>
        <v>0.9605555555555555</v>
      </c>
      <c r="Z364">
        <f>Digits_pres_final[[#This Row],[mlp_test_acc2]]</f>
        <v>0.95240740740740737</v>
      </c>
    </row>
    <row r="365" spans="1:26" hidden="1" x14ac:dyDescent="0.25">
      <c r="A365" t="s">
        <v>1979</v>
      </c>
      <c r="B365">
        <v>3</v>
      </c>
      <c r="C365">
        <v>3</v>
      </c>
      <c r="D365">
        <v>0</v>
      </c>
      <c r="E365" t="s">
        <v>2356</v>
      </c>
      <c r="F365">
        <v>111020</v>
      </c>
      <c r="G365">
        <v>326174485.08333337</v>
      </c>
      <c r="H365">
        <v>0.97018518547217059</v>
      </c>
      <c r="I365">
        <v>0.9522222222222223</v>
      </c>
      <c r="J365">
        <v>32156690.5</v>
      </c>
      <c r="K365">
        <v>196775</v>
      </c>
      <c r="L365">
        <v>2</v>
      </c>
      <c r="M365">
        <v>295</v>
      </c>
      <c r="N365">
        <v>0.95259259259259266</v>
      </c>
      <c r="O365">
        <v>32712120.916666664</v>
      </c>
      <c r="P365">
        <v>198034</v>
      </c>
      <c r="Q365">
        <v>2</v>
      </c>
      <c r="R365">
        <v>296</v>
      </c>
      <c r="S365" t="s">
        <v>2569</v>
      </c>
      <c r="U365" t="str">
        <f t="shared" si="5"/>
        <v/>
      </c>
      <c r="W365">
        <f>Digits_pres_final[[#This Row],[kan_params]]</f>
        <v>111020</v>
      </c>
      <c r="X365">
        <f>Digits_pres_final[[#This Row],[kan_test_acc]]</f>
        <v>0.97018518547217059</v>
      </c>
      <c r="Y365">
        <f>Digits_pres_final[[#This Row],[mlp_test_acc]]</f>
        <v>0.9522222222222223</v>
      </c>
      <c r="Z365">
        <f>Digits_pres_final[[#This Row],[mlp_test_acc2]]</f>
        <v>0.95259259259259266</v>
      </c>
    </row>
    <row r="366" spans="1:26" hidden="1" x14ac:dyDescent="0.25">
      <c r="A366" t="s">
        <v>1979</v>
      </c>
      <c r="B366">
        <v>3</v>
      </c>
      <c r="C366">
        <v>3</v>
      </c>
      <c r="D366">
        <v>0</v>
      </c>
      <c r="E366" t="s">
        <v>2294</v>
      </c>
      <c r="F366">
        <v>111058</v>
      </c>
      <c r="G366">
        <v>327595022.66666669</v>
      </c>
      <c r="H366">
        <v>0.97425926228364312</v>
      </c>
      <c r="I366">
        <v>0.97777777777777775</v>
      </c>
      <c r="J366">
        <v>31761536.5</v>
      </c>
      <c r="K366">
        <v>196775</v>
      </c>
      <c r="L366">
        <v>2</v>
      </c>
      <c r="M366">
        <v>295</v>
      </c>
      <c r="N366">
        <v>0.97611111111111115</v>
      </c>
      <c r="O366">
        <v>31761001.083333336</v>
      </c>
      <c r="P366">
        <v>198034</v>
      </c>
      <c r="Q366">
        <v>2</v>
      </c>
      <c r="R366">
        <v>296</v>
      </c>
      <c r="S366" t="s">
        <v>2537</v>
      </c>
      <c r="U366" t="str">
        <f t="shared" si="5"/>
        <v/>
      </c>
      <c r="W366">
        <f>Digits_pres_final[[#This Row],[kan_params]]</f>
        <v>111058</v>
      </c>
      <c r="X366">
        <f>Digits_pres_final[[#This Row],[kan_test_acc]]</f>
        <v>0.97425926228364312</v>
      </c>
      <c r="Y366">
        <f>Digits_pres_final[[#This Row],[mlp_test_acc]]</f>
        <v>0.97777777777777775</v>
      </c>
      <c r="Z366">
        <f>Digits_pres_final[[#This Row],[mlp_test_acc2]]</f>
        <v>0.97611111111111115</v>
      </c>
    </row>
    <row r="367" spans="1:26" hidden="1" x14ac:dyDescent="0.25">
      <c r="A367" t="s">
        <v>1979</v>
      </c>
      <c r="B367">
        <v>3</v>
      </c>
      <c r="C367">
        <v>2</v>
      </c>
      <c r="D367">
        <v>0</v>
      </c>
      <c r="E367" t="s">
        <v>2184</v>
      </c>
      <c r="F367">
        <v>111144</v>
      </c>
      <c r="G367">
        <v>380392893.91666669</v>
      </c>
      <c r="H367">
        <v>0.9831481476624806</v>
      </c>
      <c r="I367">
        <v>0.97222222222222221</v>
      </c>
      <c r="J367">
        <v>26265672.166666664</v>
      </c>
      <c r="K367">
        <v>179569</v>
      </c>
      <c r="L367">
        <v>2</v>
      </c>
      <c r="M367">
        <v>281</v>
      </c>
      <c r="N367">
        <v>0.97370370370370374</v>
      </c>
      <c r="O367">
        <v>26577161</v>
      </c>
      <c r="P367">
        <v>180772</v>
      </c>
      <c r="Q367">
        <v>2</v>
      </c>
      <c r="R367">
        <v>282</v>
      </c>
      <c r="S367" t="s">
        <v>2185</v>
      </c>
      <c r="U367" t="str">
        <f t="shared" si="5"/>
        <v/>
      </c>
      <c r="W367">
        <f>Digits_pres_final[[#This Row],[kan_params]]</f>
        <v>111144</v>
      </c>
      <c r="X367">
        <f>Digits_pres_final[[#This Row],[kan_test_acc]]</f>
        <v>0.9831481476624806</v>
      </c>
      <c r="Y367">
        <f>Digits_pres_final[[#This Row],[mlp_test_acc]]</f>
        <v>0.97222222222222221</v>
      </c>
      <c r="Z367">
        <f>Digits_pres_final[[#This Row],[mlp_test_acc2]]</f>
        <v>0.97370370370370374</v>
      </c>
    </row>
    <row r="368" spans="1:26" hidden="1" x14ac:dyDescent="0.25">
      <c r="A368" t="s">
        <v>1979</v>
      </c>
      <c r="B368">
        <v>3</v>
      </c>
      <c r="C368">
        <v>2</v>
      </c>
      <c r="D368">
        <v>0</v>
      </c>
      <c r="E368" t="s">
        <v>2248</v>
      </c>
      <c r="F368">
        <v>111558</v>
      </c>
      <c r="G368">
        <v>232773499.16666666</v>
      </c>
      <c r="H368">
        <v>0.98999998966852831</v>
      </c>
      <c r="I368">
        <v>0.97944444444444434</v>
      </c>
      <c r="J368">
        <v>19241636.666666668</v>
      </c>
      <c r="K368">
        <v>180772</v>
      </c>
      <c r="L368">
        <v>2</v>
      </c>
      <c r="M368">
        <v>282</v>
      </c>
      <c r="N368">
        <v>0.98074074074074069</v>
      </c>
      <c r="O368">
        <v>19845375.666666664</v>
      </c>
      <c r="P368">
        <v>181979</v>
      </c>
      <c r="Q368">
        <v>2</v>
      </c>
      <c r="R368">
        <v>283</v>
      </c>
      <c r="S368" t="s">
        <v>2249</v>
      </c>
      <c r="U368" t="str">
        <f t="shared" si="5"/>
        <v/>
      </c>
      <c r="W368">
        <f>Digits_pres_final[[#This Row],[kan_params]]</f>
        <v>111558</v>
      </c>
      <c r="X368">
        <f>Digits_pres_final[[#This Row],[kan_test_acc]]</f>
        <v>0.98999998966852831</v>
      </c>
      <c r="Y368">
        <f>Digits_pres_final[[#This Row],[mlp_test_acc]]</f>
        <v>0.97944444444444434</v>
      </c>
      <c r="Z368">
        <f>Digits_pres_final[[#This Row],[mlp_test_acc2]]</f>
        <v>0.98074074074074069</v>
      </c>
    </row>
    <row r="369" spans="1:26" hidden="1" x14ac:dyDescent="0.25">
      <c r="A369" t="s">
        <v>1979</v>
      </c>
      <c r="B369">
        <v>3</v>
      </c>
      <c r="C369">
        <v>3</v>
      </c>
      <c r="D369">
        <v>0</v>
      </c>
      <c r="E369" t="s">
        <v>2038</v>
      </c>
      <c r="F369">
        <v>111642</v>
      </c>
      <c r="G369">
        <v>319211371.75</v>
      </c>
      <c r="H369">
        <v>0.97277778883775079</v>
      </c>
      <c r="I369">
        <v>0.96148148148148149</v>
      </c>
      <c r="J369">
        <v>31975147.333333336</v>
      </c>
      <c r="K369">
        <v>198034</v>
      </c>
      <c r="L369">
        <v>2</v>
      </c>
      <c r="M369">
        <v>296</v>
      </c>
      <c r="N369">
        <v>0.96129629629629632</v>
      </c>
      <c r="O369">
        <v>32444674.083333336</v>
      </c>
      <c r="P369">
        <v>199297</v>
      </c>
      <c r="Q369">
        <v>2</v>
      </c>
      <c r="R369">
        <v>297</v>
      </c>
      <c r="S369" t="s">
        <v>2412</v>
      </c>
      <c r="U369" t="str">
        <f t="shared" si="5"/>
        <v/>
      </c>
      <c r="W369">
        <f>Digits_pres_final[[#This Row],[kan_params]]</f>
        <v>111642</v>
      </c>
      <c r="X369">
        <f>Digits_pres_final[[#This Row],[kan_test_acc]]</f>
        <v>0.97277778883775079</v>
      </c>
      <c r="Y369">
        <f>Digits_pres_final[[#This Row],[mlp_test_acc]]</f>
        <v>0.96148148148148149</v>
      </c>
      <c r="Z369">
        <f>Digits_pres_final[[#This Row],[mlp_test_acc2]]</f>
        <v>0.96129629629629632</v>
      </c>
    </row>
    <row r="370" spans="1:26" hidden="1" x14ac:dyDescent="0.25">
      <c r="A370" t="s">
        <v>1979</v>
      </c>
      <c r="B370">
        <v>3</v>
      </c>
      <c r="C370">
        <v>2</v>
      </c>
      <c r="D370">
        <v>0</v>
      </c>
      <c r="E370" t="s">
        <v>2122</v>
      </c>
      <c r="F370">
        <v>111820</v>
      </c>
      <c r="G370">
        <v>528067696.91666669</v>
      </c>
      <c r="H370">
        <v>0.97574074069658923</v>
      </c>
      <c r="I370">
        <v>0.97018518518518526</v>
      </c>
      <c r="J370">
        <v>30892759.166666668</v>
      </c>
      <c r="K370">
        <v>180772</v>
      </c>
      <c r="L370">
        <v>2</v>
      </c>
      <c r="M370">
        <v>282</v>
      </c>
      <c r="N370">
        <v>0.97111111111111115</v>
      </c>
      <c r="O370">
        <v>30911071.666666664</v>
      </c>
      <c r="P370">
        <v>181979</v>
      </c>
      <c r="Q370">
        <v>2</v>
      </c>
      <c r="R370">
        <v>283</v>
      </c>
      <c r="S370" t="s">
        <v>2123</v>
      </c>
      <c r="U370" t="str">
        <f t="shared" si="5"/>
        <v/>
      </c>
      <c r="W370">
        <f>Digits_pres_final[[#This Row],[kan_params]]</f>
        <v>111820</v>
      </c>
      <c r="X370">
        <f>Digits_pres_final[[#This Row],[kan_test_acc]]</f>
        <v>0.97574074069658923</v>
      </c>
      <c r="Y370">
        <f>Digits_pres_final[[#This Row],[mlp_test_acc]]</f>
        <v>0.97018518518518526</v>
      </c>
      <c r="Z370">
        <f>Digits_pres_final[[#This Row],[mlp_test_acc2]]</f>
        <v>0.97111111111111115</v>
      </c>
    </row>
    <row r="371" spans="1:26" hidden="1" x14ac:dyDescent="0.25">
      <c r="A371" t="s">
        <v>1979</v>
      </c>
      <c r="B371">
        <v>3</v>
      </c>
      <c r="C371">
        <v>2</v>
      </c>
      <c r="D371">
        <v>0</v>
      </c>
      <c r="E371" t="s">
        <v>2312</v>
      </c>
      <c r="F371">
        <v>111844</v>
      </c>
      <c r="G371">
        <v>456341326.08333337</v>
      </c>
      <c r="H371">
        <v>0.96481480697790789</v>
      </c>
      <c r="I371">
        <v>0.94555555555555548</v>
      </c>
      <c r="J371">
        <v>28798648.5</v>
      </c>
      <c r="K371">
        <v>180772</v>
      </c>
      <c r="L371">
        <v>2</v>
      </c>
      <c r="M371">
        <v>282</v>
      </c>
      <c r="N371">
        <v>0.94722222222222219</v>
      </c>
      <c r="O371">
        <v>28010946.916666664</v>
      </c>
      <c r="P371">
        <v>181979</v>
      </c>
      <c r="Q371">
        <v>2</v>
      </c>
      <c r="R371">
        <v>283</v>
      </c>
      <c r="S371" t="s">
        <v>2313</v>
      </c>
      <c r="U371" t="str">
        <f t="shared" si="5"/>
        <v/>
      </c>
      <c r="W371">
        <f>Digits_pres_final[[#This Row],[kan_params]]</f>
        <v>111844</v>
      </c>
      <c r="X371">
        <f>Digits_pres_final[[#This Row],[kan_test_acc]]</f>
        <v>0.96481480697790789</v>
      </c>
      <c r="Y371">
        <f>Digits_pres_final[[#This Row],[mlp_test_acc]]</f>
        <v>0.94555555555555548</v>
      </c>
      <c r="Z371">
        <f>Digits_pres_final[[#This Row],[mlp_test_acc2]]</f>
        <v>0.94722222222222219</v>
      </c>
    </row>
    <row r="372" spans="1:26" hidden="1" x14ac:dyDescent="0.25">
      <c r="A372" t="s">
        <v>1979</v>
      </c>
      <c r="B372">
        <v>3</v>
      </c>
      <c r="C372">
        <v>3</v>
      </c>
      <c r="D372">
        <v>0</v>
      </c>
      <c r="E372" t="s">
        <v>2102</v>
      </c>
      <c r="F372">
        <v>112072</v>
      </c>
      <c r="G372">
        <v>354043903.25</v>
      </c>
      <c r="H372">
        <v>0.97851852575937903</v>
      </c>
      <c r="I372">
        <v>0.9622222222222222</v>
      </c>
      <c r="J372">
        <v>30512074.75</v>
      </c>
      <c r="K372">
        <v>198034</v>
      </c>
      <c r="L372">
        <v>2</v>
      </c>
      <c r="M372">
        <v>296</v>
      </c>
      <c r="N372">
        <v>0.96425925925925926</v>
      </c>
      <c r="O372">
        <v>32096051.833333336</v>
      </c>
      <c r="P372">
        <v>199297</v>
      </c>
      <c r="Q372">
        <v>2</v>
      </c>
      <c r="R372">
        <v>297</v>
      </c>
      <c r="S372" t="s">
        <v>2443</v>
      </c>
      <c r="U372" t="str">
        <f t="shared" si="5"/>
        <v/>
      </c>
      <c r="W372">
        <f>Digits_pres_final[[#This Row],[kan_params]]</f>
        <v>112072</v>
      </c>
      <c r="X372">
        <f>Digits_pres_final[[#This Row],[kan_test_acc]]</f>
        <v>0.97851852575937903</v>
      </c>
      <c r="Y372">
        <f>Digits_pres_final[[#This Row],[mlp_test_acc]]</f>
        <v>0.9622222222222222</v>
      </c>
      <c r="Z372">
        <f>Digits_pres_final[[#This Row],[mlp_test_acc2]]</f>
        <v>0.96425925925925926</v>
      </c>
    </row>
    <row r="373" spans="1:26" x14ac:dyDescent="0.25">
      <c r="A373" t="s">
        <v>1979</v>
      </c>
      <c r="B373">
        <v>3</v>
      </c>
      <c r="C373">
        <v>4</v>
      </c>
      <c r="D373">
        <v>0</v>
      </c>
      <c r="E373" t="s">
        <v>2088</v>
      </c>
      <c r="F373">
        <v>112170</v>
      </c>
      <c r="G373">
        <v>368289009.33333337</v>
      </c>
      <c r="H373">
        <v>0.95777777830759692</v>
      </c>
      <c r="I373">
        <v>0.96740740740740749</v>
      </c>
      <c r="J373">
        <v>33466489.083333336</v>
      </c>
      <c r="K373">
        <v>212147</v>
      </c>
      <c r="L373">
        <v>2</v>
      </c>
      <c r="M373">
        <v>307</v>
      </c>
      <c r="N373">
        <v>0.96925925925925926</v>
      </c>
      <c r="O373">
        <v>33974545.25</v>
      </c>
      <c r="P373">
        <v>213454</v>
      </c>
      <c r="Q373">
        <v>2</v>
      </c>
      <c r="R373">
        <v>308</v>
      </c>
      <c r="S373" t="s">
        <v>2628</v>
      </c>
      <c r="U373" t="str">
        <f t="shared" si="5"/>
        <v/>
      </c>
      <c r="W373">
        <f>Digits_pres_final[[#This Row],[kan_params]]</f>
        <v>112170</v>
      </c>
      <c r="X373">
        <f>Digits_pres_final[[#This Row],[kan_test_acc]]</f>
        <v>0.95777777830759692</v>
      </c>
      <c r="Y373">
        <f>Digits_pres_final[[#This Row],[mlp_test_acc]]</f>
        <v>0.96740740740740749</v>
      </c>
      <c r="Z373">
        <f>Digits_pres_final[[#This Row],[mlp_test_acc2]]</f>
        <v>0.96925925925925926</v>
      </c>
    </row>
    <row r="374" spans="1:26" hidden="1" x14ac:dyDescent="0.25">
      <c r="A374" t="s">
        <v>1979</v>
      </c>
      <c r="B374">
        <v>3</v>
      </c>
      <c r="C374">
        <v>3</v>
      </c>
      <c r="D374">
        <v>0</v>
      </c>
      <c r="E374" t="s">
        <v>2166</v>
      </c>
      <c r="F374">
        <v>112358</v>
      </c>
      <c r="G374">
        <v>292651898.16666663</v>
      </c>
      <c r="H374">
        <v>0.97222221891085303</v>
      </c>
      <c r="I374">
        <v>0.96129629629629632</v>
      </c>
      <c r="J374">
        <v>31065947.333333336</v>
      </c>
      <c r="K374">
        <v>199297</v>
      </c>
      <c r="L374">
        <v>2</v>
      </c>
      <c r="M374">
        <v>297</v>
      </c>
      <c r="N374">
        <v>0.95037037037037031</v>
      </c>
      <c r="O374">
        <v>31082583.5</v>
      </c>
      <c r="P374">
        <v>200564</v>
      </c>
      <c r="Q374">
        <v>2</v>
      </c>
      <c r="R374">
        <v>298</v>
      </c>
      <c r="S374" t="s">
        <v>2474</v>
      </c>
      <c r="U374" t="str">
        <f t="shared" si="5"/>
        <v/>
      </c>
      <c r="W374">
        <f>Digits_pres_final[[#This Row],[kan_params]]</f>
        <v>112358</v>
      </c>
      <c r="X374">
        <f>Digits_pres_final[[#This Row],[kan_test_acc]]</f>
        <v>0.97222221891085303</v>
      </c>
      <c r="Y374">
        <f>Digits_pres_final[[#This Row],[mlp_test_acc]]</f>
        <v>0.96129629629629632</v>
      </c>
      <c r="Z374">
        <f>Digits_pres_final[[#This Row],[mlp_test_acc2]]</f>
        <v>0.95037037037037031</v>
      </c>
    </row>
    <row r="375" spans="1:26" hidden="1" x14ac:dyDescent="0.25">
      <c r="A375" t="s">
        <v>1979</v>
      </c>
      <c r="B375">
        <v>3</v>
      </c>
      <c r="C375">
        <v>2</v>
      </c>
      <c r="D375">
        <v>0</v>
      </c>
      <c r="E375" t="s">
        <v>2186</v>
      </c>
      <c r="F375">
        <v>112394</v>
      </c>
      <c r="G375">
        <v>384388102.41666669</v>
      </c>
      <c r="H375">
        <v>0.98425925274689985</v>
      </c>
      <c r="I375">
        <v>0.9731481481481481</v>
      </c>
      <c r="J375">
        <v>25467963.75</v>
      </c>
      <c r="K375">
        <v>181979</v>
      </c>
      <c r="L375">
        <v>2</v>
      </c>
      <c r="M375">
        <v>283</v>
      </c>
      <c r="N375">
        <v>0.97555555555555551</v>
      </c>
      <c r="O375">
        <v>26097073.5</v>
      </c>
      <c r="P375">
        <v>183190</v>
      </c>
      <c r="Q375">
        <v>2</v>
      </c>
      <c r="R375">
        <v>284</v>
      </c>
      <c r="S375" t="s">
        <v>2187</v>
      </c>
      <c r="U375" t="str">
        <f t="shared" si="5"/>
        <v/>
      </c>
      <c r="W375">
        <f>Digits_pres_final[[#This Row],[kan_params]]</f>
        <v>112394</v>
      </c>
      <c r="X375">
        <f>Digits_pres_final[[#This Row],[kan_test_acc]]</f>
        <v>0.98425925274689985</v>
      </c>
      <c r="Y375">
        <f>Digits_pres_final[[#This Row],[mlp_test_acc]]</f>
        <v>0.9731481481481481</v>
      </c>
      <c r="Z375">
        <f>Digits_pres_final[[#This Row],[mlp_test_acc2]]</f>
        <v>0.97555555555555551</v>
      </c>
    </row>
    <row r="376" spans="1:26" hidden="1" x14ac:dyDescent="0.25">
      <c r="A376" t="s">
        <v>1979</v>
      </c>
      <c r="B376">
        <v>3</v>
      </c>
      <c r="C376">
        <v>3</v>
      </c>
      <c r="D376">
        <v>0</v>
      </c>
      <c r="E376" t="s">
        <v>2358</v>
      </c>
      <c r="F376">
        <v>112498</v>
      </c>
      <c r="G376">
        <v>341924029.75</v>
      </c>
      <c r="H376">
        <v>0.96611110866069794</v>
      </c>
      <c r="I376">
        <v>0.95185185185185184</v>
      </c>
      <c r="J376">
        <v>32795351.25</v>
      </c>
      <c r="K376">
        <v>199297</v>
      </c>
      <c r="L376">
        <v>2</v>
      </c>
      <c r="M376">
        <v>297</v>
      </c>
      <c r="N376">
        <v>0.95296296296296301</v>
      </c>
      <c r="O376">
        <v>33281145.416666664</v>
      </c>
      <c r="P376">
        <v>200564</v>
      </c>
      <c r="Q376">
        <v>2</v>
      </c>
      <c r="R376">
        <v>298</v>
      </c>
      <c r="S376" t="s">
        <v>2570</v>
      </c>
      <c r="U376" t="str">
        <f t="shared" si="5"/>
        <v/>
      </c>
      <c r="W376">
        <f>Digits_pres_final[[#This Row],[kan_params]]</f>
        <v>112498</v>
      </c>
      <c r="X376">
        <f>Digits_pres_final[[#This Row],[kan_test_acc]]</f>
        <v>0.96611110866069794</v>
      </c>
      <c r="Y376">
        <f>Digits_pres_final[[#This Row],[mlp_test_acc]]</f>
        <v>0.95185185185185184</v>
      </c>
      <c r="Z376">
        <f>Digits_pres_final[[#This Row],[mlp_test_acc2]]</f>
        <v>0.95296296296296301</v>
      </c>
    </row>
    <row r="377" spans="1:26" hidden="1" x14ac:dyDescent="0.25">
      <c r="A377" t="s">
        <v>1979</v>
      </c>
      <c r="B377">
        <v>3</v>
      </c>
      <c r="C377">
        <v>3</v>
      </c>
      <c r="D377">
        <v>0</v>
      </c>
      <c r="E377" t="s">
        <v>2230</v>
      </c>
      <c r="F377">
        <v>112500</v>
      </c>
      <c r="G377">
        <v>316316984.08333331</v>
      </c>
      <c r="H377">
        <v>0.97777777413527178</v>
      </c>
      <c r="I377">
        <v>0.96055555555555561</v>
      </c>
      <c r="J377">
        <v>31414602.833333332</v>
      </c>
      <c r="K377">
        <v>199297</v>
      </c>
      <c r="L377">
        <v>2</v>
      </c>
      <c r="M377">
        <v>297</v>
      </c>
      <c r="N377">
        <v>0.95499999999999996</v>
      </c>
      <c r="O377">
        <v>31689204.333333336</v>
      </c>
      <c r="P377">
        <v>200564</v>
      </c>
      <c r="Q377">
        <v>2</v>
      </c>
      <c r="R377">
        <v>298</v>
      </c>
      <c r="S377" t="s">
        <v>2505</v>
      </c>
      <c r="U377" t="str">
        <f t="shared" si="5"/>
        <v/>
      </c>
      <c r="W377">
        <f>Digits_pres_final[[#This Row],[kan_params]]</f>
        <v>112500</v>
      </c>
      <c r="X377">
        <f>Digits_pres_final[[#This Row],[kan_test_acc]]</f>
        <v>0.97777777413527178</v>
      </c>
      <c r="Y377">
        <f>Digits_pres_final[[#This Row],[mlp_test_acc]]</f>
        <v>0.96055555555555561</v>
      </c>
      <c r="Z377">
        <f>Digits_pres_final[[#This Row],[mlp_test_acc2]]</f>
        <v>0.95499999999999996</v>
      </c>
    </row>
    <row r="378" spans="1:26" hidden="1" x14ac:dyDescent="0.25">
      <c r="A378" t="s">
        <v>1979</v>
      </c>
      <c r="B378">
        <v>3</v>
      </c>
      <c r="C378">
        <v>2</v>
      </c>
      <c r="D378">
        <v>0</v>
      </c>
      <c r="E378" t="s">
        <v>2250</v>
      </c>
      <c r="F378">
        <v>112840</v>
      </c>
      <c r="G378">
        <v>235638728.33333331</v>
      </c>
      <c r="H378">
        <v>0.98870369295279192</v>
      </c>
      <c r="I378">
        <v>0.97611111111111115</v>
      </c>
      <c r="J378">
        <v>19715168.75</v>
      </c>
      <c r="K378">
        <v>183190</v>
      </c>
      <c r="L378">
        <v>2</v>
      </c>
      <c r="M378">
        <v>284</v>
      </c>
      <c r="N378">
        <v>0.98129629629629633</v>
      </c>
      <c r="O378">
        <v>19788336.083333336</v>
      </c>
      <c r="P378">
        <v>184405</v>
      </c>
      <c r="Q378">
        <v>2</v>
      </c>
      <c r="R378">
        <v>285</v>
      </c>
      <c r="S378" t="s">
        <v>2251</v>
      </c>
      <c r="U378" t="str">
        <f t="shared" si="5"/>
        <v/>
      </c>
      <c r="W378">
        <f>Digits_pres_final[[#This Row],[kan_params]]</f>
        <v>112840</v>
      </c>
      <c r="X378">
        <f>Digits_pres_final[[#This Row],[kan_test_acc]]</f>
        <v>0.98870369295279192</v>
      </c>
      <c r="Y378">
        <f>Digits_pres_final[[#This Row],[mlp_test_acc]]</f>
        <v>0.97611111111111115</v>
      </c>
      <c r="Z378">
        <f>Digits_pres_final[[#This Row],[mlp_test_acc2]]</f>
        <v>0.98129629629629633</v>
      </c>
    </row>
    <row r="379" spans="1:26" hidden="1" x14ac:dyDescent="0.25">
      <c r="A379" t="s">
        <v>1979</v>
      </c>
      <c r="B379">
        <v>3</v>
      </c>
      <c r="C379">
        <v>3</v>
      </c>
      <c r="D379">
        <v>0</v>
      </c>
      <c r="E379" t="s">
        <v>2040</v>
      </c>
      <c r="F379">
        <v>112976</v>
      </c>
      <c r="G379">
        <v>331843553.25</v>
      </c>
      <c r="H379">
        <v>0.97222222884496057</v>
      </c>
      <c r="I379">
        <v>0.96055555555555561</v>
      </c>
      <c r="J379">
        <v>32716858.666666668</v>
      </c>
      <c r="K379">
        <v>200564</v>
      </c>
      <c r="L379">
        <v>2</v>
      </c>
      <c r="M379">
        <v>298</v>
      </c>
      <c r="N379">
        <v>0.96203703703703702</v>
      </c>
      <c r="O379">
        <v>32042623.416666668</v>
      </c>
      <c r="P379">
        <v>201835</v>
      </c>
      <c r="Q379">
        <v>2</v>
      </c>
      <c r="R379">
        <v>299</v>
      </c>
      <c r="S379" t="s">
        <v>2413</v>
      </c>
      <c r="U379" t="str">
        <f t="shared" si="5"/>
        <v/>
      </c>
      <c r="W379">
        <f>Digits_pres_final[[#This Row],[kan_params]]</f>
        <v>112976</v>
      </c>
      <c r="X379">
        <f>Digits_pres_final[[#This Row],[kan_test_acc]]</f>
        <v>0.97222222884496057</v>
      </c>
      <c r="Y379">
        <f>Digits_pres_final[[#This Row],[mlp_test_acc]]</f>
        <v>0.96055555555555561</v>
      </c>
      <c r="Z379">
        <f>Digits_pres_final[[#This Row],[mlp_test_acc2]]</f>
        <v>0.96203703703703702</v>
      </c>
    </row>
    <row r="380" spans="1:26" hidden="1" x14ac:dyDescent="0.25">
      <c r="A380" t="s">
        <v>1979</v>
      </c>
      <c r="B380">
        <v>3</v>
      </c>
      <c r="C380">
        <v>2</v>
      </c>
      <c r="D380">
        <v>0</v>
      </c>
      <c r="E380" t="s">
        <v>2314</v>
      </c>
      <c r="F380">
        <v>113158</v>
      </c>
      <c r="G380">
        <v>414570694.16666663</v>
      </c>
      <c r="H380">
        <v>0.96740740537643433</v>
      </c>
      <c r="I380">
        <v>0.94407407407407407</v>
      </c>
      <c r="J380">
        <v>28643710.166666664</v>
      </c>
      <c r="K380">
        <v>183190</v>
      </c>
      <c r="L380">
        <v>2</v>
      </c>
      <c r="M380">
        <v>284</v>
      </c>
      <c r="N380">
        <v>0.94611111111111112</v>
      </c>
      <c r="O380">
        <v>29497838</v>
      </c>
      <c r="P380">
        <v>184405</v>
      </c>
      <c r="Q380">
        <v>2</v>
      </c>
      <c r="R380">
        <v>285</v>
      </c>
      <c r="S380" t="s">
        <v>2315</v>
      </c>
      <c r="U380" t="str">
        <f t="shared" si="5"/>
        <v/>
      </c>
      <c r="W380">
        <f>Digits_pres_final[[#This Row],[kan_params]]</f>
        <v>113158</v>
      </c>
      <c r="X380">
        <f>Digits_pres_final[[#This Row],[kan_test_acc]]</f>
        <v>0.96740740537643433</v>
      </c>
      <c r="Y380">
        <f>Digits_pres_final[[#This Row],[mlp_test_acc]]</f>
        <v>0.94407407407407407</v>
      </c>
      <c r="Z380">
        <f>Digits_pres_final[[#This Row],[mlp_test_acc2]]</f>
        <v>0.94611111111111112</v>
      </c>
    </row>
    <row r="381" spans="1:26" hidden="1" x14ac:dyDescent="0.25">
      <c r="A381" t="s">
        <v>1979</v>
      </c>
      <c r="B381">
        <v>3</v>
      </c>
      <c r="C381">
        <v>3</v>
      </c>
      <c r="D381">
        <v>0</v>
      </c>
      <c r="E381" t="s">
        <v>2104</v>
      </c>
      <c r="F381">
        <v>113442</v>
      </c>
      <c r="G381">
        <v>337296454.58333337</v>
      </c>
      <c r="H381">
        <v>0.97981482247511542</v>
      </c>
      <c r="I381">
        <v>0.95796296296296291</v>
      </c>
      <c r="J381">
        <v>30320255.5</v>
      </c>
      <c r="K381">
        <v>200564</v>
      </c>
      <c r="L381">
        <v>2</v>
      </c>
      <c r="M381">
        <v>298</v>
      </c>
      <c r="N381">
        <v>0.96018518518518514</v>
      </c>
      <c r="O381">
        <v>30596361.333333336</v>
      </c>
      <c r="P381">
        <v>201835</v>
      </c>
      <c r="Q381">
        <v>2</v>
      </c>
      <c r="R381">
        <v>299</v>
      </c>
      <c r="S381" t="s">
        <v>2444</v>
      </c>
      <c r="U381" t="str">
        <f t="shared" si="5"/>
        <v/>
      </c>
      <c r="W381">
        <f>Digits_pres_final[[#This Row],[kan_params]]</f>
        <v>113442</v>
      </c>
      <c r="X381">
        <f>Digits_pres_final[[#This Row],[kan_test_acc]]</f>
        <v>0.97981482247511542</v>
      </c>
      <c r="Y381">
        <f>Digits_pres_final[[#This Row],[mlp_test_acc]]</f>
        <v>0.95796296296296291</v>
      </c>
      <c r="Z381">
        <f>Digits_pres_final[[#This Row],[mlp_test_acc2]]</f>
        <v>0.96018518518518514</v>
      </c>
    </row>
    <row r="382" spans="1:26" hidden="1" x14ac:dyDescent="0.25">
      <c r="A382" t="s">
        <v>1979</v>
      </c>
      <c r="B382">
        <v>3</v>
      </c>
      <c r="C382">
        <v>2</v>
      </c>
      <c r="D382">
        <v>0</v>
      </c>
      <c r="E382" t="s">
        <v>2188</v>
      </c>
      <c r="F382">
        <v>113644</v>
      </c>
      <c r="G382">
        <v>337143934.66666669</v>
      </c>
      <c r="H382">
        <v>0.98444442947705579</v>
      </c>
      <c r="I382">
        <v>0.97796296296296292</v>
      </c>
      <c r="J382">
        <v>22767371.75</v>
      </c>
      <c r="K382">
        <v>184405</v>
      </c>
      <c r="L382">
        <v>2</v>
      </c>
      <c r="M382">
        <v>285</v>
      </c>
      <c r="N382">
        <v>0.97722222222222221</v>
      </c>
      <c r="O382">
        <v>22776541.916666668</v>
      </c>
      <c r="P382">
        <v>185624</v>
      </c>
      <c r="Q382">
        <v>2</v>
      </c>
      <c r="R382">
        <v>286</v>
      </c>
      <c r="S382" t="s">
        <v>2189</v>
      </c>
      <c r="U382" t="str">
        <f t="shared" si="5"/>
        <v/>
      </c>
      <c r="W382">
        <f>Digits_pres_final[[#This Row],[kan_params]]</f>
        <v>113644</v>
      </c>
      <c r="X382">
        <f>Digits_pres_final[[#This Row],[kan_test_acc]]</f>
        <v>0.98444442947705579</v>
      </c>
      <c r="Y382">
        <f>Digits_pres_final[[#This Row],[mlp_test_acc]]</f>
        <v>0.97796296296296292</v>
      </c>
      <c r="Z382">
        <f>Digits_pres_final[[#This Row],[mlp_test_acc2]]</f>
        <v>0.97722222222222221</v>
      </c>
    </row>
    <row r="383" spans="1:26" x14ac:dyDescent="0.25">
      <c r="A383" t="s">
        <v>1979</v>
      </c>
      <c r="B383">
        <v>3</v>
      </c>
      <c r="C383">
        <v>4</v>
      </c>
      <c r="D383">
        <v>0</v>
      </c>
      <c r="E383" t="s">
        <v>2090</v>
      </c>
      <c r="F383">
        <v>113652</v>
      </c>
      <c r="G383">
        <v>317794053.5</v>
      </c>
      <c r="H383">
        <v>0.95666666825612379</v>
      </c>
      <c r="I383">
        <v>0.96740740740740749</v>
      </c>
      <c r="J383">
        <v>33595066.916666664</v>
      </c>
      <c r="K383">
        <v>214765</v>
      </c>
      <c r="L383">
        <v>2</v>
      </c>
      <c r="M383">
        <v>309</v>
      </c>
      <c r="N383">
        <v>0.96611111111111114</v>
      </c>
      <c r="O383">
        <v>33419224.666666664</v>
      </c>
      <c r="P383">
        <v>216080</v>
      </c>
      <c r="Q383">
        <v>2</v>
      </c>
      <c r="R383">
        <v>310</v>
      </c>
      <c r="S383" t="s">
        <v>2629</v>
      </c>
      <c r="U383" t="str">
        <f t="shared" si="5"/>
        <v/>
      </c>
      <c r="W383">
        <f>Digits_pres_final[[#This Row],[kan_params]]</f>
        <v>113652</v>
      </c>
      <c r="X383">
        <f>Digits_pres_final[[#This Row],[kan_test_acc]]</f>
        <v>0.95666666825612379</v>
      </c>
      <c r="Y383">
        <f>Digits_pres_final[[#This Row],[mlp_test_acc]]</f>
        <v>0.96740740740740749</v>
      </c>
      <c r="Z383">
        <f>Digits_pres_final[[#This Row],[mlp_test_acc2]]</f>
        <v>0.96611111111111114</v>
      </c>
    </row>
    <row r="384" spans="1:26" hidden="1" x14ac:dyDescent="0.25">
      <c r="A384" t="s">
        <v>1979</v>
      </c>
      <c r="B384">
        <v>3</v>
      </c>
      <c r="C384">
        <v>3</v>
      </c>
      <c r="D384">
        <v>0</v>
      </c>
      <c r="E384" t="s">
        <v>2168</v>
      </c>
      <c r="F384">
        <v>113764</v>
      </c>
      <c r="G384">
        <v>302879416.08333331</v>
      </c>
      <c r="H384">
        <v>0.97185185054937995</v>
      </c>
      <c r="I384">
        <v>0.9588888888888889</v>
      </c>
      <c r="J384">
        <v>31191867.416666668</v>
      </c>
      <c r="K384">
        <v>201835</v>
      </c>
      <c r="L384">
        <v>2</v>
      </c>
      <c r="M384">
        <v>299</v>
      </c>
      <c r="N384">
        <v>0.95351851851851843</v>
      </c>
      <c r="O384">
        <v>31045861.25</v>
      </c>
      <c r="P384">
        <v>203110</v>
      </c>
      <c r="Q384">
        <v>2</v>
      </c>
      <c r="R384">
        <v>300</v>
      </c>
      <c r="S384" t="s">
        <v>2475</v>
      </c>
      <c r="U384" t="str">
        <f t="shared" si="5"/>
        <v/>
      </c>
      <c r="W384">
        <f>Digits_pres_final[[#This Row],[kan_params]]</f>
        <v>113764</v>
      </c>
      <c r="X384">
        <f>Digits_pres_final[[#This Row],[kan_test_acc]]</f>
        <v>0.97185185054937995</v>
      </c>
      <c r="Y384">
        <f>Digits_pres_final[[#This Row],[mlp_test_acc]]</f>
        <v>0.9588888888888889</v>
      </c>
      <c r="Z384">
        <f>Digits_pres_final[[#This Row],[mlp_test_acc2]]</f>
        <v>0.95351851851851843</v>
      </c>
    </row>
    <row r="385" spans="1:26" hidden="1" x14ac:dyDescent="0.25">
      <c r="A385" t="s">
        <v>1979</v>
      </c>
      <c r="B385">
        <v>3</v>
      </c>
      <c r="C385">
        <v>3</v>
      </c>
      <c r="D385">
        <v>0</v>
      </c>
      <c r="E385" t="s">
        <v>2232</v>
      </c>
      <c r="F385">
        <v>113942</v>
      </c>
      <c r="G385">
        <v>297687836.91666663</v>
      </c>
      <c r="H385">
        <v>0.97851851582527161</v>
      </c>
      <c r="I385">
        <v>0.9681481481481482</v>
      </c>
      <c r="J385">
        <v>31616165.416666664</v>
      </c>
      <c r="K385">
        <v>201835</v>
      </c>
      <c r="L385">
        <v>2</v>
      </c>
      <c r="M385">
        <v>299</v>
      </c>
      <c r="N385">
        <v>0.96333333333333337</v>
      </c>
      <c r="O385">
        <v>32593126.916666668</v>
      </c>
      <c r="P385">
        <v>203110</v>
      </c>
      <c r="Q385">
        <v>2</v>
      </c>
      <c r="R385">
        <v>300</v>
      </c>
      <c r="S385" t="s">
        <v>2506</v>
      </c>
      <c r="U385" t="str">
        <f t="shared" si="5"/>
        <v/>
      </c>
      <c r="W385">
        <f>Digits_pres_final[[#This Row],[kan_params]]</f>
        <v>113942</v>
      </c>
      <c r="X385">
        <f>Digits_pres_final[[#This Row],[kan_test_acc]]</f>
        <v>0.97851851582527161</v>
      </c>
      <c r="Y385">
        <f>Digits_pres_final[[#This Row],[mlp_test_acc]]</f>
        <v>0.9681481481481482</v>
      </c>
      <c r="Z385">
        <f>Digits_pres_final[[#This Row],[mlp_test_acc2]]</f>
        <v>0.96333333333333337</v>
      </c>
    </row>
    <row r="386" spans="1:26" hidden="1" x14ac:dyDescent="0.25">
      <c r="A386" t="s">
        <v>1979</v>
      </c>
      <c r="B386">
        <v>3</v>
      </c>
      <c r="C386">
        <v>3</v>
      </c>
      <c r="D386">
        <v>0</v>
      </c>
      <c r="E386" t="s">
        <v>2360</v>
      </c>
      <c r="F386">
        <v>113976</v>
      </c>
      <c r="G386">
        <v>346144157.25</v>
      </c>
      <c r="H386">
        <v>0.96537036697069811</v>
      </c>
      <c r="I386">
        <v>0.95351851851851843</v>
      </c>
      <c r="J386">
        <v>33119874.083333336</v>
      </c>
      <c r="K386">
        <v>201835</v>
      </c>
      <c r="L386">
        <v>2</v>
      </c>
      <c r="M386">
        <v>299</v>
      </c>
      <c r="N386">
        <v>0.95407407407407407</v>
      </c>
      <c r="O386">
        <v>33060841.666666668</v>
      </c>
      <c r="P386">
        <v>203110</v>
      </c>
      <c r="Q386">
        <v>2</v>
      </c>
      <c r="R386">
        <v>300</v>
      </c>
      <c r="S386" t="s">
        <v>2571</v>
      </c>
      <c r="U386" t="str">
        <f t="shared" si="5"/>
        <v/>
      </c>
      <c r="W386">
        <f>Digits_pres_final[[#This Row],[kan_params]]</f>
        <v>113976</v>
      </c>
      <c r="X386">
        <f>Digits_pres_final[[#This Row],[kan_test_acc]]</f>
        <v>0.96537036697069811</v>
      </c>
      <c r="Y386">
        <f>Digits_pres_final[[#This Row],[mlp_test_acc]]</f>
        <v>0.95351851851851843</v>
      </c>
      <c r="Z386">
        <f>Digits_pres_final[[#This Row],[mlp_test_acc2]]</f>
        <v>0.95407407407407407</v>
      </c>
    </row>
    <row r="387" spans="1:26" hidden="1" x14ac:dyDescent="0.25">
      <c r="A387" t="s">
        <v>1979</v>
      </c>
      <c r="B387">
        <v>3</v>
      </c>
      <c r="C387">
        <v>2</v>
      </c>
      <c r="D387">
        <v>0</v>
      </c>
      <c r="E387" t="s">
        <v>2252</v>
      </c>
      <c r="F387">
        <v>114122</v>
      </c>
      <c r="G387">
        <v>249052745.33333331</v>
      </c>
      <c r="H387">
        <v>0.98907406628131866</v>
      </c>
      <c r="I387">
        <v>0.97444444444444445</v>
      </c>
      <c r="J387">
        <v>19588341.833333332</v>
      </c>
      <c r="K387">
        <v>184405</v>
      </c>
      <c r="L387">
        <v>2</v>
      </c>
      <c r="M387">
        <v>285</v>
      </c>
      <c r="N387">
        <v>0.98074074074074069</v>
      </c>
      <c r="O387">
        <v>19849980</v>
      </c>
      <c r="P387">
        <v>185624</v>
      </c>
      <c r="Q387">
        <v>2</v>
      </c>
      <c r="R387">
        <v>286</v>
      </c>
      <c r="S387" t="s">
        <v>2253</v>
      </c>
      <c r="U387" t="str">
        <f t="shared" ref="U387:U450" si="6">IF(F388=F389,1,"")</f>
        <v/>
      </c>
      <c r="W387">
        <f>Digits_pres_final[[#This Row],[kan_params]]</f>
        <v>114122</v>
      </c>
      <c r="X387">
        <f>Digits_pres_final[[#This Row],[kan_test_acc]]</f>
        <v>0.98907406628131866</v>
      </c>
      <c r="Y387">
        <f>Digits_pres_final[[#This Row],[mlp_test_acc]]</f>
        <v>0.97444444444444445</v>
      </c>
      <c r="Z387">
        <f>Digits_pres_final[[#This Row],[mlp_test_acc2]]</f>
        <v>0.98074074074074069</v>
      </c>
    </row>
    <row r="388" spans="1:26" hidden="1" x14ac:dyDescent="0.25">
      <c r="A388" t="s">
        <v>1979</v>
      </c>
      <c r="B388">
        <v>3</v>
      </c>
      <c r="C388">
        <v>3</v>
      </c>
      <c r="D388">
        <v>0</v>
      </c>
      <c r="E388" t="s">
        <v>2042</v>
      </c>
      <c r="F388">
        <v>114310</v>
      </c>
      <c r="G388">
        <v>352996341.58333337</v>
      </c>
      <c r="H388">
        <v>0.97129630049069726</v>
      </c>
      <c r="I388">
        <v>0.96166666666666667</v>
      </c>
      <c r="J388">
        <v>33392538.083333336</v>
      </c>
      <c r="K388">
        <v>201835</v>
      </c>
      <c r="L388">
        <v>2</v>
      </c>
      <c r="M388">
        <v>299</v>
      </c>
      <c r="N388">
        <v>0.96259259259259267</v>
      </c>
      <c r="O388">
        <v>32578495.666666668</v>
      </c>
      <c r="P388">
        <v>203110</v>
      </c>
      <c r="Q388">
        <v>2</v>
      </c>
      <c r="R388">
        <v>300</v>
      </c>
      <c r="S388" t="s">
        <v>2414</v>
      </c>
      <c r="U388" t="str">
        <f t="shared" si="6"/>
        <v/>
      </c>
      <c r="W388">
        <f>Digits_pres_final[[#This Row],[kan_params]]</f>
        <v>114310</v>
      </c>
      <c r="X388">
        <f>Digits_pres_final[[#This Row],[kan_test_acc]]</f>
        <v>0.97129630049069726</v>
      </c>
      <c r="Y388">
        <f>Digits_pres_final[[#This Row],[mlp_test_acc]]</f>
        <v>0.96166666666666667</v>
      </c>
      <c r="Z388">
        <f>Digits_pres_final[[#This Row],[mlp_test_acc2]]</f>
        <v>0.96259259259259267</v>
      </c>
    </row>
    <row r="389" spans="1:26" hidden="1" x14ac:dyDescent="0.25">
      <c r="A389" t="s">
        <v>1979</v>
      </c>
      <c r="B389">
        <v>3</v>
      </c>
      <c r="C389">
        <v>2</v>
      </c>
      <c r="D389">
        <v>0</v>
      </c>
      <c r="E389" t="s">
        <v>2316</v>
      </c>
      <c r="F389">
        <v>114472</v>
      </c>
      <c r="G389">
        <v>371907381.41666663</v>
      </c>
      <c r="H389">
        <v>0.96722222864627838</v>
      </c>
      <c r="I389">
        <v>0.94407407407407407</v>
      </c>
      <c r="J389">
        <v>29738519.166666664</v>
      </c>
      <c r="K389">
        <v>185624</v>
      </c>
      <c r="L389">
        <v>2</v>
      </c>
      <c r="M389">
        <v>286</v>
      </c>
      <c r="N389">
        <v>0.94685185185185183</v>
      </c>
      <c r="O389">
        <v>29579103.583333336</v>
      </c>
      <c r="P389">
        <v>186847</v>
      </c>
      <c r="Q389">
        <v>2</v>
      </c>
      <c r="R389">
        <v>287</v>
      </c>
      <c r="S389" t="s">
        <v>2317</v>
      </c>
      <c r="U389" t="str">
        <f t="shared" si="6"/>
        <v/>
      </c>
      <c r="W389">
        <f>Digits_pres_final[[#This Row],[kan_params]]</f>
        <v>114472</v>
      </c>
      <c r="X389">
        <f>Digits_pres_final[[#This Row],[kan_test_acc]]</f>
        <v>0.96722222864627838</v>
      </c>
      <c r="Y389">
        <f>Digits_pres_final[[#This Row],[mlp_test_acc]]</f>
        <v>0.94407407407407407</v>
      </c>
      <c r="Z389">
        <f>Digits_pres_final[[#This Row],[mlp_test_acc2]]</f>
        <v>0.94685185185185183</v>
      </c>
    </row>
    <row r="390" spans="1:26" hidden="1" x14ac:dyDescent="0.25">
      <c r="A390" t="s">
        <v>1979</v>
      </c>
      <c r="B390">
        <v>3</v>
      </c>
      <c r="C390">
        <v>3</v>
      </c>
      <c r="D390">
        <v>0</v>
      </c>
      <c r="E390" t="s">
        <v>2106</v>
      </c>
      <c r="F390">
        <v>114812</v>
      </c>
      <c r="G390">
        <v>329113935</v>
      </c>
      <c r="H390">
        <v>0.97796296576658881</v>
      </c>
      <c r="I390">
        <v>0.95666666666666667</v>
      </c>
      <c r="J390">
        <v>30704130.333333336</v>
      </c>
      <c r="K390">
        <v>203110</v>
      </c>
      <c r="L390">
        <v>2</v>
      </c>
      <c r="M390">
        <v>300</v>
      </c>
      <c r="N390">
        <v>0.9562962962962962</v>
      </c>
      <c r="O390">
        <v>30514714.75</v>
      </c>
      <c r="P390">
        <v>204389</v>
      </c>
      <c r="Q390">
        <v>2</v>
      </c>
      <c r="R390">
        <v>301</v>
      </c>
      <c r="S390" t="s">
        <v>2445</v>
      </c>
      <c r="U390" t="str">
        <f t="shared" si="6"/>
        <v/>
      </c>
      <c r="W390">
        <f>Digits_pres_final[[#This Row],[kan_params]]</f>
        <v>114812</v>
      </c>
      <c r="X390">
        <f>Digits_pres_final[[#This Row],[kan_test_acc]]</f>
        <v>0.97796296576658881</v>
      </c>
      <c r="Y390">
        <f>Digits_pres_final[[#This Row],[mlp_test_acc]]</f>
        <v>0.95666666666666667</v>
      </c>
      <c r="Z390">
        <f>Digits_pres_final[[#This Row],[mlp_test_acc2]]</f>
        <v>0.9562962962962962</v>
      </c>
    </row>
    <row r="391" spans="1:26" hidden="1" x14ac:dyDescent="0.25">
      <c r="A391" t="s">
        <v>1979</v>
      </c>
      <c r="B391">
        <v>3</v>
      </c>
      <c r="C391">
        <v>2</v>
      </c>
      <c r="D391">
        <v>0</v>
      </c>
      <c r="E391" t="s">
        <v>2190</v>
      </c>
      <c r="F391">
        <v>114894</v>
      </c>
      <c r="G391">
        <v>288601690.25</v>
      </c>
      <c r="H391">
        <v>0.98555553952852892</v>
      </c>
      <c r="I391">
        <v>0.98055555555555562</v>
      </c>
      <c r="J391">
        <v>20307456.166666664</v>
      </c>
      <c r="K391">
        <v>185624</v>
      </c>
      <c r="L391">
        <v>2</v>
      </c>
      <c r="M391">
        <v>286</v>
      </c>
      <c r="N391">
        <v>0.97759259259259257</v>
      </c>
      <c r="O391">
        <v>19852703.916666668</v>
      </c>
      <c r="P391">
        <v>186847</v>
      </c>
      <c r="Q391">
        <v>2</v>
      </c>
      <c r="R391">
        <v>287</v>
      </c>
      <c r="S391" t="s">
        <v>2191</v>
      </c>
      <c r="U391" t="str">
        <f t="shared" si="6"/>
        <v/>
      </c>
      <c r="W391">
        <f>Digits_pres_final[[#This Row],[kan_params]]</f>
        <v>114894</v>
      </c>
      <c r="X391">
        <f>Digits_pres_final[[#This Row],[kan_test_acc]]</f>
        <v>0.98555553952852892</v>
      </c>
      <c r="Y391">
        <f>Digits_pres_final[[#This Row],[mlp_test_acc]]</f>
        <v>0.98055555555555562</v>
      </c>
      <c r="Z391">
        <f>Digits_pres_final[[#This Row],[mlp_test_acc2]]</f>
        <v>0.97759259259259257</v>
      </c>
    </row>
    <row r="392" spans="1:26" x14ac:dyDescent="0.25">
      <c r="A392" t="s">
        <v>1979</v>
      </c>
      <c r="B392">
        <v>3</v>
      </c>
      <c r="C392">
        <v>4</v>
      </c>
      <c r="D392">
        <v>0</v>
      </c>
      <c r="E392" t="s">
        <v>2026</v>
      </c>
      <c r="F392">
        <v>115134</v>
      </c>
      <c r="G392">
        <v>71912479.416666657</v>
      </c>
      <c r="H392">
        <v>0.9637037068605423</v>
      </c>
      <c r="I392">
        <v>0.95907407407407408</v>
      </c>
      <c r="J392">
        <v>14015121.666666668</v>
      </c>
      <c r="K392">
        <v>217399</v>
      </c>
      <c r="L392">
        <v>2</v>
      </c>
      <c r="M392">
        <v>311</v>
      </c>
      <c r="N392">
        <v>0.95277777777777772</v>
      </c>
      <c r="O392">
        <v>13847928.25</v>
      </c>
      <c r="P392">
        <v>218722</v>
      </c>
      <c r="Q392">
        <v>2</v>
      </c>
      <c r="R392">
        <v>312</v>
      </c>
      <c r="S392" t="s">
        <v>2602</v>
      </c>
      <c r="U392" t="str">
        <f t="shared" si="6"/>
        <v/>
      </c>
      <c r="W392">
        <f>Digits_pres_final[[#This Row],[kan_params]]</f>
        <v>115134</v>
      </c>
      <c r="X392">
        <f>Digits_pres_final[[#This Row],[kan_test_acc]]</f>
        <v>0.9637037068605423</v>
      </c>
      <c r="Y392">
        <f>Digits_pres_final[[#This Row],[mlp_test_acc]]</f>
        <v>0.95907407407407408</v>
      </c>
      <c r="Z392">
        <f>Digits_pres_final[[#This Row],[mlp_test_acc2]]</f>
        <v>0.95277777777777772</v>
      </c>
    </row>
    <row r="393" spans="1:26" hidden="1" x14ac:dyDescent="0.25">
      <c r="A393" t="s">
        <v>1979</v>
      </c>
      <c r="B393">
        <v>3</v>
      </c>
      <c r="C393">
        <v>3</v>
      </c>
      <c r="D393">
        <v>0</v>
      </c>
      <c r="E393" t="s">
        <v>2170</v>
      </c>
      <c r="F393">
        <v>115170</v>
      </c>
      <c r="G393">
        <v>334186595.91666663</v>
      </c>
      <c r="H393">
        <v>0.96962963044643402</v>
      </c>
      <c r="I393">
        <v>0.95425925925925936</v>
      </c>
      <c r="J393">
        <v>31797604.916666668</v>
      </c>
      <c r="K393">
        <v>204389</v>
      </c>
      <c r="L393">
        <v>2</v>
      </c>
      <c r="M393">
        <v>301</v>
      </c>
      <c r="N393">
        <v>0.95611111111111113</v>
      </c>
      <c r="O393">
        <v>31993546.833333336</v>
      </c>
      <c r="P393">
        <v>205672</v>
      </c>
      <c r="Q393">
        <v>2</v>
      </c>
      <c r="R393">
        <v>302</v>
      </c>
      <c r="S393" t="s">
        <v>2476</v>
      </c>
      <c r="U393" t="str">
        <f t="shared" si="6"/>
        <v/>
      </c>
      <c r="W393">
        <f>Digits_pres_final[[#This Row],[kan_params]]</f>
        <v>115170</v>
      </c>
      <c r="X393">
        <f>Digits_pres_final[[#This Row],[kan_test_acc]]</f>
        <v>0.96962963044643402</v>
      </c>
      <c r="Y393">
        <f>Digits_pres_final[[#This Row],[mlp_test_acc]]</f>
        <v>0.95425925925925936</v>
      </c>
      <c r="Z393">
        <f>Digits_pres_final[[#This Row],[mlp_test_acc2]]</f>
        <v>0.95611111111111113</v>
      </c>
    </row>
    <row r="394" spans="1:26" hidden="1" x14ac:dyDescent="0.25">
      <c r="A394" t="s">
        <v>1979</v>
      </c>
      <c r="B394">
        <v>3</v>
      </c>
      <c r="C394">
        <v>3</v>
      </c>
      <c r="D394">
        <v>0</v>
      </c>
      <c r="E394" t="s">
        <v>2234</v>
      </c>
      <c r="F394">
        <v>115384</v>
      </c>
      <c r="G394">
        <v>299229498.33333337</v>
      </c>
      <c r="H394">
        <v>0.97833333909511566</v>
      </c>
      <c r="I394">
        <v>0.97407407407407409</v>
      </c>
      <c r="J394">
        <v>33561347</v>
      </c>
      <c r="K394">
        <v>204389</v>
      </c>
      <c r="L394">
        <v>2</v>
      </c>
      <c r="M394">
        <v>301</v>
      </c>
      <c r="N394">
        <v>0.97055555555555562</v>
      </c>
      <c r="O394">
        <v>33170060.583333336</v>
      </c>
      <c r="P394">
        <v>205672</v>
      </c>
      <c r="Q394">
        <v>2</v>
      </c>
      <c r="R394">
        <v>302</v>
      </c>
      <c r="S394" t="s">
        <v>2507</v>
      </c>
      <c r="U394" t="str">
        <f t="shared" si="6"/>
        <v/>
      </c>
      <c r="W394">
        <f>Digits_pres_final[[#This Row],[kan_params]]</f>
        <v>115384</v>
      </c>
      <c r="X394">
        <f>Digits_pres_final[[#This Row],[kan_test_acc]]</f>
        <v>0.97833333909511566</v>
      </c>
      <c r="Y394">
        <f>Digits_pres_final[[#This Row],[mlp_test_acc]]</f>
        <v>0.97407407407407409</v>
      </c>
      <c r="Z394">
        <f>Digits_pres_final[[#This Row],[mlp_test_acc2]]</f>
        <v>0.97055555555555562</v>
      </c>
    </row>
    <row r="395" spans="1:26" hidden="1" x14ac:dyDescent="0.25">
      <c r="A395" t="s">
        <v>1979</v>
      </c>
      <c r="B395">
        <v>3</v>
      </c>
      <c r="C395">
        <v>2</v>
      </c>
      <c r="D395">
        <v>0</v>
      </c>
      <c r="E395" t="s">
        <v>2254</v>
      </c>
      <c r="F395">
        <v>115404</v>
      </c>
      <c r="G395">
        <v>262437338.91666666</v>
      </c>
      <c r="H395">
        <v>0.98814814289410902</v>
      </c>
      <c r="I395">
        <v>0.97740740740740739</v>
      </c>
      <c r="J395">
        <v>19598539.25</v>
      </c>
      <c r="K395">
        <v>186847</v>
      </c>
      <c r="L395">
        <v>2</v>
      </c>
      <c r="M395">
        <v>287</v>
      </c>
      <c r="N395">
        <v>0.97870370370370363</v>
      </c>
      <c r="O395">
        <v>19985245.75</v>
      </c>
      <c r="P395">
        <v>188074</v>
      </c>
      <c r="Q395">
        <v>2</v>
      </c>
      <c r="R395">
        <v>288</v>
      </c>
      <c r="S395" t="s">
        <v>2255</v>
      </c>
      <c r="U395" t="str">
        <f t="shared" si="6"/>
        <v/>
      </c>
      <c r="W395">
        <f>Digits_pres_final[[#This Row],[kan_params]]</f>
        <v>115404</v>
      </c>
      <c r="X395">
        <f>Digits_pres_final[[#This Row],[kan_test_acc]]</f>
        <v>0.98814814289410902</v>
      </c>
      <c r="Y395">
        <f>Digits_pres_final[[#This Row],[mlp_test_acc]]</f>
        <v>0.97740740740740739</v>
      </c>
      <c r="Z395">
        <f>Digits_pres_final[[#This Row],[mlp_test_acc2]]</f>
        <v>0.97870370370370363</v>
      </c>
    </row>
    <row r="396" spans="1:26" hidden="1" x14ac:dyDescent="0.25">
      <c r="A396" t="s">
        <v>1979</v>
      </c>
      <c r="B396">
        <v>3</v>
      </c>
      <c r="C396">
        <v>3</v>
      </c>
      <c r="D396">
        <v>0</v>
      </c>
      <c r="E396" t="s">
        <v>2298</v>
      </c>
      <c r="F396">
        <v>115454</v>
      </c>
      <c r="G396">
        <v>374360666.75</v>
      </c>
      <c r="H396">
        <v>0.97666666905085253</v>
      </c>
      <c r="I396">
        <v>0.97518518518518515</v>
      </c>
      <c r="J396">
        <v>32695032.25</v>
      </c>
      <c r="K396">
        <v>204389</v>
      </c>
      <c r="L396">
        <v>2</v>
      </c>
      <c r="M396">
        <v>301</v>
      </c>
      <c r="N396">
        <v>0.9714814814814815</v>
      </c>
      <c r="O396">
        <v>31814337.666666664</v>
      </c>
      <c r="P396">
        <v>205672</v>
      </c>
      <c r="Q396">
        <v>2</v>
      </c>
      <c r="R396">
        <v>302</v>
      </c>
      <c r="S396" t="s">
        <v>2538</v>
      </c>
      <c r="U396" t="str">
        <f t="shared" si="6"/>
        <v/>
      </c>
      <c r="W396">
        <f>Digits_pres_final[[#This Row],[kan_params]]</f>
        <v>115454</v>
      </c>
      <c r="X396">
        <f>Digits_pres_final[[#This Row],[kan_test_acc]]</f>
        <v>0.97666666905085253</v>
      </c>
      <c r="Y396">
        <f>Digits_pres_final[[#This Row],[mlp_test_acc]]</f>
        <v>0.97518518518518515</v>
      </c>
      <c r="Z396">
        <f>Digits_pres_final[[#This Row],[mlp_test_acc2]]</f>
        <v>0.9714814814814815</v>
      </c>
    </row>
    <row r="397" spans="1:26" hidden="1" x14ac:dyDescent="0.25">
      <c r="A397" t="s">
        <v>1979</v>
      </c>
      <c r="B397">
        <v>3</v>
      </c>
      <c r="C397">
        <v>3</v>
      </c>
      <c r="D397">
        <v>0</v>
      </c>
      <c r="E397" t="s">
        <v>2044</v>
      </c>
      <c r="F397">
        <v>115644</v>
      </c>
      <c r="G397">
        <v>371516487.83333337</v>
      </c>
      <c r="H397">
        <v>0.96814814209938049</v>
      </c>
      <c r="I397">
        <v>0.96296296296296302</v>
      </c>
      <c r="J397">
        <v>33543475.25</v>
      </c>
      <c r="K397">
        <v>204389</v>
      </c>
      <c r="L397">
        <v>2</v>
      </c>
      <c r="M397">
        <v>301</v>
      </c>
      <c r="N397">
        <v>0.96333333333333337</v>
      </c>
      <c r="O397">
        <v>33633101.083333336</v>
      </c>
      <c r="P397">
        <v>205672</v>
      </c>
      <c r="Q397">
        <v>2</v>
      </c>
      <c r="R397">
        <v>302</v>
      </c>
      <c r="S397" t="s">
        <v>2415</v>
      </c>
      <c r="U397" t="str">
        <f t="shared" si="6"/>
        <v/>
      </c>
      <c r="W397">
        <f>Digits_pres_final[[#This Row],[kan_params]]</f>
        <v>115644</v>
      </c>
      <c r="X397">
        <f>Digits_pres_final[[#This Row],[kan_test_acc]]</f>
        <v>0.96814814209938049</v>
      </c>
      <c r="Y397">
        <f>Digits_pres_final[[#This Row],[mlp_test_acc]]</f>
        <v>0.96296296296296302</v>
      </c>
      <c r="Z397">
        <f>Digits_pres_final[[#This Row],[mlp_test_acc2]]</f>
        <v>0.96333333333333337</v>
      </c>
    </row>
    <row r="398" spans="1:26" hidden="1" x14ac:dyDescent="0.25">
      <c r="A398" t="s">
        <v>1979</v>
      </c>
      <c r="B398">
        <v>3</v>
      </c>
      <c r="C398">
        <v>2</v>
      </c>
      <c r="D398">
        <v>0</v>
      </c>
      <c r="E398" t="s">
        <v>2318</v>
      </c>
      <c r="F398">
        <v>115786</v>
      </c>
      <c r="G398">
        <v>407590288.41666663</v>
      </c>
      <c r="H398">
        <v>0.96555556356906891</v>
      </c>
      <c r="I398">
        <v>0.94425925925925924</v>
      </c>
      <c r="J398">
        <v>30337273.166666664</v>
      </c>
      <c r="K398">
        <v>186847</v>
      </c>
      <c r="L398">
        <v>2</v>
      </c>
      <c r="M398">
        <v>287</v>
      </c>
      <c r="N398">
        <v>0.94888888888888889</v>
      </c>
      <c r="O398">
        <v>29648102.75</v>
      </c>
      <c r="P398">
        <v>188074</v>
      </c>
      <c r="Q398">
        <v>2</v>
      </c>
      <c r="R398">
        <v>288</v>
      </c>
      <c r="S398" t="s">
        <v>2319</v>
      </c>
      <c r="U398" t="str">
        <f t="shared" si="6"/>
        <v/>
      </c>
      <c r="W398">
        <f>Digits_pres_final[[#This Row],[kan_params]]</f>
        <v>115786</v>
      </c>
      <c r="X398">
        <f>Digits_pres_final[[#This Row],[kan_test_acc]]</f>
        <v>0.96555556356906891</v>
      </c>
      <c r="Y398">
        <f>Digits_pres_final[[#This Row],[mlp_test_acc]]</f>
        <v>0.94425925925925924</v>
      </c>
      <c r="Z398">
        <f>Digits_pres_final[[#This Row],[mlp_test_acc2]]</f>
        <v>0.94888888888888889</v>
      </c>
    </row>
    <row r="399" spans="1:26" hidden="1" x14ac:dyDescent="0.25">
      <c r="A399" t="s">
        <v>1979</v>
      </c>
      <c r="B399">
        <v>3</v>
      </c>
      <c r="C399">
        <v>3</v>
      </c>
      <c r="D399">
        <v>0</v>
      </c>
      <c r="E399" t="s">
        <v>2108</v>
      </c>
      <c r="F399">
        <v>116182</v>
      </c>
      <c r="G399">
        <v>306033306.25</v>
      </c>
      <c r="H399">
        <v>0.97759259740511573</v>
      </c>
      <c r="I399">
        <v>0.9588888888888889</v>
      </c>
      <c r="J399">
        <v>31361130.833333336</v>
      </c>
      <c r="K399">
        <v>205672</v>
      </c>
      <c r="L399">
        <v>2</v>
      </c>
      <c r="M399">
        <v>302</v>
      </c>
      <c r="N399">
        <v>0.95611111111111113</v>
      </c>
      <c r="O399">
        <v>31391253.75</v>
      </c>
      <c r="P399">
        <v>206959</v>
      </c>
      <c r="Q399">
        <v>2</v>
      </c>
      <c r="R399">
        <v>303</v>
      </c>
      <c r="S399" t="s">
        <v>2446</v>
      </c>
      <c r="U399" t="str">
        <f t="shared" si="6"/>
        <v/>
      </c>
      <c r="W399">
        <f>Digits_pres_final[[#This Row],[kan_params]]</f>
        <v>116182</v>
      </c>
      <c r="X399">
        <f>Digits_pres_final[[#This Row],[kan_test_acc]]</f>
        <v>0.97759259740511573</v>
      </c>
      <c r="Y399">
        <f>Digits_pres_final[[#This Row],[mlp_test_acc]]</f>
        <v>0.9588888888888889</v>
      </c>
      <c r="Z399">
        <f>Digits_pres_final[[#This Row],[mlp_test_acc2]]</f>
        <v>0.95611111111111113</v>
      </c>
    </row>
    <row r="400" spans="1:26" hidden="1" x14ac:dyDescent="0.25">
      <c r="A400" t="s">
        <v>1979</v>
      </c>
      <c r="B400">
        <v>3</v>
      </c>
      <c r="C400">
        <v>3</v>
      </c>
      <c r="D400">
        <v>0</v>
      </c>
      <c r="E400" t="s">
        <v>2172</v>
      </c>
      <c r="F400">
        <v>116576</v>
      </c>
      <c r="G400">
        <v>328560923.66666663</v>
      </c>
      <c r="H400">
        <v>0.97092592716217041</v>
      </c>
      <c r="I400">
        <v>0.95296296296296301</v>
      </c>
      <c r="J400">
        <v>32415691.416666668</v>
      </c>
      <c r="K400">
        <v>206959</v>
      </c>
      <c r="L400">
        <v>2</v>
      </c>
      <c r="M400">
        <v>303</v>
      </c>
      <c r="N400">
        <v>0.95629629629629631</v>
      </c>
      <c r="O400">
        <v>31932014.75</v>
      </c>
      <c r="P400">
        <v>208250</v>
      </c>
      <c r="Q400">
        <v>2</v>
      </c>
      <c r="R400">
        <v>304</v>
      </c>
      <c r="S400" t="s">
        <v>2477</v>
      </c>
      <c r="U400" t="str">
        <f t="shared" si="6"/>
        <v/>
      </c>
      <c r="W400">
        <f>Digits_pres_final[[#This Row],[kan_params]]</f>
        <v>116576</v>
      </c>
      <c r="X400">
        <f>Digits_pres_final[[#This Row],[kan_test_acc]]</f>
        <v>0.97092592716217041</v>
      </c>
      <c r="Y400">
        <f>Digits_pres_final[[#This Row],[mlp_test_acc]]</f>
        <v>0.95296296296296301</v>
      </c>
      <c r="Z400">
        <f>Digits_pres_final[[#This Row],[mlp_test_acc2]]</f>
        <v>0.95629629629629631</v>
      </c>
    </row>
    <row r="401" spans="1:26" x14ac:dyDescent="0.25">
      <c r="A401" t="s">
        <v>1979</v>
      </c>
      <c r="B401">
        <v>3</v>
      </c>
      <c r="C401">
        <v>4</v>
      </c>
      <c r="D401">
        <v>0</v>
      </c>
      <c r="E401" t="s">
        <v>2028</v>
      </c>
      <c r="F401">
        <v>116616</v>
      </c>
      <c r="G401">
        <v>222774436.5</v>
      </c>
      <c r="H401">
        <v>0.96351853013038635</v>
      </c>
      <c r="I401">
        <v>0.9655555555555555</v>
      </c>
      <c r="J401">
        <v>24489791.25</v>
      </c>
      <c r="K401">
        <v>221380</v>
      </c>
      <c r="L401">
        <v>2</v>
      </c>
      <c r="M401">
        <v>314</v>
      </c>
      <c r="N401">
        <v>0.96</v>
      </c>
      <c r="O401">
        <v>24004780.833333332</v>
      </c>
      <c r="P401">
        <v>222715</v>
      </c>
      <c r="Q401">
        <v>2</v>
      </c>
      <c r="R401">
        <v>315</v>
      </c>
      <c r="S401" t="s">
        <v>2603</v>
      </c>
      <c r="U401" t="str">
        <f t="shared" si="6"/>
        <v/>
      </c>
      <c r="W401">
        <f>Digits_pres_final[[#This Row],[kan_params]]</f>
        <v>116616</v>
      </c>
      <c r="X401">
        <f>Digits_pres_final[[#This Row],[kan_test_acc]]</f>
        <v>0.96351853013038635</v>
      </c>
      <c r="Y401">
        <f>Digits_pres_final[[#This Row],[mlp_test_acc]]</f>
        <v>0.9655555555555555</v>
      </c>
      <c r="Z401">
        <f>Digits_pres_final[[#This Row],[mlp_test_acc2]]</f>
        <v>0.96</v>
      </c>
    </row>
    <row r="402" spans="1:26" hidden="1" x14ac:dyDescent="0.25">
      <c r="A402" t="s">
        <v>1979</v>
      </c>
      <c r="B402">
        <v>3</v>
      </c>
      <c r="C402">
        <v>2</v>
      </c>
      <c r="D402">
        <v>0</v>
      </c>
      <c r="E402" t="s">
        <v>2256</v>
      </c>
      <c r="F402">
        <v>116686</v>
      </c>
      <c r="G402">
        <v>266774721.33333331</v>
      </c>
      <c r="H402">
        <v>0.9883333295583725</v>
      </c>
      <c r="I402">
        <v>0.97870370370370363</v>
      </c>
      <c r="J402">
        <v>20114134.5</v>
      </c>
      <c r="K402">
        <v>189305</v>
      </c>
      <c r="L402">
        <v>2</v>
      </c>
      <c r="M402">
        <v>289</v>
      </c>
      <c r="N402">
        <v>0.97851851851851857</v>
      </c>
      <c r="O402">
        <v>20230604.916666668</v>
      </c>
      <c r="P402">
        <v>190540</v>
      </c>
      <c r="Q402">
        <v>2</v>
      </c>
      <c r="R402">
        <v>290</v>
      </c>
      <c r="S402" t="s">
        <v>2257</v>
      </c>
      <c r="U402" t="str">
        <f t="shared" si="6"/>
        <v/>
      </c>
      <c r="W402">
        <f>Digits_pres_final[[#This Row],[kan_params]]</f>
        <v>116686</v>
      </c>
      <c r="X402">
        <f>Digits_pres_final[[#This Row],[kan_test_acc]]</f>
        <v>0.9883333295583725</v>
      </c>
      <c r="Y402">
        <f>Digits_pres_final[[#This Row],[mlp_test_acc]]</f>
        <v>0.97870370370370363</v>
      </c>
      <c r="Z402">
        <f>Digits_pres_final[[#This Row],[mlp_test_acc2]]</f>
        <v>0.97851851851851857</v>
      </c>
    </row>
    <row r="403" spans="1:26" hidden="1" x14ac:dyDescent="0.25">
      <c r="A403" t="s">
        <v>1979</v>
      </c>
      <c r="B403">
        <v>3</v>
      </c>
      <c r="C403">
        <v>3</v>
      </c>
      <c r="D403">
        <v>0</v>
      </c>
      <c r="E403" t="s">
        <v>2236</v>
      </c>
      <c r="F403">
        <v>116826</v>
      </c>
      <c r="G403">
        <v>323839135.58333337</v>
      </c>
      <c r="H403">
        <v>0.9777777840693791</v>
      </c>
      <c r="I403">
        <v>0.97296296296296303</v>
      </c>
      <c r="J403">
        <v>34543419.416666672</v>
      </c>
      <c r="K403">
        <v>206959</v>
      </c>
      <c r="L403">
        <v>2</v>
      </c>
      <c r="M403">
        <v>303</v>
      </c>
      <c r="N403">
        <v>0.97296296296296303</v>
      </c>
      <c r="O403">
        <v>33061625.833333332</v>
      </c>
      <c r="P403">
        <v>208250</v>
      </c>
      <c r="Q403">
        <v>2</v>
      </c>
      <c r="R403">
        <v>304</v>
      </c>
      <c r="S403" t="s">
        <v>2508</v>
      </c>
      <c r="U403" t="str">
        <f t="shared" si="6"/>
        <v/>
      </c>
      <c r="W403">
        <f>Digits_pres_final[[#This Row],[kan_params]]</f>
        <v>116826</v>
      </c>
      <c r="X403">
        <f>Digits_pres_final[[#This Row],[kan_test_acc]]</f>
        <v>0.9777777840693791</v>
      </c>
      <c r="Y403">
        <f>Digits_pres_final[[#This Row],[mlp_test_acc]]</f>
        <v>0.97296296296296303</v>
      </c>
      <c r="Z403">
        <f>Digits_pres_final[[#This Row],[mlp_test_acc2]]</f>
        <v>0.97296296296296303</v>
      </c>
    </row>
    <row r="404" spans="1:26" hidden="1" x14ac:dyDescent="0.25">
      <c r="A404" t="s">
        <v>1979</v>
      </c>
      <c r="B404">
        <v>3</v>
      </c>
      <c r="C404">
        <v>3</v>
      </c>
      <c r="D404">
        <v>0</v>
      </c>
      <c r="E404" t="s">
        <v>2300</v>
      </c>
      <c r="F404">
        <v>116932</v>
      </c>
      <c r="G404">
        <v>328474906.25</v>
      </c>
      <c r="H404">
        <v>0.97388888895511627</v>
      </c>
      <c r="I404">
        <v>0.96333333333333337</v>
      </c>
      <c r="J404">
        <v>29535535.75</v>
      </c>
      <c r="K404">
        <v>206959</v>
      </c>
      <c r="L404">
        <v>2</v>
      </c>
      <c r="M404">
        <v>303</v>
      </c>
      <c r="N404">
        <v>0.96259259259259267</v>
      </c>
      <c r="O404">
        <v>28552383.25</v>
      </c>
      <c r="P404">
        <v>208250</v>
      </c>
      <c r="Q404">
        <v>2</v>
      </c>
      <c r="R404">
        <v>304</v>
      </c>
      <c r="S404" t="s">
        <v>2539</v>
      </c>
      <c r="U404" t="str">
        <f t="shared" si="6"/>
        <v/>
      </c>
      <c r="W404">
        <f>Digits_pres_final[[#This Row],[kan_params]]</f>
        <v>116932</v>
      </c>
      <c r="X404">
        <f>Digits_pres_final[[#This Row],[kan_test_acc]]</f>
        <v>0.97388888895511627</v>
      </c>
      <c r="Y404">
        <f>Digits_pres_final[[#This Row],[mlp_test_acc]]</f>
        <v>0.96333333333333337</v>
      </c>
      <c r="Z404">
        <f>Digits_pres_final[[#This Row],[mlp_test_acc2]]</f>
        <v>0.96259259259259267</v>
      </c>
    </row>
    <row r="405" spans="1:26" hidden="1" x14ac:dyDescent="0.25">
      <c r="A405" t="s">
        <v>1979</v>
      </c>
      <c r="B405">
        <v>3</v>
      </c>
      <c r="C405">
        <v>3</v>
      </c>
      <c r="D405">
        <v>0</v>
      </c>
      <c r="E405" t="s">
        <v>2046</v>
      </c>
      <c r="F405">
        <v>116978</v>
      </c>
      <c r="G405">
        <v>381037399.58333337</v>
      </c>
      <c r="H405">
        <v>0.96814814706643415</v>
      </c>
      <c r="I405">
        <v>0.96351851851851844</v>
      </c>
      <c r="J405">
        <v>33808473.916666672</v>
      </c>
      <c r="K405">
        <v>206959</v>
      </c>
      <c r="L405">
        <v>2</v>
      </c>
      <c r="M405">
        <v>303</v>
      </c>
      <c r="N405">
        <v>0.96370370370370373</v>
      </c>
      <c r="O405">
        <v>34350817.583333328</v>
      </c>
      <c r="P405">
        <v>208250</v>
      </c>
      <c r="Q405">
        <v>2</v>
      </c>
      <c r="R405">
        <v>304</v>
      </c>
      <c r="S405" t="s">
        <v>2416</v>
      </c>
      <c r="U405" t="str">
        <f t="shared" si="6"/>
        <v/>
      </c>
      <c r="W405">
        <f>Digits_pres_final[[#This Row],[kan_params]]</f>
        <v>116978</v>
      </c>
      <c r="X405">
        <f>Digits_pres_final[[#This Row],[kan_test_acc]]</f>
        <v>0.96814814706643415</v>
      </c>
      <c r="Y405">
        <f>Digits_pres_final[[#This Row],[mlp_test_acc]]</f>
        <v>0.96351851851851844</v>
      </c>
      <c r="Z405">
        <f>Digits_pres_final[[#This Row],[mlp_test_acc2]]</f>
        <v>0.96370370370370373</v>
      </c>
    </row>
    <row r="406" spans="1:26" hidden="1" x14ac:dyDescent="0.25">
      <c r="A406" t="s">
        <v>1979</v>
      </c>
      <c r="B406">
        <v>3</v>
      </c>
      <c r="C406">
        <v>2</v>
      </c>
      <c r="D406">
        <v>0</v>
      </c>
      <c r="E406" t="s">
        <v>2320</v>
      </c>
      <c r="F406">
        <v>117100</v>
      </c>
      <c r="G406">
        <v>450095046.75</v>
      </c>
      <c r="H406">
        <v>0.96574074029922485</v>
      </c>
      <c r="I406">
        <v>0.94481481481481477</v>
      </c>
      <c r="J406">
        <v>30130057.083333332</v>
      </c>
      <c r="K406">
        <v>189305</v>
      </c>
      <c r="L406">
        <v>2</v>
      </c>
      <c r="M406">
        <v>289</v>
      </c>
      <c r="N406">
        <v>0.94759259259259254</v>
      </c>
      <c r="O406">
        <v>29319641.25</v>
      </c>
      <c r="P406">
        <v>190540</v>
      </c>
      <c r="Q406">
        <v>2</v>
      </c>
      <c r="R406">
        <v>290</v>
      </c>
      <c r="S406" t="s">
        <v>2321</v>
      </c>
      <c r="U406" t="str">
        <f t="shared" si="6"/>
        <v/>
      </c>
      <c r="W406">
        <f>Digits_pres_final[[#This Row],[kan_params]]</f>
        <v>117100</v>
      </c>
      <c r="X406">
        <f>Digits_pres_final[[#This Row],[kan_test_acc]]</f>
        <v>0.96574074029922485</v>
      </c>
      <c r="Y406">
        <f>Digits_pres_final[[#This Row],[mlp_test_acc]]</f>
        <v>0.94481481481481477</v>
      </c>
      <c r="Z406">
        <f>Digits_pres_final[[#This Row],[mlp_test_acc2]]</f>
        <v>0.94759259259259254</v>
      </c>
    </row>
    <row r="407" spans="1:26" hidden="1" x14ac:dyDescent="0.25">
      <c r="A407" t="s">
        <v>1979</v>
      </c>
      <c r="B407">
        <v>3</v>
      </c>
      <c r="C407">
        <v>3</v>
      </c>
      <c r="D407">
        <v>0</v>
      </c>
      <c r="E407" t="s">
        <v>2110</v>
      </c>
      <c r="F407">
        <v>117552</v>
      </c>
      <c r="G407">
        <v>319853126.83333337</v>
      </c>
      <c r="H407">
        <v>0.97685185074806213</v>
      </c>
      <c r="I407">
        <v>0.9622222222222222</v>
      </c>
      <c r="J407">
        <v>31884398.833333336</v>
      </c>
      <c r="K407">
        <v>208250</v>
      </c>
      <c r="L407">
        <v>2</v>
      </c>
      <c r="M407">
        <v>304</v>
      </c>
      <c r="N407">
        <v>0.95796296296296291</v>
      </c>
      <c r="O407">
        <v>32209999.916666668</v>
      </c>
      <c r="P407">
        <v>209545</v>
      </c>
      <c r="Q407">
        <v>2</v>
      </c>
      <c r="R407">
        <v>305</v>
      </c>
      <c r="S407" t="s">
        <v>2447</v>
      </c>
      <c r="U407" t="str">
        <f t="shared" si="6"/>
        <v/>
      </c>
      <c r="W407">
        <f>Digits_pres_final[[#This Row],[kan_params]]</f>
        <v>117552</v>
      </c>
      <c r="X407">
        <f>Digits_pres_final[[#This Row],[kan_test_acc]]</f>
        <v>0.97685185074806213</v>
      </c>
      <c r="Y407">
        <f>Digits_pres_final[[#This Row],[mlp_test_acc]]</f>
        <v>0.9622222222222222</v>
      </c>
      <c r="Z407">
        <f>Digits_pres_final[[#This Row],[mlp_test_acc2]]</f>
        <v>0.95796296296296291</v>
      </c>
    </row>
    <row r="408" spans="1:26" hidden="1" x14ac:dyDescent="0.25">
      <c r="A408" t="s">
        <v>1979</v>
      </c>
      <c r="B408">
        <v>3</v>
      </c>
      <c r="C408">
        <v>2</v>
      </c>
      <c r="D408">
        <v>0</v>
      </c>
      <c r="E408" t="s">
        <v>2258</v>
      </c>
      <c r="F408">
        <v>117968</v>
      </c>
      <c r="G408">
        <v>393648824</v>
      </c>
      <c r="H408">
        <v>0.98370369772116351</v>
      </c>
      <c r="I408">
        <v>0.96499999999999997</v>
      </c>
      <c r="J408">
        <v>25032737.5</v>
      </c>
      <c r="K408">
        <v>190540</v>
      </c>
      <c r="L408">
        <v>2</v>
      </c>
      <c r="M408">
        <v>290</v>
      </c>
      <c r="N408">
        <v>0.96703703703703703</v>
      </c>
      <c r="O408">
        <v>25051798.833333336</v>
      </c>
      <c r="P408">
        <v>191779</v>
      </c>
      <c r="Q408">
        <v>2</v>
      </c>
      <c r="R408">
        <v>291</v>
      </c>
      <c r="S408" t="s">
        <v>2259</v>
      </c>
      <c r="U408" t="str">
        <f t="shared" si="6"/>
        <v/>
      </c>
      <c r="W408">
        <f>Digits_pres_final[[#This Row],[kan_params]]</f>
        <v>117968</v>
      </c>
      <c r="X408">
        <f>Digits_pres_final[[#This Row],[kan_test_acc]]</f>
        <v>0.98370369772116351</v>
      </c>
      <c r="Y408">
        <f>Digits_pres_final[[#This Row],[mlp_test_acc]]</f>
        <v>0.96499999999999997</v>
      </c>
      <c r="Z408">
        <f>Digits_pres_final[[#This Row],[mlp_test_acc2]]</f>
        <v>0.96703703703703703</v>
      </c>
    </row>
    <row r="409" spans="1:26" hidden="1" x14ac:dyDescent="0.25">
      <c r="A409" t="s">
        <v>1979</v>
      </c>
      <c r="B409">
        <v>3</v>
      </c>
      <c r="C409">
        <v>3</v>
      </c>
      <c r="D409">
        <v>0</v>
      </c>
      <c r="E409" t="s">
        <v>2174</v>
      </c>
      <c r="F409">
        <v>117982</v>
      </c>
      <c r="G409">
        <v>332968504.41666663</v>
      </c>
      <c r="H409">
        <v>0.9690740704536438</v>
      </c>
      <c r="I409">
        <v>0.95462962962962972</v>
      </c>
      <c r="J409">
        <v>33308561.083333336</v>
      </c>
      <c r="K409">
        <v>209545</v>
      </c>
      <c r="L409">
        <v>2</v>
      </c>
      <c r="M409">
        <v>305</v>
      </c>
      <c r="N409">
        <v>0.95870370370370372</v>
      </c>
      <c r="O409">
        <v>32367035.333333336</v>
      </c>
      <c r="P409">
        <v>210844</v>
      </c>
      <c r="Q409">
        <v>2</v>
      </c>
      <c r="R409">
        <v>306</v>
      </c>
      <c r="S409" t="s">
        <v>2478</v>
      </c>
      <c r="U409" t="str">
        <f t="shared" si="6"/>
        <v/>
      </c>
      <c r="W409">
        <f>Digits_pres_final[[#This Row],[kan_params]]</f>
        <v>117982</v>
      </c>
      <c r="X409">
        <f>Digits_pres_final[[#This Row],[kan_test_acc]]</f>
        <v>0.9690740704536438</v>
      </c>
      <c r="Y409">
        <f>Digits_pres_final[[#This Row],[mlp_test_acc]]</f>
        <v>0.95462962962962972</v>
      </c>
      <c r="Z409">
        <f>Digits_pres_final[[#This Row],[mlp_test_acc2]]</f>
        <v>0.95870370370370372</v>
      </c>
    </row>
    <row r="410" spans="1:26" x14ac:dyDescent="0.25">
      <c r="A410" t="s">
        <v>1979</v>
      </c>
      <c r="B410">
        <v>3</v>
      </c>
      <c r="C410">
        <v>4</v>
      </c>
      <c r="D410">
        <v>0</v>
      </c>
      <c r="E410" t="s">
        <v>2030</v>
      </c>
      <c r="F410">
        <v>118098</v>
      </c>
      <c r="G410">
        <v>395677922.91666669</v>
      </c>
      <c r="H410">
        <v>0.95574074983596802</v>
      </c>
      <c r="I410">
        <v>0.96888888888888891</v>
      </c>
      <c r="J410">
        <v>33449464.166666668</v>
      </c>
      <c r="K410">
        <v>224054</v>
      </c>
      <c r="L410">
        <v>2</v>
      </c>
      <c r="M410">
        <v>316</v>
      </c>
      <c r="N410">
        <v>0.96611111111111114</v>
      </c>
      <c r="O410">
        <v>33484205.166666664</v>
      </c>
      <c r="P410">
        <v>225397</v>
      </c>
      <c r="Q410">
        <v>2</v>
      </c>
      <c r="R410">
        <v>317</v>
      </c>
      <c r="S410" t="s">
        <v>2604</v>
      </c>
      <c r="U410" t="str">
        <f t="shared" si="6"/>
        <v/>
      </c>
      <c r="W410">
        <f>Digits_pres_final[[#This Row],[kan_params]]</f>
        <v>118098</v>
      </c>
      <c r="X410">
        <f>Digits_pres_final[[#This Row],[kan_test_acc]]</f>
        <v>0.95574074983596802</v>
      </c>
      <c r="Y410">
        <f>Digits_pres_final[[#This Row],[mlp_test_acc]]</f>
        <v>0.96888888888888891</v>
      </c>
      <c r="Z410">
        <f>Digits_pres_final[[#This Row],[mlp_test_acc2]]</f>
        <v>0.96611111111111114</v>
      </c>
    </row>
    <row r="411" spans="1:26" hidden="1" x14ac:dyDescent="0.25">
      <c r="A411" t="s">
        <v>1979</v>
      </c>
      <c r="B411">
        <v>3</v>
      </c>
      <c r="C411">
        <v>3</v>
      </c>
      <c r="D411">
        <v>0</v>
      </c>
      <c r="E411" t="s">
        <v>2238</v>
      </c>
      <c r="F411">
        <v>118268</v>
      </c>
      <c r="G411">
        <v>355541091.91666663</v>
      </c>
      <c r="H411">
        <v>0.97888888418674469</v>
      </c>
      <c r="I411">
        <v>0.97351851851851845</v>
      </c>
      <c r="J411">
        <v>33678964.166666672</v>
      </c>
      <c r="K411">
        <v>209545</v>
      </c>
      <c r="L411">
        <v>2</v>
      </c>
      <c r="M411">
        <v>305</v>
      </c>
      <c r="N411">
        <v>0.97407407407407409</v>
      </c>
      <c r="O411">
        <v>33188109.083333332</v>
      </c>
      <c r="P411">
        <v>210844</v>
      </c>
      <c r="Q411">
        <v>2</v>
      </c>
      <c r="R411">
        <v>306</v>
      </c>
      <c r="S411" t="s">
        <v>2509</v>
      </c>
      <c r="U411" t="str">
        <f t="shared" si="6"/>
        <v/>
      </c>
      <c r="W411">
        <f>Digits_pres_final[[#This Row],[kan_params]]</f>
        <v>118268</v>
      </c>
      <c r="X411">
        <f>Digits_pres_final[[#This Row],[kan_test_acc]]</f>
        <v>0.97888888418674469</v>
      </c>
      <c r="Y411">
        <f>Digits_pres_final[[#This Row],[mlp_test_acc]]</f>
        <v>0.97351851851851845</v>
      </c>
      <c r="Z411">
        <f>Digits_pres_final[[#This Row],[mlp_test_acc2]]</f>
        <v>0.97407407407407409</v>
      </c>
    </row>
    <row r="412" spans="1:26" hidden="1" x14ac:dyDescent="0.25">
      <c r="A412" t="s">
        <v>1979</v>
      </c>
      <c r="B412">
        <v>3</v>
      </c>
      <c r="C412">
        <v>3</v>
      </c>
      <c r="D412">
        <v>0</v>
      </c>
      <c r="E412" t="s">
        <v>2048</v>
      </c>
      <c r="F412">
        <v>118312</v>
      </c>
      <c r="G412">
        <v>400628821.16666669</v>
      </c>
      <c r="H412">
        <v>0.96537036697069811</v>
      </c>
      <c r="I412">
        <v>0.96388888888888891</v>
      </c>
      <c r="J412">
        <v>34028597.5</v>
      </c>
      <c r="K412">
        <v>209545</v>
      </c>
      <c r="L412">
        <v>2</v>
      </c>
      <c r="M412">
        <v>305</v>
      </c>
      <c r="N412">
        <v>0.96351851851851844</v>
      </c>
      <c r="O412">
        <v>34725515.916666664</v>
      </c>
      <c r="P412">
        <v>210844</v>
      </c>
      <c r="Q412">
        <v>2</v>
      </c>
      <c r="R412">
        <v>306</v>
      </c>
      <c r="S412" t="s">
        <v>2417</v>
      </c>
      <c r="U412" t="str">
        <f t="shared" si="6"/>
        <v/>
      </c>
      <c r="W412">
        <f>Digits_pres_final[[#This Row],[kan_params]]</f>
        <v>118312</v>
      </c>
      <c r="X412">
        <f>Digits_pres_final[[#This Row],[kan_test_acc]]</f>
        <v>0.96537036697069811</v>
      </c>
      <c r="Y412">
        <f>Digits_pres_final[[#This Row],[mlp_test_acc]]</f>
        <v>0.96388888888888891</v>
      </c>
      <c r="Z412">
        <f>Digits_pres_final[[#This Row],[mlp_test_acc2]]</f>
        <v>0.96351851851851844</v>
      </c>
    </row>
    <row r="413" spans="1:26" hidden="1" x14ac:dyDescent="0.25">
      <c r="A413" t="s">
        <v>1979</v>
      </c>
      <c r="B413">
        <v>3</v>
      </c>
      <c r="C413">
        <v>3</v>
      </c>
      <c r="D413">
        <v>0</v>
      </c>
      <c r="E413" t="s">
        <v>2302</v>
      </c>
      <c r="F413">
        <v>118410</v>
      </c>
      <c r="G413">
        <v>203758474.75</v>
      </c>
      <c r="H413">
        <v>0.96555555363496137</v>
      </c>
      <c r="I413">
        <v>0.95555555555555549</v>
      </c>
      <c r="J413">
        <v>23076410.166666664</v>
      </c>
      <c r="K413">
        <v>209545</v>
      </c>
      <c r="L413">
        <v>2</v>
      </c>
      <c r="M413">
        <v>305</v>
      </c>
      <c r="N413">
        <v>0.95685185185185184</v>
      </c>
      <c r="O413">
        <v>23262688</v>
      </c>
      <c r="P413">
        <v>210844</v>
      </c>
      <c r="Q413">
        <v>2</v>
      </c>
      <c r="R413">
        <v>306</v>
      </c>
      <c r="S413" t="s">
        <v>2540</v>
      </c>
      <c r="U413" t="str">
        <f t="shared" si="6"/>
        <v/>
      </c>
      <c r="W413">
        <f>Digits_pres_final[[#This Row],[kan_params]]</f>
        <v>118410</v>
      </c>
      <c r="X413">
        <f>Digits_pres_final[[#This Row],[kan_test_acc]]</f>
        <v>0.96555555363496137</v>
      </c>
      <c r="Y413">
        <f>Digits_pres_final[[#This Row],[mlp_test_acc]]</f>
        <v>0.95555555555555549</v>
      </c>
      <c r="Z413">
        <f>Digits_pres_final[[#This Row],[mlp_test_acc2]]</f>
        <v>0.95685185185185184</v>
      </c>
    </row>
    <row r="414" spans="1:26" hidden="1" x14ac:dyDescent="0.25">
      <c r="A414" t="s">
        <v>1979</v>
      </c>
      <c r="B414">
        <v>3</v>
      </c>
      <c r="C414">
        <v>2</v>
      </c>
      <c r="D414">
        <v>0</v>
      </c>
      <c r="E414" t="s">
        <v>2322</v>
      </c>
      <c r="F414">
        <v>118414</v>
      </c>
      <c r="G414">
        <v>437265280.83333337</v>
      </c>
      <c r="H414">
        <v>0.96407407025496172</v>
      </c>
      <c r="I414">
        <v>0.94592592592592595</v>
      </c>
      <c r="J414">
        <v>29801566.583333332</v>
      </c>
      <c r="K414">
        <v>191779</v>
      </c>
      <c r="L414">
        <v>2</v>
      </c>
      <c r="M414">
        <v>291</v>
      </c>
      <c r="N414">
        <v>0.94425925925925913</v>
      </c>
      <c r="O414">
        <v>29040468.083333336</v>
      </c>
      <c r="P414">
        <v>193022</v>
      </c>
      <c r="Q414">
        <v>2</v>
      </c>
      <c r="R414">
        <v>292</v>
      </c>
      <c r="S414" t="s">
        <v>2323</v>
      </c>
      <c r="U414" t="str">
        <f t="shared" si="6"/>
        <v/>
      </c>
      <c r="W414">
        <f>Digits_pres_final[[#This Row],[kan_params]]</f>
        <v>118414</v>
      </c>
      <c r="X414">
        <f>Digits_pres_final[[#This Row],[kan_test_acc]]</f>
        <v>0.96407407025496172</v>
      </c>
      <c r="Y414">
        <f>Digits_pres_final[[#This Row],[mlp_test_acc]]</f>
        <v>0.94592592592592595</v>
      </c>
      <c r="Z414">
        <f>Digits_pres_final[[#This Row],[mlp_test_acc2]]</f>
        <v>0.94425925925925913</v>
      </c>
    </row>
    <row r="415" spans="1:26" hidden="1" x14ac:dyDescent="0.25">
      <c r="A415" t="s">
        <v>1979</v>
      </c>
      <c r="B415">
        <v>3</v>
      </c>
      <c r="C415">
        <v>3</v>
      </c>
      <c r="D415">
        <v>0</v>
      </c>
      <c r="E415" t="s">
        <v>2112</v>
      </c>
      <c r="F415">
        <v>118922</v>
      </c>
      <c r="G415">
        <v>336299328.33333337</v>
      </c>
      <c r="H415">
        <v>0.97277777890364336</v>
      </c>
      <c r="I415">
        <v>0.96388888888888891</v>
      </c>
      <c r="J415">
        <v>31881140.083333336</v>
      </c>
      <c r="K415">
        <v>210844</v>
      </c>
      <c r="L415">
        <v>2</v>
      </c>
      <c r="M415">
        <v>306</v>
      </c>
      <c r="N415">
        <v>0.96296296296296302</v>
      </c>
      <c r="O415">
        <v>31587175.833333336</v>
      </c>
      <c r="P415">
        <v>212147</v>
      </c>
      <c r="Q415">
        <v>2</v>
      </c>
      <c r="R415">
        <v>307</v>
      </c>
      <c r="S415" t="s">
        <v>2448</v>
      </c>
      <c r="U415" t="str">
        <f t="shared" si="6"/>
        <v/>
      </c>
      <c r="W415">
        <f>Digits_pres_final[[#This Row],[kan_params]]</f>
        <v>118922</v>
      </c>
      <c r="X415">
        <f>Digits_pres_final[[#This Row],[kan_test_acc]]</f>
        <v>0.97277777890364336</v>
      </c>
      <c r="Y415">
        <f>Digits_pres_final[[#This Row],[mlp_test_acc]]</f>
        <v>0.96388888888888891</v>
      </c>
      <c r="Z415">
        <f>Digits_pres_final[[#This Row],[mlp_test_acc2]]</f>
        <v>0.96296296296296302</v>
      </c>
    </row>
    <row r="416" spans="1:26" hidden="1" x14ac:dyDescent="0.25">
      <c r="A416" t="s">
        <v>1979</v>
      </c>
      <c r="B416">
        <v>3</v>
      </c>
      <c r="C416">
        <v>3</v>
      </c>
      <c r="D416">
        <v>0</v>
      </c>
      <c r="E416" t="s">
        <v>2176</v>
      </c>
      <c r="F416">
        <v>119388</v>
      </c>
      <c r="G416">
        <v>362067817.25</v>
      </c>
      <c r="H416">
        <v>0.97018518050511682</v>
      </c>
      <c r="I416">
        <v>0.95648148148148149</v>
      </c>
      <c r="J416">
        <v>33722008.083333336</v>
      </c>
      <c r="K416">
        <v>210844</v>
      </c>
      <c r="L416">
        <v>2</v>
      </c>
      <c r="M416">
        <v>306</v>
      </c>
      <c r="N416">
        <v>0.96018518518518525</v>
      </c>
      <c r="O416">
        <v>33337911.916666668</v>
      </c>
      <c r="P416">
        <v>212147</v>
      </c>
      <c r="Q416">
        <v>2</v>
      </c>
      <c r="R416">
        <v>307</v>
      </c>
      <c r="S416" t="s">
        <v>2479</v>
      </c>
      <c r="U416" t="str">
        <f t="shared" si="6"/>
        <v/>
      </c>
      <c r="W416">
        <f>Digits_pres_final[[#This Row],[kan_params]]</f>
        <v>119388</v>
      </c>
      <c r="X416">
        <f>Digits_pres_final[[#This Row],[kan_test_acc]]</f>
        <v>0.97018518050511682</v>
      </c>
      <c r="Y416">
        <f>Digits_pres_final[[#This Row],[mlp_test_acc]]</f>
        <v>0.95648148148148149</v>
      </c>
      <c r="Z416">
        <f>Digits_pres_final[[#This Row],[mlp_test_acc2]]</f>
        <v>0.96018518518518525</v>
      </c>
    </row>
    <row r="417" spans="1:26" x14ac:dyDescent="0.25">
      <c r="A417" t="s">
        <v>1979</v>
      </c>
      <c r="B417">
        <v>3</v>
      </c>
      <c r="C417">
        <v>4</v>
      </c>
      <c r="D417">
        <v>0</v>
      </c>
      <c r="E417" t="s">
        <v>2032</v>
      </c>
      <c r="F417">
        <v>119580</v>
      </c>
      <c r="G417">
        <v>519472817.83333337</v>
      </c>
      <c r="H417">
        <v>0.95767195380869363</v>
      </c>
      <c r="I417">
        <v>0.96759259259259256</v>
      </c>
      <c r="J417">
        <v>34061096.345238097</v>
      </c>
      <c r="K417">
        <v>226744</v>
      </c>
      <c r="L417">
        <v>2</v>
      </c>
      <c r="M417">
        <v>318</v>
      </c>
      <c r="N417">
        <v>0.96502645502645501</v>
      </c>
      <c r="O417">
        <v>33586342.321428567</v>
      </c>
      <c r="P417">
        <v>228095</v>
      </c>
      <c r="Q417">
        <v>2</v>
      </c>
      <c r="R417">
        <v>319</v>
      </c>
      <c r="S417" t="s">
        <v>2605</v>
      </c>
      <c r="U417" t="str">
        <f t="shared" si="6"/>
        <v/>
      </c>
      <c r="W417">
        <f>Digits_pres_final[[#This Row],[kan_params]]</f>
        <v>119580</v>
      </c>
      <c r="X417">
        <f>Digits_pres_final[[#This Row],[kan_test_acc]]</f>
        <v>0.95767195380869363</v>
      </c>
      <c r="Y417">
        <f>Digits_pres_final[[#This Row],[mlp_test_acc]]</f>
        <v>0.96759259259259256</v>
      </c>
      <c r="Z417">
        <f>Digits_pres_final[[#This Row],[mlp_test_acc2]]</f>
        <v>0.96502645502645501</v>
      </c>
    </row>
    <row r="418" spans="1:26" hidden="1" x14ac:dyDescent="0.25">
      <c r="A418" t="s">
        <v>1979</v>
      </c>
      <c r="B418">
        <v>3</v>
      </c>
      <c r="C418">
        <v>3</v>
      </c>
      <c r="D418">
        <v>0</v>
      </c>
      <c r="E418" t="s">
        <v>2050</v>
      </c>
      <c r="F418">
        <v>119646</v>
      </c>
      <c r="G418">
        <v>427180940.75</v>
      </c>
      <c r="H418">
        <v>0.96518517533938097</v>
      </c>
      <c r="I418">
        <v>0.96055555555555561</v>
      </c>
      <c r="J418">
        <v>34134112.583333328</v>
      </c>
      <c r="K418">
        <v>212147</v>
      </c>
      <c r="L418">
        <v>2</v>
      </c>
      <c r="M418">
        <v>307</v>
      </c>
      <c r="N418">
        <v>0.96148148148148138</v>
      </c>
      <c r="O418">
        <v>34527089.583333328</v>
      </c>
      <c r="P418">
        <v>213454</v>
      </c>
      <c r="Q418">
        <v>2</v>
      </c>
      <c r="R418">
        <v>308</v>
      </c>
      <c r="S418" t="s">
        <v>2418</v>
      </c>
      <c r="U418" t="str">
        <f t="shared" si="6"/>
        <v/>
      </c>
      <c r="W418">
        <f>Digits_pres_final[[#This Row],[kan_params]]</f>
        <v>119646</v>
      </c>
      <c r="X418">
        <f>Digits_pres_final[[#This Row],[kan_test_acc]]</f>
        <v>0.96518517533938097</v>
      </c>
      <c r="Y418">
        <f>Digits_pres_final[[#This Row],[mlp_test_acc]]</f>
        <v>0.96055555555555561</v>
      </c>
      <c r="Z418">
        <f>Digits_pres_final[[#This Row],[mlp_test_acc2]]</f>
        <v>0.96148148148148138</v>
      </c>
    </row>
    <row r="419" spans="1:26" hidden="1" x14ac:dyDescent="0.25">
      <c r="A419" t="s">
        <v>1979</v>
      </c>
      <c r="B419">
        <v>3</v>
      </c>
      <c r="C419">
        <v>3</v>
      </c>
      <c r="D419">
        <v>0</v>
      </c>
      <c r="E419" t="s">
        <v>2240</v>
      </c>
      <c r="F419">
        <v>119710</v>
      </c>
      <c r="G419">
        <v>373846409.33333331</v>
      </c>
      <c r="H419">
        <v>0.97629629075527191</v>
      </c>
      <c r="I419">
        <v>0.97499999999999998</v>
      </c>
      <c r="J419">
        <v>34384817.583333328</v>
      </c>
      <c r="K419">
        <v>212147</v>
      </c>
      <c r="L419">
        <v>2</v>
      </c>
      <c r="M419">
        <v>307</v>
      </c>
      <c r="N419">
        <v>0.97648148148148151</v>
      </c>
      <c r="O419">
        <v>32582025</v>
      </c>
      <c r="P419">
        <v>213454</v>
      </c>
      <c r="Q419">
        <v>2</v>
      </c>
      <c r="R419">
        <v>308</v>
      </c>
      <c r="S419" t="s">
        <v>2510</v>
      </c>
      <c r="U419" t="str">
        <f t="shared" si="6"/>
        <v/>
      </c>
      <c r="W419">
        <f>Digits_pres_final[[#This Row],[kan_params]]</f>
        <v>119710</v>
      </c>
      <c r="X419">
        <f>Digits_pres_final[[#This Row],[kan_test_acc]]</f>
        <v>0.97629629075527191</v>
      </c>
      <c r="Y419">
        <f>Digits_pres_final[[#This Row],[mlp_test_acc]]</f>
        <v>0.97499999999999998</v>
      </c>
      <c r="Z419">
        <f>Digits_pres_final[[#This Row],[mlp_test_acc2]]</f>
        <v>0.97648148148148151</v>
      </c>
    </row>
    <row r="420" spans="1:26" hidden="1" x14ac:dyDescent="0.25">
      <c r="A420" t="s">
        <v>1979</v>
      </c>
      <c r="B420">
        <v>3</v>
      </c>
      <c r="C420">
        <v>2</v>
      </c>
      <c r="D420">
        <v>0</v>
      </c>
      <c r="E420" t="s">
        <v>2324</v>
      </c>
      <c r="F420">
        <v>119728</v>
      </c>
      <c r="G420">
        <v>442043458.5</v>
      </c>
      <c r="H420">
        <v>0.96240741014480591</v>
      </c>
      <c r="I420">
        <v>0.94518518518518513</v>
      </c>
      <c r="J420">
        <v>29148025.583333332</v>
      </c>
      <c r="K420">
        <v>194269</v>
      </c>
      <c r="L420">
        <v>2</v>
      </c>
      <c r="M420">
        <v>293</v>
      </c>
      <c r="N420">
        <v>0.94388888888888878</v>
      </c>
      <c r="O420">
        <v>28875938.5</v>
      </c>
      <c r="P420">
        <v>195520</v>
      </c>
      <c r="Q420">
        <v>2</v>
      </c>
      <c r="R420">
        <v>294</v>
      </c>
      <c r="S420" t="s">
        <v>2325</v>
      </c>
      <c r="U420" t="str">
        <f t="shared" si="6"/>
        <v/>
      </c>
      <c r="W420">
        <f>Digits_pres_final[[#This Row],[kan_params]]</f>
        <v>119728</v>
      </c>
      <c r="X420">
        <f>Digits_pres_final[[#This Row],[kan_test_acc]]</f>
        <v>0.96240741014480591</v>
      </c>
      <c r="Y420">
        <f>Digits_pres_final[[#This Row],[mlp_test_acc]]</f>
        <v>0.94518518518518513</v>
      </c>
      <c r="Z420">
        <f>Digits_pres_final[[#This Row],[mlp_test_acc2]]</f>
        <v>0.94388888888888878</v>
      </c>
    </row>
    <row r="421" spans="1:26" hidden="1" x14ac:dyDescent="0.25">
      <c r="A421" t="s">
        <v>1979</v>
      </c>
      <c r="B421">
        <v>3</v>
      </c>
      <c r="C421">
        <v>3</v>
      </c>
      <c r="D421">
        <v>0</v>
      </c>
      <c r="E421" t="s">
        <v>2304</v>
      </c>
      <c r="F421">
        <v>119888</v>
      </c>
      <c r="G421">
        <v>171305137.75</v>
      </c>
      <c r="H421">
        <v>0.96462962528069807</v>
      </c>
      <c r="I421">
        <v>0.95537037037037043</v>
      </c>
      <c r="J421">
        <v>20546396</v>
      </c>
      <c r="K421">
        <v>212147</v>
      </c>
      <c r="L421">
        <v>2</v>
      </c>
      <c r="M421">
        <v>307</v>
      </c>
      <c r="N421">
        <v>0.95592592592592596</v>
      </c>
      <c r="O421">
        <v>21201034.333333332</v>
      </c>
      <c r="P421">
        <v>213454</v>
      </c>
      <c r="Q421">
        <v>2</v>
      </c>
      <c r="R421">
        <v>308</v>
      </c>
      <c r="S421" t="s">
        <v>2541</v>
      </c>
      <c r="U421" t="str">
        <f t="shared" si="6"/>
        <v/>
      </c>
      <c r="W421">
        <f>Digits_pres_final[[#This Row],[kan_params]]</f>
        <v>119888</v>
      </c>
      <c r="X421">
        <f>Digits_pres_final[[#This Row],[kan_test_acc]]</f>
        <v>0.96462962528069807</v>
      </c>
      <c r="Y421">
        <f>Digits_pres_final[[#This Row],[mlp_test_acc]]</f>
        <v>0.95537037037037043</v>
      </c>
      <c r="Z421">
        <f>Digits_pres_final[[#This Row],[mlp_test_acc2]]</f>
        <v>0.95592592592592596</v>
      </c>
    </row>
    <row r="422" spans="1:26" hidden="1" x14ac:dyDescent="0.25">
      <c r="A422" t="s">
        <v>1979</v>
      </c>
      <c r="B422">
        <v>3</v>
      </c>
      <c r="C422">
        <v>3</v>
      </c>
      <c r="D422">
        <v>0</v>
      </c>
      <c r="E422" t="s">
        <v>2114</v>
      </c>
      <c r="F422">
        <v>120292</v>
      </c>
      <c r="G422">
        <v>355641729.83333337</v>
      </c>
      <c r="H422">
        <v>0.96925926208496094</v>
      </c>
      <c r="I422">
        <v>0.96685185185185185</v>
      </c>
      <c r="J422">
        <v>31647904.583333336</v>
      </c>
      <c r="K422">
        <v>213454</v>
      </c>
      <c r="L422">
        <v>2</v>
      </c>
      <c r="M422">
        <v>308</v>
      </c>
      <c r="N422">
        <v>0.96611111111111114</v>
      </c>
      <c r="O422">
        <v>31218970.916666664</v>
      </c>
      <c r="P422">
        <v>214765</v>
      </c>
      <c r="Q422">
        <v>2</v>
      </c>
      <c r="R422">
        <v>309</v>
      </c>
      <c r="S422" t="s">
        <v>2449</v>
      </c>
      <c r="U422" t="str">
        <f t="shared" si="6"/>
        <v/>
      </c>
      <c r="W422">
        <f>Digits_pres_final[[#This Row],[kan_params]]</f>
        <v>120292</v>
      </c>
      <c r="X422">
        <f>Digits_pres_final[[#This Row],[kan_test_acc]]</f>
        <v>0.96925926208496094</v>
      </c>
      <c r="Y422">
        <f>Digits_pres_final[[#This Row],[mlp_test_acc]]</f>
        <v>0.96685185185185185</v>
      </c>
      <c r="Z422">
        <f>Digits_pres_final[[#This Row],[mlp_test_acc2]]</f>
        <v>0.96611111111111114</v>
      </c>
    </row>
    <row r="423" spans="1:26" hidden="1" x14ac:dyDescent="0.25">
      <c r="A423" t="s">
        <v>1979</v>
      </c>
      <c r="B423">
        <v>3</v>
      </c>
      <c r="C423">
        <v>3</v>
      </c>
      <c r="D423">
        <v>0</v>
      </c>
      <c r="E423" t="s">
        <v>2178</v>
      </c>
      <c r="F423">
        <v>120794</v>
      </c>
      <c r="G423">
        <v>366615398.75</v>
      </c>
      <c r="H423">
        <v>0.96796296040217089</v>
      </c>
      <c r="I423">
        <v>0.96074074074074067</v>
      </c>
      <c r="J423">
        <v>33567398</v>
      </c>
      <c r="K423">
        <v>213454</v>
      </c>
      <c r="L423">
        <v>2</v>
      </c>
      <c r="M423">
        <v>308</v>
      </c>
      <c r="N423">
        <v>0.95925925925925926</v>
      </c>
      <c r="O423">
        <v>32963646.416666668</v>
      </c>
      <c r="P423">
        <v>214765</v>
      </c>
      <c r="Q423">
        <v>2</v>
      </c>
      <c r="R423">
        <v>309</v>
      </c>
      <c r="S423" t="s">
        <v>2480</v>
      </c>
      <c r="U423" t="str">
        <f t="shared" si="6"/>
        <v/>
      </c>
      <c r="W423">
        <f>Digits_pres_final[[#This Row],[kan_params]]</f>
        <v>120794</v>
      </c>
      <c r="X423">
        <f>Digits_pres_final[[#This Row],[kan_test_acc]]</f>
        <v>0.96796296040217089</v>
      </c>
      <c r="Y423">
        <f>Digits_pres_final[[#This Row],[mlp_test_acc]]</f>
        <v>0.96074074074074067</v>
      </c>
      <c r="Z423">
        <f>Digits_pres_final[[#This Row],[mlp_test_acc2]]</f>
        <v>0.95925925925925926</v>
      </c>
    </row>
    <row r="424" spans="1:26" hidden="1" x14ac:dyDescent="0.25">
      <c r="A424" t="s">
        <v>1979</v>
      </c>
      <c r="B424">
        <v>3</v>
      </c>
      <c r="C424">
        <v>3</v>
      </c>
      <c r="D424">
        <v>0</v>
      </c>
      <c r="E424" t="s">
        <v>2052</v>
      </c>
      <c r="F424">
        <v>120980</v>
      </c>
      <c r="G424">
        <v>448746829.58333331</v>
      </c>
      <c r="H424">
        <v>0.97018517553806305</v>
      </c>
      <c r="I424">
        <v>0.96</v>
      </c>
      <c r="J424">
        <v>33977235.833333328</v>
      </c>
      <c r="K424">
        <v>214765</v>
      </c>
      <c r="L424">
        <v>2</v>
      </c>
      <c r="M424">
        <v>309</v>
      </c>
      <c r="N424">
        <v>0.96129629629629632</v>
      </c>
      <c r="O424">
        <v>34423003.833333328</v>
      </c>
      <c r="P424">
        <v>216080</v>
      </c>
      <c r="Q424">
        <v>2</v>
      </c>
      <c r="R424">
        <v>310</v>
      </c>
      <c r="S424" t="s">
        <v>2419</v>
      </c>
      <c r="U424" t="str">
        <f t="shared" si="6"/>
        <v/>
      </c>
      <c r="W424">
        <f>Digits_pres_final[[#This Row],[kan_params]]</f>
        <v>120980</v>
      </c>
      <c r="X424">
        <f>Digits_pres_final[[#This Row],[kan_test_acc]]</f>
        <v>0.97018517553806305</v>
      </c>
      <c r="Y424">
        <f>Digits_pres_final[[#This Row],[mlp_test_acc]]</f>
        <v>0.96</v>
      </c>
      <c r="Z424">
        <f>Digits_pres_final[[#This Row],[mlp_test_acc2]]</f>
        <v>0.96129629629629632</v>
      </c>
    </row>
    <row r="425" spans="1:26" x14ac:dyDescent="0.25">
      <c r="A425" t="s">
        <v>1979</v>
      </c>
      <c r="B425">
        <v>3</v>
      </c>
      <c r="C425">
        <v>4</v>
      </c>
      <c r="D425">
        <v>0</v>
      </c>
      <c r="E425" t="s">
        <v>2034</v>
      </c>
      <c r="F425">
        <v>121062</v>
      </c>
      <c r="G425">
        <v>585875172.75</v>
      </c>
      <c r="H425">
        <v>0.95767194884163986</v>
      </c>
      <c r="I425">
        <v>0.96574074074074079</v>
      </c>
      <c r="J425">
        <v>33608759.428571433</v>
      </c>
      <c r="K425">
        <v>229450</v>
      </c>
      <c r="L425">
        <v>2</v>
      </c>
      <c r="M425">
        <v>320</v>
      </c>
      <c r="N425">
        <v>0.96391534391534395</v>
      </c>
      <c r="O425">
        <v>33795273.654761903</v>
      </c>
      <c r="P425">
        <v>230809</v>
      </c>
      <c r="Q425">
        <v>2</v>
      </c>
      <c r="R425">
        <v>321</v>
      </c>
      <c r="S425" t="s">
        <v>2606</v>
      </c>
      <c r="U425" t="str">
        <f t="shared" si="6"/>
        <v/>
      </c>
      <c r="W425">
        <f>Digits_pres_final[[#This Row],[kan_params]]</f>
        <v>121062</v>
      </c>
      <c r="X425">
        <f>Digits_pres_final[[#This Row],[kan_test_acc]]</f>
        <v>0.95767194884163986</v>
      </c>
      <c r="Y425">
        <f>Digits_pres_final[[#This Row],[mlp_test_acc]]</f>
        <v>0.96574074074074079</v>
      </c>
      <c r="Z425">
        <f>Digits_pres_final[[#This Row],[mlp_test_acc2]]</f>
        <v>0.96391534391534395</v>
      </c>
    </row>
    <row r="426" spans="1:26" hidden="1" x14ac:dyDescent="0.25">
      <c r="A426" t="s">
        <v>1979</v>
      </c>
      <c r="B426">
        <v>3</v>
      </c>
      <c r="C426">
        <v>3</v>
      </c>
      <c r="D426">
        <v>0</v>
      </c>
      <c r="E426" t="s">
        <v>2242</v>
      </c>
      <c r="F426">
        <v>121152</v>
      </c>
      <c r="G426">
        <v>350396802.41666663</v>
      </c>
      <c r="H426">
        <v>0.97518517573674512</v>
      </c>
      <c r="I426">
        <v>0.97518518518518515</v>
      </c>
      <c r="J426">
        <v>34920040.583333328</v>
      </c>
      <c r="K426">
        <v>214765</v>
      </c>
      <c r="L426">
        <v>2</v>
      </c>
      <c r="M426">
        <v>309</v>
      </c>
      <c r="N426">
        <v>0.97518518518518515</v>
      </c>
      <c r="O426">
        <v>32737371.333333336</v>
      </c>
      <c r="P426">
        <v>216080</v>
      </c>
      <c r="Q426">
        <v>2</v>
      </c>
      <c r="R426">
        <v>310</v>
      </c>
      <c r="S426" t="s">
        <v>2511</v>
      </c>
      <c r="U426" t="str">
        <f t="shared" si="6"/>
        <v/>
      </c>
      <c r="W426">
        <f>Digits_pres_final[[#This Row],[kan_params]]</f>
        <v>121152</v>
      </c>
      <c r="X426">
        <f>Digits_pres_final[[#This Row],[kan_test_acc]]</f>
        <v>0.97518517573674512</v>
      </c>
      <c r="Y426">
        <f>Digits_pres_final[[#This Row],[mlp_test_acc]]</f>
        <v>0.97518518518518515</v>
      </c>
      <c r="Z426">
        <f>Digits_pres_final[[#This Row],[mlp_test_acc2]]</f>
        <v>0.97518518518518515</v>
      </c>
    </row>
    <row r="427" spans="1:26" hidden="1" x14ac:dyDescent="0.25">
      <c r="A427" t="s">
        <v>1979</v>
      </c>
      <c r="B427">
        <v>3</v>
      </c>
      <c r="C427">
        <v>3</v>
      </c>
      <c r="D427">
        <v>0</v>
      </c>
      <c r="E427" t="s">
        <v>2306</v>
      </c>
      <c r="F427">
        <v>121366</v>
      </c>
      <c r="G427">
        <v>186989337.25</v>
      </c>
      <c r="H427">
        <v>0.96629629532496142</v>
      </c>
      <c r="I427">
        <v>0.9522222222222223</v>
      </c>
      <c r="J427">
        <v>20693782.416666664</v>
      </c>
      <c r="K427">
        <v>214765</v>
      </c>
      <c r="L427">
        <v>2</v>
      </c>
      <c r="M427">
        <v>309</v>
      </c>
      <c r="N427">
        <v>0.95611111111111113</v>
      </c>
      <c r="O427">
        <v>21006711.583333332</v>
      </c>
      <c r="P427">
        <v>216080</v>
      </c>
      <c r="Q427">
        <v>2</v>
      </c>
      <c r="R427">
        <v>310</v>
      </c>
      <c r="S427" t="s">
        <v>2542</v>
      </c>
      <c r="U427" t="str">
        <f t="shared" si="6"/>
        <v/>
      </c>
      <c r="W427">
        <f>Digits_pres_final[[#This Row],[kan_params]]</f>
        <v>121366</v>
      </c>
      <c r="X427">
        <f>Digits_pres_final[[#This Row],[kan_test_acc]]</f>
        <v>0.96629629532496142</v>
      </c>
      <c r="Y427">
        <f>Digits_pres_final[[#This Row],[mlp_test_acc]]</f>
        <v>0.9522222222222223</v>
      </c>
      <c r="Z427">
        <f>Digits_pres_final[[#This Row],[mlp_test_acc2]]</f>
        <v>0.95611111111111113</v>
      </c>
    </row>
    <row r="428" spans="1:26" hidden="1" x14ac:dyDescent="0.25">
      <c r="A428" t="s">
        <v>1979</v>
      </c>
      <c r="B428">
        <v>3</v>
      </c>
      <c r="C428">
        <v>3</v>
      </c>
      <c r="D428">
        <v>0</v>
      </c>
      <c r="E428" t="s">
        <v>2116</v>
      </c>
      <c r="F428">
        <v>121662</v>
      </c>
      <c r="G428">
        <v>361647993.5</v>
      </c>
      <c r="H428">
        <v>0.96944444874922442</v>
      </c>
      <c r="I428">
        <v>0.96611111111111114</v>
      </c>
      <c r="J428">
        <v>31830636.916666668</v>
      </c>
      <c r="K428">
        <v>216080</v>
      </c>
      <c r="L428">
        <v>2</v>
      </c>
      <c r="M428">
        <v>310</v>
      </c>
      <c r="N428">
        <v>0.9664814814814815</v>
      </c>
      <c r="O428">
        <v>31533525.75</v>
      </c>
      <c r="P428">
        <v>217399</v>
      </c>
      <c r="Q428">
        <v>2</v>
      </c>
      <c r="R428">
        <v>311</v>
      </c>
      <c r="S428" t="s">
        <v>2450</v>
      </c>
      <c r="U428" t="str">
        <f t="shared" si="6"/>
        <v/>
      </c>
      <c r="W428">
        <f>Digits_pres_final[[#This Row],[kan_params]]</f>
        <v>121662</v>
      </c>
      <c r="X428">
        <f>Digits_pres_final[[#This Row],[kan_test_acc]]</f>
        <v>0.96944444874922442</v>
      </c>
      <c r="Y428">
        <f>Digits_pres_final[[#This Row],[mlp_test_acc]]</f>
        <v>0.96611111111111114</v>
      </c>
      <c r="Z428">
        <f>Digits_pres_final[[#This Row],[mlp_test_acc2]]</f>
        <v>0.9664814814814815</v>
      </c>
    </row>
    <row r="429" spans="1:26" hidden="1" x14ac:dyDescent="0.25">
      <c r="A429" t="s">
        <v>1979</v>
      </c>
      <c r="B429">
        <v>3</v>
      </c>
      <c r="C429">
        <v>3</v>
      </c>
      <c r="D429">
        <v>0</v>
      </c>
      <c r="E429" t="s">
        <v>2180</v>
      </c>
      <c r="F429">
        <v>122200</v>
      </c>
      <c r="G429">
        <v>371527496.16666663</v>
      </c>
      <c r="H429">
        <v>0.96499999860922503</v>
      </c>
      <c r="I429">
        <v>0.9622222222222222</v>
      </c>
      <c r="J429">
        <v>34108362.166666672</v>
      </c>
      <c r="K429">
        <v>216080</v>
      </c>
      <c r="L429">
        <v>2</v>
      </c>
      <c r="M429">
        <v>310</v>
      </c>
      <c r="N429">
        <v>0.96277777777777773</v>
      </c>
      <c r="O429">
        <v>33420770.5</v>
      </c>
      <c r="P429">
        <v>217399</v>
      </c>
      <c r="Q429">
        <v>2</v>
      </c>
      <c r="R429">
        <v>311</v>
      </c>
      <c r="S429" t="s">
        <v>2481</v>
      </c>
      <c r="U429" t="str">
        <f t="shared" si="6"/>
        <v/>
      </c>
      <c r="W429">
        <f>Digits_pres_final[[#This Row],[kan_params]]</f>
        <v>122200</v>
      </c>
      <c r="X429">
        <f>Digits_pres_final[[#This Row],[kan_test_acc]]</f>
        <v>0.96499999860922503</v>
      </c>
      <c r="Y429">
        <f>Digits_pres_final[[#This Row],[mlp_test_acc]]</f>
        <v>0.9622222222222222</v>
      </c>
      <c r="Z429">
        <f>Digits_pres_final[[#This Row],[mlp_test_acc2]]</f>
        <v>0.96277777777777773</v>
      </c>
    </row>
    <row r="430" spans="1:26" hidden="1" x14ac:dyDescent="0.25">
      <c r="A430" t="s">
        <v>1979</v>
      </c>
      <c r="B430">
        <v>3</v>
      </c>
      <c r="C430">
        <v>3</v>
      </c>
      <c r="D430">
        <v>0</v>
      </c>
      <c r="E430" t="s">
        <v>2054</v>
      </c>
      <c r="F430">
        <v>122314</v>
      </c>
      <c r="G430">
        <v>428047773.25</v>
      </c>
      <c r="H430">
        <v>0.96999998887379957</v>
      </c>
      <c r="I430">
        <v>0.96129629629629632</v>
      </c>
      <c r="J430">
        <v>33876246</v>
      </c>
      <c r="K430">
        <v>216080</v>
      </c>
      <c r="L430">
        <v>2</v>
      </c>
      <c r="M430">
        <v>310</v>
      </c>
      <c r="N430">
        <v>0.96148148148148138</v>
      </c>
      <c r="O430">
        <v>34353614.583333328</v>
      </c>
      <c r="P430">
        <v>217399</v>
      </c>
      <c r="Q430">
        <v>2</v>
      </c>
      <c r="R430">
        <v>311</v>
      </c>
      <c r="S430" t="s">
        <v>2420</v>
      </c>
      <c r="U430" t="str">
        <f t="shared" si="6"/>
        <v/>
      </c>
      <c r="W430">
        <f>Digits_pres_final[[#This Row],[kan_params]]</f>
        <v>122314</v>
      </c>
      <c r="X430">
        <f>Digits_pres_final[[#This Row],[kan_test_acc]]</f>
        <v>0.96999998887379957</v>
      </c>
      <c r="Y430">
        <f>Digits_pres_final[[#This Row],[mlp_test_acc]]</f>
        <v>0.96129629629629632</v>
      </c>
      <c r="Z430">
        <f>Digits_pres_final[[#This Row],[mlp_test_acc2]]</f>
        <v>0.96148148148148138</v>
      </c>
    </row>
    <row r="431" spans="1:26" x14ac:dyDescent="0.25">
      <c r="A431" t="s">
        <v>1979</v>
      </c>
      <c r="B431">
        <v>3</v>
      </c>
      <c r="C431">
        <v>4</v>
      </c>
      <c r="D431">
        <v>0</v>
      </c>
      <c r="E431" t="s">
        <v>2036</v>
      </c>
      <c r="F431">
        <v>122544</v>
      </c>
      <c r="G431">
        <v>463423485.58333337</v>
      </c>
      <c r="H431">
        <v>0.95481481154759718</v>
      </c>
      <c r="I431">
        <v>0.9655555555555555</v>
      </c>
      <c r="J431">
        <v>32425609.833333336</v>
      </c>
      <c r="K431">
        <v>232172</v>
      </c>
      <c r="L431">
        <v>2</v>
      </c>
      <c r="M431">
        <v>322</v>
      </c>
      <c r="N431">
        <v>0.96444444444444444</v>
      </c>
      <c r="O431">
        <v>33678599.5</v>
      </c>
      <c r="P431">
        <v>233539</v>
      </c>
      <c r="Q431">
        <v>2</v>
      </c>
      <c r="R431">
        <v>323</v>
      </c>
      <c r="S431" t="s">
        <v>2607</v>
      </c>
      <c r="U431" t="str">
        <f t="shared" si="6"/>
        <v/>
      </c>
      <c r="W431">
        <f>Digits_pres_final[[#This Row],[kan_params]]</f>
        <v>122544</v>
      </c>
      <c r="X431">
        <f>Digits_pres_final[[#This Row],[kan_test_acc]]</f>
        <v>0.95481481154759718</v>
      </c>
      <c r="Y431">
        <f>Digits_pres_final[[#This Row],[mlp_test_acc]]</f>
        <v>0.9655555555555555</v>
      </c>
      <c r="Z431">
        <f>Digits_pres_final[[#This Row],[mlp_test_acc2]]</f>
        <v>0.96444444444444444</v>
      </c>
    </row>
    <row r="432" spans="1:26" hidden="1" x14ac:dyDescent="0.25">
      <c r="A432" t="s">
        <v>1979</v>
      </c>
      <c r="B432">
        <v>3</v>
      </c>
      <c r="C432">
        <v>3</v>
      </c>
      <c r="D432">
        <v>0</v>
      </c>
      <c r="E432" t="s">
        <v>2244</v>
      </c>
      <c r="F432">
        <v>122594</v>
      </c>
      <c r="G432">
        <v>387564433.83333337</v>
      </c>
      <c r="H432">
        <v>0.97370369732379913</v>
      </c>
      <c r="I432">
        <v>0.97518518518518515</v>
      </c>
      <c r="J432">
        <v>34097895.583333328</v>
      </c>
      <c r="K432">
        <v>217399</v>
      </c>
      <c r="L432">
        <v>2</v>
      </c>
      <c r="M432">
        <v>311</v>
      </c>
      <c r="N432">
        <v>0.97370370370370374</v>
      </c>
      <c r="O432">
        <v>33619377.416666672</v>
      </c>
      <c r="P432">
        <v>218722</v>
      </c>
      <c r="Q432">
        <v>2</v>
      </c>
      <c r="R432">
        <v>312</v>
      </c>
      <c r="S432" t="s">
        <v>2512</v>
      </c>
      <c r="U432" t="str">
        <f t="shared" si="6"/>
        <v/>
      </c>
      <c r="W432">
        <f>Digits_pres_final[[#This Row],[kan_params]]</f>
        <v>122594</v>
      </c>
      <c r="X432">
        <f>Digits_pres_final[[#This Row],[kan_test_acc]]</f>
        <v>0.97370369732379913</v>
      </c>
      <c r="Y432">
        <f>Digits_pres_final[[#This Row],[mlp_test_acc]]</f>
        <v>0.97518518518518515</v>
      </c>
      <c r="Z432">
        <f>Digits_pres_final[[#This Row],[mlp_test_acc2]]</f>
        <v>0.97370370370370374</v>
      </c>
    </row>
    <row r="433" spans="1:26" hidden="1" x14ac:dyDescent="0.25">
      <c r="A433" t="s">
        <v>1979</v>
      </c>
      <c r="B433">
        <v>3</v>
      </c>
      <c r="C433">
        <v>3</v>
      </c>
      <c r="D433">
        <v>0</v>
      </c>
      <c r="E433" t="s">
        <v>2308</v>
      </c>
      <c r="F433">
        <v>122844</v>
      </c>
      <c r="G433">
        <v>197407536.41666669</v>
      </c>
      <c r="H433">
        <v>0.96555555860201525</v>
      </c>
      <c r="I433">
        <v>0.95</v>
      </c>
      <c r="J433">
        <v>21092578.166666664</v>
      </c>
      <c r="K433">
        <v>217399</v>
      </c>
      <c r="L433">
        <v>2</v>
      </c>
      <c r="M433">
        <v>311</v>
      </c>
      <c r="N433">
        <v>0.95851851851851855</v>
      </c>
      <c r="O433">
        <v>20713356.166666664</v>
      </c>
      <c r="P433">
        <v>218722</v>
      </c>
      <c r="Q433">
        <v>2</v>
      </c>
      <c r="R433">
        <v>312</v>
      </c>
      <c r="S433" t="s">
        <v>2543</v>
      </c>
      <c r="U433" t="str">
        <f t="shared" si="6"/>
        <v/>
      </c>
      <c r="W433">
        <f>Digits_pres_final[[#This Row],[kan_params]]</f>
        <v>122844</v>
      </c>
      <c r="X433">
        <f>Digits_pres_final[[#This Row],[kan_test_acc]]</f>
        <v>0.96555555860201525</v>
      </c>
      <c r="Y433">
        <f>Digits_pres_final[[#This Row],[mlp_test_acc]]</f>
        <v>0.95</v>
      </c>
      <c r="Z433">
        <f>Digits_pres_final[[#This Row],[mlp_test_acc2]]</f>
        <v>0.95851851851851855</v>
      </c>
    </row>
    <row r="434" spans="1:26" hidden="1" x14ac:dyDescent="0.25">
      <c r="A434" t="s">
        <v>1979</v>
      </c>
      <c r="B434">
        <v>3</v>
      </c>
      <c r="C434">
        <v>3</v>
      </c>
      <c r="D434">
        <v>0</v>
      </c>
      <c r="E434" t="s">
        <v>2118</v>
      </c>
      <c r="F434">
        <v>123032</v>
      </c>
      <c r="G434">
        <v>368708502.16666663</v>
      </c>
      <c r="H434">
        <v>0.97277778883775079</v>
      </c>
      <c r="I434">
        <v>0.96351851851851844</v>
      </c>
      <c r="J434">
        <v>32140952.583333336</v>
      </c>
      <c r="K434">
        <v>217399</v>
      </c>
      <c r="L434">
        <v>2</v>
      </c>
      <c r="M434">
        <v>311</v>
      </c>
      <c r="N434">
        <v>0.96870370370370373</v>
      </c>
      <c r="O434">
        <v>31017701.083333336</v>
      </c>
      <c r="P434">
        <v>218722</v>
      </c>
      <c r="Q434">
        <v>2</v>
      </c>
      <c r="R434">
        <v>312</v>
      </c>
      <c r="S434" t="s">
        <v>2451</v>
      </c>
      <c r="U434" t="str">
        <f t="shared" si="6"/>
        <v/>
      </c>
      <c r="W434">
        <f>Digits_pres_final[[#This Row],[kan_params]]</f>
        <v>123032</v>
      </c>
      <c r="X434">
        <f>Digits_pres_final[[#This Row],[kan_test_acc]]</f>
        <v>0.97277778883775079</v>
      </c>
      <c r="Y434">
        <f>Digits_pres_final[[#This Row],[mlp_test_acc]]</f>
        <v>0.96351851851851844</v>
      </c>
      <c r="Z434">
        <f>Digits_pres_final[[#This Row],[mlp_test_acc2]]</f>
        <v>0.96870370370370373</v>
      </c>
    </row>
    <row r="435" spans="1:26" hidden="1" x14ac:dyDescent="0.25">
      <c r="A435" t="s">
        <v>1979</v>
      </c>
      <c r="B435">
        <v>3</v>
      </c>
      <c r="C435">
        <v>3</v>
      </c>
      <c r="D435">
        <v>0</v>
      </c>
      <c r="E435" t="s">
        <v>2182</v>
      </c>
      <c r="F435">
        <v>123606</v>
      </c>
      <c r="G435">
        <v>374367023</v>
      </c>
      <c r="H435">
        <v>0.96407407522201538</v>
      </c>
      <c r="I435">
        <v>0.96111111111111103</v>
      </c>
      <c r="J435">
        <v>34186959.416666672</v>
      </c>
      <c r="K435">
        <v>218722</v>
      </c>
      <c r="L435">
        <v>2</v>
      </c>
      <c r="M435">
        <v>312</v>
      </c>
      <c r="N435">
        <v>0.96425925925925926</v>
      </c>
      <c r="O435">
        <v>34189280.916666672</v>
      </c>
      <c r="P435">
        <v>220049</v>
      </c>
      <c r="Q435">
        <v>2</v>
      </c>
      <c r="R435">
        <v>313</v>
      </c>
      <c r="S435" t="s">
        <v>2482</v>
      </c>
      <c r="U435" t="str">
        <f t="shared" si="6"/>
        <v/>
      </c>
      <c r="W435">
        <f>Digits_pres_final[[#This Row],[kan_params]]</f>
        <v>123606</v>
      </c>
      <c r="X435">
        <f>Digits_pres_final[[#This Row],[kan_test_acc]]</f>
        <v>0.96407407522201538</v>
      </c>
      <c r="Y435">
        <f>Digits_pres_final[[#This Row],[mlp_test_acc]]</f>
        <v>0.96111111111111103</v>
      </c>
      <c r="Z435">
        <f>Digits_pres_final[[#This Row],[mlp_test_acc2]]</f>
        <v>0.96425925925925926</v>
      </c>
    </row>
    <row r="436" spans="1:26" x14ac:dyDescent="0.25">
      <c r="A436" t="s">
        <v>1979</v>
      </c>
      <c r="B436">
        <v>3</v>
      </c>
      <c r="C436">
        <v>4</v>
      </c>
      <c r="D436">
        <v>0</v>
      </c>
      <c r="E436" t="s">
        <v>2038</v>
      </c>
      <c r="F436">
        <v>124026</v>
      </c>
      <c r="G436">
        <v>425249060.75</v>
      </c>
      <c r="H436">
        <v>0.96018518507480621</v>
      </c>
      <c r="I436">
        <v>0.96444444444444444</v>
      </c>
      <c r="J436">
        <v>31477214.333333336</v>
      </c>
      <c r="K436">
        <v>234910</v>
      </c>
      <c r="L436">
        <v>2</v>
      </c>
      <c r="M436">
        <v>324</v>
      </c>
      <c r="N436">
        <v>0.96407407407407408</v>
      </c>
      <c r="O436">
        <v>32535954.833333332</v>
      </c>
      <c r="P436">
        <v>236285</v>
      </c>
      <c r="Q436">
        <v>2</v>
      </c>
      <c r="R436">
        <v>325</v>
      </c>
      <c r="S436" t="s">
        <v>2608</v>
      </c>
      <c r="U436" t="str">
        <f t="shared" si="6"/>
        <v/>
      </c>
      <c r="W436">
        <f>Digits_pres_final[[#This Row],[kan_params]]</f>
        <v>124026</v>
      </c>
      <c r="X436">
        <f>Digits_pres_final[[#This Row],[kan_test_acc]]</f>
        <v>0.96018518507480621</v>
      </c>
      <c r="Y436">
        <f>Digits_pres_final[[#This Row],[mlp_test_acc]]</f>
        <v>0.96444444444444444</v>
      </c>
      <c r="Z436">
        <f>Digits_pres_final[[#This Row],[mlp_test_acc2]]</f>
        <v>0.96407407407407408</v>
      </c>
    </row>
    <row r="437" spans="1:26" hidden="1" x14ac:dyDescent="0.25">
      <c r="A437" t="s">
        <v>1979</v>
      </c>
      <c r="B437">
        <v>3</v>
      </c>
      <c r="C437">
        <v>3</v>
      </c>
      <c r="D437">
        <v>0</v>
      </c>
      <c r="E437" t="s">
        <v>2246</v>
      </c>
      <c r="F437">
        <v>124036</v>
      </c>
      <c r="G437">
        <v>426798899.75</v>
      </c>
      <c r="H437">
        <v>0.97555555403232574</v>
      </c>
      <c r="I437">
        <v>0.97759259259259257</v>
      </c>
      <c r="J437">
        <v>34167061.916666664</v>
      </c>
      <c r="K437">
        <v>220049</v>
      </c>
      <c r="L437">
        <v>2</v>
      </c>
      <c r="M437">
        <v>313</v>
      </c>
      <c r="N437">
        <v>0.97703703703703704</v>
      </c>
      <c r="O437">
        <v>33593925.416666672</v>
      </c>
      <c r="P437">
        <v>221380</v>
      </c>
      <c r="Q437">
        <v>2</v>
      </c>
      <c r="R437">
        <v>314</v>
      </c>
      <c r="S437" t="s">
        <v>2513</v>
      </c>
      <c r="U437" t="str">
        <f t="shared" si="6"/>
        <v/>
      </c>
      <c r="W437">
        <f>Digits_pres_final[[#This Row],[kan_params]]</f>
        <v>124036</v>
      </c>
      <c r="X437">
        <f>Digits_pres_final[[#This Row],[kan_test_acc]]</f>
        <v>0.97555555403232574</v>
      </c>
      <c r="Y437">
        <f>Digits_pres_final[[#This Row],[mlp_test_acc]]</f>
        <v>0.97759259259259257</v>
      </c>
      <c r="Z437">
        <f>Digits_pres_final[[#This Row],[mlp_test_acc2]]</f>
        <v>0.97703703703703704</v>
      </c>
    </row>
    <row r="438" spans="1:26" hidden="1" x14ac:dyDescent="0.25">
      <c r="A438" t="s">
        <v>1979</v>
      </c>
      <c r="B438">
        <v>3</v>
      </c>
      <c r="C438">
        <v>3</v>
      </c>
      <c r="D438">
        <v>0</v>
      </c>
      <c r="E438" t="s">
        <v>2310</v>
      </c>
      <c r="F438">
        <v>124322</v>
      </c>
      <c r="G438">
        <v>186870159.41666669</v>
      </c>
      <c r="H438">
        <v>0.96351852019627882</v>
      </c>
      <c r="I438">
        <v>0.95018518518518524</v>
      </c>
      <c r="J438">
        <v>21459060.666666664</v>
      </c>
      <c r="K438">
        <v>220049</v>
      </c>
      <c r="L438">
        <v>2</v>
      </c>
      <c r="M438">
        <v>313</v>
      </c>
      <c r="N438">
        <v>0.96037037037037032</v>
      </c>
      <c r="O438">
        <v>21227711.583333336</v>
      </c>
      <c r="P438">
        <v>221380</v>
      </c>
      <c r="Q438">
        <v>2</v>
      </c>
      <c r="R438">
        <v>314</v>
      </c>
      <c r="S438" t="s">
        <v>2544</v>
      </c>
      <c r="U438" t="str">
        <f t="shared" si="6"/>
        <v/>
      </c>
      <c r="W438">
        <f>Digits_pres_final[[#This Row],[kan_params]]</f>
        <v>124322</v>
      </c>
      <c r="X438">
        <f>Digits_pres_final[[#This Row],[kan_test_acc]]</f>
        <v>0.96351852019627882</v>
      </c>
      <c r="Y438">
        <f>Digits_pres_final[[#This Row],[mlp_test_acc]]</f>
        <v>0.95018518518518524</v>
      </c>
      <c r="Z438">
        <f>Digits_pres_final[[#This Row],[mlp_test_acc2]]</f>
        <v>0.96037037037037032</v>
      </c>
    </row>
    <row r="439" spans="1:26" hidden="1" x14ac:dyDescent="0.25">
      <c r="A439" t="s">
        <v>1979</v>
      </c>
      <c r="B439">
        <v>3</v>
      </c>
      <c r="C439">
        <v>3</v>
      </c>
      <c r="D439">
        <v>0</v>
      </c>
      <c r="E439" t="s">
        <v>2120</v>
      </c>
      <c r="F439">
        <v>124402</v>
      </c>
      <c r="G439">
        <v>386846221.5</v>
      </c>
      <c r="H439">
        <v>0.97240741550922394</v>
      </c>
      <c r="I439">
        <v>0.96759259259259256</v>
      </c>
      <c r="J439">
        <v>31688861.416666664</v>
      </c>
      <c r="K439">
        <v>220049</v>
      </c>
      <c r="L439">
        <v>2</v>
      </c>
      <c r="M439">
        <v>313</v>
      </c>
      <c r="N439">
        <v>0.96907407407407409</v>
      </c>
      <c r="O439">
        <v>30872368.583333336</v>
      </c>
      <c r="P439">
        <v>221380</v>
      </c>
      <c r="Q439">
        <v>2</v>
      </c>
      <c r="R439">
        <v>314</v>
      </c>
      <c r="S439" t="s">
        <v>2452</v>
      </c>
      <c r="U439" t="str">
        <f t="shared" si="6"/>
        <v/>
      </c>
      <c r="W439">
        <f>Digits_pres_final[[#This Row],[kan_params]]</f>
        <v>124402</v>
      </c>
      <c r="X439">
        <f>Digits_pres_final[[#This Row],[kan_test_acc]]</f>
        <v>0.97240741550922394</v>
      </c>
      <c r="Y439">
        <f>Digits_pres_final[[#This Row],[mlp_test_acc]]</f>
        <v>0.96759259259259256</v>
      </c>
      <c r="Z439">
        <f>Digits_pres_final[[#This Row],[mlp_test_acc2]]</f>
        <v>0.96907407407407409</v>
      </c>
    </row>
    <row r="440" spans="1:26" hidden="1" x14ac:dyDescent="0.25">
      <c r="A440" t="s">
        <v>1979</v>
      </c>
      <c r="B440">
        <v>3</v>
      </c>
      <c r="C440">
        <v>3</v>
      </c>
      <c r="D440">
        <v>0</v>
      </c>
      <c r="E440" t="s">
        <v>2184</v>
      </c>
      <c r="F440">
        <v>125012</v>
      </c>
      <c r="G440">
        <v>384930863.16666669</v>
      </c>
      <c r="H440">
        <v>0.96444444358348846</v>
      </c>
      <c r="I440">
        <v>0.96240740740740738</v>
      </c>
      <c r="J440">
        <v>33804343.166666672</v>
      </c>
      <c r="K440">
        <v>221380</v>
      </c>
      <c r="L440">
        <v>2</v>
      </c>
      <c r="M440">
        <v>314</v>
      </c>
      <c r="N440">
        <v>0.96351851851851844</v>
      </c>
      <c r="O440">
        <v>34496289.416666672</v>
      </c>
      <c r="P440">
        <v>222715</v>
      </c>
      <c r="Q440">
        <v>2</v>
      </c>
      <c r="R440">
        <v>315</v>
      </c>
      <c r="S440" t="s">
        <v>2483</v>
      </c>
      <c r="U440" t="str">
        <f t="shared" si="6"/>
        <v/>
      </c>
      <c r="W440">
        <f>Digits_pres_final[[#This Row],[kan_params]]</f>
        <v>125012</v>
      </c>
      <c r="X440">
        <f>Digits_pres_final[[#This Row],[kan_test_acc]]</f>
        <v>0.96444444358348846</v>
      </c>
      <c r="Y440">
        <f>Digits_pres_final[[#This Row],[mlp_test_acc]]</f>
        <v>0.96240740740740738</v>
      </c>
      <c r="Z440">
        <f>Digits_pres_final[[#This Row],[mlp_test_acc2]]</f>
        <v>0.96351851851851844</v>
      </c>
    </row>
    <row r="441" spans="1:26" hidden="1" x14ac:dyDescent="0.25">
      <c r="A441" t="s">
        <v>1979</v>
      </c>
      <c r="B441">
        <v>3</v>
      </c>
      <c r="C441">
        <v>3</v>
      </c>
      <c r="D441">
        <v>0</v>
      </c>
      <c r="E441" t="s">
        <v>2248</v>
      </c>
      <c r="F441">
        <v>125478</v>
      </c>
      <c r="G441">
        <v>403726148.33333331</v>
      </c>
      <c r="H441">
        <v>0.97962962587674451</v>
      </c>
      <c r="I441">
        <v>0.97925925925925927</v>
      </c>
      <c r="J441">
        <v>33683403.75</v>
      </c>
      <c r="K441">
        <v>222715</v>
      </c>
      <c r="L441">
        <v>2</v>
      </c>
      <c r="M441">
        <v>315</v>
      </c>
      <c r="N441">
        <v>0.97555555555555551</v>
      </c>
      <c r="O441">
        <v>33850834.333333328</v>
      </c>
      <c r="P441">
        <v>224054</v>
      </c>
      <c r="Q441">
        <v>2</v>
      </c>
      <c r="R441">
        <v>316</v>
      </c>
      <c r="S441" t="s">
        <v>2514</v>
      </c>
      <c r="U441" t="str">
        <f t="shared" si="6"/>
        <v/>
      </c>
      <c r="W441">
        <f>Digits_pres_final[[#This Row],[kan_params]]</f>
        <v>125478</v>
      </c>
      <c r="X441">
        <f>Digits_pres_final[[#This Row],[kan_test_acc]]</f>
        <v>0.97962962587674451</v>
      </c>
      <c r="Y441">
        <f>Digits_pres_final[[#This Row],[mlp_test_acc]]</f>
        <v>0.97925925925925927</v>
      </c>
      <c r="Z441">
        <f>Digits_pres_final[[#This Row],[mlp_test_acc2]]</f>
        <v>0.97555555555555551</v>
      </c>
    </row>
    <row r="442" spans="1:26" x14ac:dyDescent="0.25">
      <c r="A442" t="s">
        <v>1979</v>
      </c>
      <c r="B442">
        <v>3</v>
      </c>
      <c r="C442">
        <v>4</v>
      </c>
      <c r="D442">
        <v>0</v>
      </c>
      <c r="E442" t="s">
        <v>2040</v>
      </c>
      <c r="F442">
        <v>125508</v>
      </c>
      <c r="G442">
        <v>439348753.33333331</v>
      </c>
      <c r="H442">
        <v>0.95796296497186029</v>
      </c>
      <c r="I442">
        <v>0.96092592592592596</v>
      </c>
      <c r="J442">
        <v>32314414.75</v>
      </c>
      <c r="K442">
        <v>237664</v>
      </c>
      <c r="L442">
        <v>2</v>
      </c>
      <c r="M442">
        <v>326</v>
      </c>
      <c r="N442">
        <v>0.96240740740740738</v>
      </c>
      <c r="O442">
        <v>33581267.75</v>
      </c>
      <c r="P442">
        <v>239047</v>
      </c>
      <c r="Q442">
        <v>2</v>
      </c>
      <c r="R442">
        <v>327</v>
      </c>
      <c r="S442" t="s">
        <v>2609</v>
      </c>
      <c r="U442" t="str">
        <f t="shared" si="6"/>
        <v/>
      </c>
      <c r="W442">
        <f>Digits_pres_final[[#This Row],[kan_params]]</f>
        <v>125508</v>
      </c>
      <c r="X442">
        <f>Digits_pres_final[[#This Row],[kan_test_acc]]</f>
        <v>0.95796296497186029</v>
      </c>
      <c r="Y442">
        <f>Digits_pres_final[[#This Row],[mlp_test_acc]]</f>
        <v>0.96092592592592596</v>
      </c>
      <c r="Z442">
        <f>Digits_pres_final[[#This Row],[mlp_test_acc2]]</f>
        <v>0.96240740740740738</v>
      </c>
    </row>
    <row r="443" spans="1:26" hidden="1" x14ac:dyDescent="0.25">
      <c r="A443" t="s">
        <v>1979</v>
      </c>
      <c r="B443">
        <v>3</v>
      </c>
      <c r="C443">
        <v>3</v>
      </c>
      <c r="D443">
        <v>0</v>
      </c>
      <c r="E443" t="s">
        <v>2122</v>
      </c>
      <c r="F443">
        <v>125772</v>
      </c>
      <c r="G443">
        <v>403754867.75</v>
      </c>
      <c r="H443">
        <v>0.968518520394961</v>
      </c>
      <c r="I443">
        <v>0.96925925925925926</v>
      </c>
      <c r="J443">
        <v>32087985.25</v>
      </c>
      <c r="K443">
        <v>222715</v>
      </c>
      <c r="L443">
        <v>2</v>
      </c>
      <c r="M443">
        <v>315</v>
      </c>
      <c r="N443">
        <v>0.96944444444444444</v>
      </c>
      <c r="O443">
        <v>31610059.75</v>
      </c>
      <c r="P443">
        <v>224054</v>
      </c>
      <c r="Q443">
        <v>2</v>
      </c>
      <c r="R443">
        <v>316</v>
      </c>
      <c r="S443" t="s">
        <v>2453</v>
      </c>
      <c r="U443" t="str">
        <f t="shared" si="6"/>
        <v/>
      </c>
      <c r="W443">
        <f>Digits_pres_final[[#This Row],[kan_params]]</f>
        <v>125772</v>
      </c>
      <c r="X443">
        <f>Digits_pres_final[[#This Row],[kan_test_acc]]</f>
        <v>0.968518520394961</v>
      </c>
      <c r="Y443">
        <f>Digits_pres_final[[#This Row],[mlp_test_acc]]</f>
        <v>0.96925925925925926</v>
      </c>
      <c r="Z443">
        <f>Digits_pres_final[[#This Row],[mlp_test_acc2]]</f>
        <v>0.96944444444444444</v>
      </c>
    </row>
    <row r="444" spans="1:26" hidden="1" x14ac:dyDescent="0.25">
      <c r="A444" t="s">
        <v>1979</v>
      </c>
      <c r="B444">
        <v>3</v>
      </c>
      <c r="C444">
        <v>3</v>
      </c>
      <c r="D444">
        <v>0</v>
      </c>
      <c r="E444" t="s">
        <v>2312</v>
      </c>
      <c r="F444">
        <v>125800</v>
      </c>
      <c r="G444">
        <v>185608626.41666669</v>
      </c>
      <c r="H444">
        <v>0.95777777334054304</v>
      </c>
      <c r="I444">
        <v>0.95037037037037031</v>
      </c>
      <c r="J444">
        <v>21280199.166666664</v>
      </c>
      <c r="K444">
        <v>222715</v>
      </c>
      <c r="L444">
        <v>2</v>
      </c>
      <c r="M444">
        <v>315</v>
      </c>
      <c r="N444">
        <v>0.96185185185185174</v>
      </c>
      <c r="O444">
        <v>21564839</v>
      </c>
      <c r="P444">
        <v>224054</v>
      </c>
      <c r="Q444">
        <v>2</v>
      </c>
      <c r="R444">
        <v>316</v>
      </c>
      <c r="S444" t="s">
        <v>2545</v>
      </c>
      <c r="U444" t="str">
        <f t="shared" si="6"/>
        <v/>
      </c>
      <c r="W444">
        <f>Digits_pres_final[[#This Row],[kan_params]]</f>
        <v>125800</v>
      </c>
      <c r="X444">
        <f>Digits_pres_final[[#This Row],[kan_test_acc]]</f>
        <v>0.95777777334054304</v>
      </c>
      <c r="Y444">
        <f>Digits_pres_final[[#This Row],[mlp_test_acc]]</f>
        <v>0.95037037037037031</v>
      </c>
      <c r="Z444">
        <f>Digits_pres_final[[#This Row],[mlp_test_acc2]]</f>
        <v>0.96185185185185174</v>
      </c>
    </row>
    <row r="445" spans="1:26" hidden="1" x14ac:dyDescent="0.25">
      <c r="A445" t="s">
        <v>1979</v>
      </c>
      <c r="B445">
        <v>3</v>
      </c>
      <c r="C445">
        <v>3</v>
      </c>
      <c r="D445">
        <v>0</v>
      </c>
      <c r="E445" t="s">
        <v>2186</v>
      </c>
      <c r="F445">
        <v>126418</v>
      </c>
      <c r="G445">
        <v>408491710</v>
      </c>
      <c r="H445">
        <v>0.96685184041659045</v>
      </c>
      <c r="I445">
        <v>0.9622222222222222</v>
      </c>
      <c r="J445">
        <v>33825791.25</v>
      </c>
      <c r="K445">
        <v>224054</v>
      </c>
      <c r="L445">
        <v>2</v>
      </c>
      <c r="M445">
        <v>316</v>
      </c>
      <c r="N445">
        <v>0.96166666666666667</v>
      </c>
      <c r="O445">
        <v>34668815.166666672</v>
      </c>
      <c r="P445">
        <v>225397</v>
      </c>
      <c r="Q445">
        <v>2</v>
      </c>
      <c r="R445">
        <v>317</v>
      </c>
      <c r="S445" t="s">
        <v>2484</v>
      </c>
      <c r="U445" t="str">
        <f t="shared" si="6"/>
        <v/>
      </c>
      <c r="W445">
        <f>Digits_pres_final[[#This Row],[kan_params]]</f>
        <v>126418</v>
      </c>
      <c r="X445">
        <f>Digits_pres_final[[#This Row],[kan_test_acc]]</f>
        <v>0.96685184041659045</v>
      </c>
      <c r="Y445">
        <f>Digits_pres_final[[#This Row],[mlp_test_acc]]</f>
        <v>0.9622222222222222</v>
      </c>
      <c r="Z445">
        <f>Digits_pres_final[[#This Row],[mlp_test_acc2]]</f>
        <v>0.96166666666666667</v>
      </c>
    </row>
    <row r="446" spans="1:26" hidden="1" x14ac:dyDescent="0.25">
      <c r="A446" t="s">
        <v>1979</v>
      </c>
      <c r="B446">
        <v>3</v>
      </c>
      <c r="C446">
        <v>3</v>
      </c>
      <c r="D446">
        <v>0</v>
      </c>
      <c r="E446" t="s">
        <v>2250</v>
      </c>
      <c r="F446">
        <v>126920</v>
      </c>
      <c r="G446">
        <v>416362128.66666663</v>
      </c>
      <c r="H446">
        <v>0.97888888915379835</v>
      </c>
      <c r="I446">
        <v>0.97648148148148151</v>
      </c>
      <c r="J446">
        <v>34190560.916666664</v>
      </c>
      <c r="K446">
        <v>225397</v>
      </c>
      <c r="L446">
        <v>2</v>
      </c>
      <c r="M446">
        <v>317</v>
      </c>
      <c r="N446">
        <v>0.97259259259259256</v>
      </c>
      <c r="O446">
        <v>34595125.916666664</v>
      </c>
      <c r="P446">
        <v>226744</v>
      </c>
      <c r="Q446">
        <v>2</v>
      </c>
      <c r="R446">
        <v>318</v>
      </c>
      <c r="S446" t="s">
        <v>2515</v>
      </c>
      <c r="U446" t="str">
        <f t="shared" si="6"/>
        <v/>
      </c>
      <c r="W446">
        <f>Digits_pres_final[[#This Row],[kan_params]]</f>
        <v>126920</v>
      </c>
      <c r="X446">
        <f>Digits_pres_final[[#This Row],[kan_test_acc]]</f>
        <v>0.97888888915379835</v>
      </c>
      <c r="Y446">
        <f>Digits_pres_final[[#This Row],[mlp_test_acc]]</f>
        <v>0.97648148148148151</v>
      </c>
      <c r="Z446">
        <f>Digits_pres_final[[#This Row],[mlp_test_acc2]]</f>
        <v>0.97259259259259256</v>
      </c>
    </row>
    <row r="447" spans="1:26" x14ac:dyDescent="0.25">
      <c r="A447" t="s">
        <v>1979</v>
      </c>
      <c r="B447">
        <v>3</v>
      </c>
      <c r="C447">
        <v>4</v>
      </c>
      <c r="D447">
        <v>0</v>
      </c>
      <c r="E447" t="s">
        <v>2042</v>
      </c>
      <c r="F447">
        <v>126990</v>
      </c>
      <c r="G447">
        <v>456060116.25</v>
      </c>
      <c r="H447">
        <v>0.95240740974744165</v>
      </c>
      <c r="I447">
        <v>0.96259259259259267</v>
      </c>
      <c r="J447">
        <v>34680653.416666672</v>
      </c>
      <c r="K447">
        <v>240434</v>
      </c>
      <c r="L447">
        <v>2</v>
      </c>
      <c r="M447">
        <v>328</v>
      </c>
      <c r="N447">
        <v>0.9622222222222222</v>
      </c>
      <c r="O447">
        <v>34939405.666666664</v>
      </c>
      <c r="P447">
        <v>241825</v>
      </c>
      <c r="Q447">
        <v>2</v>
      </c>
      <c r="R447">
        <v>329</v>
      </c>
      <c r="S447" t="s">
        <v>2610</v>
      </c>
      <c r="U447" t="str">
        <f t="shared" si="6"/>
        <v/>
      </c>
      <c r="W447">
        <f>Digits_pres_final[[#This Row],[kan_params]]</f>
        <v>126990</v>
      </c>
      <c r="X447">
        <f>Digits_pres_final[[#This Row],[kan_test_acc]]</f>
        <v>0.95240740974744165</v>
      </c>
      <c r="Y447">
        <f>Digits_pres_final[[#This Row],[mlp_test_acc]]</f>
        <v>0.96259259259259267</v>
      </c>
      <c r="Z447">
        <f>Digits_pres_final[[#This Row],[mlp_test_acc2]]</f>
        <v>0.9622222222222222</v>
      </c>
    </row>
    <row r="448" spans="1:26" hidden="1" x14ac:dyDescent="0.25">
      <c r="A448" t="s">
        <v>1979</v>
      </c>
      <c r="B448">
        <v>3</v>
      </c>
      <c r="C448">
        <v>3</v>
      </c>
      <c r="D448">
        <v>0</v>
      </c>
      <c r="E448" t="s">
        <v>2314</v>
      </c>
      <c r="F448">
        <v>127278</v>
      </c>
      <c r="G448">
        <v>192826294.33333331</v>
      </c>
      <c r="H448">
        <v>0.96037036180496216</v>
      </c>
      <c r="I448">
        <v>0.95129629629629631</v>
      </c>
      <c r="J448">
        <v>21341602.416666664</v>
      </c>
      <c r="K448">
        <v>225397</v>
      </c>
      <c r="L448">
        <v>2</v>
      </c>
      <c r="M448">
        <v>317</v>
      </c>
      <c r="N448">
        <v>0.95925925925925926</v>
      </c>
      <c r="O448">
        <v>21696245.666666664</v>
      </c>
      <c r="P448">
        <v>226744</v>
      </c>
      <c r="Q448">
        <v>2</v>
      </c>
      <c r="R448">
        <v>318</v>
      </c>
      <c r="S448" t="s">
        <v>2546</v>
      </c>
      <c r="U448" t="str">
        <f t="shared" si="6"/>
        <v/>
      </c>
      <c r="W448">
        <f>Digits_pres_final[[#This Row],[kan_params]]</f>
        <v>127278</v>
      </c>
      <c r="X448">
        <f>Digits_pres_final[[#This Row],[kan_test_acc]]</f>
        <v>0.96037036180496216</v>
      </c>
      <c r="Y448">
        <f>Digits_pres_final[[#This Row],[mlp_test_acc]]</f>
        <v>0.95129629629629631</v>
      </c>
      <c r="Z448">
        <f>Digits_pres_final[[#This Row],[mlp_test_acc2]]</f>
        <v>0.95925925925925926</v>
      </c>
    </row>
    <row r="449" spans="1:26" hidden="1" x14ac:dyDescent="0.25">
      <c r="A449" t="s">
        <v>1979</v>
      </c>
      <c r="B449">
        <v>3</v>
      </c>
      <c r="C449">
        <v>3</v>
      </c>
      <c r="D449">
        <v>0</v>
      </c>
      <c r="E449" t="s">
        <v>2188</v>
      </c>
      <c r="F449">
        <v>127824</v>
      </c>
      <c r="G449">
        <v>409734499.66666663</v>
      </c>
      <c r="H449">
        <v>0.9683333237965901</v>
      </c>
      <c r="I449">
        <v>0.96259259259259267</v>
      </c>
      <c r="J449">
        <v>34168105.25</v>
      </c>
      <c r="K449">
        <v>226744</v>
      </c>
      <c r="L449">
        <v>2</v>
      </c>
      <c r="M449">
        <v>318</v>
      </c>
      <c r="N449">
        <v>0.96166666666666667</v>
      </c>
      <c r="O449">
        <v>34625453.416666672</v>
      </c>
      <c r="P449">
        <v>228095</v>
      </c>
      <c r="Q449">
        <v>2</v>
      </c>
      <c r="R449">
        <v>319</v>
      </c>
      <c r="S449" t="s">
        <v>2485</v>
      </c>
      <c r="U449" t="str">
        <f t="shared" si="6"/>
        <v/>
      </c>
      <c r="W449">
        <f>Digits_pres_final[[#This Row],[kan_params]]</f>
        <v>127824</v>
      </c>
      <c r="X449">
        <f>Digits_pres_final[[#This Row],[kan_test_acc]]</f>
        <v>0.9683333237965901</v>
      </c>
      <c r="Y449">
        <f>Digits_pres_final[[#This Row],[mlp_test_acc]]</f>
        <v>0.96259259259259267</v>
      </c>
      <c r="Z449">
        <f>Digits_pres_final[[#This Row],[mlp_test_acc2]]</f>
        <v>0.96166666666666667</v>
      </c>
    </row>
    <row r="450" spans="1:26" hidden="1" x14ac:dyDescent="0.25">
      <c r="A450" t="s">
        <v>1979</v>
      </c>
      <c r="B450">
        <v>3</v>
      </c>
      <c r="C450">
        <v>3</v>
      </c>
      <c r="D450">
        <v>0</v>
      </c>
      <c r="E450" t="s">
        <v>2252</v>
      </c>
      <c r="F450">
        <v>128362</v>
      </c>
      <c r="G450">
        <v>416555857.58333337</v>
      </c>
      <c r="H450">
        <v>0.97703704237937927</v>
      </c>
      <c r="I450">
        <v>0.97166666666666668</v>
      </c>
      <c r="J450">
        <v>35698763.166666672</v>
      </c>
      <c r="K450">
        <v>226744</v>
      </c>
      <c r="L450">
        <v>2</v>
      </c>
      <c r="M450">
        <v>318</v>
      </c>
      <c r="N450">
        <v>0.97407407407407409</v>
      </c>
      <c r="O450">
        <v>34829557.5</v>
      </c>
      <c r="P450">
        <v>228095</v>
      </c>
      <c r="Q450">
        <v>2</v>
      </c>
      <c r="R450">
        <v>319</v>
      </c>
      <c r="S450" t="s">
        <v>2516</v>
      </c>
      <c r="U450" t="str">
        <f t="shared" si="6"/>
        <v/>
      </c>
      <c r="W450">
        <f>Digits_pres_final[[#This Row],[kan_params]]</f>
        <v>128362</v>
      </c>
      <c r="X450">
        <f>Digits_pres_final[[#This Row],[kan_test_acc]]</f>
        <v>0.97703704237937927</v>
      </c>
      <c r="Y450">
        <f>Digits_pres_final[[#This Row],[mlp_test_acc]]</f>
        <v>0.97166666666666668</v>
      </c>
      <c r="Z450">
        <f>Digits_pres_final[[#This Row],[mlp_test_acc2]]</f>
        <v>0.97407407407407409</v>
      </c>
    </row>
    <row r="451" spans="1:26" x14ac:dyDescent="0.25">
      <c r="A451" t="s">
        <v>1979</v>
      </c>
      <c r="B451">
        <v>3</v>
      </c>
      <c r="C451">
        <v>4</v>
      </c>
      <c r="D451">
        <v>0</v>
      </c>
      <c r="E451" t="s">
        <v>2044</v>
      </c>
      <c r="F451">
        <v>128472</v>
      </c>
      <c r="G451">
        <v>507410765</v>
      </c>
      <c r="H451">
        <v>0.94981481631596887</v>
      </c>
      <c r="I451">
        <v>0.9664814814814815</v>
      </c>
      <c r="J451">
        <v>35405254.25</v>
      </c>
      <c r="K451">
        <v>243220</v>
      </c>
      <c r="L451">
        <v>2</v>
      </c>
      <c r="M451">
        <v>330</v>
      </c>
      <c r="N451">
        <v>0.9638888888888888</v>
      </c>
      <c r="O451">
        <v>34771845.25</v>
      </c>
      <c r="P451">
        <v>244619</v>
      </c>
      <c r="Q451">
        <v>2</v>
      </c>
      <c r="R451">
        <v>331</v>
      </c>
      <c r="S451" t="s">
        <v>2611</v>
      </c>
      <c r="U451" t="str">
        <f t="shared" ref="U451:U460" si="7">IF(F452=F453,1,"")</f>
        <v/>
      </c>
      <c r="W451">
        <f>Digits_pres_final[[#This Row],[kan_params]]</f>
        <v>128472</v>
      </c>
      <c r="X451">
        <f>Digits_pres_final[[#This Row],[kan_test_acc]]</f>
        <v>0.94981481631596887</v>
      </c>
      <c r="Y451">
        <f>Digits_pres_final[[#This Row],[mlp_test_acc]]</f>
        <v>0.9664814814814815</v>
      </c>
      <c r="Z451">
        <f>Digits_pres_final[[#This Row],[mlp_test_acc2]]</f>
        <v>0.9638888888888888</v>
      </c>
    </row>
    <row r="452" spans="1:26" hidden="1" x14ac:dyDescent="0.25">
      <c r="A452" t="s">
        <v>1979</v>
      </c>
      <c r="B452">
        <v>3</v>
      </c>
      <c r="C452">
        <v>3</v>
      </c>
      <c r="D452">
        <v>0</v>
      </c>
      <c r="E452" t="s">
        <v>2316</v>
      </c>
      <c r="F452">
        <v>128756</v>
      </c>
      <c r="G452">
        <v>204374207.41666666</v>
      </c>
      <c r="H452">
        <v>0.96314814686775208</v>
      </c>
      <c r="I452">
        <v>0.95351851851851854</v>
      </c>
      <c r="J452">
        <v>21479752.666666664</v>
      </c>
      <c r="K452">
        <v>228095</v>
      </c>
      <c r="L452">
        <v>2</v>
      </c>
      <c r="M452">
        <v>319</v>
      </c>
      <c r="N452">
        <v>0.95500000000000007</v>
      </c>
      <c r="O452">
        <v>21962419.5</v>
      </c>
      <c r="P452">
        <v>229450</v>
      </c>
      <c r="Q452">
        <v>2</v>
      </c>
      <c r="R452">
        <v>320</v>
      </c>
      <c r="S452" t="s">
        <v>2547</v>
      </c>
      <c r="U452" t="str">
        <f t="shared" si="7"/>
        <v/>
      </c>
      <c r="W452">
        <f>Digits_pres_final[[#This Row],[kan_params]]</f>
        <v>128756</v>
      </c>
      <c r="X452">
        <f>Digits_pres_final[[#This Row],[kan_test_acc]]</f>
        <v>0.96314814686775208</v>
      </c>
      <c r="Y452">
        <f>Digits_pres_final[[#This Row],[mlp_test_acc]]</f>
        <v>0.95351851851851854</v>
      </c>
      <c r="Z452">
        <f>Digits_pres_final[[#This Row],[mlp_test_acc2]]</f>
        <v>0.95500000000000007</v>
      </c>
    </row>
    <row r="453" spans="1:26" hidden="1" x14ac:dyDescent="0.25">
      <c r="A453" t="s">
        <v>1979</v>
      </c>
      <c r="B453">
        <v>3</v>
      </c>
      <c r="C453">
        <v>3</v>
      </c>
      <c r="D453">
        <v>0</v>
      </c>
      <c r="E453" t="s">
        <v>2190</v>
      </c>
      <c r="F453">
        <v>129230</v>
      </c>
      <c r="G453">
        <v>388386358.08333337</v>
      </c>
      <c r="H453">
        <v>0.96518518527348829</v>
      </c>
      <c r="I453">
        <v>0.96351851851851855</v>
      </c>
      <c r="J453">
        <v>34164047.5</v>
      </c>
      <c r="K453">
        <v>229450</v>
      </c>
      <c r="L453">
        <v>2</v>
      </c>
      <c r="M453">
        <v>320</v>
      </c>
      <c r="N453">
        <v>0.9655555555555555</v>
      </c>
      <c r="O453">
        <v>35099103.666666672</v>
      </c>
      <c r="P453">
        <v>230809</v>
      </c>
      <c r="Q453">
        <v>2</v>
      </c>
      <c r="R453">
        <v>321</v>
      </c>
      <c r="S453" t="s">
        <v>2486</v>
      </c>
      <c r="U453" t="str">
        <f t="shared" si="7"/>
        <v/>
      </c>
      <c r="W453">
        <f>Digits_pres_final[[#This Row],[kan_params]]</f>
        <v>129230</v>
      </c>
      <c r="X453">
        <f>Digits_pres_final[[#This Row],[kan_test_acc]]</f>
        <v>0.96518518527348829</v>
      </c>
      <c r="Y453">
        <f>Digits_pres_final[[#This Row],[mlp_test_acc]]</f>
        <v>0.96351851851851855</v>
      </c>
      <c r="Z453">
        <f>Digits_pres_final[[#This Row],[mlp_test_acc2]]</f>
        <v>0.9655555555555555</v>
      </c>
    </row>
    <row r="454" spans="1:26" hidden="1" x14ac:dyDescent="0.25">
      <c r="A454" t="s">
        <v>1979</v>
      </c>
      <c r="B454">
        <v>3</v>
      </c>
      <c r="C454">
        <v>3</v>
      </c>
      <c r="D454">
        <v>0</v>
      </c>
      <c r="E454" t="s">
        <v>2254</v>
      </c>
      <c r="F454">
        <v>129804</v>
      </c>
      <c r="G454">
        <v>391430709.83333337</v>
      </c>
      <c r="H454">
        <v>0.97944443921248125</v>
      </c>
      <c r="I454">
        <v>0.97296296296296303</v>
      </c>
      <c r="J454">
        <v>35386627.75</v>
      </c>
      <c r="K454">
        <v>229450</v>
      </c>
      <c r="L454">
        <v>2</v>
      </c>
      <c r="M454">
        <v>320</v>
      </c>
      <c r="N454">
        <v>0.97444444444444445</v>
      </c>
      <c r="O454">
        <v>34619816.666666672</v>
      </c>
      <c r="P454">
        <v>230809</v>
      </c>
      <c r="Q454">
        <v>2</v>
      </c>
      <c r="R454">
        <v>321</v>
      </c>
      <c r="S454" t="s">
        <v>2517</v>
      </c>
      <c r="U454" t="str">
        <f t="shared" si="7"/>
        <v/>
      </c>
      <c r="W454">
        <f>Digits_pres_final[[#This Row],[kan_params]]</f>
        <v>129804</v>
      </c>
      <c r="X454">
        <f>Digits_pres_final[[#This Row],[kan_test_acc]]</f>
        <v>0.97944443921248125</v>
      </c>
      <c r="Y454">
        <f>Digits_pres_final[[#This Row],[mlp_test_acc]]</f>
        <v>0.97296296296296303</v>
      </c>
      <c r="Z454">
        <f>Digits_pres_final[[#This Row],[mlp_test_acc2]]</f>
        <v>0.97444444444444445</v>
      </c>
    </row>
    <row r="455" spans="1:26" hidden="1" x14ac:dyDescent="0.25">
      <c r="A455" t="s">
        <v>1979</v>
      </c>
      <c r="B455">
        <v>3</v>
      </c>
      <c r="C455">
        <v>3</v>
      </c>
      <c r="D455">
        <v>0</v>
      </c>
      <c r="E455" t="s">
        <v>2318</v>
      </c>
      <c r="F455">
        <v>130234</v>
      </c>
      <c r="G455">
        <v>211293852.75</v>
      </c>
      <c r="H455">
        <v>0.96148148675759626</v>
      </c>
      <c r="I455">
        <v>0.95314814814814819</v>
      </c>
      <c r="J455">
        <v>21108542.75</v>
      </c>
      <c r="K455">
        <v>230809</v>
      </c>
      <c r="L455">
        <v>2</v>
      </c>
      <c r="M455">
        <v>321</v>
      </c>
      <c r="N455">
        <v>0.95500000000000007</v>
      </c>
      <c r="O455">
        <v>21544640.166666664</v>
      </c>
      <c r="P455">
        <v>232172</v>
      </c>
      <c r="Q455">
        <v>2</v>
      </c>
      <c r="R455">
        <v>322</v>
      </c>
      <c r="S455" t="s">
        <v>2548</v>
      </c>
      <c r="U455" t="str">
        <f t="shared" si="7"/>
        <v/>
      </c>
      <c r="W455">
        <f>Digits_pres_final[[#This Row],[kan_params]]</f>
        <v>130234</v>
      </c>
      <c r="X455">
        <f>Digits_pres_final[[#This Row],[kan_test_acc]]</f>
        <v>0.96148148675759626</v>
      </c>
      <c r="Y455">
        <f>Digits_pres_final[[#This Row],[mlp_test_acc]]</f>
        <v>0.95314814814814819</v>
      </c>
      <c r="Z455">
        <f>Digits_pres_final[[#This Row],[mlp_test_acc2]]</f>
        <v>0.95500000000000007</v>
      </c>
    </row>
    <row r="456" spans="1:26" hidden="1" x14ac:dyDescent="0.25">
      <c r="A456" t="s">
        <v>1979</v>
      </c>
      <c r="B456">
        <v>3</v>
      </c>
      <c r="C456">
        <v>3</v>
      </c>
      <c r="D456">
        <v>0</v>
      </c>
      <c r="E456" t="s">
        <v>2256</v>
      </c>
      <c r="F456">
        <v>131246</v>
      </c>
      <c r="G456">
        <v>408796659.25</v>
      </c>
      <c r="H456">
        <v>0.98277776439984643</v>
      </c>
      <c r="I456">
        <v>0.97555555555555551</v>
      </c>
      <c r="J456">
        <v>34907476.166666664</v>
      </c>
      <c r="K456">
        <v>232172</v>
      </c>
      <c r="L456">
        <v>2</v>
      </c>
      <c r="M456">
        <v>322</v>
      </c>
      <c r="N456">
        <v>0.97388888888888892</v>
      </c>
      <c r="O456">
        <v>34245443.916666672</v>
      </c>
      <c r="P456">
        <v>233539</v>
      </c>
      <c r="Q456">
        <v>2</v>
      </c>
      <c r="R456">
        <v>323</v>
      </c>
      <c r="S456" t="s">
        <v>2518</v>
      </c>
      <c r="U456" t="str">
        <f t="shared" si="7"/>
        <v/>
      </c>
      <c r="W456">
        <f>Digits_pres_final[[#This Row],[kan_params]]</f>
        <v>131246</v>
      </c>
      <c r="X456">
        <f>Digits_pres_final[[#This Row],[kan_test_acc]]</f>
        <v>0.98277776439984643</v>
      </c>
      <c r="Y456">
        <f>Digits_pres_final[[#This Row],[mlp_test_acc]]</f>
        <v>0.97555555555555551</v>
      </c>
      <c r="Z456">
        <f>Digits_pres_final[[#This Row],[mlp_test_acc2]]</f>
        <v>0.97388888888888892</v>
      </c>
    </row>
    <row r="457" spans="1:26" hidden="1" x14ac:dyDescent="0.25">
      <c r="A457" t="s">
        <v>1979</v>
      </c>
      <c r="B457">
        <v>3</v>
      </c>
      <c r="C457">
        <v>3</v>
      </c>
      <c r="D457">
        <v>0</v>
      </c>
      <c r="E457" t="s">
        <v>2320</v>
      </c>
      <c r="F457">
        <v>131712</v>
      </c>
      <c r="G457">
        <v>227342269.83333334</v>
      </c>
      <c r="H457">
        <v>0.9638888885577519</v>
      </c>
      <c r="I457">
        <v>0.95351851851851854</v>
      </c>
      <c r="J457">
        <v>21023801.666666664</v>
      </c>
      <c r="K457">
        <v>233539</v>
      </c>
      <c r="L457">
        <v>2</v>
      </c>
      <c r="M457">
        <v>323</v>
      </c>
      <c r="N457">
        <v>0.9572222222222222</v>
      </c>
      <c r="O457">
        <v>21576637.083333332</v>
      </c>
      <c r="P457">
        <v>234910</v>
      </c>
      <c r="Q457">
        <v>2</v>
      </c>
      <c r="R457">
        <v>324</v>
      </c>
      <c r="S457" t="s">
        <v>2549</v>
      </c>
      <c r="U457" t="str">
        <f t="shared" si="7"/>
        <v/>
      </c>
      <c r="W457">
        <f>Digits_pres_final[[#This Row],[kan_params]]</f>
        <v>131712</v>
      </c>
      <c r="X457">
        <f>Digits_pres_final[[#This Row],[kan_test_acc]]</f>
        <v>0.9638888885577519</v>
      </c>
      <c r="Y457">
        <f>Digits_pres_final[[#This Row],[mlp_test_acc]]</f>
        <v>0.95351851851851854</v>
      </c>
      <c r="Z457">
        <f>Digits_pres_final[[#This Row],[mlp_test_acc2]]</f>
        <v>0.9572222222222222</v>
      </c>
    </row>
    <row r="458" spans="1:26" hidden="1" x14ac:dyDescent="0.25">
      <c r="A458" t="s">
        <v>1979</v>
      </c>
      <c r="B458">
        <v>3</v>
      </c>
      <c r="C458">
        <v>3</v>
      </c>
      <c r="D458">
        <v>0</v>
      </c>
      <c r="E458" t="s">
        <v>2258</v>
      </c>
      <c r="F458">
        <v>132688</v>
      </c>
      <c r="G458">
        <v>458512965</v>
      </c>
      <c r="H458">
        <v>0.97592592239379883</v>
      </c>
      <c r="I458">
        <v>0.9664814814814815</v>
      </c>
      <c r="J458">
        <v>34986353.916666664</v>
      </c>
      <c r="K458">
        <v>234910</v>
      </c>
      <c r="L458">
        <v>2</v>
      </c>
      <c r="M458">
        <v>324</v>
      </c>
      <c r="N458">
        <v>0.96703703703703703</v>
      </c>
      <c r="O458">
        <v>35579955.166666672</v>
      </c>
      <c r="P458">
        <v>236285</v>
      </c>
      <c r="Q458">
        <v>2</v>
      </c>
      <c r="R458">
        <v>325</v>
      </c>
      <c r="S458" t="s">
        <v>2519</v>
      </c>
      <c r="U458" t="str">
        <f t="shared" si="7"/>
        <v/>
      </c>
      <c r="W458">
        <f>Digits_pres_final[[#This Row],[kan_params]]</f>
        <v>132688</v>
      </c>
      <c r="X458">
        <f>Digits_pres_final[[#This Row],[kan_test_acc]]</f>
        <v>0.97592592239379883</v>
      </c>
      <c r="Y458">
        <f>Digits_pres_final[[#This Row],[mlp_test_acc]]</f>
        <v>0.9664814814814815</v>
      </c>
      <c r="Z458">
        <f>Digits_pres_final[[#This Row],[mlp_test_acc2]]</f>
        <v>0.96703703703703703</v>
      </c>
    </row>
    <row r="459" spans="1:26" hidden="1" x14ac:dyDescent="0.25">
      <c r="A459" t="s">
        <v>1979</v>
      </c>
      <c r="B459">
        <v>3</v>
      </c>
      <c r="C459">
        <v>3</v>
      </c>
      <c r="D459">
        <v>0</v>
      </c>
      <c r="E459" t="s">
        <v>2322</v>
      </c>
      <c r="F459">
        <v>133190</v>
      </c>
      <c r="G459">
        <v>229063797.5</v>
      </c>
      <c r="H459">
        <v>0.96703703204790759</v>
      </c>
      <c r="I459">
        <v>0.95796296296296291</v>
      </c>
      <c r="J459">
        <v>21415592.833333332</v>
      </c>
      <c r="K459">
        <v>236285</v>
      </c>
      <c r="L459">
        <v>2</v>
      </c>
      <c r="M459">
        <v>325</v>
      </c>
      <c r="N459">
        <v>0.95870370370370372</v>
      </c>
      <c r="O459">
        <v>21867674.75</v>
      </c>
      <c r="P459">
        <v>237664</v>
      </c>
      <c r="Q459">
        <v>2</v>
      </c>
      <c r="R459">
        <v>326</v>
      </c>
      <c r="S459" t="s">
        <v>2550</v>
      </c>
      <c r="U459" t="str">
        <f t="shared" si="7"/>
        <v/>
      </c>
      <c r="W459">
        <f>Digits_pres_final[[#This Row],[kan_params]]</f>
        <v>133190</v>
      </c>
      <c r="X459">
        <f>Digits_pres_final[[#This Row],[kan_test_acc]]</f>
        <v>0.96703703204790759</v>
      </c>
      <c r="Y459">
        <f>Digits_pres_final[[#This Row],[mlp_test_acc]]</f>
        <v>0.95796296296296291</v>
      </c>
      <c r="Z459">
        <f>Digits_pres_final[[#This Row],[mlp_test_acc2]]</f>
        <v>0.95870370370370372</v>
      </c>
    </row>
    <row r="460" spans="1:26" hidden="1" x14ac:dyDescent="0.25">
      <c r="A460" t="s">
        <v>1979</v>
      </c>
      <c r="B460">
        <v>3</v>
      </c>
      <c r="C460">
        <v>3</v>
      </c>
      <c r="D460">
        <v>0</v>
      </c>
      <c r="E460" t="s">
        <v>2324</v>
      </c>
      <c r="F460">
        <v>134668</v>
      </c>
      <c r="G460">
        <v>224069529.91666666</v>
      </c>
      <c r="H460">
        <v>0.96796295543511712</v>
      </c>
      <c r="I460">
        <v>0.95851851851851855</v>
      </c>
      <c r="J460">
        <v>21747860.083333332</v>
      </c>
      <c r="K460">
        <v>239047</v>
      </c>
      <c r="L460">
        <v>2</v>
      </c>
      <c r="M460">
        <v>327</v>
      </c>
      <c r="N460">
        <v>0.95740740740740748</v>
      </c>
      <c r="O460">
        <v>21720387.833333336</v>
      </c>
      <c r="P460">
        <v>240434</v>
      </c>
      <c r="Q460">
        <v>2</v>
      </c>
      <c r="R460">
        <v>328</v>
      </c>
      <c r="S460" t="s">
        <v>2551</v>
      </c>
      <c r="U460" t="str">
        <f t="shared" si="7"/>
        <v/>
      </c>
      <c r="W460">
        <f>Digits_pres_final[[#This Row],[kan_params]]</f>
        <v>134668</v>
      </c>
      <c r="X460">
        <f>Digits_pres_final[[#This Row],[kan_test_acc]]</f>
        <v>0.96796295543511712</v>
      </c>
      <c r="Y460">
        <f>Digits_pres_final[[#This Row],[mlp_test_acc]]</f>
        <v>0.95851851851851855</v>
      </c>
      <c r="Z460">
        <f>Digits_pres_final[[#This Row],[mlp_test_acc2]]</f>
        <v>0.95740740740740748</v>
      </c>
    </row>
    <row r="461" spans="1:26" hidden="1" x14ac:dyDescent="0.25">
      <c r="A461" t="s">
        <v>1979</v>
      </c>
      <c r="B461">
        <v>3</v>
      </c>
      <c r="C461">
        <v>3</v>
      </c>
      <c r="D461">
        <v>0</v>
      </c>
      <c r="E461" t="s">
        <v>2552</v>
      </c>
      <c r="F461">
        <v>136146</v>
      </c>
      <c r="G461">
        <v>233144180</v>
      </c>
      <c r="H461">
        <v>0.96685184041659045</v>
      </c>
      <c r="I461">
        <v>0.9572222222222222</v>
      </c>
      <c r="J461">
        <v>21918231.666666664</v>
      </c>
      <c r="K461">
        <v>241825</v>
      </c>
      <c r="L461">
        <v>2</v>
      </c>
      <c r="M461">
        <v>329</v>
      </c>
      <c r="N461">
        <v>0.95574074074074078</v>
      </c>
      <c r="O461">
        <v>21608087.25</v>
      </c>
      <c r="P461">
        <v>243220</v>
      </c>
      <c r="Q461">
        <v>2</v>
      </c>
      <c r="R461">
        <v>330</v>
      </c>
      <c r="S461" t="s">
        <v>2553</v>
      </c>
      <c r="W461">
        <f>Digits_pres_final[[#This Row],[kan_params]]</f>
        <v>136146</v>
      </c>
      <c r="X461">
        <f>Digits_pres_final[[#This Row],[kan_test_acc]]</f>
        <v>0.96685184041659045</v>
      </c>
      <c r="Y461">
        <f>Digits_pres_final[[#This Row],[mlp_test_acc]]</f>
        <v>0.9572222222222222</v>
      </c>
      <c r="Z461">
        <f>Digits_pres_final[[#This Row],[mlp_test_acc2]]</f>
        <v>0.95574074074074078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2AB5A8-328A-424A-9829-A67C9DF461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Mnist</vt:lpstr>
      <vt:lpstr>Mnist_full_output</vt:lpstr>
      <vt:lpstr>Iris</vt:lpstr>
      <vt:lpstr>Wine pres final</vt:lpstr>
      <vt:lpstr>Cancer doubles final2</vt:lpstr>
      <vt:lpstr>digits presorted</vt:lpstr>
      <vt:lpstr>Digits pres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Chadała</dc:creator>
  <cp:lastModifiedBy>Marta Chadała</cp:lastModifiedBy>
  <dcterms:created xsi:type="dcterms:W3CDTF">2025-05-14T18:30:00Z</dcterms:created>
  <dcterms:modified xsi:type="dcterms:W3CDTF">2025-06-01T13:45:16Z</dcterms:modified>
</cp:coreProperties>
</file>
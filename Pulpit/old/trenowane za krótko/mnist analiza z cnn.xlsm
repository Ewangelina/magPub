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134BC1C0-429D-4479-8D11-EFB28B55F13F}" xr6:coauthVersionLast="47" xr6:coauthVersionMax="47" xr10:uidLastSave="{00000000-0000-0000-0000-000000000000}"/>
  <bookViews>
    <workbookView xWindow="-120" yWindow="-120" windowWidth="29040" windowHeight="15990" xr2:uid="{AF335F1F-A6F9-4054-8126-A8B58EB72358}"/>
  </bookViews>
  <sheets>
    <sheet name="24_text_logs_full_output me (2)" sheetId="2" r:id="rId1"/>
  </sheets>
  <definedNames>
    <definedName name="ExternalData_1" localSheetId="0" hidden="1">'24_text_logs_full_output me (2)'!$A$1:$Y$20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2" l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" i="2"/>
  <c r="AB3" i="2"/>
  <c r="AC3" i="2"/>
  <c r="AD3" i="2"/>
  <c r="AF3" i="2"/>
  <c r="AB4" i="2"/>
  <c r="AC4" i="2"/>
  <c r="AD4" i="2"/>
  <c r="AF4" i="2"/>
  <c r="AB5" i="2"/>
  <c r="AC5" i="2"/>
  <c r="AD5" i="2"/>
  <c r="AF5" i="2"/>
  <c r="AB6" i="2"/>
  <c r="AC6" i="2"/>
  <c r="AD6" i="2"/>
  <c r="AF6" i="2"/>
  <c r="AB7" i="2"/>
  <c r="AC7" i="2"/>
  <c r="AD7" i="2"/>
  <c r="AF7" i="2"/>
  <c r="AB8" i="2"/>
  <c r="AC8" i="2"/>
  <c r="AD8" i="2"/>
  <c r="AF8" i="2"/>
  <c r="AB9" i="2"/>
  <c r="AC9" i="2"/>
  <c r="AD9" i="2"/>
  <c r="AF9" i="2"/>
  <c r="AB10" i="2"/>
  <c r="AC10" i="2"/>
  <c r="AD10" i="2"/>
  <c r="AF10" i="2"/>
  <c r="AB11" i="2"/>
  <c r="AC11" i="2"/>
  <c r="AD11" i="2"/>
  <c r="AF11" i="2"/>
  <c r="AB12" i="2"/>
  <c r="AC12" i="2"/>
  <c r="AD12" i="2"/>
  <c r="AF12" i="2"/>
  <c r="AB13" i="2"/>
  <c r="AC13" i="2"/>
  <c r="AD13" i="2"/>
  <c r="AF13" i="2"/>
  <c r="AB14" i="2"/>
  <c r="AC14" i="2"/>
  <c r="AD14" i="2"/>
  <c r="AF14" i="2"/>
  <c r="AB15" i="2"/>
  <c r="AC15" i="2"/>
  <c r="AD15" i="2"/>
  <c r="AF15" i="2"/>
  <c r="AB16" i="2"/>
  <c r="AC16" i="2"/>
  <c r="AD16" i="2"/>
  <c r="AF16" i="2"/>
  <c r="AB17" i="2"/>
  <c r="AC17" i="2"/>
  <c r="AD17" i="2"/>
  <c r="AF17" i="2"/>
  <c r="AB18" i="2"/>
  <c r="AC18" i="2"/>
  <c r="AD18" i="2"/>
  <c r="AF18" i="2"/>
  <c r="AB19" i="2"/>
  <c r="AC19" i="2"/>
  <c r="AD19" i="2"/>
  <c r="AF19" i="2"/>
  <c r="AB20" i="2"/>
  <c r="AC20" i="2"/>
  <c r="AD20" i="2"/>
  <c r="AF20" i="2"/>
  <c r="AF2" i="2"/>
  <c r="AD2" i="2"/>
  <c r="AC2" i="2"/>
  <c r="A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FB9925-A660-4273-B359-3A6F2B7CAEC6}" keepAlive="1" name="Zapytanie — 24_text_logs_full_output merged" description="Połączenie z zapytaniem „24_text_logs_full_output merged” w skoroszycie." type="5" refreshedVersion="8" background="1" saveData="1">
    <dbPr connection="Provider=Microsoft.Mashup.OleDb.1;Data Source=$Workbook$;Location=&quot;24_text_logs_full_output merged&quot;;Extended Properties=&quot;&quot;" command="SELECT * FROM [24_text_logs_full_output merged]"/>
  </connection>
</connections>
</file>

<file path=xl/sharedStrings.xml><?xml version="1.0" encoding="utf-8"?>
<sst xmlns="http://schemas.openxmlformats.org/spreadsheetml/2006/main" count="68" uniqueCount="31">
  <si>
    <t>dataset_name</t>
  </si>
  <si>
    <t>kan_grid 1</t>
  </si>
  <si>
    <t>kan_degree 1</t>
  </si>
  <si>
    <t>kan_lam 1</t>
  </si>
  <si>
    <t>kan_width 1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</si>
  <si>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</si>
  <si>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</si>
  <si>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</si>
  <si>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</si>
  <si>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</si>
  <si>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</si>
  <si>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</si>
  <si>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</si>
  <si>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</si>
  <si>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</si>
  <si>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time_difference mlp1</t>
  </si>
  <si>
    <t>mlp_params</t>
  </si>
  <si>
    <t>width_layers</t>
  </si>
  <si>
    <t>mlp2_test_acc</t>
  </si>
  <si>
    <t>mlp2_val_acc</t>
  </si>
  <si>
    <t>mlp2_train_acc</t>
  </si>
  <si>
    <t>mlp2_steps</t>
  </si>
  <si>
    <t>mlp 2 time difference</t>
  </si>
  <si>
    <t>mlp2_params</t>
  </si>
  <si>
    <t>width_layers2</t>
  </si>
  <si>
    <t>Mnist</t>
  </si>
  <si>
    <t>[3136, 15, 10]</t>
  </si>
  <si>
    <t>[3136, 24, 10]</t>
  </si>
  <si>
    <t>[3136, 5, 10]</t>
  </si>
  <si>
    <t>[3136, 10, 10]</t>
  </si>
  <si>
    <t>[3136, 12, 10]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</si>
</sst>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'24_text_logs_full_output me (2)'!$AD$1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'24_text_logs_full_output me (2)'!$AB$2:$AB$20</c:f>
              <c:numCache>
                <c:formatCode>General</c:formatCode>
                <c:ptCount val="19"/>
                <c:pt idx="0">
                  <c:v>125855</c:v>
                </c:pt>
                <c:pt idx="1">
                  <c:v>251700</c:v>
                </c:pt>
                <c:pt idx="2">
                  <c:v>302038</c:v>
                </c:pt>
                <c:pt idx="3">
                  <c:v>377545</c:v>
                </c:pt>
                <c:pt idx="4">
                  <c:v>424735</c:v>
                </c:pt>
                <c:pt idx="5">
                  <c:v>471925</c:v>
                </c:pt>
                <c:pt idx="6">
                  <c:v>471925</c:v>
                </c:pt>
                <c:pt idx="7">
                  <c:v>519115</c:v>
                </c:pt>
                <c:pt idx="8">
                  <c:v>519115</c:v>
                </c:pt>
                <c:pt idx="9">
                  <c:v>566305</c:v>
                </c:pt>
                <c:pt idx="10">
                  <c:v>604066</c:v>
                </c:pt>
                <c:pt idx="11">
                  <c:v>613495</c:v>
                </c:pt>
                <c:pt idx="12">
                  <c:v>660685</c:v>
                </c:pt>
                <c:pt idx="13">
                  <c:v>679570</c:v>
                </c:pt>
                <c:pt idx="14">
                  <c:v>755074</c:v>
                </c:pt>
                <c:pt idx="15">
                  <c:v>755074</c:v>
                </c:pt>
                <c:pt idx="16">
                  <c:v>830578</c:v>
                </c:pt>
                <c:pt idx="17">
                  <c:v>830578</c:v>
                </c:pt>
                <c:pt idx="18">
                  <c:v>906082</c:v>
                </c:pt>
              </c:numCache>
            </c:numRef>
          </c:xVal>
          <c:yVal>
            <c:numRef>
              <c:f>'24_text_logs_full_output me (2)'!$AD$2:$AD$20</c:f>
              <c:numCache>
                <c:formatCode>General</c:formatCode>
                <c:ptCount val="19"/>
                <c:pt idx="0">
                  <c:v>0.98663194444444446</c:v>
                </c:pt>
                <c:pt idx="1">
                  <c:v>0.9936666666666667</c:v>
                </c:pt>
                <c:pt idx="2">
                  <c:v>0.99182291666666667</c:v>
                </c:pt>
                <c:pt idx="3">
                  <c:v>0.9969041666666667</c:v>
                </c:pt>
                <c:pt idx="4">
                  <c:v>0.99860416666666674</c:v>
                </c:pt>
                <c:pt idx="5">
                  <c:v>0.99781666666666669</c:v>
                </c:pt>
                <c:pt idx="6">
                  <c:v>0.99786249999999999</c:v>
                </c:pt>
                <c:pt idx="7">
                  <c:v>0.99739166666666668</c:v>
                </c:pt>
                <c:pt idx="8">
                  <c:v>0.9967583333333333</c:v>
                </c:pt>
                <c:pt idx="9">
                  <c:v>0.99774166666666664</c:v>
                </c:pt>
                <c:pt idx="10">
                  <c:v>0.99654464285714284</c:v>
                </c:pt>
                <c:pt idx="11">
                  <c:v>0.99748333333333339</c:v>
                </c:pt>
                <c:pt idx="12">
                  <c:v>0.99719791666666668</c:v>
                </c:pt>
                <c:pt idx="13">
                  <c:v>0.99784583333333332</c:v>
                </c:pt>
                <c:pt idx="14">
                  <c:v>0.99805416666666669</c:v>
                </c:pt>
                <c:pt idx="15">
                  <c:v>0.99741666666666673</c:v>
                </c:pt>
                <c:pt idx="16">
                  <c:v>0.99867499999999998</c:v>
                </c:pt>
                <c:pt idx="17">
                  <c:v>0.99870000000000003</c:v>
                </c:pt>
                <c:pt idx="18">
                  <c:v>0.99738541666666669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98-4E8D-A730-A12BB8EBD127}"/>
            </c:ext>
          </c:extLst>
        </c:ser>
        <c:ser>
          <c:idx val="2"/>
          <c:order val="2"/>
          <c:tx>
            <c:strRef>
              <c:f>'24_text_logs_full_output me (2)'!$AE$1</c:f>
              <c:strCache>
                <c:ptCount val="1"/>
                <c:pt idx="0">
                  <c:v>kan_val_acc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'24_text_logs_full_output me (2)'!$AB$2:$AB$20</c:f>
              <c:numCache>
                <c:formatCode>General</c:formatCode>
                <c:ptCount val="19"/>
                <c:pt idx="0">
                  <c:v>125855</c:v>
                </c:pt>
                <c:pt idx="1">
                  <c:v>251700</c:v>
                </c:pt>
                <c:pt idx="2">
                  <c:v>302038</c:v>
                </c:pt>
                <c:pt idx="3">
                  <c:v>377545</c:v>
                </c:pt>
                <c:pt idx="4">
                  <c:v>424735</c:v>
                </c:pt>
                <c:pt idx="5">
                  <c:v>471925</c:v>
                </c:pt>
                <c:pt idx="6">
                  <c:v>471925</c:v>
                </c:pt>
                <c:pt idx="7">
                  <c:v>519115</c:v>
                </c:pt>
                <c:pt idx="8">
                  <c:v>519115</c:v>
                </c:pt>
                <c:pt idx="9">
                  <c:v>566305</c:v>
                </c:pt>
                <c:pt idx="10">
                  <c:v>604066</c:v>
                </c:pt>
                <c:pt idx="11">
                  <c:v>613495</c:v>
                </c:pt>
                <c:pt idx="12">
                  <c:v>660685</c:v>
                </c:pt>
                <c:pt idx="13">
                  <c:v>679570</c:v>
                </c:pt>
                <c:pt idx="14">
                  <c:v>755074</c:v>
                </c:pt>
                <c:pt idx="15">
                  <c:v>755074</c:v>
                </c:pt>
                <c:pt idx="16">
                  <c:v>830578</c:v>
                </c:pt>
                <c:pt idx="17">
                  <c:v>830578</c:v>
                </c:pt>
                <c:pt idx="18">
                  <c:v>906082</c:v>
                </c:pt>
              </c:numCache>
            </c:numRef>
          </c:xVal>
          <c:yVal>
            <c:numRef>
              <c:f>'24_text_logs_full_output me (2)'!$AE$2:$AE$20</c:f>
              <c:numCache>
                <c:formatCode>General</c:formatCode>
                <c:ptCount val="19"/>
                <c:pt idx="0">
                  <c:v>0.97416666666666663</c:v>
                </c:pt>
                <c:pt idx="1">
                  <c:v>0.98024999999999995</c:v>
                </c:pt>
                <c:pt idx="2">
                  <c:v>0.98429166666666668</c:v>
                </c:pt>
                <c:pt idx="3">
                  <c:v>0.97466666666666668</c:v>
                </c:pt>
                <c:pt idx="4">
                  <c:v>0.98385</c:v>
                </c:pt>
                <c:pt idx="5">
                  <c:v>0.98273333333333335</c:v>
                </c:pt>
                <c:pt idx="6">
                  <c:v>0.98070000000000002</c:v>
                </c:pt>
                <c:pt idx="7">
                  <c:v>0.98226666666666673</c:v>
                </c:pt>
                <c:pt idx="8">
                  <c:v>0.98091666666666666</c:v>
                </c:pt>
                <c:pt idx="9">
                  <c:v>0.98146666666666671</c:v>
                </c:pt>
                <c:pt idx="10">
                  <c:v>0.97357142857142853</c:v>
                </c:pt>
                <c:pt idx="11">
                  <c:v>0.98045000000000004</c:v>
                </c:pt>
                <c:pt idx="12">
                  <c:v>0.982375</c:v>
                </c:pt>
                <c:pt idx="13">
                  <c:v>0.98421666666666663</c:v>
                </c:pt>
                <c:pt idx="14">
                  <c:v>0.98339999999999994</c:v>
                </c:pt>
                <c:pt idx="15">
                  <c:v>0.98478333333333334</c:v>
                </c:pt>
                <c:pt idx="16">
                  <c:v>0.98263333333333336</c:v>
                </c:pt>
                <c:pt idx="17">
                  <c:v>0.98198333333333332</c:v>
                </c:pt>
                <c:pt idx="18">
                  <c:v>0.9828958333333333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98-4E8D-A730-A12BB8EBD127}"/>
            </c:ext>
          </c:extLst>
        </c:ser>
        <c:ser>
          <c:idx val="3"/>
          <c:order val="3"/>
          <c:tx>
            <c:strRef>
              <c:f>'24_text_logs_full_output me (2)'!$AF$1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'24_text_logs_full_output me (2)'!$AB$2:$AB$20</c:f>
              <c:numCache>
                <c:formatCode>General</c:formatCode>
                <c:ptCount val="19"/>
                <c:pt idx="0">
                  <c:v>125855</c:v>
                </c:pt>
                <c:pt idx="1">
                  <c:v>251700</c:v>
                </c:pt>
                <c:pt idx="2">
                  <c:v>302038</c:v>
                </c:pt>
                <c:pt idx="3">
                  <c:v>377545</c:v>
                </c:pt>
                <c:pt idx="4">
                  <c:v>424735</c:v>
                </c:pt>
                <c:pt idx="5">
                  <c:v>471925</c:v>
                </c:pt>
                <c:pt idx="6">
                  <c:v>471925</c:v>
                </c:pt>
                <c:pt idx="7">
                  <c:v>519115</c:v>
                </c:pt>
                <c:pt idx="8">
                  <c:v>519115</c:v>
                </c:pt>
                <c:pt idx="9">
                  <c:v>566305</c:v>
                </c:pt>
                <c:pt idx="10">
                  <c:v>604066</c:v>
                </c:pt>
                <c:pt idx="11">
                  <c:v>613495</c:v>
                </c:pt>
                <c:pt idx="12">
                  <c:v>660685</c:v>
                </c:pt>
                <c:pt idx="13">
                  <c:v>679570</c:v>
                </c:pt>
                <c:pt idx="14">
                  <c:v>755074</c:v>
                </c:pt>
                <c:pt idx="15">
                  <c:v>755074</c:v>
                </c:pt>
                <c:pt idx="16">
                  <c:v>830578</c:v>
                </c:pt>
                <c:pt idx="17">
                  <c:v>830578</c:v>
                </c:pt>
                <c:pt idx="18">
                  <c:v>906082</c:v>
                </c:pt>
              </c:numCache>
            </c:numRef>
          </c:xVal>
          <c:yVal>
            <c:numRef>
              <c:f>'24_text_logs_full_output me (2)'!$AF$2:$AF$20</c:f>
              <c:numCache>
                <c:formatCode>General</c:formatCode>
                <c:ptCount val="19"/>
                <c:pt idx="0">
                  <c:v>0.97709999999999997</c:v>
                </c:pt>
                <c:pt idx="1">
                  <c:v>0.98619999999999997</c:v>
                </c:pt>
                <c:pt idx="2">
                  <c:v>0.98585</c:v>
                </c:pt>
                <c:pt idx="3">
                  <c:v>0.98785999999999996</c:v>
                </c:pt>
                <c:pt idx="4">
                  <c:v>0.98937999999999993</c:v>
                </c:pt>
                <c:pt idx="5">
                  <c:v>0.98929999999999996</c:v>
                </c:pt>
                <c:pt idx="6">
                  <c:v>0.98782000000000003</c:v>
                </c:pt>
                <c:pt idx="7">
                  <c:v>0.98848000000000003</c:v>
                </c:pt>
                <c:pt idx="8">
                  <c:v>0.98692000000000002</c:v>
                </c:pt>
                <c:pt idx="9">
                  <c:v>0.98794000000000004</c:v>
                </c:pt>
                <c:pt idx="10">
                  <c:v>0.98868571428571428</c:v>
                </c:pt>
                <c:pt idx="11">
                  <c:v>0.98816000000000004</c:v>
                </c:pt>
                <c:pt idx="12">
                  <c:v>0.98849999999999993</c:v>
                </c:pt>
                <c:pt idx="13">
                  <c:v>0.98819999999999997</c:v>
                </c:pt>
                <c:pt idx="14">
                  <c:v>0.98885999999999996</c:v>
                </c:pt>
                <c:pt idx="15">
                  <c:v>0.98807999999999996</c:v>
                </c:pt>
                <c:pt idx="16">
                  <c:v>0.98960000000000004</c:v>
                </c:pt>
                <c:pt idx="17">
                  <c:v>0.99002000000000001</c:v>
                </c:pt>
                <c:pt idx="18">
                  <c:v>0.98849999999999993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98-4E8D-A730-A12BB8EBD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81439"/>
        <c:axId val="724752287"/>
      </c:scatterChart>
      <c:scatterChart>
        <c:scatterStyle val="smoothMarker"/>
        <c:varyColors val="0"/>
        <c:ser>
          <c:idx val="0"/>
          <c:order val="0"/>
          <c:tx>
            <c:strRef>
              <c:f>'24_text_logs_full_output me (2)'!$AC$1</c:f>
              <c:strCache>
                <c:ptCount val="1"/>
                <c:pt idx="0">
                  <c:v>kan_steps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'24_text_logs_full_output me (2)'!$AB$2:$AB$20</c:f>
              <c:numCache>
                <c:formatCode>General</c:formatCode>
                <c:ptCount val="19"/>
                <c:pt idx="0">
                  <c:v>125855</c:v>
                </c:pt>
                <c:pt idx="1">
                  <c:v>251700</c:v>
                </c:pt>
                <c:pt idx="2">
                  <c:v>302038</c:v>
                </c:pt>
                <c:pt idx="3">
                  <c:v>377545</c:v>
                </c:pt>
                <c:pt idx="4">
                  <c:v>424735</c:v>
                </c:pt>
                <c:pt idx="5">
                  <c:v>471925</c:v>
                </c:pt>
                <c:pt idx="6">
                  <c:v>471925</c:v>
                </c:pt>
                <c:pt idx="7">
                  <c:v>519115</c:v>
                </c:pt>
                <c:pt idx="8">
                  <c:v>519115</c:v>
                </c:pt>
                <c:pt idx="9">
                  <c:v>566305</c:v>
                </c:pt>
                <c:pt idx="10">
                  <c:v>604066</c:v>
                </c:pt>
                <c:pt idx="11">
                  <c:v>613495</c:v>
                </c:pt>
                <c:pt idx="12">
                  <c:v>660685</c:v>
                </c:pt>
                <c:pt idx="13">
                  <c:v>679570</c:v>
                </c:pt>
                <c:pt idx="14">
                  <c:v>755074</c:v>
                </c:pt>
                <c:pt idx="15">
                  <c:v>755074</c:v>
                </c:pt>
                <c:pt idx="16">
                  <c:v>830578</c:v>
                </c:pt>
                <c:pt idx="17">
                  <c:v>830578</c:v>
                </c:pt>
                <c:pt idx="18">
                  <c:v>906082</c:v>
                </c:pt>
              </c:numCache>
            </c:numRef>
          </c:xVal>
          <c:yVal>
            <c:numRef>
              <c:f>'24_text_logs_full_output me (2)'!$AC$2:$AC$20</c:f>
              <c:numCache>
                <c:formatCode>General</c:formatCode>
                <c:ptCount val="19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13.6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11.714285714285714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98-4E8D-A730-A12BB8EBD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254991"/>
        <c:axId val="987259791"/>
      </c:scatterChart>
      <c:valAx>
        <c:axId val="652781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24752287"/>
        <c:crosses val="autoZero"/>
        <c:crossBetween val="midCat"/>
      </c:valAx>
      <c:valAx>
        <c:axId val="72475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52781439"/>
        <c:crosses val="autoZero"/>
        <c:crossBetween val="midCat"/>
      </c:valAx>
      <c:valAx>
        <c:axId val="9872597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87254991"/>
        <c:crosses val="max"/>
        <c:crossBetween val="midCat"/>
      </c:valAx>
      <c:valAx>
        <c:axId val="987254991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87259791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</xdr:row>
      <xdr:rowOff>71437</xdr:rowOff>
    </xdr:from>
    <xdr:to>
      <xdr:col>5</xdr:col>
      <xdr:colOff>352425</xdr:colOff>
      <xdr:row>16</xdr:row>
      <xdr:rowOff>147637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36357E7-E74B-4F35-C28C-F83464997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26BF0CA-CAB9-4238-9D8D-43EB17C29F6A}" autoFormatId="16" applyNumberFormats="0" applyBorderFormats="0" applyFontFormats="0" applyPatternFormats="0" applyAlignmentFormats="0" applyWidthHeightFormats="0">
  <queryTableRefresh nextId="27">
    <queryTableFields count="25">
      <queryTableField id="1" name="dataset_name" tableColumnId="1"/>
      <queryTableField id="2" name="kan_grid 1" tableColumnId="2"/>
      <queryTableField id="3" name="kan_degree 1" tableColumnId="3"/>
      <queryTableField id="4" name="kan_lam 1" tableColumnId="4"/>
      <queryTableField id="5" name="kan_width 1" tableColumnId="5"/>
      <queryTableField id="6" name="kan_params" tableColumnId="6"/>
      <queryTableField id="7" name="kan_time_difference" tableColumnId="7"/>
      <queryTableField id="8" name="kan_steps" tableColumnId="8"/>
      <queryTableField id="9" name="kan_train_acc" tableColumnId="9"/>
      <queryTableField id="10" name="kan_val_acc" tableColumnId="10"/>
      <queryTableField id="11" name="kan_test_acc" tableColumnId="11"/>
      <queryTableField id="12" name="mlp_test_acc" tableColumnId="12"/>
      <queryTableField id="13" name="mlp_val_acc" tableColumnId="13"/>
      <queryTableField id="14" name="mlp_train_acc" tableColumnId="14"/>
      <queryTableField id="15" name="mlp_steps" tableColumnId="15"/>
      <queryTableField id="16" name="time_difference mlp1" tableColumnId="16"/>
      <queryTableField id="17" name="mlp_params" tableColumnId="17"/>
      <queryTableField id="18" name="width_layers" tableColumnId="18"/>
      <queryTableField id="19" name="mlp2_test_acc" tableColumnId="19"/>
      <queryTableField id="20" name="mlp2_val_acc" tableColumnId="20"/>
      <queryTableField id="21" name="mlp2_train_acc" tableColumnId="21"/>
      <queryTableField id="22" name="mlp2_steps" tableColumnId="22"/>
      <queryTableField id="23" name="mlp 2 time difference" tableColumnId="23"/>
      <queryTableField id="24" name="mlp2_params" tableColumnId="24"/>
      <queryTableField id="25" name="width_layers2" tableColumnId="25"/>
    </queryTableFields>
    <queryTableDeletedFields count="1">
      <deletedField name="delm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1BA99C-63C6-412D-8B59-658740F547CC}" name="_24_text_logs_full_output_merged" displayName="_24_text_logs_full_output_merged" ref="A1:Y20" tableType="queryTable" totalsRowShown="0">
  <autoFilter ref="A1:Y20" xr:uid="{771BA99C-63C6-412D-8B59-658740F547CC}"/>
  <sortState xmlns:xlrd2="http://schemas.microsoft.com/office/spreadsheetml/2017/richdata2" ref="A2:Y20">
    <sortCondition ref="F1:F20"/>
  </sortState>
  <tableColumns count="25">
    <tableColumn id="1" xr3:uid="{872204C5-94E5-4E30-AA37-5BAAB1AACBFC}" uniqueName="1" name="dataset_name" queryTableFieldId="1" dataDxfId="1"/>
    <tableColumn id="2" xr3:uid="{CCDB8232-8EAA-432B-AB17-B69E93004D8A}" uniqueName="2" name="kan_grid 1" queryTableFieldId="2"/>
    <tableColumn id="3" xr3:uid="{8C9308BC-239E-461F-936B-0151F8C6EFE8}" uniqueName="3" name="kan_degree 1" queryTableFieldId="3"/>
    <tableColumn id="4" xr3:uid="{591EC323-2D86-4F94-B1D6-7E14B92F23D5}" uniqueName="4" name="kan_lam 1" queryTableFieldId="4"/>
    <tableColumn id="5" xr3:uid="{8FFAFE0D-B87A-4756-99AF-D94408DA94D7}" uniqueName="5" name="kan_width 1" queryTableFieldId="5" dataDxfId="0"/>
    <tableColumn id="6" xr3:uid="{49C97AF7-BED5-4331-AD75-885DCCF91EC8}" uniqueName="6" name="kan_params" queryTableFieldId="6"/>
    <tableColumn id="7" xr3:uid="{A5B9332D-48ED-43F2-B324-6DE38A503C66}" uniqueName="7" name="kan_time_difference" queryTableFieldId="7"/>
    <tableColumn id="8" xr3:uid="{F0ABF9B4-C903-470E-88F9-2A6296A7CD36}" uniqueName="8" name="kan_steps" queryTableFieldId="8"/>
    <tableColumn id="9" xr3:uid="{38C99FF8-0503-4887-BF7D-5766D1251DFC}" uniqueName="9" name="kan_train_acc" queryTableFieldId="9"/>
    <tableColumn id="10" xr3:uid="{079276D6-24DA-440F-80C0-D13F7D489777}" uniqueName="10" name="kan_val_acc" queryTableFieldId="10"/>
    <tableColumn id="11" xr3:uid="{F2550218-D4AB-4F9C-997C-79C5E16958F1}" uniqueName="11" name="kan_test_acc" queryTableFieldId="11"/>
    <tableColumn id="12" xr3:uid="{21675B72-53DA-4F32-AD87-1B898A0A8A17}" uniqueName="12" name="mlp_test_acc" queryTableFieldId="12"/>
    <tableColumn id="13" xr3:uid="{AF0C21BF-ECDD-4176-8FF9-3C17C070C6E5}" uniqueName="13" name="mlp_val_acc" queryTableFieldId="13"/>
    <tableColumn id="14" xr3:uid="{C562A8D7-4B9E-4465-A0F0-D74F9BB876C6}" uniqueName="14" name="mlp_train_acc" queryTableFieldId="14"/>
    <tableColumn id="15" xr3:uid="{B996236C-0EA6-4ED0-94C4-509C22DC34BE}" uniqueName="15" name="mlp_steps" queryTableFieldId="15"/>
    <tableColumn id="16" xr3:uid="{FA049413-2953-4F6F-A8F0-A502F34EBEDE}" uniqueName="16" name="time_difference mlp1" queryTableFieldId="16"/>
    <tableColumn id="17" xr3:uid="{78BBAAB3-F6B4-4EC1-9173-C93A81A78531}" uniqueName="17" name="mlp_params" queryTableFieldId="17"/>
    <tableColumn id="18" xr3:uid="{46F050C4-6D60-4ACB-BACE-C222B87F271C}" uniqueName="18" name="width_layers" queryTableFieldId="18"/>
    <tableColumn id="19" xr3:uid="{83CF6068-9A9A-41EA-B81B-726920D06A6D}" uniqueName="19" name="mlp2_test_acc" queryTableFieldId="19"/>
    <tableColumn id="20" xr3:uid="{2447453E-DDDD-4481-875C-0855CB02FB22}" uniqueName="20" name="mlp2_val_acc" queryTableFieldId="20"/>
    <tableColumn id="21" xr3:uid="{57A71FDE-61BD-4420-A0C6-6A547FE43968}" uniqueName="21" name="mlp2_train_acc" queryTableFieldId="21"/>
    <tableColumn id="22" xr3:uid="{BC077467-D8A4-487A-B22E-8C171A4A15C7}" uniqueName="22" name="mlp2_steps" queryTableFieldId="22"/>
    <tableColumn id="23" xr3:uid="{184C916F-C07B-4BAF-8D49-F865C10D6CF5}" uniqueName="23" name="mlp 2 time difference" queryTableFieldId="23"/>
    <tableColumn id="24" xr3:uid="{FFA43CC6-FCB6-463A-8A99-3A31E5F773BF}" uniqueName="24" name="mlp2_params" queryTableFieldId="24"/>
    <tableColumn id="25" xr3:uid="{F18B1B60-1DBF-4268-8A82-DC4E794A6BD8}" uniqueName="25" name="width_layers2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D3AF1-8F5D-4510-8925-991104963141}">
  <dimension ref="A1:AF20"/>
  <sheetViews>
    <sheetView tabSelected="1" workbookViewId="0">
      <selection activeCell="L2" sqref="L2:N20"/>
    </sheetView>
  </sheetViews>
  <sheetFormatPr defaultRowHeight="15" x14ac:dyDescent="0.25"/>
  <cols>
    <col min="1" max="1" width="16" bestFit="1" customWidth="1"/>
    <col min="2" max="2" width="12.140625" bestFit="1" customWidth="1"/>
    <col min="3" max="3" width="15" bestFit="1" customWidth="1"/>
    <col min="4" max="4" width="12" bestFit="1" customWidth="1"/>
    <col min="5" max="5" width="13.7109375" bestFit="1" customWidth="1"/>
    <col min="6" max="6" width="13.85546875" bestFit="1" customWidth="1"/>
    <col min="7" max="7" width="22" bestFit="1" customWidth="1"/>
    <col min="8" max="8" width="12.28515625" bestFit="1" customWidth="1"/>
    <col min="9" max="9" width="15.42578125" bestFit="1" customWidth="1"/>
    <col min="10" max="10" width="13.7109375" bestFit="1" customWidth="1"/>
    <col min="11" max="11" width="14.7109375" bestFit="1" customWidth="1"/>
    <col min="12" max="12" width="15" bestFit="1" customWidth="1"/>
    <col min="13" max="13" width="14" bestFit="1" customWidth="1"/>
    <col min="14" max="14" width="15.7109375" bestFit="1" customWidth="1"/>
    <col min="15" max="15" width="12.5703125" bestFit="1" customWidth="1"/>
    <col min="16" max="16" width="22.85546875" bestFit="1" customWidth="1"/>
    <col min="17" max="17" width="14.140625" bestFit="1" customWidth="1"/>
    <col min="18" max="18" width="14.5703125" bestFit="1" customWidth="1"/>
    <col min="19" max="19" width="16.140625" bestFit="1" customWidth="1"/>
    <col min="20" max="20" width="15" bestFit="1" customWidth="1"/>
    <col min="21" max="21" width="16.7109375" bestFit="1" customWidth="1"/>
    <col min="22" max="22" width="13.5703125" bestFit="1" customWidth="1"/>
    <col min="23" max="23" width="22.85546875" bestFit="1" customWidth="1"/>
    <col min="24" max="24" width="15.140625" bestFit="1" customWidth="1"/>
    <col min="25" max="25" width="15.710937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AB1" t="s">
        <v>5</v>
      </c>
      <c r="AC1" t="s">
        <v>7</v>
      </c>
      <c r="AD1" t="s">
        <v>8</v>
      </c>
      <c r="AE1" t="s">
        <v>9</v>
      </c>
      <c r="AF1" t="s">
        <v>10</v>
      </c>
    </row>
    <row r="2" spans="1:32" x14ac:dyDescent="0.25">
      <c r="A2" t="s">
        <v>25</v>
      </c>
      <c r="B2">
        <v>3</v>
      </c>
      <c r="C2">
        <v>2</v>
      </c>
      <c r="D2">
        <v>0</v>
      </c>
      <c r="E2" t="s">
        <v>28</v>
      </c>
      <c r="F2">
        <v>125855</v>
      </c>
      <c r="G2">
        <v>322056040.66666669</v>
      </c>
      <c r="H2">
        <v>8</v>
      </c>
      <c r="I2">
        <v>0.98663194444444446</v>
      </c>
      <c r="J2">
        <v>0.97416666666666663</v>
      </c>
      <c r="K2">
        <v>0.97709999999999997</v>
      </c>
      <c r="L2">
        <v>0.98460000000000003</v>
      </c>
      <c r="M2">
        <v>0.95058333333333334</v>
      </c>
      <c r="N2">
        <v>0.99322222222222223</v>
      </c>
      <c r="O2">
        <v>8</v>
      </c>
      <c r="P2">
        <v>686404174.33333337</v>
      </c>
      <c r="Q2">
        <v>125850</v>
      </c>
      <c r="R2">
        <v>12584</v>
      </c>
      <c r="S2">
        <v>0.98333333333333328</v>
      </c>
      <c r="T2">
        <v>0.96205555555555555</v>
      </c>
      <c r="U2">
        <v>0.99231944444444442</v>
      </c>
      <c r="V2">
        <v>8</v>
      </c>
      <c r="W2">
        <v>687166273.33333337</v>
      </c>
      <c r="X2">
        <v>125860</v>
      </c>
      <c r="Y2">
        <v>12585</v>
      </c>
      <c r="AB2">
        <f>_24_text_logs_full_output_merged[[#This Row],[kan_params]]</f>
        <v>125855</v>
      </c>
      <c r="AC2">
        <f>_24_text_logs_full_output_merged[[#This Row],[kan_steps]]</f>
        <v>8</v>
      </c>
      <c r="AD2">
        <f>_24_text_logs_full_output_merged[[#This Row],[kan_train_acc]]</f>
        <v>0.98663194444444446</v>
      </c>
      <c r="AE2">
        <f>J2</f>
        <v>0.97416666666666663</v>
      </c>
      <c r="AF2">
        <f>_24_text_logs_full_output_merged[[#This Row],[kan_test_acc]]</f>
        <v>0.97709999999999997</v>
      </c>
    </row>
    <row r="3" spans="1:32" x14ac:dyDescent="0.25">
      <c r="A3" t="s">
        <v>25</v>
      </c>
      <c r="B3">
        <v>3</v>
      </c>
      <c r="C3">
        <v>2</v>
      </c>
      <c r="D3">
        <v>0</v>
      </c>
      <c r="E3" t="s">
        <v>29</v>
      </c>
      <c r="F3">
        <v>251700</v>
      </c>
      <c r="G3">
        <v>245626707</v>
      </c>
      <c r="H3">
        <v>6</v>
      </c>
      <c r="I3">
        <v>0.9936666666666667</v>
      </c>
      <c r="J3">
        <v>0.98024999999999995</v>
      </c>
      <c r="K3">
        <v>0.98619999999999997</v>
      </c>
      <c r="L3">
        <v>0.98130000000000006</v>
      </c>
      <c r="M3">
        <v>0.96483333333333332</v>
      </c>
      <c r="N3">
        <v>0.9887083333333333</v>
      </c>
      <c r="O3">
        <v>6</v>
      </c>
      <c r="P3">
        <v>964425172.5</v>
      </c>
      <c r="Q3">
        <v>251690</v>
      </c>
      <c r="R3">
        <v>25168</v>
      </c>
      <c r="S3">
        <v>0.98419999999999996</v>
      </c>
      <c r="T3">
        <v>0.97729166666666667</v>
      </c>
      <c r="U3">
        <v>0.99127083333333332</v>
      </c>
      <c r="V3">
        <v>6</v>
      </c>
      <c r="W3">
        <v>965201190.5</v>
      </c>
      <c r="X3">
        <v>251700</v>
      </c>
      <c r="Y3">
        <v>25169</v>
      </c>
      <c r="AB3">
        <f>_24_text_logs_full_output_merged[[#This Row],[kan_params]]</f>
        <v>251700</v>
      </c>
      <c r="AC3">
        <f>_24_text_logs_full_output_merged[[#This Row],[kan_steps]]</f>
        <v>6</v>
      </c>
      <c r="AD3">
        <f>_24_text_logs_full_output_merged[[#This Row],[kan_train_acc]]</f>
        <v>0.9936666666666667</v>
      </c>
      <c r="AE3">
        <f t="shared" ref="AE3:AE20" si="0">J3</f>
        <v>0.98024999999999995</v>
      </c>
      <c r="AF3">
        <f>_24_text_logs_full_output_merged[[#This Row],[kan_test_acc]]</f>
        <v>0.98619999999999997</v>
      </c>
    </row>
    <row r="4" spans="1:32" x14ac:dyDescent="0.25">
      <c r="A4" t="s">
        <v>25</v>
      </c>
      <c r="B4">
        <v>3</v>
      </c>
      <c r="C4">
        <v>2</v>
      </c>
      <c r="D4">
        <v>0</v>
      </c>
      <c r="E4" t="s">
        <v>30</v>
      </c>
      <c r="F4">
        <v>302038</v>
      </c>
      <c r="G4">
        <v>244972820.5</v>
      </c>
      <c r="H4">
        <v>6</v>
      </c>
      <c r="I4">
        <v>0.99182291666666667</v>
      </c>
      <c r="J4">
        <v>0.98429166666666668</v>
      </c>
      <c r="K4">
        <v>0.98585</v>
      </c>
      <c r="L4">
        <v>0.97435000000000005</v>
      </c>
      <c r="M4">
        <v>0.97425000000000006</v>
      </c>
      <c r="N4">
        <v>0.98271874999999997</v>
      </c>
      <c r="O4">
        <v>6</v>
      </c>
      <c r="P4">
        <v>1146294673</v>
      </c>
      <c r="Q4">
        <v>302030</v>
      </c>
      <c r="R4">
        <v>30202</v>
      </c>
      <c r="S4">
        <v>0.98114999999999997</v>
      </c>
      <c r="T4">
        <v>0.96104166666666657</v>
      </c>
      <c r="U4">
        <v>0.987375</v>
      </c>
      <c r="V4">
        <v>6</v>
      </c>
      <c r="W4">
        <v>1146763307</v>
      </c>
      <c r="X4">
        <v>302040</v>
      </c>
      <c r="Y4">
        <v>30203</v>
      </c>
      <c r="AB4">
        <f>_24_text_logs_full_output_merged[[#This Row],[kan_params]]</f>
        <v>302038</v>
      </c>
      <c r="AC4">
        <f>_24_text_logs_full_output_merged[[#This Row],[kan_steps]]</f>
        <v>6</v>
      </c>
      <c r="AD4">
        <f>_24_text_logs_full_output_merged[[#This Row],[kan_train_acc]]</f>
        <v>0.99182291666666667</v>
      </c>
      <c r="AE4">
        <f t="shared" si="0"/>
        <v>0.98429166666666668</v>
      </c>
      <c r="AF4">
        <f>_24_text_logs_full_output_merged[[#This Row],[kan_test_acc]]</f>
        <v>0.98585</v>
      </c>
    </row>
    <row r="5" spans="1:32" x14ac:dyDescent="0.25">
      <c r="A5" t="s">
        <v>25</v>
      </c>
      <c r="B5">
        <v>3</v>
      </c>
      <c r="C5">
        <v>2</v>
      </c>
      <c r="D5">
        <v>0</v>
      </c>
      <c r="E5" t="s">
        <v>26</v>
      </c>
      <c r="F5">
        <v>377545</v>
      </c>
      <c r="G5">
        <v>562350711.60000002</v>
      </c>
      <c r="H5">
        <v>13.6</v>
      </c>
      <c r="I5">
        <v>0.9969041666666667</v>
      </c>
      <c r="J5">
        <v>0.97466666666666668</v>
      </c>
      <c r="K5">
        <v>0.98785999999999996</v>
      </c>
      <c r="L5">
        <v>0.97631999999999997</v>
      </c>
      <c r="M5">
        <v>0.95783333333333331</v>
      </c>
      <c r="N5">
        <v>0.9887541666666666</v>
      </c>
      <c r="O5">
        <v>13.6</v>
      </c>
      <c r="P5">
        <v>2389765536.5999999</v>
      </c>
      <c r="Q5">
        <v>377540</v>
      </c>
      <c r="R5">
        <v>37753</v>
      </c>
      <c r="S5">
        <v>0.97906000000000004</v>
      </c>
      <c r="T5">
        <v>0.95333333333333337</v>
      </c>
      <c r="U5">
        <v>0.99055833333333332</v>
      </c>
      <c r="V5">
        <v>13.6</v>
      </c>
      <c r="W5">
        <v>2383065739.1999998</v>
      </c>
      <c r="X5">
        <v>377550</v>
      </c>
      <c r="Y5">
        <v>37754</v>
      </c>
      <c r="AB5">
        <f>_24_text_logs_full_output_merged[[#This Row],[kan_params]]</f>
        <v>377545</v>
      </c>
      <c r="AC5">
        <f>_24_text_logs_full_output_merged[[#This Row],[kan_steps]]</f>
        <v>13.6</v>
      </c>
      <c r="AD5">
        <f>_24_text_logs_full_output_merged[[#This Row],[kan_train_acc]]</f>
        <v>0.9969041666666667</v>
      </c>
      <c r="AE5">
        <f t="shared" si="0"/>
        <v>0.97466666666666668</v>
      </c>
      <c r="AF5">
        <f>_24_text_logs_full_output_merged[[#This Row],[kan_test_acc]]</f>
        <v>0.98785999999999996</v>
      </c>
    </row>
    <row r="6" spans="1:32" x14ac:dyDescent="0.25">
      <c r="A6" t="s">
        <v>25</v>
      </c>
      <c r="B6">
        <v>3</v>
      </c>
      <c r="C6">
        <v>3</v>
      </c>
      <c r="D6">
        <v>0</v>
      </c>
      <c r="E6" t="s">
        <v>26</v>
      </c>
      <c r="F6">
        <v>424735</v>
      </c>
      <c r="G6">
        <v>201714185.80000001</v>
      </c>
      <c r="H6">
        <v>14</v>
      </c>
      <c r="I6">
        <v>0.99860416666666674</v>
      </c>
      <c r="J6">
        <v>0.98385</v>
      </c>
      <c r="K6">
        <v>0.98937999999999993</v>
      </c>
      <c r="L6">
        <v>0.97202</v>
      </c>
      <c r="M6">
        <v>0.95619999999999994</v>
      </c>
      <c r="N6">
        <v>0.98420833333333335</v>
      </c>
      <c r="O6">
        <v>14</v>
      </c>
      <c r="P6">
        <v>509101074</v>
      </c>
      <c r="Q6">
        <v>424730</v>
      </c>
      <c r="R6">
        <v>42472</v>
      </c>
      <c r="S6">
        <v>0.97882000000000002</v>
      </c>
      <c r="T6">
        <v>0.96326666666666672</v>
      </c>
      <c r="U6">
        <v>0.98897083333333335</v>
      </c>
      <c r="V6">
        <v>14</v>
      </c>
      <c r="W6">
        <v>510345247.80000001</v>
      </c>
      <c r="X6">
        <v>424740</v>
      </c>
      <c r="Y6">
        <v>42473</v>
      </c>
      <c r="AB6">
        <f>_24_text_logs_full_output_merged[[#This Row],[kan_params]]</f>
        <v>424735</v>
      </c>
      <c r="AC6">
        <f>_24_text_logs_full_output_merged[[#This Row],[kan_steps]]</f>
        <v>14</v>
      </c>
      <c r="AD6">
        <f>_24_text_logs_full_output_merged[[#This Row],[kan_train_acc]]</f>
        <v>0.99860416666666674</v>
      </c>
      <c r="AE6">
        <f t="shared" si="0"/>
        <v>0.98385</v>
      </c>
      <c r="AF6">
        <f>_24_text_logs_full_output_merged[[#This Row],[kan_test_acc]]</f>
        <v>0.98937999999999993</v>
      </c>
    </row>
    <row r="7" spans="1:32" x14ac:dyDescent="0.25">
      <c r="A7" t="s">
        <v>25</v>
      </c>
      <c r="B7">
        <v>3</v>
      </c>
      <c r="C7">
        <v>4</v>
      </c>
      <c r="D7">
        <v>0</v>
      </c>
      <c r="E7" t="s">
        <v>26</v>
      </c>
      <c r="F7">
        <v>471925</v>
      </c>
      <c r="G7">
        <v>214401251.19999999</v>
      </c>
      <c r="H7">
        <v>14</v>
      </c>
      <c r="I7">
        <v>0.99781666666666669</v>
      </c>
      <c r="J7">
        <v>0.98273333333333335</v>
      </c>
      <c r="K7">
        <v>0.98929999999999996</v>
      </c>
      <c r="L7">
        <v>0.97872000000000003</v>
      </c>
      <c r="M7">
        <v>0.95016666666666671</v>
      </c>
      <c r="N7">
        <v>0.98984166666666662</v>
      </c>
      <c r="O7">
        <v>14</v>
      </c>
      <c r="P7">
        <v>560283149</v>
      </c>
      <c r="Q7">
        <v>471920</v>
      </c>
      <c r="R7">
        <v>47191</v>
      </c>
      <c r="S7">
        <v>0.98072000000000004</v>
      </c>
      <c r="T7">
        <v>0.95858333333333334</v>
      </c>
      <c r="U7">
        <v>0.99189166666666662</v>
      </c>
      <c r="V7">
        <v>14</v>
      </c>
      <c r="W7">
        <v>561807300.60000002</v>
      </c>
      <c r="X7">
        <v>471930</v>
      </c>
      <c r="Y7">
        <v>47192</v>
      </c>
      <c r="AB7">
        <f>_24_text_logs_full_output_merged[[#This Row],[kan_params]]</f>
        <v>471925</v>
      </c>
      <c r="AC7">
        <f>_24_text_logs_full_output_merged[[#This Row],[kan_steps]]</f>
        <v>14</v>
      </c>
      <c r="AD7">
        <f>_24_text_logs_full_output_merged[[#This Row],[kan_train_acc]]</f>
        <v>0.99781666666666669</v>
      </c>
      <c r="AE7">
        <f t="shared" si="0"/>
        <v>0.98273333333333335</v>
      </c>
      <c r="AF7">
        <f>_24_text_logs_full_output_merged[[#This Row],[kan_test_acc]]</f>
        <v>0.98929999999999996</v>
      </c>
    </row>
    <row r="8" spans="1:32" x14ac:dyDescent="0.25">
      <c r="A8" t="s">
        <v>25</v>
      </c>
      <c r="B8">
        <v>5</v>
      </c>
      <c r="C8">
        <v>2</v>
      </c>
      <c r="D8">
        <v>0</v>
      </c>
      <c r="E8" t="s">
        <v>26</v>
      </c>
      <c r="F8">
        <v>471925</v>
      </c>
      <c r="G8">
        <v>196346579.80000001</v>
      </c>
      <c r="H8">
        <v>14</v>
      </c>
      <c r="I8">
        <v>0.99786249999999999</v>
      </c>
      <c r="J8">
        <v>0.98070000000000002</v>
      </c>
      <c r="K8">
        <v>0.98782000000000003</v>
      </c>
      <c r="L8">
        <v>0.97684000000000004</v>
      </c>
      <c r="M8">
        <v>0.94606666666666661</v>
      </c>
      <c r="N8">
        <v>0.98895416666666669</v>
      </c>
      <c r="O8">
        <v>14</v>
      </c>
      <c r="P8">
        <v>558043168.60000002</v>
      </c>
      <c r="Q8">
        <v>471920</v>
      </c>
      <c r="R8">
        <v>47191</v>
      </c>
      <c r="S8">
        <v>0.98163999999999996</v>
      </c>
      <c r="T8">
        <v>0.95716666666666661</v>
      </c>
      <c r="U8">
        <v>0.99169583333333333</v>
      </c>
      <c r="V8">
        <v>14</v>
      </c>
      <c r="W8">
        <v>558350293.20000005</v>
      </c>
      <c r="X8">
        <v>471930</v>
      </c>
      <c r="Y8">
        <v>47192</v>
      </c>
      <c r="AB8">
        <f>_24_text_logs_full_output_merged[[#This Row],[kan_params]]</f>
        <v>471925</v>
      </c>
      <c r="AC8">
        <f>_24_text_logs_full_output_merged[[#This Row],[kan_steps]]</f>
        <v>14</v>
      </c>
      <c r="AD8">
        <f>_24_text_logs_full_output_merged[[#This Row],[kan_train_acc]]</f>
        <v>0.99786249999999999</v>
      </c>
      <c r="AE8">
        <f t="shared" si="0"/>
        <v>0.98070000000000002</v>
      </c>
      <c r="AF8">
        <f>_24_text_logs_full_output_merged[[#This Row],[kan_test_acc]]</f>
        <v>0.98782000000000003</v>
      </c>
    </row>
    <row r="9" spans="1:32" x14ac:dyDescent="0.25">
      <c r="A9" t="s">
        <v>25</v>
      </c>
      <c r="B9">
        <v>3</v>
      </c>
      <c r="C9">
        <v>5</v>
      </c>
      <c r="D9">
        <v>0</v>
      </c>
      <c r="E9" t="s">
        <v>26</v>
      </c>
      <c r="F9">
        <v>519115</v>
      </c>
      <c r="G9">
        <v>223172479.80000001</v>
      </c>
      <c r="H9">
        <v>14</v>
      </c>
      <c r="I9">
        <v>0.99739166666666668</v>
      </c>
      <c r="J9">
        <v>0.98226666666666673</v>
      </c>
      <c r="K9">
        <v>0.98848000000000003</v>
      </c>
      <c r="L9">
        <v>0.97758</v>
      </c>
      <c r="M9">
        <v>0.95308333333333339</v>
      </c>
      <c r="N9">
        <v>0.98795416666666669</v>
      </c>
      <c r="O9">
        <v>14</v>
      </c>
      <c r="P9">
        <v>614595762</v>
      </c>
      <c r="Q9">
        <v>519110</v>
      </c>
      <c r="R9">
        <v>51910</v>
      </c>
      <c r="S9">
        <v>0.97938000000000003</v>
      </c>
      <c r="T9">
        <v>0.95733333333333337</v>
      </c>
      <c r="U9">
        <v>0.99122083333333333</v>
      </c>
      <c r="V9">
        <v>14</v>
      </c>
      <c r="W9">
        <v>615513355.20000005</v>
      </c>
      <c r="X9">
        <v>519120</v>
      </c>
      <c r="Y9">
        <v>51911</v>
      </c>
      <c r="AB9">
        <f>_24_text_logs_full_output_merged[[#This Row],[kan_params]]</f>
        <v>519115</v>
      </c>
      <c r="AC9">
        <f>_24_text_logs_full_output_merged[[#This Row],[kan_steps]]</f>
        <v>14</v>
      </c>
      <c r="AD9">
        <f>_24_text_logs_full_output_merged[[#This Row],[kan_train_acc]]</f>
        <v>0.99739166666666668</v>
      </c>
      <c r="AE9">
        <f t="shared" si="0"/>
        <v>0.98226666666666673</v>
      </c>
      <c r="AF9">
        <f>_24_text_logs_full_output_merged[[#This Row],[kan_test_acc]]</f>
        <v>0.98848000000000003</v>
      </c>
    </row>
    <row r="10" spans="1:32" x14ac:dyDescent="0.25">
      <c r="A10" t="s">
        <v>25</v>
      </c>
      <c r="B10">
        <v>5</v>
      </c>
      <c r="C10">
        <v>3</v>
      </c>
      <c r="D10">
        <v>0</v>
      </c>
      <c r="E10" t="s">
        <v>26</v>
      </c>
      <c r="F10">
        <v>519115</v>
      </c>
      <c r="G10">
        <v>206483870.59999999</v>
      </c>
      <c r="H10">
        <v>14</v>
      </c>
      <c r="I10">
        <v>0.9967583333333333</v>
      </c>
      <c r="J10">
        <v>0.98091666666666666</v>
      </c>
      <c r="K10">
        <v>0.98692000000000002</v>
      </c>
      <c r="L10">
        <v>0.97994000000000003</v>
      </c>
      <c r="M10">
        <v>0.95734999999999992</v>
      </c>
      <c r="N10">
        <v>0.9919458333333333</v>
      </c>
      <c r="O10">
        <v>14</v>
      </c>
      <c r="P10">
        <v>610327427.79999995</v>
      </c>
      <c r="Q10">
        <v>519110</v>
      </c>
      <c r="R10">
        <v>51910</v>
      </c>
      <c r="S10">
        <v>0.97574000000000005</v>
      </c>
      <c r="T10">
        <v>0.95269999999999999</v>
      </c>
      <c r="U10">
        <v>0.98653333333333337</v>
      </c>
      <c r="V10">
        <v>14</v>
      </c>
      <c r="W10">
        <v>612214080.79999995</v>
      </c>
      <c r="X10">
        <v>519120</v>
      </c>
      <c r="Y10">
        <v>51911</v>
      </c>
      <c r="AB10">
        <f>_24_text_logs_full_output_merged[[#This Row],[kan_params]]</f>
        <v>519115</v>
      </c>
      <c r="AC10">
        <f>_24_text_logs_full_output_merged[[#This Row],[kan_steps]]</f>
        <v>14</v>
      </c>
      <c r="AD10">
        <f>_24_text_logs_full_output_merged[[#This Row],[kan_train_acc]]</f>
        <v>0.9967583333333333</v>
      </c>
      <c r="AE10">
        <f t="shared" si="0"/>
        <v>0.98091666666666666</v>
      </c>
      <c r="AF10">
        <f>_24_text_logs_full_output_merged[[#This Row],[kan_test_acc]]</f>
        <v>0.98692000000000002</v>
      </c>
    </row>
    <row r="11" spans="1:32" x14ac:dyDescent="0.25">
      <c r="A11" t="s">
        <v>25</v>
      </c>
      <c r="B11">
        <v>5</v>
      </c>
      <c r="C11">
        <v>4</v>
      </c>
      <c r="D11">
        <v>0</v>
      </c>
      <c r="E11" t="s">
        <v>26</v>
      </c>
      <c r="F11">
        <v>566305</v>
      </c>
      <c r="G11">
        <v>214846923</v>
      </c>
      <c r="H11">
        <v>14</v>
      </c>
      <c r="I11">
        <v>0.99774166666666664</v>
      </c>
      <c r="J11">
        <v>0.98146666666666671</v>
      </c>
      <c r="K11">
        <v>0.98794000000000004</v>
      </c>
      <c r="L11">
        <v>0.97677999999999998</v>
      </c>
      <c r="M11">
        <v>0.95189999999999997</v>
      </c>
      <c r="N11">
        <v>0.98848749999999996</v>
      </c>
      <c r="O11">
        <v>14</v>
      </c>
      <c r="P11">
        <v>661667831.39999998</v>
      </c>
      <c r="Q11">
        <v>566300</v>
      </c>
      <c r="R11">
        <v>56629</v>
      </c>
      <c r="S11">
        <v>0.98070000000000002</v>
      </c>
      <c r="T11">
        <v>0.94791666666666674</v>
      </c>
      <c r="U11">
        <v>0.9907083333333333</v>
      </c>
      <c r="V11">
        <v>14</v>
      </c>
      <c r="W11">
        <v>660517081.20000005</v>
      </c>
      <c r="X11">
        <v>566310</v>
      </c>
      <c r="Y11">
        <v>56630</v>
      </c>
      <c r="AB11">
        <f>_24_text_logs_full_output_merged[[#This Row],[kan_params]]</f>
        <v>566305</v>
      </c>
      <c r="AC11">
        <f>_24_text_logs_full_output_merged[[#This Row],[kan_steps]]</f>
        <v>14</v>
      </c>
      <c r="AD11">
        <f>_24_text_logs_full_output_merged[[#This Row],[kan_train_acc]]</f>
        <v>0.99774166666666664</v>
      </c>
      <c r="AE11">
        <f t="shared" si="0"/>
        <v>0.98146666666666671</v>
      </c>
      <c r="AF11">
        <f>_24_text_logs_full_output_merged[[#This Row],[kan_test_acc]]</f>
        <v>0.98794000000000004</v>
      </c>
    </row>
    <row r="12" spans="1:32" x14ac:dyDescent="0.25">
      <c r="A12" t="s">
        <v>25</v>
      </c>
      <c r="B12">
        <v>3</v>
      </c>
      <c r="C12">
        <v>2</v>
      </c>
      <c r="D12">
        <v>0</v>
      </c>
      <c r="E12" t="s">
        <v>27</v>
      </c>
      <c r="F12">
        <v>604066</v>
      </c>
      <c r="G12">
        <v>753127582.42857146</v>
      </c>
      <c r="H12">
        <v>11.714285714285714</v>
      </c>
      <c r="I12">
        <v>0.99654464285714284</v>
      </c>
      <c r="J12">
        <v>0.97357142857142853</v>
      </c>
      <c r="K12">
        <v>0.98868571428571428</v>
      </c>
      <c r="L12">
        <v>0.97825714285714283</v>
      </c>
      <c r="M12">
        <v>0.94721428571428568</v>
      </c>
      <c r="N12">
        <v>0.99043749999999997</v>
      </c>
      <c r="O12">
        <v>11.714285714285714</v>
      </c>
      <c r="P12">
        <v>5719757547.1428576</v>
      </c>
      <c r="Q12">
        <v>604060</v>
      </c>
      <c r="R12">
        <v>60405</v>
      </c>
      <c r="S12">
        <v>0.9781428571428572</v>
      </c>
      <c r="T12">
        <v>0.95083333333333331</v>
      </c>
      <c r="U12">
        <v>0.99033035714285711</v>
      </c>
      <c r="V12">
        <v>11.714285714285714</v>
      </c>
      <c r="W12">
        <v>5605236883.5714283</v>
      </c>
      <c r="X12">
        <v>604070</v>
      </c>
      <c r="Y12">
        <v>60406</v>
      </c>
      <c r="AB12">
        <f>_24_text_logs_full_output_merged[[#This Row],[kan_params]]</f>
        <v>604066</v>
      </c>
      <c r="AC12">
        <f>_24_text_logs_full_output_merged[[#This Row],[kan_steps]]</f>
        <v>11.714285714285714</v>
      </c>
      <c r="AD12">
        <f>_24_text_logs_full_output_merged[[#This Row],[kan_train_acc]]</f>
        <v>0.99654464285714284</v>
      </c>
      <c r="AE12">
        <f t="shared" si="0"/>
        <v>0.97357142857142853</v>
      </c>
      <c r="AF12">
        <f>_24_text_logs_full_output_merged[[#This Row],[kan_test_acc]]</f>
        <v>0.98868571428571428</v>
      </c>
    </row>
    <row r="13" spans="1:32" x14ac:dyDescent="0.25">
      <c r="A13" t="s">
        <v>25</v>
      </c>
      <c r="B13">
        <v>5</v>
      </c>
      <c r="C13">
        <v>5</v>
      </c>
      <c r="D13">
        <v>0</v>
      </c>
      <c r="E13" t="s">
        <v>26</v>
      </c>
      <c r="F13">
        <v>613495</v>
      </c>
      <c r="G13">
        <v>218957023.59999999</v>
      </c>
      <c r="H13">
        <v>14</v>
      </c>
      <c r="I13">
        <v>0.99748333333333339</v>
      </c>
      <c r="J13">
        <v>0.98045000000000004</v>
      </c>
      <c r="K13">
        <v>0.98816000000000004</v>
      </c>
      <c r="L13">
        <v>0.97918000000000005</v>
      </c>
      <c r="M13">
        <v>0.95306666666666662</v>
      </c>
      <c r="N13">
        <v>0.98935833333333334</v>
      </c>
      <c r="O13">
        <v>14</v>
      </c>
      <c r="P13">
        <v>695013164.60000002</v>
      </c>
      <c r="Q13">
        <v>613490</v>
      </c>
      <c r="R13">
        <v>61348</v>
      </c>
      <c r="S13">
        <v>0.98038000000000003</v>
      </c>
      <c r="T13">
        <v>0.94968333333333332</v>
      </c>
      <c r="U13">
        <v>0.99162083333333328</v>
      </c>
      <c r="V13">
        <v>14</v>
      </c>
      <c r="W13">
        <v>694475823.60000002</v>
      </c>
      <c r="X13">
        <v>613500</v>
      </c>
      <c r="Y13">
        <v>61349</v>
      </c>
      <c r="AB13">
        <f>_24_text_logs_full_output_merged[[#This Row],[kan_params]]</f>
        <v>613495</v>
      </c>
      <c r="AC13">
        <f>_24_text_logs_full_output_merged[[#This Row],[kan_steps]]</f>
        <v>14</v>
      </c>
      <c r="AD13">
        <f>_24_text_logs_full_output_merged[[#This Row],[kan_train_acc]]</f>
        <v>0.99748333333333339</v>
      </c>
      <c r="AE13">
        <f t="shared" si="0"/>
        <v>0.98045000000000004</v>
      </c>
      <c r="AF13">
        <f>_24_text_logs_full_output_merged[[#This Row],[kan_test_acc]]</f>
        <v>0.98816000000000004</v>
      </c>
    </row>
    <row r="14" spans="1:32" x14ac:dyDescent="0.25">
      <c r="A14" t="s">
        <v>25</v>
      </c>
      <c r="B14">
        <v>9</v>
      </c>
      <c r="C14">
        <v>2</v>
      </c>
      <c r="D14">
        <v>0</v>
      </c>
      <c r="E14" t="s">
        <v>26</v>
      </c>
      <c r="F14">
        <v>660685</v>
      </c>
      <c r="G14">
        <v>184354072.5</v>
      </c>
      <c r="H14">
        <v>14</v>
      </c>
      <c r="I14">
        <v>0.99719791666666668</v>
      </c>
      <c r="J14">
        <v>0.982375</v>
      </c>
      <c r="K14">
        <v>0.98849999999999993</v>
      </c>
      <c r="L14">
        <v>0.97785</v>
      </c>
      <c r="M14">
        <v>0.96545833333333331</v>
      </c>
      <c r="N14">
        <v>0.98894791666666659</v>
      </c>
      <c r="O14">
        <v>14</v>
      </c>
      <c r="P14">
        <v>759981432.5</v>
      </c>
      <c r="Q14">
        <v>660680</v>
      </c>
      <c r="R14">
        <v>66067</v>
      </c>
      <c r="S14">
        <v>0.97635000000000005</v>
      </c>
      <c r="T14">
        <v>0.95520833333333333</v>
      </c>
      <c r="U14">
        <v>0.98744791666666665</v>
      </c>
      <c r="V14">
        <v>14</v>
      </c>
      <c r="W14">
        <v>756701674</v>
      </c>
      <c r="X14">
        <v>660690</v>
      </c>
      <c r="Y14">
        <v>66068</v>
      </c>
      <c r="AB14">
        <f>_24_text_logs_full_output_merged[[#This Row],[kan_params]]</f>
        <v>660685</v>
      </c>
      <c r="AC14">
        <f>_24_text_logs_full_output_merged[[#This Row],[kan_steps]]</f>
        <v>14</v>
      </c>
      <c r="AD14">
        <f>_24_text_logs_full_output_merged[[#This Row],[kan_train_acc]]</f>
        <v>0.99719791666666668</v>
      </c>
      <c r="AE14">
        <f t="shared" si="0"/>
        <v>0.982375</v>
      </c>
      <c r="AF14">
        <f>_24_text_logs_full_output_merged[[#This Row],[kan_test_acc]]</f>
        <v>0.98849999999999993</v>
      </c>
    </row>
    <row r="15" spans="1:32" x14ac:dyDescent="0.25">
      <c r="A15" t="s">
        <v>25</v>
      </c>
      <c r="B15">
        <v>3</v>
      </c>
      <c r="C15">
        <v>3</v>
      </c>
      <c r="D15">
        <v>0</v>
      </c>
      <c r="E15" t="s">
        <v>27</v>
      </c>
      <c r="F15">
        <v>679570</v>
      </c>
      <c r="G15">
        <v>200959887.40000001</v>
      </c>
      <c r="H15">
        <v>14</v>
      </c>
      <c r="I15">
        <v>0.99784583333333332</v>
      </c>
      <c r="J15">
        <v>0.98421666666666663</v>
      </c>
      <c r="K15">
        <v>0.98819999999999997</v>
      </c>
      <c r="L15">
        <v>0.97075999999999996</v>
      </c>
      <c r="M15">
        <v>0.95516666666666661</v>
      </c>
      <c r="N15">
        <v>0.98277916666666665</v>
      </c>
      <c r="O15">
        <v>14</v>
      </c>
      <c r="P15">
        <v>801476496</v>
      </c>
      <c r="Q15">
        <v>679560</v>
      </c>
      <c r="R15">
        <v>67955</v>
      </c>
      <c r="S15">
        <v>0.98105999999999993</v>
      </c>
      <c r="T15">
        <v>0.95453333333333334</v>
      </c>
      <c r="U15">
        <v>0.9919958333333333</v>
      </c>
      <c r="V15">
        <v>14</v>
      </c>
      <c r="W15">
        <v>800238023.60000002</v>
      </c>
      <c r="X15">
        <v>679570</v>
      </c>
      <c r="Y15">
        <v>67956</v>
      </c>
      <c r="AB15">
        <f>_24_text_logs_full_output_merged[[#This Row],[kan_params]]</f>
        <v>679570</v>
      </c>
      <c r="AC15">
        <f>_24_text_logs_full_output_merged[[#This Row],[kan_steps]]</f>
        <v>14</v>
      </c>
      <c r="AD15">
        <f>_24_text_logs_full_output_merged[[#This Row],[kan_train_acc]]</f>
        <v>0.99784583333333332</v>
      </c>
      <c r="AE15">
        <f t="shared" si="0"/>
        <v>0.98421666666666663</v>
      </c>
      <c r="AF15">
        <f>_24_text_logs_full_output_merged[[#This Row],[kan_test_acc]]</f>
        <v>0.98819999999999997</v>
      </c>
    </row>
    <row r="16" spans="1:32" x14ac:dyDescent="0.25">
      <c r="A16" t="s">
        <v>25</v>
      </c>
      <c r="B16">
        <v>3</v>
      </c>
      <c r="C16">
        <v>4</v>
      </c>
      <c r="D16">
        <v>0</v>
      </c>
      <c r="E16" t="s">
        <v>27</v>
      </c>
      <c r="F16">
        <v>755074</v>
      </c>
      <c r="G16">
        <v>214654575.40000001</v>
      </c>
      <c r="H16">
        <v>14</v>
      </c>
      <c r="I16">
        <v>0.99805416666666669</v>
      </c>
      <c r="J16">
        <v>0.98339999999999994</v>
      </c>
      <c r="K16">
        <v>0.98885999999999996</v>
      </c>
      <c r="L16">
        <v>0.97887999999999997</v>
      </c>
      <c r="M16">
        <v>0.95494999999999997</v>
      </c>
      <c r="N16">
        <v>0.98954166666666665</v>
      </c>
      <c r="O16">
        <v>14</v>
      </c>
      <c r="P16">
        <v>882839937.60000002</v>
      </c>
      <c r="Q16">
        <v>755070</v>
      </c>
      <c r="R16">
        <v>75506</v>
      </c>
      <c r="S16">
        <v>0.97709999999999997</v>
      </c>
      <c r="T16">
        <v>0.95699999999999996</v>
      </c>
      <c r="U16">
        <v>0.98845833333333333</v>
      </c>
      <c r="V16">
        <v>14</v>
      </c>
      <c r="W16">
        <v>882691568.79999995</v>
      </c>
      <c r="X16">
        <v>755080</v>
      </c>
      <c r="Y16">
        <v>75507</v>
      </c>
      <c r="AB16">
        <f>_24_text_logs_full_output_merged[[#This Row],[kan_params]]</f>
        <v>755074</v>
      </c>
      <c r="AC16">
        <f>_24_text_logs_full_output_merged[[#This Row],[kan_steps]]</f>
        <v>14</v>
      </c>
      <c r="AD16">
        <f>_24_text_logs_full_output_merged[[#This Row],[kan_train_acc]]</f>
        <v>0.99805416666666669</v>
      </c>
      <c r="AE16">
        <f t="shared" si="0"/>
        <v>0.98339999999999994</v>
      </c>
      <c r="AF16">
        <f>_24_text_logs_full_output_merged[[#This Row],[kan_test_acc]]</f>
        <v>0.98885999999999996</v>
      </c>
    </row>
    <row r="17" spans="1:32" x14ac:dyDescent="0.25">
      <c r="A17" t="s">
        <v>25</v>
      </c>
      <c r="B17">
        <v>5</v>
      </c>
      <c r="C17">
        <v>2</v>
      </c>
      <c r="D17">
        <v>0</v>
      </c>
      <c r="E17" t="s">
        <v>27</v>
      </c>
      <c r="F17">
        <v>755074</v>
      </c>
      <c r="G17">
        <v>186210430.40000001</v>
      </c>
      <c r="H17">
        <v>14</v>
      </c>
      <c r="I17">
        <v>0.99741666666666673</v>
      </c>
      <c r="J17">
        <v>0.98478333333333334</v>
      </c>
      <c r="K17">
        <v>0.98807999999999996</v>
      </c>
      <c r="L17">
        <v>0.97938000000000003</v>
      </c>
      <c r="M17">
        <v>0.95109999999999995</v>
      </c>
      <c r="N17">
        <v>0.9901416666666667</v>
      </c>
      <c r="O17">
        <v>14</v>
      </c>
      <c r="P17">
        <v>883776043.20000005</v>
      </c>
      <c r="Q17">
        <v>755070</v>
      </c>
      <c r="R17">
        <v>75506</v>
      </c>
      <c r="S17">
        <v>0.97916000000000003</v>
      </c>
      <c r="T17">
        <v>0.95474999999999999</v>
      </c>
      <c r="U17">
        <v>0.99115833333333336</v>
      </c>
      <c r="V17">
        <v>14</v>
      </c>
      <c r="W17">
        <v>884480859.60000002</v>
      </c>
      <c r="X17">
        <v>755080</v>
      </c>
      <c r="Y17">
        <v>75507</v>
      </c>
      <c r="AB17">
        <f>_24_text_logs_full_output_merged[[#This Row],[kan_params]]</f>
        <v>755074</v>
      </c>
      <c r="AC17">
        <f>_24_text_logs_full_output_merged[[#This Row],[kan_steps]]</f>
        <v>14</v>
      </c>
      <c r="AD17">
        <f>_24_text_logs_full_output_merged[[#This Row],[kan_train_acc]]</f>
        <v>0.99741666666666673</v>
      </c>
      <c r="AE17">
        <f t="shared" si="0"/>
        <v>0.98478333333333334</v>
      </c>
      <c r="AF17">
        <f>_24_text_logs_full_output_merged[[#This Row],[kan_test_acc]]</f>
        <v>0.98807999999999996</v>
      </c>
    </row>
    <row r="18" spans="1:32" x14ac:dyDescent="0.25">
      <c r="A18" t="s">
        <v>25</v>
      </c>
      <c r="B18">
        <v>3</v>
      </c>
      <c r="C18">
        <v>5</v>
      </c>
      <c r="D18">
        <v>0</v>
      </c>
      <c r="E18" t="s">
        <v>27</v>
      </c>
      <c r="F18">
        <v>830578</v>
      </c>
      <c r="G18">
        <v>231242217.40000001</v>
      </c>
      <c r="H18">
        <v>14</v>
      </c>
      <c r="I18">
        <v>0.99867499999999998</v>
      </c>
      <c r="J18">
        <v>0.98263333333333336</v>
      </c>
      <c r="K18">
        <v>0.98960000000000004</v>
      </c>
      <c r="L18">
        <v>0.97575999999999996</v>
      </c>
      <c r="M18">
        <v>0.95020000000000004</v>
      </c>
      <c r="N18">
        <v>0.98727500000000001</v>
      </c>
      <c r="O18">
        <v>14</v>
      </c>
      <c r="P18">
        <v>992295839.39999998</v>
      </c>
      <c r="Q18">
        <v>830570</v>
      </c>
      <c r="R18">
        <v>83056</v>
      </c>
      <c r="S18">
        <v>0.97731999999999997</v>
      </c>
      <c r="T18">
        <v>0.94664999999999999</v>
      </c>
      <c r="U18">
        <v>0.98865833333333331</v>
      </c>
      <c r="V18">
        <v>14</v>
      </c>
      <c r="W18">
        <v>995550193.79999995</v>
      </c>
      <c r="X18">
        <v>830580</v>
      </c>
      <c r="Y18">
        <v>83057</v>
      </c>
      <c r="AB18">
        <f>_24_text_logs_full_output_merged[[#This Row],[kan_params]]</f>
        <v>830578</v>
      </c>
      <c r="AC18">
        <f>_24_text_logs_full_output_merged[[#This Row],[kan_steps]]</f>
        <v>14</v>
      </c>
      <c r="AD18">
        <f>_24_text_logs_full_output_merged[[#This Row],[kan_train_acc]]</f>
        <v>0.99867499999999998</v>
      </c>
      <c r="AE18">
        <f t="shared" si="0"/>
        <v>0.98263333333333336</v>
      </c>
      <c r="AF18">
        <f>_24_text_logs_full_output_merged[[#This Row],[kan_test_acc]]</f>
        <v>0.98960000000000004</v>
      </c>
    </row>
    <row r="19" spans="1:32" x14ac:dyDescent="0.25">
      <c r="A19" t="s">
        <v>25</v>
      </c>
      <c r="B19">
        <v>5</v>
      </c>
      <c r="C19">
        <v>3</v>
      </c>
      <c r="D19">
        <v>0</v>
      </c>
      <c r="E19" t="s">
        <v>27</v>
      </c>
      <c r="F19">
        <v>830578</v>
      </c>
      <c r="G19">
        <v>203010487.40000001</v>
      </c>
      <c r="H19">
        <v>14</v>
      </c>
      <c r="I19">
        <v>0.99870000000000003</v>
      </c>
      <c r="J19">
        <v>0.98198333333333332</v>
      </c>
      <c r="K19">
        <v>0.99002000000000001</v>
      </c>
      <c r="L19">
        <v>0.97408000000000006</v>
      </c>
      <c r="M19">
        <v>0.95945000000000003</v>
      </c>
      <c r="N19">
        <v>0.98522083333333332</v>
      </c>
      <c r="O19">
        <v>14</v>
      </c>
      <c r="P19">
        <v>978590407.60000002</v>
      </c>
      <c r="Q19">
        <v>830570</v>
      </c>
      <c r="R19">
        <v>83056</v>
      </c>
      <c r="S19">
        <v>0.98052000000000006</v>
      </c>
      <c r="T19">
        <v>0.94950000000000001</v>
      </c>
      <c r="U19">
        <v>0.99134583333333337</v>
      </c>
      <c r="V19">
        <v>14</v>
      </c>
      <c r="W19">
        <v>985430178.79999995</v>
      </c>
      <c r="X19">
        <v>830580</v>
      </c>
      <c r="Y19">
        <v>83057</v>
      </c>
      <c r="AB19">
        <f>_24_text_logs_full_output_merged[[#This Row],[kan_params]]</f>
        <v>830578</v>
      </c>
      <c r="AC19">
        <f>_24_text_logs_full_output_merged[[#This Row],[kan_steps]]</f>
        <v>14</v>
      </c>
      <c r="AD19">
        <f>_24_text_logs_full_output_merged[[#This Row],[kan_train_acc]]</f>
        <v>0.99870000000000003</v>
      </c>
      <c r="AE19">
        <f t="shared" si="0"/>
        <v>0.98198333333333332</v>
      </c>
      <c r="AF19">
        <f>_24_text_logs_full_output_merged[[#This Row],[kan_test_acc]]</f>
        <v>0.99002000000000001</v>
      </c>
    </row>
    <row r="20" spans="1:32" x14ac:dyDescent="0.25">
      <c r="A20" t="s">
        <v>25</v>
      </c>
      <c r="B20">
        <v>5</v>
      </c>
      <c r="C20">
        <v>4</v>
      </c>
      <c r="D20">
        <v>0</v>
      </c>
      <c r="E20" t="s">
        <v>27</v>
      </c>
      <c r="F20">
        <v>906082</v>
      </c>
      <c r="G20">
        <v>218276075.5</v>
      </c>
      <c r="H20">
        <v>14</v>
      </c>
      <c r="I20">
        <v>0.99738541666666669</v>
      </c>
      <c r="J20">
        <v>0.9828958333333333</v>
      </c>
      <c r="K20">
        <v>0.98849999999999993</v>
      </c>
      <c r="L20">
        <v>0.97894999999999999</v>
      </c>
      <c r="M20">
        <v>0.9501666666666666</v>
      </c>
      <c r="N20">
        <v>0.98978125000000006</v>
      </c>
      <c r="O20">
        <v>14</v>
      </c>
      <c r="P20">
        <v>1015631038</v>
      </c>
      <c r="Q20">
        <v>906080</v>
      </c>
      <c r="R20">
        <v>90607</v>
      </c>
      <c r="S20">
        <v>0.97902500000000003</v>
      </c>
      <c r="T20">
        <v>0.95422916666666668</v>
      </c>
      <c r="U20">
        <v>0.99043749999999997</v>
      </c>
      <c r="V20">
        <v>14</v>
      </c>
      <c r="W20">
        <v>1015324024.75</v>
      </c>
      <c r="X20">
        <v>906090</v>
      </c>
      <c r="Y20">
        <v>90608</v>
      </c>
      <c r="AB20">
        <f>_24_text_logs_full_output_merged[[#This Row],[kan_params]]</f>
        <v>906082</v>
      </c>
      <c r="AC20">
        <f>_24_text_logs_full_output_merged[[#This Row],[kan_steps]]</f>
        <v>14</v>
      </c>
      <c r="AD20">
        <f>_24_text_logs_full_output_merged[[#This Row],[kan_train_acc]]</f>
        <v>0.99738541666666669</v>
      </c>
      <c r="AE20">
        <f t="shared" si="0"/>
        <v>0.9828958333333333</v>
      </c>
      <c r="AF20">
        <f>_24_text_logs_full_output_merged[[#This Row],[kan_test_acc]]</f>
        <v>0.98849999999999993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E0AC10-7875-442A-A125-6A08B28232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24_text_logs_full_output me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 D</dc:creator>
  <cp:lastModifiedBy>Marta Chadała</cp:lastModifiedBy>
  <dcterms:created xsi:type="dcterms:W3CDTF">2025-07-02T19:03:32Z</dcterms:created>
  <dcterms:modified xsi:type="dcterms:W3CDTF">2025-07-03T06:44:28Z</dcterms:modified>
</cp:coreProperties>
</file>
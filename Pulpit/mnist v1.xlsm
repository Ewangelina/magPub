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134C1266-8827-4DA9-BD7B-4D40A0BF86CD}" xr6:coauthVersionLast="47" xr6:coauthVersionMax="47" xr10:uidLastSave="{00000000-0000-0000-0000-000000000000}"/>
  <bookViews>
    <workbookView xWindow="-120" yWindow="-120" windowWidth="29040" windowHeight="15990" xr2:uid="{12A78BC2-EA08-4E38-818A-0025F37346DD}"/>
  </bookViews>
  <sheets>
    <sheet name="mnist 1 sorted merged" sheetId="34" r:id="rId1"/>
    <sheet name="Arkusz1" sheetId="33" r:id="rId2"/>
  </sheets>
  <definedNames>
    <definedName name="ExternalData_1" localSheetId="0" hidden="1">'mnist 1 sorted merged'!$A$1:$N$72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34" l="1" a="1"/>
  <c r="Z3" i="34" s="1"/>
  <c r="Z4" i="34" a="1"/>
  <c r="Z4" i="34" s="1"/>
  <c r="Z5" i="34" a="1"/>
  <c r="Z5" i="34" s="1"/>
  <c r="Z6" i="34" a="1"/>
  <c r="Z6" i="34" s="1"/>
  <c r="Z7" i="34" a="1"/>
  <c r="Z7" i="34" s="1"/>
  <c r="Z8" i="34" a="1"/>
  <c r="Z8" i="34" s="1"/>
  <c r="Z9" i="34" a="1"/>
  <c r="Z9" i="34" s="1"/>
  <c r="Z10" i="34" a="1"/>
  <c r="Z10" i="34" s="1"/>
  <c r="AD10" i="34" s="1"/>
  <c r="Z11" i="34" a="1"/>
  <c r="Z11" i="34" s="1"/>
  <c r="Z12" i="34" a="1"/>
  <c r="Z12" i="34" s="1"/>
  <c r="Z13" i="34" a="1"/>
  <c r="Z13" i="34" s="1"/>
  <c r="Z14" i="34" a="1"/>
  <c r="Z14" i="34" s="1"/>
  <c r="Z15" i="34" a="1"/>
  <c r="Z15" i="34" s="1"/>
  <c r="Z16" i="34" a="1"/>
  <c r="Z16" i="34" s="1"/>
  <c r="Z17" i="34" a="1"/>
  <c r="Z17" i="34" s="1"/>
  <c r="Z18" i="34" a="1"/>
  <c r="Z18" i="34" s="1"/>
  <c r="AD18" i="34" s="1"/>
  <c r="Z19" i="34" a="1"/>
  <c r="Z19" i="34" s="1"/>
  <c r="Z20" i="34" a="1"/>
  <c r="Z20" i="34" s="1"/>
  <c r="Z21" i="34" a="1"/>
  <c r="Z21" i="34" s="1"/>
  <c r="Z22" i="34" a="1"/>
  <c r="Z22" i="34" s="1"/>
  <c r="Z23" i="34" a="1"/>
  <c r="Z23" i="34" s="1"/>
  <c r="Z24" i="34" a="1"/>
  <c r="Z24" i="34" s="1"/>
  <c r="Z25" i="34" a="1"/>
  <c r="Z25" i="34" s="1"/>
  <c r="Z26" i="34" a="1"/>
  <c r="Z26" i="34" s="1"/>
  <c r="AD26" i="34" s="1"/>
  <c r="Z27" i="34" a="1"/>
  <c r="Z27" i="34" s="1"/>
  <c r="Z28" i="34" a="1"/>
  <c r="Z28" i="34" s="1"/>
  <c r="Z29" i="34" a="1"/>
  <c r="Z29" i="34" s="1"/>
  <c r="Z30" i="34" a="1"/>
  <c r="Z30" i="34" s="1"/>
  <c r="Z31" i="34" a="1"/>
  <c r="Z31" i="34" s="1"/>
  <c r="Z32" i="34" a="1"/>
  <c r="Z32" i="34" s="1"/>
  <c r="Z33" i="34" a="1"/>
  <c r="Z33" i="34" s="1"/>
  <c r="Z34" i="34" a="1"/>
  <c r="Z34" i="34" s="1"/>
  <c r="AD34" i="34" s="1"/>
  <c r="Z35" i="34" a="1"/>
  <c r="Z35" i="34" s="1"/>
  <c r="Z36" i="34" a="1"/>
  <c r="Z36" i="34" s="1"/>
  <c r="Z37" i="34" a="1"/>
  <c r="Z37" i="34" s="1"/>
  <c r="Z38" i="34" a="1"/>
  <c r="Z38" i="34" s="1"/>
  <c r="Z39" i="34" a="1"/>
  <c r="Z39" i="34" s="1"/>
  <c r="Z40" i="34" a="1"/>
  <c r="Z40" i="34" s="1"/>
  <c r="Z41" i="34" a="1"/>
  <c r="Z41" i="34" s="1"/>
  <c r="Z42" i="34" a="1"/>
  <c r="Z42" i="34" s="1"/>
  <c r="AD42" i="34" s="1"/>
  <c r="Z43" i="34" a="1"/>
  <c r="Z43" i="34" s="1"/>
  <c r="Z44" i="34" a="1"/>
  <c r="Z44" i="34" s="1"/>
  <c r="Z45" i="34" a="1"/>
  <c r="Z45" i="34" s="1"/>
  <c r="Z46" i="34" a="1"/>
  <c r="Z46" i="34" s="1"/>
  <c r="Z47" i="34" a="1"/>
  <c r="Z47" i="34" s="1"/>
  <c r="Z48" i="34" a="1"/>
  <c r="Z48" i="34" s="1"/>
  <c r="Z49" i="34" a="1"/>
  <c r="Z49" i="34" s="1"/>
  <c r="Z50" i="34" a="1"/>
  <c r="Z50" i="34" s="1"/>
  <c r="AD50" i="34" s="1"/>
  <c r="Z51" i="34" a="1"/>
  <c r="Z51" i="34" s="1"/>
  <c r="Z52" i="34" a="1"/>
  <c r="Z52" i="34" s="1"/>
  <c r="Z53" i="34" a="1"/>
  <c r="Z53" i="34" s="1"/>
  <c r="Z54" i="34" a="1"/>
  <c r="Z54" i="34" s="1"/>
  <c r="Z55" i="34" a="1"/>
  <c r="Z55" i="34" s="1"/>
  <c r="Z56" i="34" a="1"/>
  <c r="Z56" i="34" s="1"/>
  <c r="Z57" i="34" a="1"/>
  <c r="Z57" i="34" s="1"/>
  <c r="Z58" i="34" a="1"/>
  <c r="Z58" i="34" s="1"/>
  <c r="AD58" i="34" s="1"/>
  <c r="Z59" i="34" a="1"/>
  <c r="Z59" i="34" s="1"/>
  <c r="Z60" i="34" a="1"/>
  <c r="Z60" i="34" s="1"/>
  <c r="Z61" i="34" a="1"/>
  <c r="Z61" i="34" s="1"/>
  <c r="Z62" i="34" a="1"/>
  <c r="Z62" i="34" s="1"/>
  <c r="Z63" i="34" a="1"/>
  <c r="Z63" i="34" s="1"/>
  <c r="Z64" i="34" a="1"/>
  <c r="Z64" i="34" s="1"/>
  <c r="Z65" i="34" a="1"/>
  <c r="Z65" i="34" s="1"/>
  <c r="Z66" i="34" a="1"/>
  <c r="Z66" i="34" s="1"/>
  <c r="AD66" i="34" s="1"/>
  <c r="Z67" i="34" a="1"/>
  <c r="Z67" i="34" s="1"/>
  <c r="Z68" i="34" a="1"/>
  <c r="Z68" i="34" s="1"/>
  <c r="Z69" i="34" a="1"/>
  <c r="Z69" i="34" s="1"/>
  <c r="Z70" i="34" a="1"/>
  <c r="Z70" i="34" s="1"/>
  <c r="Z71" i="34" a="1"/>
  <c r="Z71" i="34" s="1"/>
  <c r="Z72" i="34" a="1"/>
  <c r="Z72" i="34" s="1"/>
  <c r="Z2" i="34" a="1"/>
  <c r="Z2" i="34" s="1"/>
  <c r="AB3" i="34" a="1"/>
  <c r="AB3" i="34" s="1"/>
  <c r="AB4" i="34" a="1"/>
  <c r="AB4" i="34" s="1"/>
  <c r="AB5" i="34" a="1"/>
  <c r="AB5" i="34" s="1"/>
  <c r="AB6" i="34" a="1"/>
  <c r="AB6" i="34" s="1"/>
  <c r="AB7" i="34" a="1"/>
  <c r="AB7" i="34" s="1"/>
  <c r="AB8" i="34" a="1"/>
  <c r="AB8" i="34" s="1"/>
  <c r="AB9" i="34" a="1"/>
  <c r="AB9" i="34" s="1"/>
  <c r="AB10" i="34" a="1"/>
  <c r="AB10" i="34" s="1"/>
  <c r="AB11" i="34" a="1"/>
  <c r="AB11" i="34" s="1"/>
  <c r="AB12" i="34" a="1"/>
  <c r="AB12" i="34" s="1"/>
  <c r="AB13" i="34" a="1"/>
  <c r="AB13" i="34" s="1"/>
  <c r="AB14" i="34" a="1"/>
  <c r="AB14" i="34" s="1"/>
  <c r="AB15" i="34" a="1"/>
  <c r="AB15" i="34" s="1"/>
  <c r="AB16" i="34" a="1"/>
  <c r="AB16" i="34" s="1"/>
  <c r="AB17" i="34" a="1"/>
  <c r="AB17" i="34" s="1"/>
  <c r="AB18" i="34" a="1"/>
  <c r="AB18" i="34" s="1"/>
  <c r="AB19" i="34" a="1"/>
  <c r="AB19" i="34" s="1"/>
  <c r="AB20" i="34" a="1"/>
  <c r="AB20" i="34" s="1"/>
  <c r="AB21" i="34" a="1"/>
  <c r="AB21" i="34" s="1"/>
  <c r="AB22" i="34" a="1"/>
  <c r="AB22" i="34" s="1"/>
  <c r="AB23" i="34" a="1"/>
  <c r="AB23" i="34" s="1"/>
  <c r="AB24" i="34" a="1"/>
  <c r="AB24" i="34" s="1"/>
  <c r="AB25" i="34" a="1"/>
  <c r="AB25" i="34" s="1"/>
  <c r="AB26" i="34" a="1"/>
  <c r="AB26" i="34" s="1"/>
  <c r="AB27" i="34" a="1"/>
  <c r="AB27" i="34" s="1"/>
  <c r="AB28" i="34" a="1"/>
  <c r="AB28" i="34" s="1"/>
  <c r="AB29" i="34" a="1"/>
  <c r="AB29" i="34" s="1"/>
  <c r="AB30" i="34" a="1"/>
  <c r="AB30" i="34" s="1"/>
  <c r="AB31" i="34" a="1"/>
  <c r="AB31" i="34" s="1"/>
  <c r="AB32" i="34" a="1"/>
  <c r="AB32" i="34" s="1"/>
  <c r="AB33" i="34" a="1"/>
  <c r="AB33" i="34" s="1"/>
  <c r="AB34" i="34" a="1"/>
  <c r="AB34" i="34" s="1"/>
  <c r="AB35" i="34" a="1"/>
  <c r="AB35" i="34" s="1"/>
  <c r="AB36" i="34" a="1"/>
  <c r="AB36" i="34" s="1"/>
  <c r="AB37" i="34" a="1"/>
  <c r="AB37" i="34" s="1"/>
  <c r="AB38" i="34" a="1"/>
  <c r="AB38" i="34" s="1"/>
  <c r="AB39" i="34" a="1"/>
  <c r="AB39" i="34" s="1"/>
  <c r="AB40" i="34" a="1"/>
  <c r="AB40" i="34" s="1"/>
  <c r="AB41" i="34" a="1"/>
  <c r="AB41" i="34" s="1"/>
  <c r="AB42" i="34" a="1"/>
  <c r="AB42" i="34" s="1"/>
  <c r="AB43" i="34" a="1"/>
  <c r="AB43" i="34" s="1"/>
  <c r="AB44" i="34" a="1"/>
  <c r="AB44" i="34" s="1"/>
  <c r="AB45" i="34" a="1"/>
  <c r="AB45" i="34" s="1"/>
  <c r="AB46" i="34" a="1"/>
  <c r="AB46" i="34" s="1"/>
  <c r="AB47" i="34" a="1"/>
  <c r="AB47" i="34" s="1"/>
  <c r="AB48" i="34" a="1"/>
  <c r="AB48" i="34" s="1"/>
  <c r="AB49" i="34" a="1"/>
  <c r="AB49" i="34" s="1"/>
  <c r="AB50" i="34" a="1"/>
  <c r="AB50" i="34" s="1"/>
  <c r="AB51" i="34" a="1"/>
  <c r="AB51" i="34" s="1"/>
  <c r="AB52" i="34" a="1"/>
  <c r="AB52" i="34" s="1"/>
  <c r="AB53" i="34" a="1"/>
  <c r="AB53" i="34" s="1"/>
  <c r="AB54" i="34" a="1"/>
  <c r="AB54" i="34" s="1"/>
  <c r="AB55" i="34" a="1"/>
  <c r="AB55" i="34" s="1"/>
  <c r="AB56" i="34" a="1"/>
  <c r="AB56" i="34" s="1"/>
  <c r="AB57" i="34" a="1"/>
  <c r="AB57" i="34" s="1"/>
  <c r="AB58" i="34" a="1"/>
  <c r="AB58" i="34" s="1"/>
  <c r="AB59" i="34" a="1"/>
  <c r="AB59" i="34" s="1"/>
  <c r="AB60" i="34" a="1"/>
  <c r="AB60" i="34" s="1"/>
  <c r="AB61" i="34" a="1"/>
  <c r="AB61" i="34" s="1"/>
  <c r="AB62" i="34" a="1"/>
  <c r="AB62" i="34" s="1"/>
  <c r="AB63" i="34" a="1"/>
  <c r="AB63" i="34" s="1"/>
  <c r="AB64" i="34" a="1"/>
  <c r="AB64" i="34" s="1"/>
  <c r="AB65" i="34" a="1"/>
  <c r="AB65" i="34" s="1"/>
  <c r="AB66" i="34" a="1"/>
  <c r="AB66" i="34" s="1"/>
  <c r="AB67" i="34" a="1"/>
  <c r="AB67" i="34" s="1"/>
  <c r="AB68" i="34" a="1"/>
  <c r="AB68" i="34" s="1"/>
  <c r="AB69" i="34" a="1"/>
  <c r="AB69" i="34" s="1"/>
  <c r="AB70" i="34" a="1"/>
  <c r="AB70" i="34" s="1"/>
  <c r="AB71" i="34" a="1"/>
  <c r="AB71" i="34" s="1"/>
  <c r="AB72" i="34" a="1"/>
  <c r="AB72" i="34" s="1"/>
  <c r="AB2" i="34" a="1"/>
  <c r="AB2" i="34" s="1"/>
  <c r="Q3" i="34"/>
  <c r="R3" i="34"/>
  <c r="S3" i="34"/>
  <c r="T3" i="34"/>
  <c r="Q4" i="34"/>
  <c r="R4" i="34"/>
  <c r="S4" i="34"/>
  <c r="T4" i="34"/>
  <c r="Q5" i="34"/>
  <c r="R5" i="34"/>
  <c r="S5" i="34"/>
  <c r="T5" i="34"/>
  <c r="Q6" i="34"/>
  <c r="R6" i="34"/>
  <c r="S6" i="34"/>
  <c r="T6" i="34"/>
  <c r="Q7" i="34"/>
  <c r="R7" i="34"/>
  <c r="S7" i="34"/>
  <c r="T7" i="34"/>
  <c r="Q8" i="34"/>
  <c r="R8" i="34"/>
  <c r="S8" i="34"/>
  <c r="T8" i="34"/>
  <c r="Q9" i="34"/>
  <c r="R9" i="34"/>
  <c r="S9" i="34"/>
  <c r="T9" i="34"/>
  <c r="Q10" i="34"/>
  <c r="R10" i="34"/>
  <c r="S10" i="34"/>
  <c r="T10" i="34"/>
  <c r="Q11" i="34"/>
  <c r="R11" i="34"/>
  <c r="S11" i="34"/>
  <c r="T11" i="34"/>
  <c r="Q12" i="34"/>
  <c r="R12" i="34"/>
  <c r="S12" i="34"/>
  <c r="T12" i="34"/>
  <c r="Q13" i="34"/>
  <c r="R13" i="34"/>
  <c r="S13" i="34"/>
  <c r="T13" i="34"/>
  <c r="Q14" i="34"/>
  <c r="R14" i="34"/>
  <c r="S14" i="34"/>
  <c r="T14" i="34"/>
  <c r="Q15" i="34"/>
  <c r="R15" i="34"/>
  <c r="S15" i="34"/>
  <c r="T15" i="34"/>
  <c r="Q16" i="34"/>
  <c r="R16" i="34"/>
  <c r="S16" i="34"/>
  <c r="T16" i="34"/>
  <c r="Q17" i="34"/>
  <c r="R17" i="34"/>
  <c r="S17" i="34"/>
  <c r="T17" i="34"/>
  <c r="Q18" i="34"/>
  <c r="R18" i="34"/>
  <c r="S18" i="34"/>
  <c r="T18" i="34"/>
  <c r="Q19" i="34"/>
  <c r="R19" i="34"/>
  <c r="S19" i="34"/>
  <c r="T19" i="34"/>
  <c r="Q20" i="34"/>
  <c r="R20" i="34"/>
  <c r="S20" i="34"/>
  <c r="T20" i="34"/>
  <c r="Q21" i="34"/>
  <c r="R21" i="34"/>
  <c r="S21" i="34"/>
  <c r="T21" i="34"/>
  <c r="Q22" i="34"/>
  <c r="R22" i="34"/>
  <c r="S22" i="34"/>
  <c r="T22" i="34"/>
  <c r="Q23" i="34"/>
  <c r="R23" i="34"/>
  <c r="S23" i="34"/>
  <c r="T23" i="34"/>
  <c r="Q24" i="34"/>
  <c r="R24" i="34"/>
  <c r="S24" i="34"/>
  <c r="T24" i="34"/>
  <c r="Q25" i="34"/>
  <c r="R25" i="34"/>
  <c r="S25" i="34"/>
  <c r="T25" i="34"/>
  <c r="Q26" i="34"/>
  <c r="R26" i="34"/>
  <c r="S26" i="34"/>
  <c r="T26" i="34"/>
  <c r="Q27" i="34"/>
  <c r="R27" i="34"/>
  <c r="S27" i="34"/>
  <c r="T27" i="34"/>
  <c r="Q28" i="34"/>
  <c r="R28" i="34"/>
  <c r="S28" i="34"/>
  <c r="T28" i="34"/>
  <c r="Q29" i="34"/>
  <c r="R29" i="34"/>
  <c r="S29" i="34"/>
  <c r="T29" i="34"/>
  <c r="Q30" i="34"/>
  <c r="R30" i="34"/>
  <c r="S30" i="34"/>
  <c r="T30" i="34"/>
  <c r="Q31" i="34"/>
  <c r="R31" i="34"/>
  <c r="S31" i="34"/>
  <c r="T31" i="34"/>
  <c r="Q32" i="34"/>
  <c r="R32" i="34"/>
  <c r="S32" i="34"/>
  <c r="T32" i="34"/>
  <c r="Q33" i="34"/>
  <c r="R33" i="34"/>
  <c r="S33" i="34"/>
  <c r="T33" i="34"/>
  <c r="Q34" i="34"/>
  <c r="R34" i="34"/>
  <c r="S34" i="34"/>
  <c r="T34" i="34"/>
  <c r="Q35" i="34"/>
  <c r="R35" i="34"/>
  <c r="S35" i="34"/>
  <c r="T35" i="34"/>
  <c r="Q36" i="34"/>
  <c r="R36" i="34"/>
  <c r="S36" i="34"/>
  <c r="T36" i="34"/>
  <c r="Q37" i="34"/>
  <c r="R37" i="34"/>
  <c r="S37" i="34"/>
  <c r="T37" i="34"/>
  <c r="Q38" i="34"/>
  <c r="R38" i="34"/>
  <c r="S38" i="34"/>
  <c r="T38" i="34"/>
  <c r="Q39" i="34"/>
  <c r="R39" i="34"/>
  <c r="S39" i="34"/>
  <c r="T39" i="34"/>
  <c r="Q40" i="34"/>
  <c r="R40" i="34"/>
  <c r="S40" i="34"/>
  <c r="T40" i="34"/>
  <c r="Q41" i="34"/>
  <c r="R41" i="34"/>
  <c r="S41" i="34"/>
  <c r="T41" i="34"/>
  <c r="Q42" i="34"/>
  <c r="R42" i="34"/>
  <c r="S42" i="34"/>
  <c r="T42" i="34"/>
  <c r="Q43" i="34"/>
  <c r="R43" i="34"/>
  <c r="S43" i="34"/>
  <c r="T43" i="34"/>
  <c r="Q44" i="34"/>
  <c r="R44" i="34"/>
  <c r="S44" i="34"/>
  <c r="T44" i="34"/>
  <c r="Q45" i="34"/>
  <c r="R45" i="34"/>
  <c r="S45" i="34"/>
  <c r="T45" i="34"/>
  <c r="Q46" i="34"/>
  <c r="R46" i="34"/>
  <c r="S46" i="34"/>
  <c r="T46" i="34"/>
  <c r="Q47" i="34"/>
  <c r="R47" i="34"/>
  <c r="S47" i="34"/>
  <c r="T47" i="34"/>
  <c r="Q48" i="34"/>
  <c r="R48" i="34"/>
  <c r="S48" i="34"/>
  <c r="T48" i="34"/>
  <c r="Q49" i="34"/>
  <c r="R49" i="34"/>
  <c r="S49" i="34"/>
  <c r="T49" i="34"/>
  <c r="Q50" i="34"/>
  <c r="R50" i="34"/>
  <c r="S50" i="34"/>
  <c r="T50" i="34"/>
  <c r="Q51" i="34"/>
  <c r="R51" i="34"/>
  <c r="S51" i="34"/>
  <c r="T51" i="34"/>
  <c r="Q52" i="34"/>
  <c r="R52" i="34"/>
  <c r="S52" i="34"/>
  <c r="T52" i="34"/>
  <c r="Q53" i="34"/>
  <c r="R53" i="34"/>
  <c r="S53" i="34"/>
  <c r="T53" i="34"/>
  <c r="Q54" i="34"/>
  <c r="R54" i="34"/>
  <c r="S54" i="34"/>
  <c r="T54" i="34"/>
  <c r="Q55" i="34"/>
  <c r="R55" i="34"/>
  <c r="S55" i="34"/>
  <c r="T55" i="34"/>
  <c r="Q56" i="34"/>
  <c r="R56" i="34"/>
  <c r="S56" i="34"/>
  <c r="T56" i="34"/>
  <c r="Q57" i="34"/>
  <c r="R57" i="34"/>
  <c r="S57" i="34"/>
  <c r="T57" i="34"/>
  <c r="Q58" i="34"/>
  <c r="R58" i="34"/>
  <c r="S58" i="34"/>
  <c r="T58" i="34"/>
  <c r="Q59" i="34"/>
  <c r="R59" i="34"/>
  <c r="S59" i="34"/>
  <c r="T59" i="34"/>
  <c r="Q60" i="34"/>
  <c r="R60" i="34"/>
  <c r="S60" i="34"/>
  <c r="T60" i="34"/>
  <c r="Q61" i="34"/>
  <c r="R61" i="34"/>
  <c r="S61" i="34"/>
  <c r="T61" i="34"/>
  <c r="Q62" i="34"/>
  <c r="R62" i="34"/>
  <c r="S62" i="34"/>
  <c r="T62" i="34"/>
  <c r="Q63" i="34"/>
  <c r="R63" i="34"/>
  <c r="S63" i="34"/>
  <c r="T63" i="34"/>
  <c r="Q64" i="34"/>
  <c r="R64" i="34"/>
  <c r="S64" i="34"/>
  <c r="T64" i="34"/>
  <c r="Q65" i="34"/>
  <c r="R65" i="34"/>
  <c r="S65" i="34"/>
  <c r="T65" i="34"/>
  <c r="Q66" i="34"/>
  <c r="R66" i="34"/>
  <c r="S66" i="34"/>
  <c r="T66" i="34"/>
  <c r="Q67" i="34"/>
  <c r="R67" i="34"/>
  <c r="S67" i="34"/>
  <c r="T67" i="34"/>
  <c r="Q68" i="34"/>
  <c r="R68" i="34"/>
  <c r="S68" i="34"/>
  <c r="T68" i="34"/>
  <c r="Q69" i="34"/>
  <c r="R69" i="34"/>
  <c r="S69" i="34"/>
  <c r="T69" i="34"/>
  <c r="Q70" i="34"/>
  <c r="R70" i="34"/>
  <c r="S70" i="34"/>
  <c r="T70" i="34"/>
  <c r="Q71" i="34"/>
  <c r="R71" i="34"/>
  <c r="S71" i="34"/>
  <c r="T71" i="34"/>
  <c r="Q72" i="34"/>
  <c r="R72" i="34"/>
  <c r="S72" i="34"/>
  <c r="T72" i="34"/>
  <c r="Q2" i="34"/>
  <c r="R2" i="34"/>
  <c r="S2" i="34"/>
  <c r="T2" i="34"/>
  <c r="AD2" i="34" l="1"/>
  <c r="AD65" i="34"/>
  <c r="AD57" i="34"/>
  <c r="AD49" i="34"/>
  <c r="AD41" i="34"/>
  <c r="AD33" i="34"/>
  <c r="AD25" i="34"/>
  <c r="AD17" i="34"/>
  <c r="AD9" i="34"/>
  <c r="AD56" i="34"/>
  <c r="AD48" i="34"/>
  <c r="AD40" i="34"/>
  <c r="AD32" i="34"/>
  <c r="AD24" i="34"/>
  <c r="AD16" i="34"/>
  <c r="AD8" i="34"/>
  <c r="AD72" i="34"/>
  <c r="AD64" i="34"/>
  <c r="AD71" i="34"/>
  <c r="AD63" i="34"/>
  <c r="AD55" i="34"/>
  <c r="AD47" i="34"/>
  <c r="AD39" i="34"/>
  <c r="AD31" i="34"/>
  <c r="AD23" i="34"/>
  <c r="AD15" i="34"/>
  <c r="AD7" i="34"/>
  <c r="AD70" i="34"/>
  <c r="AD62" i="34"/>
  <c r="AD54" i="34"/>
  <c r="AD46" i="34"/>
  <c r="AD38" i="34"/>
  <c r="AD30" i="34"/>
  <c r="AD22" i="34"/>
  <c r="AD14" i="34"/>
  <c r="AD6" i="34"/>
  <c r="AD69" i="34"/>
  <c r="AD61" i="34"/>
  <c r="AD53" i="34"/>
  <c r="AD45" i="34"/>
  <c r="AD37" i="34"/>
  <c r="AD29" i="34"/>
  <c r="AD21" i="34"/>
  <c r="AD13" i="34"/>
  <c r="AD5" i="34"/>
  <c r="AD68" i="34"/>
  <c r="AD60" i="34"/>
  <c r="AD52" i="34"/>
  <c r="AD44" i="34"/>
  <c r="AD36" i="34"/>
  <c r="AD28" i="34"/>
  <c r="AD20" i="34"/>
  <c r="AD12" i="34"/>
  <c r="AD4" i="34"/>
  <c r="AD67" i="34"/>
  <c r="AD59" i="34"/>
  <c r="AD51" i="34"/>
  <c r="AD43" i="34"/>
  <c r="AD35" i="34"/>
  <c r="AD27" i="34"/>
  <c r="AD19" i="34"/>
  <c r="AD11" i="34"/>
  <c r="AD3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1D21E-CC57-4028-9E1B-2AC0E2B1C57E}" keepAlive="1" name="Zapytanie — 17_text_logs_full_output" description="Połączenie z zapytaniem „17_text_logs_full_output” w skoroszycie." type="5" refreshedVersion="0" background="1">
    <dbPr connection="Provider=Microsoft.Mashup.OleDb.1;Data Source=$Workbook$;Location=17_text_logs_full_output;Extended Properties=&quot;&quot;" command="SELECT * FROM [17_text_logs_full_output]"/>
  </connection>
  <connection id="2" xr16:uid="{0D9FB842-16B8-47E8-91B5-97E4603CEC88}" keepAlive="1" name="Zapytanie — 18_text_logs_full_output" description="Połączenie z zapytaniem „18_text_logs_full_output” w skoroszycie." type="5" refreshedVersion="0" background="1">
    <dbPr connection="Provider=Microsoft.Mashup.OleDb.1;Data Source=$Workbook$;Location=18_text_logs_full_output;Extended Properties=&quot;&quot;" command="SELECT * FROM [18_text_logs_full_output]"/>
  </connection>
  <connection id="3" xr16:uid="{071AC2F1-3117-4E0E-B886-AAB95F9F5EA4}" keepAlive="1" name="Zapytanie — 19_text_logs_full_output" description="Połączenie z zapytaniem „19_text_logs_full_output” w skoroszycie." type="5" refreshedVersion="0" background="1">
    <dbPr connection="Provider=Microsoft.Mashup.OleDb.1;Data Source=$Workbook$;Location=19_text_logs_full_output;Extended Properties=&quot;&quot;" command="SELECT * FROM [19_text_logs_full_output]"/>
  </connection>
  <connection id="4" xr16:uid="{A249B112-30C4-470E-ACA3-0380A638F3CC}" keepAlive="1" name="Zapytanie — all data s final2" description="Połączenie z zapytaniem „all data s final2” w skoroszycie." type="5" refreshedVersion="0" background="1">
    <dbPr connection="Provider=Microsoft.Mashup.OleDb.1;Data Source=$Workbook$;Location=&quot;all data s final2&quot;;Extended Properties=&quot;&quot;" command="SELECT * FROM [all data s final2]"/>
  </connection>
  <connection id="5" xr16:uid="{B28E98E8-72C1-4041-8C04-630105402F72}" keepAlive="1" name="Zapytanie — all sorted with  final2" description="Połączenie z zapytaniem „all sorted with  final2” w skoroszycie." type="5" refreshedVersion="0" background="1">
    <dbPr connection="Provider=Microsoft.Mashup.OleDb.1;Data Source=$Workbook$;Location=&quot;all sorted with  final2&quot;;Extended Properties=&quot;&quot;" command="SELECT * FROM [all sorted with  final2]"/>
  </connection>
  <connection id="6" xr16:uid="{4DFC0177-FC47-46AC-8EFA-8DAD743C1177}" keepAlive="1" name="Zapytanie — all sorted with  final2 (2)" description="Połączenie z zapytaniem „all sorted with  final2 (2)” w skoroszycie." type="5" refreshedVersion="8" background="1" saveData="1">
    <dbPr connection="Provider=Microsoft.Mashup.OleDb.1;Data Source=$Workbook$;Location=&quot;all sorted with  final2 (2)&quot;;Extended Properties=&quot;&quot;" command="SELECT * FROM [all sorted with  final2 (2)]"/>
  </connection>
  <connection id="7" xr16:uid="{95A14B05-8F34-4A42-8A5B-8B7CB4BAC2EE}" keepAlive="1" name="Zapytanie — cancer 2 csv final2" description="Połączenie z zapytaniem „cancer 2 csv final2” w skoroszycie." type="5" refreshedVersion="8" background="1" saveData="1">
    <dbPr connection="Provider=Microsoft.Mashup.OleDb.1;Data Source=$Workbook$;Location=&quot;cancer 2 csv final2&quot;;Extended Properties=&quot;&quot;" command="SELECT * FROM [cancer 2 csv final2]"/>
  </connection>
  <connection id="8" xr16:uid="{30996077-57AE-4645-94B9-D5E2644225BB}" keepAlive="1" name="Zapytanie — mnist 1 sorted merged" description="Połączenie z zapytaniem „mnist 1 sorted merged” w skoroszycie." type="5" refreshedVersion="8" background="1" saveData="1">
    <dbPr connection="Provider=Microsoft.Mashup.OleDb.1;Data Source=$Workbook$;Location=&quot;mnist 1 sorted merged&quot;;Extended Properties=&quot;&quot;" command="SELECT * FROM [mnist 1 sorted merged]"/>
  </connection>
  <connection id="9" xr16:uid="{9EBDCB91-58D1-4CEA-B197-48D533A47397}" keepAlive="1" name="Zapytanie — wszystko i kroki sorted" description="Połączenie z zapytaniem „wszystko i kroki sorted” w skoroszycie." type="5" refreshedVersion="0" background="1">
    <dbPr connection="Provider=Microsoft.Mashup.OleDb.1;Data Source=$Workbook$;Location=&quot;wszystko i kroki sorted&quot;;Extended Properties=&quot;&quot;" command="SELECT * FROM [wszystko i kroki sorted]"/>
  </connection>
  <connection id="10" xr16:uid="{E3E37508-0F28-4548-95BF-D5887D023021}" keepAlive="1" name="Zapytanie — wszystko i kroki sorted (2)" description="Połączenie z zapytaniem „wszystko i kroki sorted (2)” w skoroszycie." type="5" refreshedVersion="0" background="1">
    <dbPr connection="Provider=Microsoft.Mashup.OleDb.1;Data Source=$Workbook$;Location=&quot;wszystko i kroki sorted (2)&quot;;Extended Properties=&quot;&quot;" command="SELECT * FROM [wszystko i kroki sorted (2)]"/>
  </connection>
  <connection id="11" xr16:uid="{BCFC064C-697C-493F-ABCC-E24BAE96DA2D}" keepAlive="1" name="Zapytanie — wszystko i kroki sorted (3)" description="Połączenie z zapytaniem „wszystko i kroki sorted (3)” w skoroszycie." type="5" refreshedVersion="8" background="1" saveData="1">
    <dbPr connection="Provider=Microsoft.Mashup.OleDb.1;Data Source=$Workbook$;Location=&quot;wszystko i kroki sorted (3)&quot;;Extended Properties=&quot;&quot;" command="SELECT * FROM [wszystko i kroki sorted (3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<sst xmlns="http://schemas.openxmlformats.org/spreadsheetml/2006/main" count="232" uniqueCount="32">
  <si>
    <t>dataset_name</t>
  </si>
  <si>
    <t>kan_grid 1</t>
  </si>
  <si>
    <t>kan_degree 1</t>
  </si>
  <si>
    <t>kan_lam 1</t>
  </si>
  <si>
    <t>kan_width 1</t>
  </si>
  <si>
    <t>kan_grid 2</t>
  </si>
  <si>
    <t>kan_degree 2</t>
  </si>
  <si>
    <t>kan_lam 2</t>
  </si>
  <si>
    <t>kan_width 2</t>
  </si>
  <si>
    <t>kan_time_difference</t>
  </si>
  <si>
    <t>kan_params</t>
  </si>
  <si>
    <t>kan_val_acc</t>
  </si>
  <si>
    <t>kan_test_acc</t>
  </si>
  <si>
    <t>kan_steps</t>
  </si>
  <si>
    <t>Mnist</t>
  </si>
  <si>
    <t>[3136, 100]</t>
  </si>
  <si>
    <t>[100, 10]</t>
  </si>
  <si>
    <t>[3136, 1000]</t>
  </si>
  <si>
    <t>[1000, 10]</t>
  </si>
  <si>
    <t>[3136, 15]</t>
  </si>
  <si>
    <t>[15, 10]</t>
  </si>
  <si>
    <t>[3136, 30]</t>
  </si>
  <si>
    <t>[30, 10]</t>
  </si>
  <si>
    <t>[3136, 60]</t>
  </si>
  <si>
    <t>[60, 10]</t>
  </si>
  <si>
    <t>[3136, 256]</t>
  </si>
  <si>
    <t>[256, 10]</t>
  </si>
  <si>
    <t>KAN_params</t>
  </si>
  <si>
    <t>KAN_test_acc</t>
  </si>
  <si>
    <t>KAN_val_acc</t>
  </si>
  <si>
    <t>KAN_steps</t>
  </si>
  <si>
    <t>(in_dim * out_dim) + out_dim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</si>
</sst>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ny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'mnist 1 sorted merged'!$R$1</c:f>
              <c:strCache>
                <c:ptCount val="1"/>
                <c:pt idx="0">
                  <c:v>KAN_test_acc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'mnist 1 sorted merged'!$Q$2:$Q$72</c:f>
              <c:numCache>
                <c:formatCode>General</c:formatCode>
                <c:ptCount val="71"/>
                <c:pt idx="0">
                  <c:v>377545</c:v>
                </c:pt>
                <c:pt idx="1">
                  <c:v>424735</c:v>
                </c:pt>
                <c:pt idx="2">
                  <c:v>471925</c:v>
                </c:pt>
                <c:pt idx="3">
                  <c:v>471925</c:v>
                </c:pt>
                <c:pt idx="4">
                  <c:v>519115</c:v>
                </c:pt>
                <c:pt idx="5">
                  <c:v>519115</c:v>
                </c:pt>
                <c:pt idx="6">
                  <c:v>566305</c:v>
                </c:pt>
                <c:pt idx="7">
                  <c:v>613495</c:v>
                </c:pt>
                <c:pt idx="8">
                  <c:v>660685</c:v>
                </c:pt>
                <c:pt idx="9">
                  <c:v>707875</c:v>
                </c:pt>
                <c:pt idx="10">
                  <c:v>755065</c:v>
                </c:pt>
                <c:pt idx="11">
                  <c:v>755080</c:v>
                </c:pt>
                <c:pt idx="12">
                  <c:v>802255</c:v>
                </c:pt>
                <c:pt idx="13">
                  <c:v>849460</c:v>
                </c:pt>
                <c:pt idx="14">
                  <c:v>943840</c:v>
                </c:pt>
                <c:pt idx="15">
                  <c:v>943840</c:v>
                </c:pt>
                <c:pt idx="16">
                  <c:v>1038220</c:v>
                </c:pt>
                <c:pt idx="17">
                  <c:v>1038220</c:v>
                </c:pt>
                <c:pt idx="18">
                  <c:v>1132600</c:v>
                </c:pt>
                <c:pt idx="19">
                  <c:v>1226980</c:v>
                </c:pt>
                <c:pt idx="20">
                  <c:v>1321360</c:v>
                </c:pt>
                <c:pt idx="21">
                  <c:v>1415740</c:v>
                </c:pt>
                <c:pt idx="22">
                  <c:v>1510120</c:v>
                </c:pt>
                <c:pt idx="23">
                  <c:v>1510150</c:v>
                </c:pt>
                <c:pt idx="24">
                  <c:v>1604500</c:v>
                </c:pt>
                <c:pt idx="25">
                  <c:v>1698910</c:v>
                </c:pt>
                <c:pt idx="26">
                  <c:v>1887670</c:v>
                </c:pt>
                <c:pt idx="27">
                  <c:v>1887670</c:v>
                </c:pt>
                <c:pt idx="28">
                  <c:v>2076430</c:v>
                </c:pt>
                <c:pt idx="29">
                  <c:v>2076430</c:v>
                </c:pt>
                <c:pt idx="30">
                  <c:v>2265190</c:v>
                </c:pt>
                <c:pt idx="31">
                  <c:v>2453950</c:v>
                </c:pt>
                <c:pt idx="32">
                  <c:v>2516910</c:v>
                </c:pt>
                <c:pt idx="33">
                  <c:v>2642710</c:v>
                </c:pt>
                <c:pt idx="34">
                  <c:v>2831470</c:v>
                </c:pt>
                <c:pt idx="35">
                  <c:v>2831510</c:v>
                </c:pt>
                <c:pt idx="36">
                  <c:v>3020230</c:v>
                </c:pt>
                <c:pt idx="37">
                  <c:v>3146110</c:v>
                </c:pt>
                <c:pt idx="38">
                  <c:v>3146110</c:v>
                </c:pt>
                <c:pt idx="39">
                  <c:v>3208990</c:v>
                </c:pt>
                <c:pt idx="40">
                  <c:v>3460710</c:v>
                </c:pt>
                <c:pt idx="41">
                  <c:v>3460710</c:v>
                </c:pt>
                <c:pt idx="42">
                  <c:v>3775310</c:v>
                </c:pt>
                <c:pt idx="43">
                  <c:v>4089910</c:v>
                </c:pt>
                <c:pt idx="44">
                  <c:v>4404510</c:v>
                </c:pt>
                <c:pt idx="45">
                  <c:v>4719110</c:v>
                </c:pt>
                <c:pt idx="46">
                  <c:v>5033710</c:v>
                </c:pt>
                <c:pt idx="47">
                  <c:v>5348310</c:v>
                </c:pt>
                <c:pt idx="48">
                  <c:v>7248650</c:v>
                </c:pt>
                <c:pt idx="49">
                  <c:v>8054026</c:v>
                </c:pt>
                <c:pt idx="50">
                  <c:v>8054026</c:v>
                </c:pt>
                <c:pt idx="51">
                  <c:v>8859402</c:v>
                </c:pt>
                <c:pt idx="52">
                  <c:v>8859402</c:v>
                </c:pt>
                <c:pt idx="53">
                  <c:v>9664778</c:v>
                </c:pt>
                <c:pt idx="54">
                  <c:v>10470154</c:v>
                </c:pt>
                <c:pt idx="55">
                  <c:v>11275530</c:v>
                </c:pt>
                <c:pt idx="56">
                  <c:v>12080906</c:v>
                </c:pt>
                <c:pt idx="57">
                  <c:v>12886282</c:v>
                </c:pt>
                <c:pt idx="58">
                  <c:v>13691658</c:v>
                </c:pt>
                <c:pt idx="59">
                  <c:v>25169010</c:v>
                </c:pt>
                <c:pt idx="60">
                  <c:v>28315010</c:v>
                </c:pt>
                <c:pt idx="61">
                  <c:v>31461010</c:v>
                </c:pt>
                <c:pt idx="62">
                  <c:v>31461010</c:v>
                </c:pt>
                <c:pt idx="63">
                  <c:v>34607010</c:v>
                </c:pt>
                <c:pt idx="64">
                  <c:v>34607010</c:v>
                </c:pt>
                <c:pt idx="65">
                  <c:v>37753010</c:v>
                </c:pt>
                <c:pt idx="66">
                  <c:v>40899010</c:v>
                </c:pt>
                <c:pt idx="67">
                  <c:v>44045010</c:v>
                </c:pt>
                <c:pt idx="68">
                  <c:v>47191010</c:v>
                </c:pt>
                <c:pt idx="69">
                  <c:v>50337010</c:v>
                </c:pt>
                <c:pt idx="70">
                  <c:v>53483010</c:v>
                </c:pt>
              </c:numCache>
            </c:numRef>
          </c:xVal>
          <c:yVal>
            <c:numRef>
              <c:f>'mnist 1 sorted merged'!$R$2:$R$72</c:f>
              <c:numCache>
                <c:formatCode>General</c:formatCode>
                <c:ptCount val="71"/>
                <c:pt idx="0">
                  <c:v>0.97198000000000007</c:v>
                </c:pt>
                <c:pt idx="1">
                  <c:v>0.97272000000000003</c:v>
                </c:pt>
                <c:pt idx="2">
                  <c:v>0.97406000000000004</c:v>
                </c:pt>
                <c:pt idx="3">
                  <c:v>0.97302</c:v>
                </c:pt>
                <c:pt idx="4">
                  <c:v>0.97372000000000003</c:v>
                </c:pt>
                <c:pt idx="5">
                  <c:v>0.97409999999999997</c:v>
                </c:pt>
                <c:pt idx="6">
                  <c:v>0.97384000000000004</c:v>
                </c:pt>
                <c:pt idx="7">
                  <c:v>0.97363999999999995</c:v>
                </c:pt>
                <c:pt idx="8">
                  <c:v>0.97220000000000006</c:v>
                </c:pt>
                <c:pt idx="9">
                  <c:v>0.97196000000000005</c:v>
                </c:pt>
                <c:pt idx="10">
                  <c:v>0.97394000000000003</c:v>
                </c:pt>
                <c:pt idx="11">
                  <c:v>0.97751999999999994</c:v>
                </c:pt>
                <c:pt idx="12">
                  <c:v>0.97426000000000001</c:v>
                </c:pt>
                <c:pt idx="13">
                  <c:v>0.97802</c:v>
                </c:pt>
                <c:pt idx="14">
                  <c:v>0.97755999999999998</c:v>
                </c:pt>
                <c:pt idx="15">
                  <c:v>0.97726000000000002</c:v>
                </c:pt>
                <c:pt idx="16">
                  <c:v>0.97767999999999999</c:v>
                </c:pt>
                <c:pt idx="17">
                  <c:v>0.9778</c:v>
                </c:pt>
                <c:pt idx="18">
                  <c:v>0.97726000000000002</c:v>
                </c:pt>
                <c:pt idx="19">
                  <c:v>0.97650000000000003</c:v>
                </c:pt>
                <c:pt idx="20">
                  <c:v>0.97694000000000003</c:v>
                </c:pt>
                <c:pt idx="21">
                  <c:v>0.97860000000000003</c:v>
                </c:pt>
                <c:pt idx="22">
                  <c:v>0.97758</c:v>
                </c:pt>
                <c:pt idx="23">
                  <c:v>0.97977999999999998</c:v>
                </c:pt>
                <c:pt idx="24">
                  <c:v>0.97760000000000002</c:v>
                </c:pt>
                <c:pt idx="25">
                  <c:v>0.98018000000000005</c:v>
                </c:pt>
                <c:pt idx="26">
                  <c:v>0.97942000000000007</c:v>
                </c:pt>
                <c:pt idx="27">
                  <c:v>0.97987999999999997</c:v>
                </c:pt>
                <c:pt idx="28">
                  <c:v>0.97902</c:v>
                </c:pt>
                <c:pt idx="29">
                  <c:v>0.97953999999999997</c:v>
                </c:pt>
                <c:pt idx="30">
                  <c:v>0.98068</c:v>
                </c:pt>
                <c:pt idx="31">
                  <c:v>0.98029999999999995</c:v>
                </c:pt>
                <c:pt idx="32">
                  <c:v>0.98075999999999997</c:v>
                </c:pt>
                <c:pt idx="33">
                  <c:v>0.97946</c:v>
                </c:pt>
                <c:pt idx="34">
                  <c:v>0.98082000000000003</c:v>
                </c:pt>
                <c:pt idx="35">
                  <c:v>0.98141999999999996</c:v>
                </c:pt>
                <c:pt idx="36">
                  <c:v>0.97938000000000003</c:v>
                </c:pt>
                <c:pt idx="37">
                  <c:v>0.98087999999999997</c:v>
                </c:pt>
                <c:pt idx="38">
                  <c:v>0.98170000000000002</c:v>
                </c:pt>
                <c:pt idx="39">
                  <c:v>0.98027999999999993</c:v>
                </c:pt>
                <c:pt idx="40">
                  <c:v>0.98228000000000004</c:v>
                </c:pt>
                <c:pt idx="41">
                  <c:v>0.98177999999999999</c:v>
                </c:pt>
                <c:pt idx="42">
                  <c:v>0.98075999999999997</c:v>
                </c:pt>
                <c:pt idx="43">
                  <c:v>0.98151999999999995</c:v>
                </c:pt>
                <c:pt idx="44">
                  <c:v>0.98265999999999998</c:v>
                </c:pt>
                <c:pt idx="45">
                  <c:v>0.98228000000000004</c:v>
                </c:pt>
                <c:pt idx="46">
                  <c:v>0.98207999999999995</c:v>
                </c:pt>
                <c:pt idx="47">
                  <c:v>0.98121999999999998</c:v>
                </c:pt>
                <c:pt idx="48">
                  <c:v>0.98374545454545459</c:v>
                </c:pt>
                <c:pt idx="49">
                  <c:v>0.98338000000000003</c:v>
                </c:pt>
                <c:pt idx="50">
                  <c:v>0.98324444444444448</c:v>
                </c:pt>
                <c:pt idx="51">
                  <c:v>0.98290999999999995</c:v>
                </c:pt>
                <c:pt idx="52">
                  <c:v>0.98424</c:v>
                </c:pt>
                <c:pt idx="53">
                  <c:v>0.98346</c:v>
                </c:pt>
                <c:pt idx="54">
                  <c:v>0.98409999999999997</c:v>
                </c:pt>
                <c:pt idx="55">
                  <c:v>0.98353000000000002</c:v>
                </c:pt>
                <c:pt idx="56">
                  <c:v>0.98392000000000002</c:v>
                </c:pt>
                <c:pt idx="57">
                  <c:v>0.98311999999999999</c:v>
                </c:pt>
                <c:pt idx="58">
                  <c:v>0.98324</c:v>
                </c:pt>
                <c:pt idx="59">
                  <c:v>0.98616000000000004</c:v>
                </c:pt>
                <c:pt idx="60">
                  <c:v>0.98455999999999999</c:v>
                </c:pt>
                <c:pt idx="61">
                  <c:v>0.98555999999999999</c:v>
                </c:pt>
                <c:pt idx="62">
                  <c:v>0.98570000000000002</c:v>
                </c:pt>
                <c:pt idx="63">
                  <c:v>0.98480000000000001</c:v>
                </c:pt>
                <c:pt idx="64">
                  <c:v>0.98461999999999994</c:v>
                </c:pt>
                <c:pt idx="65">
                  <c:v>0.98640000000000005</c:v>
                </c:pt>
                <c:pt idx="66">
                  <c:v>0.98539999999999994</c:v>
                </c:pt>
                <c:pt idx="67">
                  <c:v>0.98516999999999999</c:v>
                </c:pt>
                <c:pt idx="68">
                  <c:v>0.98553999999999997</c:v>
                </c:pt>
                <c:pt idx="69">
                  <c:v>0.98465000000000003</c:v>
                </c:pt>
                <c:pt idx="70">
                  <c:v>0.98561999999999994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E5-4C81-A1A8-79C1BE19004A}"/>
            </c:ext>
          </c:extLst>
        </c:ser>
        <c:ser>
          <c:idx val="1"/>
          <c:order val="1"/>
          <c:tx>
            <c:strRef>
              <c:f>'mnist 1 sorted merged'!$S$1</c:f>
              <c:strCache>
                <c:ptCount val="1"/>
                <c:pt idx="0">
                  <c:v>KAN_val_acc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'mnist 1 sorted merged'!$Q$2:$Q$72</c:f>
              <c:numCache>
                <c:formatCode>General</c:formatCode>
                <c:ptCount val="71"/>
                <c:pt idx="0">
                  <c:v>377545</c:v>
                </c:pt>
                <c:pt idx="1">
                  <c:v>424735</c:v>
                </c:pt>
                <c:pt idx="2">
                  <c:v>471925</c:v>
                </c:pt>
                <c:pt idx="3">
                  <c:v>471925</c:v>
                </c:pt>
                <c:pt idx="4">
                  <c:v>519115</c:v>
                </c:pt>
                <c:pt idx="5">
                  <c:v>519115</c:v>
                </c:pt>
                <c:pt idx="6">
                  <c:v>566305</c:v>
                </c:pt>
                <c:pt idx="7">
                  <c:v>613495</c:v>
                </c:pt>
                <c:pt idx="8">
                  <c:v>660685</c:v>
                </c:pt>
                <c:pt idx="9">
                  <c:v>707875</c:v>
                </c:pt>
                <c:pt idx="10">
                  <c:v>755065</c:v>
                </c:pt>
                <c:pt idx="11">
                  <c:v>755080</c:v>
                </c:pt>
                <c:pt idx="12">
                  <c:v>802255</c:v>
                </c:pt>
                <c:pt idx="13">
                  <c:v>849460</c:v>
                </c:pt>
                <c:pt idx="14">
                  <c:v>943840</c:v>
                </c:pt>
                <c:pt idx="15">
                  <c:v>943840</c:v>
                </c:pt>
                <c:pt idx="16">
                  <c:v>1038220</c:v>
                </c:pt>
                <c:pt idx="17">
                  <c:v>1038220</c:v>
                </c:pt>
                <c:pt idx="18">
                  <c:v>1132600</c:v>
                </c:pt>
                <c:pt idx="19">
                  <c:v>1226980</c:v>
                </c:pt>
                <c:pt idx="20">
                  <c:v>1321360</c:v>
                </c:pt>
                <c:pt idx="21">
                  <c:v>1415740</c:v>
                </c:pt>
                <c:pt idx="22">
                  <c:v>1510120</c:v>
                </c:pt>
                <c:pt idx="23">
                  <c:v>1510150</c:v>
                </c:pt>
                <c:pt idx="24">
                  <c:v>1604500</c:v>
                </c:pt>
                <c:pt idx="25">
                  <c:v>1698910</c:v>
                </c:pt>
                <c:pt idx="26">
                  <c:v>1887670</c:v>
                </c:pt>
                <c:pt idx="27">
                  <c:v>1887670</c:v>
                </c:pt>
                <c:pt idx="28">
                  <c:v>2076430</c:v>
                </c:pt>
                <c:pt idx="29">
                  <c:v>2076430</c:v>
                </c:pt>
                <c:pt idx="30">
                  <c:v>2265190</c:v>
                </c:pt>
                <c:pt idx="31">
                  <c:v>2453950</c:v>
                </c:pt>
                <c:pt idx="32">
                  <c:v>2516910</c:v>
                </c:pt>
                <c:pt idx="33">
                  <c:v>2642710</c:v>
                </c:pt>
                <c:pt idx="34">
                  <c:v>2831470</c:v>
                </c:pt>
                <c:pt idx="35">
                  <c:v>2831510</c:v>
                </c:pt>
                <c:pt idx="36">
                  <c:v>3020230</c:v>
                </c:pt>
                <c:pt idx="37">
                  <c:v>3146110</c:v>
                </c:pt>
                <c:pt idx="38">
                  <c:v>3146110</c:v>
                </c:pt>
                <c:pt idx="39">
                  <c:v>3208990</c:v>
                </c:pt>
                <c:pt idx="40">
                  <c:v>3460710</c:v>
                </c:pt>
                <c:pt idx="41">
                  <c:v>3460710</c:v>
                </c:pt>
                <c:pt idx="42">
                  <c:v>3775310</c:v>
                </c:pt>
                <c:pt idx="43">
                  <c:v>4089910</c:v>
                </c:pt>
                <c:pt idx="44">
                  <c:v>4404510</c:v>
                </c:pt>
                <c:pt idx="45">
                  <c:v>4719110</c:v>
                </c:pt>
                <c:pt idx="46">
                  <c:v>5033710</c:v>
                </c:pt>
                <c:pt idx="47">
                  <c:v>5348310</c:v>
                </c:pt>
                <c:pt idx="48">
                  <c:v>7248650</c:v>
                </c:pt>
                <c:pt idx="49">
                  <c:v>8054026</c:v>
                </c:pt>
                <c:pt idx="50">
                  <c:v>8054026</c:v>
                </c:pt>
                <c:pt idx="51">
                  <c:v>8859402</c:v>
                </c:pt>
                <c:pt idx="52">
                  <c:v>8859402</c:v>
                </c:pt>
                <c:pt idx="53">
                  <c:v>9664778</c:v>
                </c:pt>
                <c:pt idx="54">
                  <c:v>10470154</c:v>
                </c:pt>
                <c:pt idx="55">
                  <c:v>11275530</c:v>
                </c:pt>
                <c:pt idx="56">
                  <c:v>12080906</c:v>
                </c:pt>
                <c:pt idx="57">
                  <c:v>12886282</c:v>
                </c:pt>
                <c:pt idx="58">
                  <c:v>13691658</c:v>
                </c:pt>
                <c:pt idx="59">
                  <c:v>25169010</c:v>
                </c:pt>
                <c:pt idx="60">
                  <c:v>28315010</c:v>
                </c:pt>
                <c:pt idx="61">
                  <c:v>31461010</c:v>
                </c:pt>
                <c:pt idx="62">
                  <c:v>31461010</c:v>
                </c:pt>
                <c:pt idx="63">
                  <c:v>34607010</c:v>
                </c:pt>
                <c:pt idx="64">
                  <c:v>34607010</c:v>
                </c:pt>
                <c:pt idx="65">
                  <c:v>37753010</c:v>
                </c:pt>
                <c:pt idx="66">
                  <c:v>40899010</c:v>
                </c:pt>
                <c:pt idx="67">
                  <c:v>44045010</c:v>
                </c:pt>
                <c:pt idx="68">
                  <c:v>47191010</c:v>
                </c:pt>
                <c:pt idx="69">
                  <c:v>50337010</c:v>
                </c:pt>
                <c:pt idx="70">
                  <c:v>53483010</c:v>
                </c:pt>
              </c:numCache>
            </c:numRef>
          </c:xVal>
          <c:yVal>
            <c:numRef>
              <c:f>'mnist 1 sorted merged'!$S$2:$S$72</c:f>
              <c:numCache>
                <c:formatCode>General</c:formatCode>
                <c:ptCount val="71"/>
                <c:pt idx="0">
                  <c:v>0.91930000000000001</c:v>
                </c:pt>
                <c:pt idx="1">
                  <c:v>0.91895000000000004</c:v>
                </c:pt>
                <c:pt idx="2">
                  <c:v>0.92205000000000004</c:v>
                </c:pt>
                <c:pt idx="3">
                  <c:v>0.91986666666666672</c:v>
                </c:pt>
                <c:pt idx="4">
                  <c:v>0.92193333333333327</c:v>
                </c:pt>
                <c:pt idx="5">
                  <c:v>0.92186666666666661</c:v>
                </c:pt>
                <c:pt idx="6">
                  <c:v>0.9281166666666667</c:v>
                </c:pt>
                <c:pt idx="7">
                  <c:v>0.92895000000000005</c:v>
                </c:pt>
                <c:pt idx="8">
                  <c:v>0.92166666666666663</c:v>
                </c:pt>
                <c:pt idx="9">
                  <c:v>0.92643333333333333</c:v>
                </c:pt>
                <c:pt idx="10">
                  <c:v>0.92854999999999999</c:v>
                </c:pt>
                <c:pt idx="11">
                  <c:v>0.94020000000000004</c:v>
                </c:pt>
                <c:pt idx="12">
                  <c:v>0.92471666666666663</c:v>
                </c:pt>
                <c:pt idx="13">
                  <c:v>0.93836666666666668</c:v>
                </c:pt>
                <c:pt idx="14">
                  <c:v>0.93868333333333331</c:v>
                </c:pt>
                <c:pt idx="15">
                  <c:v>0.93703333333333338</c:v>
                </c:pt>
                <c:pt idx="16">
                  <c:v>0.93663333333333332</c:v>
                </c:pt>
                <c:pt idx="17">
                  <c:v>0.93841666666666668</c:v>
                </c:pt>
                <c:pt idx="18">
                  <c:v>0.93573333333333342</c:v>
                </c:pt>
                <c:pt idx="19">
                  <c:v>0.93610000000000004</c:v>
                </c:pt>
                <c:pt idx="20">
                  <c:v>0.93698333333333328</c:v>
                </c:pt>
                <c:pt idx="21">
                  <c:v>0.93888333333333329</c:v>
                </c:pt>
                <c:pt idx="22">
                  <c:v>0.93833333333333335</c:v>
                </c:pt>
                <c:pt idx="23">
                  <c:v>0.94556666666666667</c:v>
                </c:pt>
                <c:pt idx="24">
                  <c:v>0.93086666666666662</c:v>
                </c:pt>
                <c:pt idx="25">
                  <c:v>0.94684999999999997</c:v>
                </c:pt>
                <c:pt idx="26">
                  <c:v>0.94761666666666666</c:v>
                </c:pt>
                <c:pt idx="27">
                  <c:v>0.94463333333333332</c:v>
                </c:pt>
                <c:pt idx="28">
                  <c:v>0.94346666666666668</c:v>
                </c:pt>
                <c:pt idx="29">
                  <c:v>0.94496666666666662</c:v>
                </c:pt>
                <c:pt idx="30">
                  <c:v>0.94363333333333332</c:v>
                </c:pt>
                <c:pt idx="31">
                  <c:v>0.94491666666666663</c:v>
                </c:pt>
                <c:pt idx="32">
                  <c:v>0.94983333333333331</c:v>
                </c:pt>
                <c:pt idx="33">
                  <c:v>0.9425</c:v>
                </c:pt>
                <c:pt idx="34">
                  <c:v>0.94638333333333335</c:v>
                </c:pt>
                <c:pt idx="35">
                  <c:v>0.95028333333333337</c:v>
                </c:pt>
                <c:pt idx="36">
                  <c:v>0.94455</c:v>
                </c:pt>
                <c:pt idx="37">
                  <c:v>0.94708333333333328</c:v>
                </c:pt>
                <c:pt idx="38">
                  <c:v>0.95036666666666669</c:v>
                </c:pt>
                <c:pt idx="39">
                  <c:v>0.94766666666666666</c:v>
                </c:pt>
                <c:pt idx="40">
                  <c:v>0.9516</c:v>
                </c:pt>
                <c:pt idx="41">
                  <c:v>0.94901666666666662</c:v>
                </c:pt>
                <c:pt idx="42">
                  <c:v>0.94653333333333334</c:v>
                </c:pt>
                <c:pt idx="43">
                  <c:v>0.94969999999999999</c:v>
                </c:pt>
                <c:pt idx="44">
                  <c:v>0.94951666666666668</c:v>
                </c:pt>
                <c:pt idx="45">
                  <c:v>0.95313333333333339</c:v>
                </c:pt>
                <c:pt idx="46">
                  <c:v>0.94986666666666664</c:v>
                </c:pt>
                <c:pt idx="47">
                  <c:v>0.94783333333333331</c:v>
                </c:pt>
                <c:pt idx="48">
                  <c:v>0.95553787878787877</c:v>
                </c:pt>
                <c:pt idx="49">
                  <c:v>0.95662500000000006</c:v>
                </c:pt>
                <c:pt idx="50">
                  <c:v>0.95643518518518522</c:v>
                </c:pt>
                <c:pt idx="51">
                  <c:v>0.9553166666666667</c:v>
                </c:pt>
                <c:pt idx="52">
                  <c:v>0.9590833333333334</c:v>
                </c:pt>
                <c:pt idx="53">
                  <c:v>0.95756666666666668</c:v>
                </c:pt>
                <c:pt idx="54">
                  <c:v>0.95545000000000002</c:v>
                </c:pt>
                <c:pt idx="55">
                  <c:v>0.95664166666666661</c:v>
                </c:pt>
                <c:pt idx="56">
                  <c:v>0.95540000000000003</c:v>
                </c:pt>
                <c:pt idx="57">
                  <c:v>0.95560833333333339</c:v>
                </c:pt>
                <c:pt idx="58">
                  <c:v>0.95761666666666667</c:v>
                </c:pt>
                <c:pt idx="59">
                  <c:v>0.96006666666666662</c:v>
                </c:pt>
                <c:pt idx="60">
                  <c:v>0.96031666666666671</c:v>
                </c:pt>
                <c:pt idx="61">
                  <c:v>0.9613666666666667</c:v>
                </c:pt>
                <c:pt idx="62">
                  <c:v>0.96116666666666661</c:v>
                </c:pt>
                <c:pt idx="63">
                  <c:v>0.95923333333333338</c:v>
                </c:pt>
                <c:pt idx="64">
                  <c:v>0.96248333333333336</c:v>
                </c:pt>
                <c:pt idx="65">
                  <c:v>0.96094999999999997</c:v>
                </c:pt>
                <c:pt idx="66">
                  <c:v>0.96091666666666664</c:v>
                </c:pt>
                <c:pt idx="67">
                  <c:v>0.96200833333333335</c:v>
                </c:pt>
                <c:pt idx="68">
                  <c:v>0.96123333333333327</c:v>
                </c:pt>
                <c:pt idx="69">
                  <c:v>0.96066666666666667</c:v>
                </c:pt>
                <c:pt idx="70">
                  <c:v>0.96343333333333336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E5-4C81-A1A8-79C1BE190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957040"/>
        <c:axId val="1824937840"/>
      </c:scatterChart>
      <c:scatterChart>
        <c:scatterStyle val="smoothMarker"/>
        <c:varyColors val="0"/>
        <c:ser>
          <c:idx val="2"/>
          <c:order val="2"/>
          <c:tx>
            <c:strRef>
              <c:f>'mnist 1 sorted merged'!$T$1</c:f>
              <c:strCache>
                <c:ptCount val="1"/>
                <c:pt idx="0">
                  <c:v>KAN_steps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'mnist 1 sorted merged'!$Q$2:$Q$72</c:f>
              <c:numCache>
                <c:formatCode>General</c:formatCode>
                <c:ptCount val="71"/>
                <c:pt idx="0">
                  <c:v>377545</c:v>
                </c:pt>
                <c:pt idx="1">
                  <c:v>424735</c:v>
                </c:pt>
                <c:pt idx="2">
                  <c:v>471925</c:v>
                </c:pt>
                <c:pt idx="3">
                  <c:v>471925</c:v>
                </c:pt>
                <c:pt idx="4">
                  <c:v>519115</c:v>
                </c:pt>
                <c:pt idx="5">
                  <c:v>519115</c:v>
                </c:pt>
                <c:pt idx="6">
                  <c:v>566305</c:v>
                </c:pt>
                <c:pt idx="7">
                  <c:v>613495</c:v>
                </c:pt>
                <c:pt idx="8">
                  <c:v>660685</c:v>
                </c:pt>
                <c:pt idx="9">
                  <c:v>707875</c:v>
                </c:pt>
                <c:pt idx="10">
                  <c:v>755065</c:v>
                </c:pt>
                <c:pt idx="11">
                  <c:v>755080</c:v>
                </c:pt>
                <c:pt idx="12">
                  <c:v>802255</c:v>
                </c:pt>
                <c:pt idx="13">
                  <c:v>849460</c:v>
                </c:pt>
                <c:pt idx="14">
                  <c:v>943840</c:v>
                </c:pt>
                <c:pt idx="15">
                  <c:v>943840</c:v>
                </c:pt>
                <c:pt idx="16">
                  <c:v>1038220</c:v>
                </c:pt>
                <c:pt idx="17">
                  <c:v>1038220</c:v>
                </c:pt>
                <c:pt idx="18">
                  <c:v>1132600</c:v>
                </c:pt>
                <c:pt idx="19">
                  <c:v>1226980</c:v>
                </c:pt>
                <c:pt idx="20">
                  <c:v>1321360</c:v>
                </c:pt>
                <c:pt idx="21">
                  <c:v>1415740</c:v>
                </c:pt>
                <c:pt idx="22">
                  <c:v>1510120</c:v>
                </c:pt>
                <c:pt idx="23">
                  <c:v>1510150</c:v>
                </c:pt>
                <c:pt idx="24">
                  <c:v>1604500</c:v>
                </c:pt>
                <c:pt idx="25">
                  <c:v>1698910</c:v>
                </c:pt>
                <c:pt idx="26">
                  <c:v>1887670</c:v>
                </c:pt>
                <c:pt idx="27">
                  <c:v>1887670</c:v>
                </c:pt>
                <c:pt idx="28">
                  <c:v>2076430</c:v>
                </c:pt>
                <c:pt idx="29">
                  <c:v>2076430</c:v>
                </c:pt>
                <c:pt idx="30">
                  <c:v>2265190</c:v>
                </c:pt>
                <c:pt idx="31">
                  <c:v>2453950</c:v>
                </c:pt>
                <c:pt idx="32">
                  <c:v>2516910</c:v>
                </c:pt>
                <c:pt idx="33">
                  <c:v>2642710</c:v>
                </c:pt>
                <c:pt idx="34">
                  <c:v>2831470</c:v>
                </c:pt>
                <c:pt idx="35">
                  <c:v>2831510</c:v>
                </c:pt>
                <c:pt idx="36">
                  <c:v>3020230</c:v>
                </c:pt>
                <c:pt idx="37">
                  <c:v>3146110</c:v>
                </c:pt>
                <c:pt idx="38">
                  <c:v>3146110</c:v>
                </c:pt>
                <c:pt idx="39">
                  <c:v>3208990</c:v>
                </c:pt>
                <c:pt idx="40">
                  <c:v>3460710</c:v>
                </c:pt>
                <c:pt idx="41">
                  <c:v>3460710</c:v>
                </c:pt>
                <c:pt idx="42">
                  <c:v>3775310</c:v>
                </c:pt>
                <c:pt idx="43">
                  <c:v>4089910</c:v>
                </c:pt>
                <c:pt idx="44">
                  <c:v>4404510</c:v>
                </c:pt>
                <c:pt idx="45">
                  <c:v>4719110</c:v>
                </c:pt>
                <c:pt idx="46">
                  <c:v>5033710</c:v>
                </c:pt>
                <c:pt idx="47">
                  <c:v>5348310</c:v>
                </c:pt>
                <c:pt idx="48">
                  <c:v>7248650</c:v>
                </c:pt>
                <c:pt idx="49">
                  <c:v>8054026</c:v>
                </c:pt>
                <c:pt idx="50">
                  <c:v>8054026</c:v>
                </c:pt>
                <c:pt idx="51">
                  <c:v>8859402</c:v>
                </c:pt>
                <c:pt idx="52">
                  <c:v>8859402</c:v>
                </c:pt>
                <c:pt idx="53">
                  <c:v>9664778</c:v>
                </c:pt>
                <c:pt idx="54">
                  <c:v>10470154</c:v>
                </c:pt>
                <c:pt idx="55">
                  <c:v>11275530</c:v>
                </c:pt>
                <c:pt idx="56">
                  <c:v>12080906</c:v>
                </c:pt>
                <c:pt idx="57">
                  <c:v>12886282</c:v>
                </c:pt>
                <c:pt idx="58">
                  <c:v>13691658</c:v>
                </c:pt>
                <c:pt idx="59">
                  <c:v>25169010</c:v>
                </c:pt>
                <c:pt idx="60">
                  <c:v>28315010</c:v>
                </c:pt>
                <c:pt idx="61">
                  <c:v>31461010</c:v>
                </c:pt>
                <c:pt idx="62">
                  <c:v>31461010</c:v>
                </c:pt>
                <c:pt idx="63">
                  <c:v>34607010</c:v>
                </c:pt>
                <c:pt idx="64">
                  <c:v>34607010</c:v>
                </c:pt>
                <c:pt idx="65">
                  <c:v>37753010</c:v>
                </c:pt>
                <c:pt idx="66">
                  <c:v>40899010</c:v>
                </c:pt>
                <c:pt idx="67">
                  <c:v>44045010</c:v>
                </c:pt>
                <c:pt idx="68">
                  <c:v>47191010</c:v>
                </c:pt>
                <c:pt idx="69">
                  <c:v>50337010</c:v>
                </c:pt>
                <c:pt idx="70">
                  <c:v>53483010</c:v>
                </c:pt>
              </c:numCache>
            </c:numRef>
          </c:xVal>
          <c:yVal>
            <c:numRef>
              <c:f>'mnist 1 sorted merged'!$T$2:$T$72</c:f>
              <c:numCache>
                <c:formatCode>General</c:formatCode>
                <c:ptCount val="7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E5-4C81-A1A8-79C1BE190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935920"/>
        <c:axId val="1824948880"/>
      </c:scatterChart>
      <c:valAx>
        <c:axId val="182495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4937840"/>
        <c:crosses val="autoZero"/>
        <c:crossBetween val="midCat"/>
      </c:valAx>
      <c:valAx>
        <c:axId val="18249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4957040"/>
        <c:crosses val="autoZero"/>
        <c:crossBetween val="midCat"/>
      </c:valAx>
      <c:valAx>
        <c:axId val="1824948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4935920"/>
        <c:crosses val="max"/>
        <c:crossBetween val="midCat"/>
      </c:valAx>
      <c:valAx>
        <c:axId val="182493592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4948880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826310</xdr:colOff>
      <xdr:row>3</xdr:row>
      <xdr:rowOff>172959</xdr:rowOff>
    </xdr:from>
    <xdr:to>
      <xdr:col>6</xdr:col>
      <xdr:colOff>588066</xdr:colOff>
      <xdr:row>19</xdr:row>
      <xdr:rowOff>66260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96DC078-1045-4054-AAE0-4E17C02352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59E0435-D2D4-45F2-8A9A-25912D40A066}" autoFormatId="16" applyNumberFormats="0" applyBorderFormats="0" applyFontFormats="0" applyPatternFormats="0" applyAlignmentFormats="0" applyWidthHeightFormats="0">
  <queryTableRefresh nextId="16">
    <queryTableFields count="14">
      <queryTableField id="1" name="dataset_name" tableColumnId="1"/>
      <queryTableField id="2" name="kan_grid 1" tableColumnId="2"/>
      <queryTableField id="3" name="kan_degree 1" tableColumnId="3"/>
      <queryTableField id="4" name="kan_lam 1" tableColumnId="4"/>
      <queryTableField id="5" name="kan_width 1" tableColumnId="5"/>
      <queryTableField id="6" name="kan_grid 2" tableColumnId="6"/>
      <queryTableField id="7" name="kan_degree 2" tableColumnId="7"/>
      <queryTableField id="8" name="kan_lam 2" tableColumnId="8"/>
      <queryTableField id="9" name="kan_width 2" tableColumnId="9"/>
      <queryTableField id="10" name="kan_time_difference" tableColumnId="10"/>
      <queryTableField id="11" name="kan_params" tableColumnId="11"/>
      <queryTableField id="12" name="kan_val_acc" tableColumnId="12"/>
      <queryTableField id="13" name="kan_test_acc" tableColumnId="13"/>
      <queryTableField id="14" name="kan_steps" tableColumnId="14"/>
    </queryTableFields>
    <queryTableDeletedFields count="1">
      <deletedField name="Kolumna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1D73C-4035-4E0D-A367-181DA376F116}" name="mnist_1_sorted_merged" displayName="mnist_1_sorted_merged" ref="A1:N72" tableType="queryTable" totalsRowShown="0">
  <autoFilter ref="A1:N72" xr:uid="{D691D73C-4035-4E0D-A367-181DA376F116}"/>
  <sortState xmlns:xlrd2="http://schemas.microsoft.com/office/spreadsheetml/2017/richdata2" ref="A2:N72">
    <sortCondition ref="K1:K72"/>
  </sortState>
  <tableColumns count="14">
    <tableColumn id="1" xr3:uid="{39616126-E319-4375-9F88-732FEEF6062E}" uniqueName="1" name="dataset_name" queryTableFieldId="1" dataDxfId="2"/>
    <tableColumn id="2" xr3:uid="{66D1F934-7A6B-468D-89CA-36CCEC92EFE6}" uniqueName="2" name="kan_grid 1" queryTableFieldId="2"/>
    <tableColumn id="3" xr3:uid="{2488B070-BA35-4CAA-85B5-A4856F2A7B7B}" uniqueName="3" name="kan_degree 1" queryTableFieldId="3"/>
    <tableColumn id="4" xr3:uid="{5E6FD591-A188-4167-BC07-5C350D8BA01B}" uniqueName="4" name="kan_lam 1" queryTableFieldId="4"/>
    <tableColumn id="5" xr3:uid="{29CF2B49-4CB3-4644-9EB0-1CCAD2E3F043}" uniqueName="5" name="kan_width 1" queryTableFieldId="5" dataDxfId="1"/>
    <tableColumn id="6" xr3:uid="{F5DDEEC8-036E-4016-9E93-64282B8B157E}" uniqueName="6" name="kan_grid 2" queryTableFieldId="6"/>
    <tableColumn id="7" xr3:uid="{AA4A2996-C420-45DF-BCCF-02DB08F58F64}" uniqueName="7" name="kan_degree 2" queryTableFieldId="7"/>
    <tableColumn id="8" xr3:uid="{C8EF7991-6427-4E46-AC0F-BD30B043918F}" uniqueName="8" name="kan_lam 2" queryTableFieldId="8"/>
    <tableColumn id="9" xr3:uid="{5DB8B033-E67F-4725-A2F9-A6E615103101}" uniqueName="9" name="kan_width 2" queryTableFieldId="9" dataDxfId="0"/>
    <tableColumn id="10" xr3:uid="{5B4350A6-92CD-410D-90A7-C61788A8D1AC}" uniqueName="10" name="kan_time_difference" queryTableFieldId="10"/>
    <tableColumn id="11" xr3:uid="{851F1849-EB1A-4B47-B5DC-3D9C7B1FD0D9}" uniqueName="11" name="kan_params" queryTableFieldId="11"/>
    <tableColumn id="12" xr3:uid="{49EBB397-6800-4B34-A7FD-2185468B2182}" uniqueName="12" name="kan_val_acc" queryTableFieldId="12"/>
    <tableColumn id="13" xr3:uid="{3A4B2072-8D00-425D-B0FC-E356867F034B}" uniqueName="13" name="kan_test_acc" queryTableFieldId="13"/>
    <tableColumn id="14" xr3:uid="{AFB0C95A-D37A-452B-9AE6-789B7EEA2D97}" uniqueName="14" name="kan_steps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C04A3-A7E8-4F19-AEE0-3E969130B2DB}">
  <dimension ref="A1:AD72"/>
  <sheetViews>
    <sheetView tabSelected="1" zoomScale="85" zoomScaleNormal="85" workbookViewId="0">
      <selection activeCell="P3" sqref="P3"/>
    </sheetView>
  </sheetViews>
  <sheetFormatPr defaultRowHeight="15" x14ac:dyDescent="0.25"/>
  <cols>
    <col min="1" max="1" width="16" bestFit="1" customWidth="1"/>
    <col min="2" max="2" width="12.140625" bestFit="1" customWidth="1"/>
    <col min="3" max="3" width="15" bestFit="1" customWidth="1"/>
    <col min="4" max="4" width="12" bestFit="1" customWidth="1"/>
    <col min="5" max="5" width="13.7109375" bestFit="1" customWidth="1"/>
    <col min="6" max="6" width="12.140625" bestFit="1" customWidth="1"/>
    <col min="7" max="7" width="15" bestFit="1" customWidth="1"/>
    <col min="8" max="8" width="12" bestFit="1" customWidth="1"/>
    <col min="9" max="9" width="13.7109375" bestFit="1" customWidth="1"/>
    <col min="10" max="10" width="22" bestFit="1" customWidth="1"/>
    <col min="11" max="11" width="13.85546875" bestFit="1" customWidth="1"/>
    <col min="12" max="12" width="13.7109375" bestFit="1" customWidth="1"/>
    <col min="13" max="13" width="14.7109375" bestFit="1" customWidth="1"/>
    <col min="14" max="14" width="12.28515625" bestFit="1" customWidth="1"/>
    <col min="17" max="17" width="12.42578125" bestFit="1" customWidth="1"/>
    <col min="18" max="18" width="12.7109375" bestFit="1" customWidth="1"/>
    <col min="19" max="19" width="12.140625" bestFit="1" customWidth="1"/>
    <col min="20" max="20" width="10.28515625" bestFit="1" customWidth="1"/>
    <col min="21" max="24" width="10.2851562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Q1" t="s">
        <v>27</v>
      </c>
      <c r="R1" t="s">
        <v>28</v>
      </c>
      <c r="S1" t="s">
        <v>29</v>
      </c>
      <c r="T1" t="s">
        <v>30</v>
      </c>
      <c r="Y1" t="s">
        <v>31</v>
      </c>
    </row>
    <row r="2" spans="1:30" x14ac:dyDescent="0.25">
      <c r="A2" s="1" t="s">
        <v>14</v>
      </c>
      <c r="B2">
        <v>3</v>
      </c>
      <c r="C2">
        <v>2</v>
      </c>
      <c r="D2">
        <v>0</v>
      </c>
      <c r="E2" s="1" t="s">
        <v>19</v>
      </c>
      <c r="F2">
        <v>3</v>
      </c>
      <c r="G2">
        <v>2</v>
      </c>
      <c r="H2">
        <v>0</v>
      </c>
      <c r="I2" s="1" t="s">
        <v>20</v>
      </c>
      <c r="J2">
        <v>816574360.79999995</v>
      </c>
      <c r="K2">
        <v>377545</v>
      </c>
      <c r="L2">
        <v>0.91930000000000001</v>
      </c>
      <c r="M2">
        <v>0.97198000000000007</v>
      </c>
      <c r="N2">
        <v>3</v>
      </c>
      <c r="Q2">
        <f>mnist_1_sorted_merged[[#This Row],[kan_params]]</f>
        <v>377545</v>
      </c>
      <c r="R2">
        <f>mnist_1_sorted_merged[[#This Row],[kan_test_acc]]</f>
        <v>0.97198000000000007</v>
      </c>
      <c r="S2">
        <f>mnist_1_sorted_merged[[#This Row],[kan_val_acc]]</f>
        <v>0.91930000000000001</v>
      </c>
      <c r="T2">
        <f>mnist_1_sorted_merged[[#This Row],[kan_steps]]</f>
        <v>3</v>
      </c>
      <c r="Z2" t="str" cm="1">
        <f t="array" ref="Z2:AA2">_xlfn.TEXTSPLIT(MID(mnist_1_sorted_merged[[#This Row],[kan_width 1]],2,LEN(mnist_1_sorted_merged[[#This Row],[kan_width 1]])-2),", ")</f>
        <v>3136</v>
      </c>
      <c r="AA2" t="str">
        <v>15</v>
      </c>
      <c r="AB2" t="str" cm="1">
        <f t="array" ref="AB2:AC2">_xlfn.TEXTSPLIT(MID(mnist_1_sorted_merged[[#This Row],[kan_width 2]],2,LEN(mnist_1_sorted_merged[[#This Row],[kan_width 2]])-2),", ")</f>
        <v>15</v>
      </c>
      <c r="AC2" t="str">
        <v>10</v>
      </c>
      <c r="AD2">
        <f>(Z2*AA2)+AA2+(AB2*AC2)+AC2</f>
        <v>47215</v>
      </c>
    </row>
    <row r="3" spans="1:30" x14ac:dyDescent="0.25">
      <c r="A3" s="1" t="s">
        <v>14</v>
      </c>
      <c r="B3">
        <v>3</v>
      </c>
      <c r="C3">
        <v>3</v>
      </c>
      <c r="D3">
        <v>0</v>
      </c>
      <c r="E3" s="1" t="s">
        <v>19</v>
      </c>
      <c r="F3">
        <v>3</v>
      </c>
      <c r="G3">
        <v>3</v>
      </c>
      <c r="H3">
        <v>0</v>
      </c>
      <c r="I3" s="1" t="s">
        <v>20</v>
      </c>
      <c r="J3">
        <v>1191718880.4000001</v>
      </c>
      <c r="K3">
        <v>424735</v>
      </c>
      <c r="L3">
        <v>0.91895000000000004</v>
      </c>
      <c r="M3">
        <v>0.97272000000000003</v>
      </c>
      <c r="N3">
        <v>3</v>
      </c>
      <c r="Q3">
        <f>mnist_1_sorted_merged[[#This Row],[kan_params]]</f>
        <v>424735</v>
      </c>
      <c r="R3">
        <f>mnist_1_sorted_merged[[#This Row],[kan_test_acc]]</f>
        <v>0.97272000000000003</v>
      </c>
      <c r="S3">
        <f>mnist_1_sorted_merged[[#This Row],[kan_val_acc]]</f>
        <v>0.91895000000000004</v>
      </c>
      <c r="T3">
        <f>mnist_1_sorted_merged[[#This Row],[kan_steps]]</f>
        <v>3</v>
      </c>
      <c r="Z3" t="str" cm="1">
        <f t="array" ref="Z3:AA3">_xlfn.TEXTSPLIT(MID(mnist_1_sorted_merged[[#This Row],[kan_width 1]],2,LEN(mnist_1_sorted_merged[[#This Row],[kan_width 1]])-2),", ")</f>
        <v>3136</v>
      </c>
      <c r="AA3" t="str">
        <v>15</v>
      </c>
      <c r="AB3" t="str" cm="1">
        <f t="array" ref="AB3:AC3">_xlfn.TEXTSPLIT(MID(mnist_1_sorted_merged[[#This Row],[kan_width 2]],2,LEN(mnist_1_sorted_merged[[#This Row],[kan_width 2]])-2),", ")</f>
        <v>15</v>
      </c>
      <c r="AC3" t="str">
        <v>10</v>
      </c>
      <c r="AD3">
        <f t="shared" ref="AD3:AD66" si="0">(Z3*AA3)+AA3+(AB3*AC3)+AC3</f>
        <v>47215</v>
      </c>
    </row>
    <row r="4" spans="1:30" x14ac:dyDescent="0.25">
      <c r="A4" s="1" t="s">
        <v>14</v>
      </c>
      <c r="B4">
        <v>3</v>
      </c>
      <c r="C4">
        <v>4</v>
      </c>
      <c r="D4">
        <v>0</v>
      </c>
      <c r="E4" s="1" t="s">
        <v>19</v>
      </c>
      <c r="F4">
        <v>3</v>
      </c>
      <c r="G4">
        <v>4</v>
      </c>
      <c r="H4">
        <v>0</v>
      </c>
      <c r="I4" s="1" t="s">
        <v>20</v>
      </c>
      <c r="J4">
        <v>1673396428.2</v>
      </c>
      <c r="K4">
        <v>471925</v>
      </c>
      <c r="L4">
        <v>0.92205000000000004</v>
      </c>
      <c r="M4">
        <v>0.97406000000000004</v>
      </c>
      <c r="N4">
        <v>3</v>
      </c>
      <c r="Q4">
        <f>mnist_1_sorted_merged[[#This Row],[kan_params]]</f>
        <v>471925</v>
      </c>
      <c r="R4">
        <f>mnist_1_sorted_merged[[#This Row],[kan_test_acc]]</f>
        <v>0.97406000000000004</v>
      </c>
      <c r="S4">
        <f>mnist_1_sorted_merged[[#This Row],[kan_val_acc]]</f>
        <v>0.92205000000000004</v>
      </c>
      <c r="T4">
        <f>mnist_1_sorted_merged[[#This Row],[kan_steps]]</f>
        <v>3</v>
      </c>
      <c r="Z4" t="str" cm="1">
        <f t="array" ref="Z4:AA4">_xlfn.TEXTSPLIT(MID(mnist_1_sorted_merged[[#This Row],[kan_width 1]],2,LEN(mnist_1_sorted_merged[[#This Row],[kan_width 1]])-2),", ")</f>
        <v>3136</v>
      </c>
      <c r="AA4" t="str">
        <v>15</v>
      </c>
      <c r="AB4" t="str" cm="1">
        <f t="array" ref="AB4:AC4">_xlfn.TEXTSPLIT(MID(mnist_1_sorted_merged[[#This Row],[kan_width 2]],2,LEN(mnist_1_sorted_merged[[#This Row],[kan_width 2]])-2),", ")</f>
        <v>15</v>
      </c>
      <c r="AC4" t="str">
        <v>10</v>
      </c>
      <c r="AD4">
        <f t="shared" si="0"/>
        <v>47215</v>
      </c>
    </row>
    <row r="5" spans="1:30" x14ac:dyDescent="0.25">
      <c r="A5" s="1" t="s">
        <v>14</v>
      </c>
      <c r="B5">
        <v>5</v>
      </c>
      <c r="C5">
        <v>2</v>
      </c>
      <c r="D5">
        <v>0</v>
      </c>
      <c r="E5" s="1" t="s">
        <v>19</v>
      </c>
      <c r="F5">
        <v>5</v>
      </c>
      <c r="G5">
        <v>2</v>
      </c>
      <c r="H5">
        <v>0</v>
      </c>
      <c r="I5" s="1" t="s">
        <v>20</v>
      </c>
      <c r="J5">
        <v>932059103</v>
      </c>
      <c r="K5">
        <v>471925</v>
      </c>
      <c r="L5">
        <v>0.91986666666666672</v>
      </c>
      <c r="M5">
        <v>0.97302</v>
      </c>
      <c r="N5">
        <v>3</v>
      </c>
      <c r="Q5">
        <f>mnist_1_sorted_merged[[#This Row],[kan_params]]</f>
        <v>471925</v>
      </c>
      <c r="R5">
        <f>mnist_1_sorted_merged[[#This Row],[kan_test_acc]]</f>
        <v>0.97302</v>
      </c>
      <c r="S5">
        <f>mnist_1_sorted_merged[[#This Row],[kan_val_acc]]</f>
        <v>0.91986666666666672</v>
      </c>
      <c r="T5">
        <f>mnist_1_sorted_merged[[#This Row],[kan_steps]]</f>
        <v>3</v>
      </c>
      <c r="Z5" t="str" cm="1">
        <f t="array" ref="Z5:AA5">_xlfn.TEXTSPLIT(MID(mnist_1_sorted_merged[[#This Row],[kan_width 1]],2,LEN(mnist_1_sorted_merged[[#This Row],[kan_width 1]])-2),", ")</f>
        <v>3136</v>
      </c>
      <c r="AA5" t="str">
        <v>15</v>
      </c>
      <c r="AB5" t="str" cm="1">
        <f t="array" ref="AB5:AC5">_xlfn.TEXTSPLIT(MID(mnist_1_sorted_merged[[#This Row],[kan_width 2]],2,LEN(mnist_1_sorted_merged[[#This Row],[kan_width 2]])-2),", ")</f>
        <v>15</v>
      </c>
      <c r="AC5" t="str">
        <v>10</v>
      </c>
      <c r="AD5">
        <f t="shared" si="0"/>
        <v>47215</v>
      </c>
    </row>
    <row r="6" spans="1:30" x14ac:dyDescent="0.25">
      <c r="A6" s="1" t="s">
        <v>14</v>
      </c>
      <c r="B6">
        <v>3</v>
      </c>
      <c r="C6">
        <v>5</v>
      </c>
      <c r="D6">
        <v>0</v>
      </c>
      <c r="E6" s="1" t="s">
        <v>19</v>
      </c>
      <c r="F6">
        <v>3</v>
      </c>
      <c r="G6">
        <v>5</v>
      </c>
      <c r="H6">
        <v>0</v>
      </c>
      <c r="I6" s="1" t="s">
        <v>20</v>
      </c>
      <c r="J6">
        <v>2234305006.4000001</v>
      </c>
      <c r="K6">
        <v>519115</v>
      </c>
      <c r="L6">
        <v>0.92193333333333327</v>
      </c>
      <c r="M6">
        <v>0.97372000000000003</v>
      </c>
      <c r="N6">
        <v>3</v>
      </c>
      <c r="Q6">
        <f>mnist_1_sorted_merged[[#This Row],[kan_params]]</f>
        <v>519115</v>
      </c>
      <c r="R6">
        <f>mnist_1_sorted_merged[[#This Row],[kan_test_acc]]</f>
        <v>0.97372000000000003</v>
      </c>
      <c r="S6">
        <f>mnist_1_sorted_merged[[#This Row],[kan_val_acc]]</f>
        <v>0.92193333333333327</v>
      </c>
      <c r="T6">
        <f>mnist_1_sorted_merged[[#This Row],[kan_steps]]</f>
        <v>3</v>
      </c>
      <c r="Z6" t="str" cm="1">
        <f t="array" ref="Z6:AA6">_xlfn.TEXTSPLIT(MID(mnist_1_sorted_merged[[#This Row],[kan_width 1]],2,LEN(mnist_1_sorted_merged[[#This Row],[kan_width 1]])-2),", ")</f>
        <v>3136</v>
      </c>
      <c r="AA6" t="str">
        <v>15</v>
      </c>
      <c r="AB6" t="str" cm="1">
        <f t="array" ref="AB6:AC6">_xlfn.TEXTSPLIT(MID(mnist_1_sorted_merged[[#This Row],[kan_width 2]],2,LEN(mnist_1_sorted_merged[[#This Row],[kan_width 2]])-2),", ")</f>
        <v>15</v>
      </c>
      <c r="AC6" t="str">
        <v>10</v>
      </c>
      <c r="AD6">
        <f t="shared" si="0"/>
        <v>47215</v>
      </c>
    </row>
    <row r="7" spans="1:30" x14ac:dyDescent="0.25">
      <c r="A7" s="1" t="s">
        <v>14</v>
      </c>
      <c r="B7">
        <v>5</v>
      </c>
      <c r="C7">
        <v>3</v>
      </c>
      <c r="D7">
        <v>0</v>
      </c>
      <c r="E7" s="1" t="s">
        <v>19</v>
      </c>
      <c r="F7">
        <v>5</v>
      </c>
      <c r="G7">
        <v>3</v>
      </c>
      <c r="H7">
        <v>0</v>
      </c>
      <c r="I7" s="1" t="s">
        <v>20</v>
      </c>
      <c r="J7">
        <v>1373529929.4000001</v>
      </c>
      <c r="K7">
        <v>519115</v>
      </c>
      <c r="L7">
        <v>0.92186666666666661</v>
      </c>
      <c r="M7">
        <v>0.97409999999999997</v>
      </c>
      <c r="N7">
        <v>3</v>
      </c>
      <c r="Q7">
        <f>mnist_1_sorted_merged[[#This Row],[kan_params]]</f>
        <v>519115</v>
      </c>
      <c r="R7">
        <f>mnist_1_sorted_merged[[#This Row],[kan_test_acc]]</f>
        <v>0.97409999999999997</v>
      </c>
      <c r="S7">
        <f>mnist_1_sorted_merged[[#This Row],[kan_val_acc]]</f>
        <v>0.92186666666666661</v>
      </c>
      <c r="T7">
        <f>mnist_1_sorted_merged[[#This Row],[kan_steps]]</f>
        <v>3</v>
      </c>
      <c r="Z7" t="str" cm="1">
        <f t="array" ref="Z7:AA7">_xlfn.TEXTSPLIT(MID(mnist_1_sorted_merged[[#This Row],[kan_width 1]],2,LEN(mnist_1_sorted_merged[[#This Row],[kan_width 1]])-2),", ")</f>
        <v>3136</v>
      </c>
      <c r="AA7" t="str">
        <v>15</v>
      </c>
      <c r="AB7" t="str" cm="1">
        <f t="array" ref="AB7:AC7">_xlfn.TEXTSPLIT(MID(mnist_1_sorted_merged[[#This Row],[kan_width 2]],2,LEN(mnist_1_sorted_merged[[#This Row],[kan_width 2]])-2),", ")</f>
        <v>15</v>
      </c>
      <c r="AC7" t="str">
        <v>10</v>
      </c>
      <c r="AD7">
        <f t="shared" si="0"/>
        <v>47215</v>
      </c>
    </row>
    <row r="8" spans="1:30" x14ac:dyDescent="0.25">
      <c r="A8" s="1" t="s">
        <v>14</v>
      </c>
      <c r="B8">
        <v>5</v>
      </c>
      <c r="C8">
        <v>4</v>
      </c>
      <c r="D8">
        <v>0</v>
      </c>
      <c r="E8" s="1" t="s">
        <v>19</v>
      </c>
      <c r="F8">
        <v>5</v>
      </c>
      <c r="G8">
        <v>4</v>
      </c>
      <c r="H8">
        <v>0</v>
      </c>
      <c r="I8" s="1" t="s">
        <v>20</v>
      </c>
      <c r="J8">
        <v>1808470917.2</v>
      </c>
      <c r="K8">
        <v>566305</v>
      </c>
      <c r="L8">
        <v>0.9281166666666667</v>
      </c>
      <c r="M8">
        <v>0.97384000000000004</v>
      </c>
      <c r="N8">
        <v>3</v>
      </c>
      <c r="Q8">
        <f>mnist_1_sorted_merged[[#This Row],[kan_params]]</f>
        <v>566305</v>
      </c>
      <c r="R8">
        <f>mnist_1_sorted_merged[[#This Row],[kan_test_acc]]</f>
        <v>0.97384000000000004</v>
      </c>
      <c r="S8">
        <f>mnist_1_sorted_merged[[#This Row],[kan_val_acc]]</f>
        <v>0.9281166666666667</v>
      </c>
      <c r="T8">
        <f>mnist_1_sorted_merged[[#This Row],[kan_steps]]</f>
        <v>3</v>
      </c>
      <c r="Z8" t="str" cm="1">
        <f t="array" ref="Z8:AA8">_xlfn.TEXTSPLIT(MID(mnist_1_sorted_merged[[#This Row],[kan_width 1]],2,LEN(mnist_1_sorted_merged[[#This Row],[kan_width 1]])-2),", ")</f>
        <v>3136</v>
      </c>
      <c r="AA8" t="str">
        <v>15</v>
      </c>
      <c r="AB8" t="str" cm="1">
        <f t="array" ref="AB8:AC8">_xlfn.TEXTSPLIT(MID(mnist_1_sorted_merged[[#This Row],[kan_width 2]],2,LEN(mnist_1_sorted_merged[[#This Row],[kan_width 2]])-2),", ")</f>
        <v>15</v>
      </c>
      <c r="AC8" t="str">
        <v>10</v>
      </c>
      <c r="AD8">
        <f t="shared" si="0"/>
        <v>47215</v>
      </c>
    </row>
    <row r="9" spans="1:30" x14ac:dyDescent="0.25">
      <c r="A9" s="1" t="s">
        <v>14</v>
      </c>
      <c r="B9">
        <v>5</v>
      </c>
      <c r="C9">
        <v>5</v>
      </c>
      <c r="D9">
        <v>0</v>
      </c>
      <c r="E9" s="1" t="s">
        <v>19</v>
      </c>
      <c r="F9">
        <v>5</v>
      </c>
      <c r="G9">
        <v>5</v>
      </c>
      <c r="H9">
        <v>0</v>
      </c>
      <c r="I9" s="1" t="s">
        <v>20</v>
      </c>
      <c r="J9">
        <v>2455808859.4000001</v>
      </c>
      <c r="K9">
        <v>613495</v>
      </c>
      <c r="L9">
        <v>0.92895000000000005</v>
      </c>
      <c r="M9">
        <v>0.97363999999999995</v>
      </c>
      <c r="N9">
        <v>3</v>
      </c>
      <c r="Q9">
        <f>mnist_1_sorted_merged[[#This Row],[kan_params]]</f>
        <v>613495</v>
      </c>
      <c r="R9">
        <f>mnist_1_sorted_merged[[#This Row],[kan_test_acc]]</f>
        <v>0.97363999999999995</v>
      </c>
      <c r="S9">
        <f>mnist_1_sorted_merged[[#This Row],[kan_val_acc]]</f>
        <v>0.92895000000000005</v>
      </c>
      <c r="T9">
        <f>mnist_1_sorted_merged[[#This Row],[kan_steps]]</f>
        <v>3</v>
      </c>
      <c r="Z9" t="str" cm="1">
        <f t="array" ref="Z9:AA9">_xlfn.TEXTSPLIT(MID(mnist_1_sorted_merged[[#This Row],[kan_width 1]],2,LEN(mnist_1_sorted_merged[[#This Row],[kan_width 1]])-2),", ")</f>
        <v>3136</v>
      </c>
      <c r="AA9" t="str">
        <v>15</v>
      </c>
      <c r="AB9" t="str" cm="1">
        <f t="array" ref="AB9:AC9">_xlfn.TEXTSPLIT(MID(mnist_1_sorted_merged[[#This Row],[kan_width 2]],2,LEN(mnist_1_sorted_merged[[#This Row],[kan_width 2]])-2),", ")</f>
        <v>15</v>
      </c>
      <c r="AC9" t="str">
        <v>10</v>
      </c>
      <c r="AD9">
        <f t="shared" si="0"/>
        <v>47215</v>
      </c>
    </row>
    <row r="10" spans="1:30" x14ac:dyDescent="0.25">
      <c r="A10" s="1" t="s">
        <v>14</v>
      </c>
      <c r="B10">
        <v>9</v>
      </c>
      <c r="C10">
        <v>2</v>
      </c>
      <c r="D10">
        <v>0</v>
      </c>
      <c r="E10" s="1" t="s">
        <v>19</v>
      </c>
      <c r="F10">
        <v>9</v>
      </c>
      <c r="G10">
        <v>2</v>
      </c>
      <c r="H10">
        <v>0</v>
      </c>
      <c r="I10" s="1" t="s">
        <v>20</v>
      </c>
      <c r="J10">
        <v>1143465721</v>
      </c>
      <c r="K10">
        <v>660685</v>
      </c>
      <c r="L10">
        <v>0.92166666666666663</v>
      </c>
      <c r="M10">
        <v>0.97220000000000006</v>
      </c>
      <c r="N10">
        <v>3</v>
      </c>
      <c r="Q10">
        <f>mnist_1_sorted_merged[[#This Row],[kan_params]]</f>
        <v>660685</v>
      </c>
      <c r="R10">
        <f>mnist_1_sorted_merged[[#This Row],[kan_test_acc]]</f>
        <v>0.97220000000000006</v>
      </c>
      <c r="S10">
        <f>mnist_1_sorted_merged[[#This Row],[kan_val_acc]]</f>
        <v>0.92166666666666663</v>
      </c>
      <c r="T10">
        <f>mnist_1_sorted_merged[[#This Row],[kan_steps]]</f>
        <v>3</v>
      </c>
      <c r="Z10" t="str" cm="1">
        <f t="array" ref="Z10:AA10">_xlfn.TEXTSPLIT(MID(mnist_1_sorted_merged[[#This Row],[kan_width 1]],2,LEN(mnist_1_sorted_merged[[#This Row],[kan_width 1]])-2),", ")</f>
        <v>3136</v>
      </c>
      <c r="AA10" t="str">
        <v>15</v>
      </c>
      <c r="AB10" t="str" cm="1">
        <f t="array" ref="AB10:AC10">_xlfn.TEXTSPLIT(MID(mnist_1_sorted_merged[[#This Row],[kan_width 2]],2,LEN(mnist_1_sorted_merged[[#This Row],[kan_width 2]])-2),", ")</f>
        <v>15</v>
      </c>
      <c r="AC10" t="str">
        <v>10</v>
      </c>
      <c r="AD10">
        <f t="shared" si="0"/>
        <v>47215</v>
      </c>
    </row>
    <row r="11" spans="1:30" x14ac:dyDescent="0.25">
      <c r="A11" s="1" t="s">
        <v>14</v>
      </c>
      <c r="B11">
        <v>9</v>
      </c>
      <c r="C11">
        <v>3</v>
      </c>
      <c r="D11">
        <v>0</v>
      </c>
      <c r="E11" s="1" t="s">
        <v>19</v>
      </c>
      <c r="F11">
        <v>9</v>
      </c>
      <c r="G11">
        <v>3</v>
      </c>
      <c r="H11">
        <v>0</v>
      </c>
      <c r="I11" s="1" t="s">
        <v>20</v>
      </c>
      <c r="J11">
        <v>1708802115.5999999</v>
      </c>
      <c r="K11">
        <v>707875</v>
      </c>
      <c r="L11">
        <v>0.92643333333333333</v>
      </c>
      <c r="M11">
        <v>0.97196000000000005</v>
      </c>
      <c r="N11">
        <v>3</v>
      </c>
      <c r="Q11">
        <f>mnist_1_sorted_merged[[#This Row],[kan_params]]</f>
        <v>707875</v>
      </c>
      <c r="R11">
        <f>mnist_1_sorted_merged[[#This Row],[kan_test_acc]]</f>
        <v>0.97196000000000005</v>
      </c>
      <c r="S11">
        <f>mnist_1_sorted_merged[[#This Row],[kan_val_acc]]</f>
        <v>0.92643333333333333</v>
      </c>
      <c r="T11">
        <f>mnist_1_sorted_merged[[#This Row],[kan_steps]]</f>
        <v>3</v>
      </c>
      <c r="Z11" t="str" cm="1">
        <f t="array" ref="Z11:AA11">_xlfn.TEXTSPLIT(MID(mnist_1_sorted_merged[[#This Row],[kan_width 1]],2,LEN(mnist_1_sorted_merged[[#This Row],[kan_width 1]])-2),", ")</f>
        <v>3136</v>
      </c>
      <c r="AA11" t="str">
        <v>15</v>
      </c>
      <c r="AB11" t="str" cm="1">
        <f t="array" ref="AB11:AC11">_xlfn.TEXTSPLIT(MID(mnist_1_sorted_merged[[#This Row],[kan_width 2]],2,LEN(mnist_1_sorted_merged[[#This Row],[kan_width 2]])-2),", ")</f>
        <v>15</v>
      </c>
      <c r="AC11" t="str">
        <v>10</v>
      </c>
      <c r="AD11">
        <f t="shared" si="0"/>
        <v>47215</v>
      </c>
    </row>
    <row r="12" spans="1:30" x14ac:dyDescent="0.25">
      <c r="A12" s="1" t="s">
        <v>14</v>
      </c>
      <c r="B12">
        <v>9</v>
      </c>
      <c r="C12">
        <v>4</v>
      </c>
      <c r="D12">
        <v>0</v>
      </c>
      <c r="E12" s="1" t="s">
        <v>19</v>
      </c>
      <c r="F12">
        <v>9</v>
      </c>
      <c r="G12">
        <v>4</v>
      </c>
      <c r="H12">
        <v>0</v>
      </c>
      <c r="I12" s="1" t="s">
        <v>20</v>
      </c>
      <c r="J12">
        <v>1875109765.5999999</v>
      </c>
      <c r="K12">
        <v>755065</v>
      </c>
      <c r="L12">
        <v>0.92854999999999999</v>
      </c>
      <c r="M12">
        <v>0.97394000000000003</v>
      </c>
      <c r="N12">
        <v>3</v>
      </c>
      <c r="Q12">
        <f>mnist_1_sorted_merged[[#This Row],[kan_params]]</f>
        <v>755065</v>
      </c>
      <c r="R12">
        <f>mnist_1_sorted_merged[[#This Row],[kan_test_acc]]</f>
        <v>0.97394000000000003</v>
      </c>
      <c r="S12">
        <f>mnist_1_sorted_merged[[#This Row],[kan_val_acc]]</f>
        <v>0.92854999999999999</v>
      </c>
      <c r="T12">
        <f>mnist_1_sorted_merged[[#This Row],[kan_steps]]</f>
        <v>3</v>
      </c>
      <c r="Z12" t="str" cm="1">
        <f t="array" ref="Z12:AA12">_xlfn.TEXTSPLIT(MID(mnist_1_sorted_merged[[#This Row],[kan_width 1]],2,LEN(mnist_1_sorted_merged[[#This Row],[kan_width 1]])-2),", ")</f>
        <v>3136</v>
      </c>
      <c r="AA12" t="str">
        <v>15</v>
      </c>
      <c r="AB12" t="str" cm="1">
        <f t="array" ref="AB12:AC12">_xlfn.TEXTSPLIT(MID(mnist_1_sorted_merged[[#This Row],[kan_width 2]],2,LEN(mnist_1_sorted_merged[[#This Row],[kan_width 2]])-2),", ")</f>
        <v>15</v>
      </c>
      <c r="AC12" t="str">
        <v>10</v>
      </c>
      <c r="AD12">
        <f t="shared" si="0"/>
        <v>47215</v>
      </c>
    </row>
    <row r="13" spans="1:30" x14ac:dyDescent="0.25">
      <c r="A13" s="1" t="s">
        <v>14</v>
      </c>
      <c r="B13">
        <v>3</v>
      </c>
      <c r="C13">
        <v>2</v>
      </c>
      <c r="D13">
        <v>0</v>
      </c>
      <c r="E13" s="1" t="s">
        <v>21</v>
      </c>
      <c r="F13">
        <v>3</v>
      </c>
      <c r="G13">
        <v>2</v>
      </c>
      <c r="H13">
        <v>0</v>
      </c>
      <c r="I13" s="1" t="s">
        <v>22</v>
      </c>
      <c r="J13">
        <v>742983514.60000002</v>
      </c>
      <c r="K13">
        <v>755080</v>
      </c>
      <c r="L13">
        <v>0.94020000000000004</v>
      </c>
      <c r="M13">
        <v>0.97751999999999994</v>
      </c>
      <c r="N13">
        <v>3</v>
      </c>
      <c r="Q13">
        <f>mnist_1_sorted_merged[[#This Row],[kan_params]]</f>
        <v>755080</v>
      </c>
      <c r="R13">
        <f>mnist_1_sorted_merged[[#This Row],[kan_test_acc]]</f>
        <v>0.97751999999999994</v>
      </c>
      <c r="S13">
        <f>mnist_1_sorted_merged[[#This Row],[kan_val_acc]]</f>
        <v>0.94020000000000004</v>
      </c>
      <c r="T13">
        <f>mnist_1_sorted_merged[[#This Row],[kan_steps]]</f>
        <v>3</v>
      </c>
      <c r="Z13" t="str" cm="1">
        <f t="array" ref="Z13:AA13">_xlfn.TEXTSPLIT(MID(mnist_1_sorted_merged[[#This Row],[kan_width 1]],2,LEN(mnist_1_sorted_merged[[#This Row],[kan_width 1]])-2),", ")</f>
        <v>3136</v>
      </c>
      <c r="AA13" t="str">
        <v>30</v>
      </c>
      <c r="AB13" t="str" cm="1">
        <f t="array" ref="AB13:AC13">_xlfn.TEXTSPLIT(MID(mnist_1_sorted_merged[[#This Row],[kan_width 2]],2,LEN(mnist_1_sorted_merged[[#This Row],[kan_width 2]])-2),", ")</f>
        <v>30</v>
      </c>
      <c r="AC13" t="str">
        <v>10</v>
      </c>
      <c r="AD13">
        <f t="shared" si="0"/>
        <v>94420</v>
      </c>
    </row>
    <row r="14" spans="1:30" x14ac:dyDescent="0.25">
      <c r="A14" s="1" t="s">
        <v>14</v>
      </c>
      <c r="B14">
        <v>9</v>
      </c>
      <c r="C14">
        <v>5</v>
      </c>
      <c r="D14">
        <v>0</v>
      </c>
      <c r="E14" s="1" t="s">
        <v>19</v>
      </c>
      <c r="F14">
        <v>9</v>
      </c>
      <c r="G14">
        <v>5</v>
      </c>
      <c r="H14">
        <v>0</v>
      </c>
      <c r="I14" s="1" t="s">
        <v>20</v>
      </c>
      <c r="J14">
        <v>1640961368</v>
      </c>
      <c r="K14">
        <v>802255</v>
      </c>
      <c r="L14">
        <v>0.92471666666666663</v>
      </c>
      <c r="M14">
        <v>0.97426000000000001</v>
      </c>
      <c r="N14">
        <v>3</v>
      </c>
      <c r="Q14">
        <f>mnist_1_sorted_merged[[#This Row],[kan_params]]</f>
        <v>802255</v>
      </c>
      <c r="R14">
        <f>mnist_1_sorted_merged[[#This Row],[kan_test_acc]]</f>
        <v>0.97426000000000001</v>
      </c>
      <c r="S14">
        <f>mnist_1_sorted_merged[[#This Row],[kan_val_acc]]</f>
        <v>0.92471666666666663</v>
      </c>
      <c r="T14">
        <f>mnist_1_sorted_merged[[#This Row],[kan_steps]]</f>
        <v>3</v>
      </c>
      <c r="Z14" t="str" cm="1">
        <f t="array" ref="Z14:AA14">_xlfn.TEXTSPLIT(MID(mnist_1_sorted_merged[[#This Row],[kan_width 1]],2,LEN(mnist_1_sorted_merged[[#This Row],[kan_width 1]])-2),", ")</f>
        <v>3136</v>
      </c>
      <c r="AA14" t="str">
        <v>15</v>
      </c>
      <c r="AB14" t="str" cm="1">
        <f t="array" ref="AB14:AC14">_xlfn.TEXTSPLIT(MID(mnist_1_sorted_merged[[#This Row],[kan_width 2]],2,LEN(mnist_1_sorted_merged[[#This Row],[kan_width 2]])-2),", ")</f>
        <v>15</v>
      </c>
      <c r="AC14" t="str">
        <v>10</v>
      </c>
      <c r="AD14">
        <f t="shared" si="0"/>
        <v>47215</v>
      </c>
    </row>
    <row r="15" spans="1:30" x14ac:dyDescent="0.25">
      <c r="A15" s="1" t="s">
        <v>14</v>
      </c>
      <c r="B15">
        <v>3</v>
      </c>
      <c r="C15">
        <v>3</v>
      </c>
      <c r="D15">
        <v>0</v>
      </c>
      <c r="E15" s="1" t="s">
        <v>21</v>
      </c>
      <c r="F15">
        <v>3</v>
      </c>
      <c r="G15">
        <v>3</v>
      </c>
      <c r="H15">
        <v>0</v>
      </c>
      <c r="I15" s="1" t="s">
        <v>22</v>
      </c>
      <c r="J15">
        <v>1089798369</v>
      </c>
      <c r="K15">
        <v>849460</v>
      </c>
      <c r="L15">
        <v>0.93836666666666668</v>
      </c>
      <c r="M15">
        <v>0.97802</v>
      </c>
      <c r="N15">
        <v>3</v>
      </c>
      <c r="Q15">
        <f>mnist_1_sorted_merged[[#This Row],[kan_params]]</f>
        <v>849460</v>
      </c>
      <c r="R15">
        <f>mnist_1_sorted_merged[[#This Row],[kan_test_acc]]</f>
        <v>0.97802</v>
      </c>
      <c r="S15">
        <f>mnist_1_sorted_merged[[#This Row],[kan_val_acc]]</f>
        <v>0.93836666666666668</v>
      </c>
      <c r="T15">
        <f>mnist_1_sorted_merged[[#This Row],[kan_steps]]</f>
        <v>3</v>
      </c>
      <c r="Z15" t="str" cm="1">
        <f t="array" ref="Z15:AA15">_xlfn.TEXTSPLIT(MID(mnist_1_sorted_merged[[#This Row],[kan_width 1]],2,LEN(mnist_1_sorted_merged[[#This Row],[kan_width 1]])-2),", ")</f>
        <v>3136</v>
      </c>
      <c r="AA15" t="str">
        <v>30</v>
      </c>
      <c r="AB15" t="str" cm="1">
        <f t="array" ref="AB15:AC15">_xlfn.TEXTSPLIT(MID(mnist_1_sorted_merged[[#This Row],[kan_width 2]],2,LEN(mnist_1_sorted_merged[[#This Row],[kan_width 2]])-2),", ")</f>
        <v>30</v>
      </c>
      <c r="AC15" t="str">
        <v>10</v>
      </c>
      <c r="AD15">
        <f t="shared" si="0"/>
        <v>94420</v>
      </c>
    </row>
    <row r="16" spans="1:30" x14ac:dyDescent="0.25">
      <c r="A16" s="1" t="s">
        <v>14</v>
      </c>
      <c r="B16">
        <v>3</v>
      </c>
      <c r="C16">
        <v>4</v>
      </c>
      <c r="D16">
        <v>0</v>
      </c>
      <c r="E16" s="1" t="s">
        <v>21</v>
      </c>
      <c r="F16">
        <v>3</v>
      </c>
      <c r="G16">
        <v>4</v>
      </c>
      <c r="H16">
        <v>0</v>
      </c>
      <c r="I16" s="1" t="s">
        <v>22</v>
      </c>
      <c r="J16">
        <v>1507220825.2</v>
      </c>
      <c r="K16">
        <v>943840</v>
      </c>
      <c r="L16">
        <v>0.93868333333333331</v>
      </c>
      <c r="M16">
        <v>0.97755999999999998</v>
      </c>
      <c r="N16">
        <v>3</v>
      </c>
      <c r="Q16">
        <f>mnist_1_sorted_merged[[#This Row],[kan_params]]</f>
        <v>943840</v>
      </c>
      <c r="R16">
        <f>mnist_1_sorted_merged[[#This Row],[kan_test_acc]]</f>
        <v>0.97755999999999998</v>
      </c>
      <c r="S16">
        <f>mnist_1_sorted_merged[[#This Row],[kan_val_acc]]</f>
        <v>0.93868333333333331</v>
      </c>
      <c r="T16">
        <f>mnist_1_sorted_merged[[#This Row],[kan_steps]]</f>
        <v>3</v>
      </c>
      <c r="Z16" t="str" cm="1">
        <f t="array" ref="Z16:AA16">_xlfn.TEXTSPLIT(MID(mnist_1_sorted_merged[[#This Row],[kan_width 1]],2,LEN(mnist_1_sorted_merged[[#This Row],[kan_width 1]])-2),", ")</f>
        <v>3136</v>
      </c>
      <c r="AA16" t="str">
        <v>30</v>
      </c>
      <c r="AB16" t="str" cm="1">
        <f t="array" ref="AB16:AC16">_xlfn.TEXTSPLIT(MID(mnist_1_sorted_merged[[#This Row],[kan_width 2]],2,LEN(mnist_1_sorted_merged[[#This Row],[kan_width 2]])-2),", ")</f>
        <v>30</v>
      </c>
      <c r="AC16" t="str">
        <v>10</v>
      </c>
      <c r="AD16">
        <f t="shared" si="0"/>
        <v>94420</v>
      </c>
    </row>
    <row r="17" spans="1:30" x14ac:dyDescent="0.25">
      <c r="A17" s="1" t="s">
        <v>14</v>
      </c>
      <c r="B17">
        <v>5</v>
      </c>
      <c r="C17">
        <v>2</v>
      </c>
      <c r="D17">
        <v>0</v>
      </c>
      <c r="E17" s="1" t="s">
        <v>21</v>
      </c>
      <c r="F17">
        <v>5</v>
      </c>
      <c r="G17">
        <v>2</v>
      </c>
      <c r="H17">
        <v>0</v>
      </c>
      <c r="I17" s="1" t="s">
        <v>22</v>
      </c>
      <c r="J17">
        <v>821983434</v>
      </c>
      <c r="K17">
        <v>943840</v>
      </c>
      <c r="L17">
        <v>0.93703333333333338</v>
      </c>
      <c r="M17">
        <v>0.97726000000000002</v>
      </c>
      <c r="N17">
        <v>3</v>
      </c>
      <c r="Q17">
        <f>mnist_1_sorted_merged[[#This Row],[kan_params]]</f>
        <v>943840</v>
      </c>
      <c r="R17">
        <f>mnist_1_sorted_merged[[#This Row],[kan_test_acc]]</f>
        <v>0.97726000000000002</v>
      </c>
      <c r="S17">
        <f>mnist_1_sorted_merged[[#This Row],[kan_val_acc]]</f>
        <v>0.93703333333333338</v>
      </c>
      <c r="T17">
        <f>mnist_1_sorted_merged[[#This Row],[kan_steps]]</f>
        <v>3</v>
      </c>
      <c r="Z17" t="str" cm="1">
        <f t="array" ref="Z17:AA17">_xlfn.TEXTSPLIT(MID(mnist_1_sorted_merged[[#This Row],[kan_width 1]],2,LEN(mnist_1_sorted_merged[[#This Row],[kan_width 1]])-2),", ")</f>
        <v>3136</v>
      </c>
      <c r="AA17" t="str">
        <v>30</v>
      </c>
      <c r="AB17" t="str" cm="1">
        <f t="array" ref="AB17:AC17">_xlfn.TEXTSPLIT(MID(mnist_1_sorted_merged[[#This Row],[kan_width 2]],2,LEN(mnist_1_sorted_merged[[#This Row],[kan_width 2]])-2),", ")</f>
        <v>30</v>
      </c>
      <c r="AC17" t="str">
        <v>10</v>
      </c>
      <c r="AD17">
        <f t="shared" si="0"/>
        <v>94420</v>
      </c>
    </row>
    <row r="18" spans="1:30" x14ac:dyDescent="0.25">
      <c r="A18" s="1" t="s">
        <v>14</v>
      </c>
      <c r="B18">
        <v>3</v>
      </c>
      <c r="C18">
        <v>5</v>
      </c>
      <c r="D18">
        <v>0</v>
      </c>
      <c r="E18" s="1" t="s">
        <v>21</v>
      </c>
      <c r="F18">
        <v>3</v>
      </c>
      <c r="G18">
        <v>5</v>
      </c>
      <c r="H18">
        <v>0</v>
      </c>
      <c r="I18" s="1" t="s">
        <v>22</v>
      </c>
      <c r="J18">
        <v>2004232613.5999999</v>
      </c>
      <c r="K18">
        <v>1038220</v>
      </c>
      <c r="L18">
        <v>0.93663333333333332</v>
      </c>
      <c r="M18">
        <v>0.97767999999999999</v>
      </c>
      <c r="N18">
        <v>3</v>
      </c>
      <c r="Q18">
        <f>mnist_1_sorted_merged[[#This Row],[kan_params]]</f>
        <v>1038220</v>
      </c>
      <c r="R18">
        <f>mnist_1_sorted_merged[[#This Row],[kan_test_acc]]</f>
        <v>0.97767999999999999</v>
      </c>
      <c r="S18">
        <f>mnist_1_sorted_merged[[#This Row],[kan_val_acc]]</f>
        <v>0.93663333333333332</v>
      </c>
      <c r="T18">
        <f>mnist_1_sorted_merged[[#This Row],[kan_steps]]</f>
        <v>3</v>
      </c>
      <c r="Z18" t="str" cm="1">
        <f t="array" ref="Z18:AA18">_xlfn.TEXTSPLIT(MID(mnist_1_sorted_merged[[#This Row],[kan_width 1]],2,LEN(mnist_1_sorted_merged[[#This Row],[kan_width 1]])-2),", ")</f>
        <v>3136</v>
      </c>
      <c r="AA18" t="str">
        <v>30</v>
      </c>
      <c r="AB18" t="str" cm="1">
        <f t="array" ref="AB18:AC18">_xlfn.TEXTSPLIT(MID(mnist_1_sorted_merged[[#This Row],[kan_width 2]],2,LEN(mnist_1_sorted_merged[[#This Row],[kan_width 2]])-2),", ")</f>
        <v>30</v>
      </c>
      <c r="AC18" t="str">
        <v>10</v>
      </c>
      <c r="AD18">
        <f t="shared" si="0"/>
        <v>94420</v>
      </c>
    </row>
    <row r="19" spans="1:30" x14ac:dyDescent="0.25">
      <c r="A19" s="1" t="s">
        <v>14</v>
      </c>
      <c r="B19">
        <v>5</v>
      </c>
      <c r="C19">
        <v>3</v>
      </c>
      <c r="D19">
        <v>0</v>
      </c>
      <c r="E19" s="1" t="s">
        <v>21</v>
      </c>
      <c r="F19">
        <v>5</v>
      </c>
      <c r="G19">
        <v>3</v>
      </c>
      <c r="H19">
        <v>0</v>
      </c>
      <c r="I19" s="1" t="s">
        <v>22</v>
      </c>
      <c r="J19">
        <v>1192733919.4000001</v>
      </c>
      <c r="K19">
        <v>1038220</v>
      </c>
      <c r="L19">
        <v>0.93841666666666668</v>
      </c>
      <c r="M19">
        <v>0.9778</v>
      </c>
      <c r="N19">
        <v>3</v>
      </c>
      <c r="Q19">
        <f>mnist_1_sorted_merged[[#This Row],[kan_params]]</f>
        <v>1038220</v>
      </c>
      <c r="R19">
        <f>mnist_1_sorted_merged[[#This Row],[kan_test_acc]]</f>
        <v>0.9778</v>
      </c>
      <c r="S19">
        <f>mnist_1_sorted_merged[[#This Row],[kan_val_acc]]</f>
        <v>0.93841666666666668</v>
      </c>
      <c r="T19">
        <f>mnist_1_sorted_merged[[#This Row],[kan_steps]]</f>
        <v>3</v>
      </c>
      <c r="Z19" t="str" cm="1">
        <f t="array" ref="Z19:AA19">_xlfn.TEXTSPLIT(MID(mnist_1_sorted_merged[[#This Row],[kan_width 1]],2,LEN(mnist_1_sorted_merged[[#This Row],[kan_width 1]])-2),", ")</f>
        <v>3136</v>
      </c>
      <c r="AA19" t="str">
        <v>30</v>
      </c>
      <c r="AB19" t="str" cm="1">
        <f t="array" ref="AB19:AC19">_xlfn.TEXTSPLIT(MID(mnist_1_sorted_merged[[#This Row],[kan_width 2]],2,LEN(mnist_1_sorted_merged[[#This Row],[kan_width 2]])-2),", ")</f>
        <v>30</v>
      </c>
      <c r="AC19" t="str">
        <v>10</v>
      </c>
      <c r="AD19">
        <f t="shared" si="0"/>
        <v>94420</v>
      </c>
    </row>
    <row r="20" spans="1:30" x14ac:dyDescent="0.25">
      <c r="A20" s="1" t="s">
        <v>14</v>
      </c>
      <c r="B20">
        <v>5</v>
      </c>
      <c r="C20">
        <v>4</v>
      </c>
      <c r="D20">
        <v>0</v>
      </c>
      <c r="E20" s="1" t="s">
        <v>21</v>
      </c>
      <c r="F20">
        <v>5</v>
      </c>
      <c r="G20">
        <v>4</v>
      </c>
      <c r="H20">
        <v>0</v>
      </c>
      <c r="I20" s="1" t="s">
        <v>22</v>
      </c>
      <c r="J20">
        <v>1741137809.4000001</v>
      </c>
      <c r="K20">
        <v>1132600</v>
      </c>
      <c r="L20">
        <v>0.93573333333333342</v>
      </c>
      <c r="M20">
        <v>0.97726000000000002</v>
      </c>
      <c r="N20">
        <v>3</v>
      </c>
      <c r="Q20">
        <f>mnist_1_sorted_merged[[#This Row],[kan_params]]</f>
        <v>1132600</v>
      </c>
      <c r="R20">
        <f>mnist_1_sorted_merged[[#This Row],[kan_test_acc]]</f>
        <v>0.97726000000000002</v>
      </c>
      <c r="S20">
        <f>mnist_1_sorted_merged[[#This Row],[kan_val_acc]]</f>
        <v>0.93573333333333342</v>
      </c>
      <c r="T20">
        <f>mnist_1_sorted_merged[[#This Row],[kan_steps]]</f>
        <v>3</v>
      </c>
      <c r="Z20" t="str" cm="1">
        <f t="array" ref="Z20:AA20">_xlfn.TEXTSPLIT(MID(mnist_1_sorted_merged[[#This Row],[kan_width 1]],2,LEN(mnist_1_sorted_merged[[#This Row],[kan_width 1]])-2),", ")</f>
        <v>3136</v>
      </c>
      <c r="AA20" t="str">
        <v>30</v>
      </c>
      <c r="AB20" t="str" cm="1">
        <f t="array" ref="AB20:AC20">_xlfn.TEXTSPLIT(MID(mnist_1_sorted_merged[[#This Row],[kan_width 2]],2,LEN(mnist_1_sorted_merged[[#This Row],[kan_width 2]])-2),", ")</f>
        <v>30</v>
      </c>
      <c r="AC20" t="str">
        <v>10</v>
      </c>
      <c r="AD20">
        <f t="shared" si="0"/>
        <v>94420</v>
      </c>
    </row>
    <row r="21" spans="1:30" x14ac:dyDescent="0.25">
      <c r="A21" s="1" t="s">
        <v>14</v>
      </c>
      <c r="B21">
        <v>5</v>
      </c>
      <c r="C21">
        <v>5</v>
      </c>
      <c r="D21">
        <v>0</v>
      </c>
      <c r="E21" s="1" t="s">
        <v>21</v>
      </c>
      <c r="F21">
        <v>5</v>
      </c>
      <c r="G21">
        <v>5</v>
      </c>
      <c r="H21">
        <v>0</v>
      </c>
      <c r="I21" s="1" t="s">
        <v>22</v>
      </c>
      <c r="J21">
        <v>2402689635.8000002</v>
      </c>
      <c r="K21">
        <v>1226980</v>
      </c>
      <c r="L21">
        <v>0.93610000000000004</v>
      </c>
      <c r="M21">
        <v>0.97650000000000003</v>
      </c>
      <c r="N21">
        <v>3</v>
      </c>
      <c r="Q21">
        <f>mnist_1_sorted_merged[[#This Row],[kan_params]]</f>
        <v>1226980</v>
      </c>
      <c r="R21">
        <f>mnist_1_sorted_merged[[#This Row],[kan_test_acc]]</f>
        <v>0.97650000000000003</v>
      </c>
      <c r="S21">
        <f>mnist_1_sorted_merged[[#This Row],[kan_val_acc]]</f>
        <v>0.93610000000000004</v>
      </c>
      <c r="T21">
        <f>mnist_1_sorted_merged[[#This Row],[kan_steps]]</f>
        <v>3</v>
      </c>
      <c r="Z21" t="str" cm="1">
        <f t="array" ref="Z21:AA21">_xlfn.TEXTSPLIT(MID(mnist_1_sorted_merged[[#This Row],[kan_width 1]],2,LEN(mnist_1_sorted_merged[[#This Row],[kan_width 1]])-2),", ")</f>
        <v>3136</v>
      </c>
      <c r="AA21" t="str">
        <v>30</v>
      </c>
      <c r="AB21" t="str" cm="1">
        <f t="array" ref="AB21:AC21">_xlfn.TEXTSPLIT(MID(mnist_1_sorted_merged[[#This Row],[kan_width 2]],2,LEN(mnist_1_sorted_merged[[#This Row],[kan_width 2]])-2),", ")</f>
        <v>30</v>
      </c>
      <c r="AC21" t="str">
        <v>10</v>
      </c>
      <c r="AD21">
        <f t="shared" si="0"/>
        <v>94420</v>
      </c>
    </row>
    <row r="22" spans="1:30" x14ac:dyDescent="0.25">
      <c r="A22" s="1" t="s">
        <v>14</v>
      </c>
      <c r="B22">
        <v>9</v>
      </c>
      <c r="C22">
        <v>2</v>
      </c>
      <c r="D22">
        <v>0</v>
      </c>
      <c r="E22" s="1" t="s">
        <v>21</v>
      </c>
      <c r="F22">
        <v>9</v>
      </c>
      <c r="G22">
        <v>2</v>
      </c>
      <c r="H22">
        <v>0</v>
      </c>
      <c r="I22" s="1" t="s">
        <v>22</v>
      </c>
      <c r="J22">
        <v>1105605531.4000001</v>
      </c>
      <c r="K22">
        <v>1321360</v>
      </c>
      <c r="L22">
        <v>0.93698333333333328</v>
      </c>
      <c r="M22">
        <v>0.97694000000000003</v>
      </c>
      <c r="N22">
        <v>3</v>
      </c>
      <c r="Q22">
        <f>mnist_1_sorted_merged[[#This Row],[kan_params]]</f>
        <v>1321360</v>
      </c>
      <c r="R22">
        <f>mnist_1_sorted_merged[[#This Row],[kan_test_acc]]</f>
        <v>0.97694000000000003</v>
      </c>
      <c r="S22">
        <f>mnist_1_sorted_merged[[#This Row],[kan_val_acc]]</f>
        <v>0.93698333333333328</v>
      </c>
      <c r="T22">
        <f>mnist_1_sorted_merged[[#This Row],[kan_steps]]</f>
        <v>3</v>
      </c>
      <c r="Z22" t="str" cm="1">
        <f t="array" ref="Z22:AA22">_xlfn.TEXTSPLIT(MID(mnist_1_sorted_merged[[#This Row],[kan_width 1]],2,LEN(mnist_1_sorted_merged[[#This Row],[kan_width 1]])-2),", ")</f>
        <v>3136</v>
      </c>
      <c r="AA22" t="str">
        <v>30</v>
      </c>
      <c r="AB22" t="str" cm="1">
        <f t="array" ref="AB22:AC22">_xlfn.TEXTSPLIT(MID(mnist_1_sorted_merged[[#This Row],[kan_width 2]],2,LEN(mnist_1_sorted_merged[[#This Row],[kan_width 2]])-2),", ")</f>
        <v>30</v>
      </c>
      <c r="AC22" t="str">
        <v>10</v>
      </c>
      <c r="AD22">
        <f t="shared" si="0"/>
        <v>94420</v>
      </c>
    </row>
    <row r="23" spans="1:30" x14ac:dyDescent="0.25">
      <c r="A23" s="1" t="s">
        <v>14</v>
      </c>
      <c r="B23">
        <v>9</v>
      </c>
      <c r="C23">
        <v>3</v>
      </c>
      <c r="D23">
        <v>0</v>
      </c>
      <c r="E23" s="1" t="s">
        <v>21</v>
      </c>
      <c r="F23">
        <v>9</v>
      </c>
      <c r="G23">
        <v>3</v>
      </c>
      <c r="H23">
        <v>0</v>
      </c>
      <c r="I23" s="1" t="s">
        <v>22</v>
      </c>
      <c r="J23">
        <v>1625315650.2</v>
      </c>
      <c r="K23">
        <v>1415740</v>
      </c>
      <c r="L23">
        <v>0.93888333333333329</v>
      </c>
      <c r="M23">
        <v>0.97860000000000003</v>
      </c>
      <c r="N23">
        <v>3</v>
      </c>
      <c r="Q23">
        <f>mnist_1_sorted_merged[[#This Row],[kan_params]]</f>
        <v>1415740</v>
      </c>
      <c r="R23">
        <f>mnist_1_sorted_merged[[#This Row],[kan_test_acc]]</f>
        <v>0.97860000000000003</v>
      </c>
      <c r="S23">
        <f>mnist_1_sorted_merged[[#This Row],[kan_val_acc]]</f>
        <v>0.93888333333333329</v>
      </c>
      <c r="T23">
        <f>mnist_1_sorted_merged[[#This Row],[kan_steps]]</f>
        <v>3</v>
      </c>
      <c r="Z23" t="str" cm="1">
        <f t="array" ref="Z23:AA23">_xlfn.TEXTSPLIT(MID(mnist_1_sorted_merged[[#This Row],[kan_width 1]],2,LEN(mnist_1_sorted_merged[[#This Row],[kan_width 1]])-2),", ")</f>
        <v>3136</v>
      </c>
      <c r="AA23" t="str">
        <v>30</v>
      </c>
      <c r="AB23" t="str" cm="1">
        <f t="array" ref="AB23:AC23">_xlfn.TEXTSPLIT(MID(mnist_1_sorted_merged[[#This Row],[kan_width 2]],2,LEN(mnist_1_sorted_merged[[#This Row],[kan_width 2]])-2),", ")</f>
        <v>30</v>
      </c>
      <c r="AC23" t="str">
        <v>10</v>
      </c>
      <c r="AD23">
        <f t="shared" si="0"/>
        <v>94420</v>
      </c>
    </row>
    <row r="24" spans="1:30" x14ac:dyDescent="0.25">
      <c r="A24" s="1" t="s">
        <v>14</v>
      </c>
      <c r="B24">
        <v>9</v>
      </c>
      <c r="C24">
        <v>4</v>
      </c>
      <c r="D24">
        <v>0</v>
      </c>
      <c r="E24" s="1" t="s">
        <v>21</v>
      </c>
      <c r="F24">
        <v>9</v>
      </c>
      <c r="G24">
        <v>4</v>
      </c>
      <c r="H24">
        <v>0</v>
      </c>
      <c r="I24" s="1" t="s">
        <v>22</v>
      </c>
      <c r="J24">
        <v>2252960171.1999998</v>
      </c>
      <c r="K24">
        <v>1510120</v>
      </c>
      <c r="L24">
        <v>0.93833333333333335</v>
      </c>
      <c r="M24">
        <v>0.97758</v>
      </c>
      <c r="N24">
        <v>3</v>
      </c>
      <c r="Q24">
        <f>mnist_1_sorted_merged[[#This Row],[kan_params]]</f>
        <v>1510120</v>
      </c>
      <c r="R24">
        <f>mnist_1_sorted_merged[[#This Row],[kan_test_acc]]</f>
        <v>0.97758</v>
      </c>
      <c r="S24">
        <f>mnist_1_sorted_merged[[#This Row],[kan_val_acc]]</f>
        <v>0.93833333333333335</v>
      </c>
      <c r="T24">
        <f>mnist_1_sorted_merged[[#This Row],[kan_steps]]</f>
        <v>3</v>
      </c>
      <c r="Z24" t="str" cm="1">
        <f t="array" ref="Z24:AA24">_xlfn.TEXTSPLIT(MID(mnist_1_sorted_merged[[#This Row],[kan_width 1]],2,LEN(mnist_1_sorted_merged[[#This Row],[kan_width 1]])-2),", ")</f>
        <v>3136</v>
      </c>
      <c r="AA24" t="str">
        <v>30</v>
      </c>
      <c r="AB24" t="str" cm="1">
        <f t="array" ref="AB24:AC24">_xlfn.TEXTSPLIT(MID(mnist_1_sorted_merged[[#This Row],[kan_width 2]],2,LEN(mnist_1_sorted_merged[[#This Row],[kan_width 2]])-2),", ")</f>
        <v>30</v>
      </c>
      <c r="AC24" t="str">
        <v>10</v>
      </c>
      <c r="AD24">
        <f t="shared" si="0"/>
        <v>94420</v>
      </c>
    </row>
    <row r="25" spans="1:30" x14ac:dyDescent="0.25">
      <c r="A25" s="1" t="s">
        <v>14</v>
      </c>
      <c r="B25">
        <v>3</v>
      </c>
      <c r="C25">
        <v>2</v>
      </c>
      <c r="D25">
        <v>0</v>
      </c>
      <c r="E25" s="1" t="s">
        <v>23</v>
      </c>
      <c r="F25">
        <v>3</v>
      </c>
      <c r="G25">
        <v>2</v>
      </c>
      <c r="H25">
        <v>0</v>
      </c>
      <c r="I25" s="1" t="s">
        <v>24</v>
      </c>
      <c r="J25">
        <v>38980919.799999997</v>
      </c>
      <c r="K25">
        <v>1510150</v>
      </c>
      <c r="L25">
        <v>0.94556666666666667</v>
      </c>
      <c r="M25">
        <v>0.97977999999999998</v>
      </c>
      <c r="N25">
        <v>3</v>
      </c>
      <c r="Q25">
        <f>mnist_1_sorted_merged[[#This Row],[kan_params]]</f>
        <v>1510150</v>
      </c>
      <c r="R25">
        <f>mnist_1_sorted_merged[[#This Row],[kan_test_acc]]</f>
        <v>0.97977999999999998</v>
      </c>
      <c r="S25">
        <f>mnist_1_sorted_merged[[#This Row],[kan_val_acc]]</f>
        <v>0.94556666666666667</v>
      </c>
      <c r="T25">
        <f>mnist_1_sorted_merged[[#This Row],[kan_steps]]</f>
        <v>3</v>
      </c>
      <c r="Z25" t="str" cm="1">
        <f t="array" ref="Z25:AA25">_xlfn.TEXTSPLIT(MID(mnist_1_sorted_merged[[#This Row],[kan_width 1]],2,LEN(mnist_1_sorted_merged[[#This Row],[kan_width 1]])-2),", ")</f>
        <v>3136</v>
      </c>
      <c r="AA25" t="str">
        <v>60</v>
      </c>
      <c r="AB25" t="str" cm="1">
        <f t="array" ref="AB25:AC25">_xlfn.TEXTSPLIT(MID(mnist_1_sorted_merged[[#This Row],[kan_width 2]],2,LEN(mnist_1_sorted_merged[[#This Row],[kan_width 2]])-2),", ")</f>
        <v>60</v>
      </c>
      <c r="AC25" t="str">
        <v>10</v>
      </c>
      <c r="AD25">
        <f t="shared" si="0"/>
        <v>188830</v>
      </c>
    </row>
    <row r="26" spans="1:30" x14ac:dyDescent="0.25">
      <c r="A26" s="1" t="s">
        <v>14</v>
      </c>
      <c r="B26">
        <v>9</v>
      </c>
      <c r="C26">
        <v>5</v>
      </c>
      <c r="D26">
        <v>0</v>
      </c>
      <c r="E26" s="1" t="s">
        <v>21</v>
      </c>
      <c r="F26">
        <v>9</v>
      </c>
      <c r="G26">
        <v>5</v>
      </c>
      <c r="H26">
        <v>0</v>
      </c>
      <c r="I26" s="1" t="s">
        <v>22</v>
      </c>
      <c r="J26">
        <v>2784173028.4000001</v>
      </c>
      <c r="K26">
        <v>1604500</v>
      </c>
      <c r="L26">
        <v>0.93086666666666662</v>
      </c>
      <c r="M26">
        <v>0.97760000000000002</v>
      </c>
      <c r="N26">
        <v>3</v>
      </c>
      <c r="Q26">
        <f>mnist_1_sorted_merged[[#This Row],[kan_params]]</f>
        <v>1604500</v>
      </c>
      <c r="R26">
        <f>mnist_1_sorted_merged[[#This Row],[kan_test_acc]]</f>
        <v>0.97760000000000002</v>
      </c>
      <c r="S26">
        <f>mnist_1_sorted_merged[[#This Row],[kan_val_acc]]</f>
        <v>0.93086666666666662</v>
      </c>
      <c r="T26">
        <f>mnist_1_sorted_merged[[#This Row],[kan_steps]]</f>
        <v>3</v>
      </c>
      <c r="Z26" t="str" cm="1">
        <f t="array" ref="Z26:AA26">_xlfn.TEXTSPLIT(MID(mnist_1_sorted_merged[[#This Row],[kan_width 1]],2,LEN(mnist_1_sorted_merged[[#This Row],[kan_width 1]])-2),", ")</f>
        <v>3136</v>
      </c>
      <c r="AA26" t="str">
        <v>30</v>
      </c>
      <c r="AB26" t="str" cm="1">
        <f t="array" ref="AB26:AC26">_xlfn.TEXTSPLIT(MID(mnist_1_sorted_merged[[#This Row],[kan_width 2]],2,LEN(mnist_1_sorted_merged[[#This Row],[kan_width 2]])-2),", ")</f>
        <v>30</v>
      </c>
      <c r="AC26" t="str">
        <v>10</v>
      </c>
      <c r="AD26">
        <f t="shared" si="0"/>
        <v>94420</v>
      </c>
    </row>
    <row r="27" spans="1:30" x14ac:dyDescent="0.25">
      <c r="A27" s="1" t="s">
        <v>14</v>
      </c>
      <c r="B27">
        <v>3</v>
      </c>
      <c r="C27">
        <v>3</v>
      </c>
      <c r="D27">
        <v>0</v>
      </c>
      <c r="E27" s="1" t="s">
        <v>23</v>
      </c>
      <c r="F27">
        <v>3</v>
      </c>
      <c r="G27">
        <v>3</v>
      </c>
      <c r="H27">
        <v>0</v>
      </c>
      <c r="I27" s="1" t="s">
        <v>24</v>
      </c>
      <c r="J27">
        <v>38989432.600000001</v>
      </c>
      <c r="K27">
        <v>1698910</v>
      </c>
      <c r="L27">
        <v>0.94684999999999997</v>
      </c>
      <c r="M27">
        <v>0.98018000000000005</v>
      </c>
      <c r="N27">
        <v>3</v>
      </c>
      <c r="Q27">
        <f>mnist_1_sorted_merged[[#This Row],[kan_params]]</f>
        <v>1698910</v>
      </c>
      <c r="R27">
        <f>mnist_1_sorted_merged[[#This Row],[kan_test_acc]]</f>
        <v>0.98018000000000005</v>
      </c>
      <c r="S27">
        <f>mnist_1_sorted_merged[[#This Row],[kan_val_acc]]</f>
        <v>0.94684999999999997</v>
      </c>
      <c r="T27">
        <f>mnist_1_sorted_merged[[#This Row],[kan_steps]]</f>
        <v>3</v>
      </c>
      <c r="Z27" t="str" cm="1">
        <f t="array" ref="Z27:AA27">_xlfn.TEXTSPLIT(MID(mnist_1_sorted_merged[[#This Row],[kan_width 1]],2,LEN(mnist_1_sorted_merged[[#This Row],[kan_width 1]])-2),", ")</f>
        <v>3136</v>
      </c>
      <c r="AA27" t="str">
        <v>60</v>
      </c>
      <c r="AB27" t="str" cm="1">
        <f t="array" ref="AB27:AC27">_xlfn.TEXTSPLIT(MID(mnist_1_sorted_merged[[#This Row],[kan_width 2]],2,LEN(mnist_1_sorted_merged[[#This Row],[kan_width 2]])-2),", ")</f>
        <v>60</v>
      </c>
      <c r="AC27" t="str">
        <v>10</v>
      </c>
      <c r="AD27">
        <f t="shared" si="0"/>
        <v>188830</v>
      </c>
    </row>
    <row r="28" spans="1:30" x14ac:dyDescent="0.25">
      <c r="A28" s="1" t="s">
        <v>14</v>
      </c>
      <c r="B28">
        <v>3</v>
      </c>
      <c r="C28">
        <v>4</v>
      </c>
      <c r="D28">
        <v>0</v>
      </c>
      <c r="E28" s="1" t="s">
        <v>23</v>
      </c>
      <c r="F28">
        <v>3</v>
      </c>
      <c r="G28">
        <v>4</v>
      </c>
      <c r="H28">
        <v>0</v>
      </c>
      <c r="I28" s="1" t="s">
        <v>24</v>
      </c>
      <c r="J28">
        <v>40534805</v>
      </c>
      <c r="K28">
        <v>1887670</v>
      </c>
      <c r="L28">
        <v>0.94761666666666666</v>
      </c>
      <c r="M28">
        <v>0.97942000000000007</v>
      </c>
      <c r="N28">
        <v>3</v>
      </c>
      <c r="Q28">
        <f>mnist_1_sorted_merged[[#This Row],[kan_params]]</f>
        <v>1887670</v>
      </c>
      <c r="R28">
        <f>mnist_1_sorted_merged[[#This Row],[kan_test_acc]]</f>
        <v>0.97942000000000007</v>
      </c>
      <c r="S28">
        <f>mnist_1_sorted_merged[[#This Row],[kan_val_acc]]</f>
        <v>0.94761666666666666</v>
      </c>
      <c r="T28">
        <f>mnist_1_sorted_merged[[#This Row],[kan_steps]]</f>
        <v>3</v>
      </c>
      <c r="Z28" t="str" cm="1">
        <f t="array" ref="Z28:AA28">_xlfn.TEXTSPLIT(MID(mnist_1_sorted_merged[[#This Row],[kan_width 1]],2,LEN(mnist_1_sorted_merged[[#This Row],[kan_width 1]])-2),", ")</f>
        <v>3136</v>
      </c>
      <c r="AA28" t="str">
        <v>60</v>
      </c>
      <c r="AB28" t="str" cm="1">
        <f t="array" ref="AB28:AC28">_xlfn.TEXTSPLIT(MID(mnist_1_sorted_merged[[#This Row],[kan_width 2]],2,LEN(mnist_1_sorted_merged[[#This Row],[kan_width 2]])-2),", ")</f>
        <v>60</v>
      </c>
      <c r="AC28" t="str">
        <v>10</v>
      </c>
      <c r="AD28">
        <f t="shared" si="0"/>
        <v>188830</v>
      </c>
    </row>
    <row r="29" spans="1:30" x14ac:dyDescent="0.25">
      <c r="A29" s="1" t="s">
        <v>14</v>
      </c>
      <c r="B29">
        <v>5</v>
      </c>
      <c r="C29">
        <v>2</v>
      </c>
      <c r="D29">
        <v>0</v>
      </c>
      <c r="E29" s="1" t="s">
        <v>23</v>
      </c>
      <c r="F29">
        <v>5</v>
      </c>
      <c r="G29">
        <v>2</v>
      </c>
      <c r="H29">
        <v>0</v>
      </c>
      <c r="I29" s="1" t="s">
        <v>24</v>
      </c>
      <c r="J29">
        <v>38069486.600000001</v>
      </c>
      <c r="K29">
        <v>1887670</v>
      </c>
      <c r="L29">
        <v>0.94463333333333332</v>
      </c>
      <c r="M29">
        <v>0.97987999999999997</v>
      </c>
      <c r="N29">
        <v>3</v>
      </c>
      <c r="Q29">
        <f>mnist_1_sorted_merged[[#This Row],[kan_params]]</f>
        <v>1887670</v>
      </c>
      <c r="R29">
        <f>mnist_1_sorted_merged[[#This Row],[kan_test_acc]]</f>
        <v>0.97987999999999997</v>
      </c>
      <c r="S29">
        <f>mnist_1_sorted_merged[[#This Row],[kan_val_acc]]</f>
        <v>0.94463333333333332</v>
      </c>
      <c r="T29">
        <f>mnist_1_sorted_merged[[#This Row],[kan_steps]]</f>
        <v>3</v>
      </c>
      <c r="Z29" t="str" cm="1">
        <f t="array" ref="Z29:AA29">_xlfn.TEXTSPLIT(MID(mnist_1_sorted_merged[[#This Row],[kan_width 1]],2,LEN(mnist_1_sorted_merged[[#This Row],[kan_width 1]])-2),", ")</f>
        <v>3136</v>
      </c>
      <c r="AA29" t="str">
        <v>60</v>
      </c>
      <c r="AB29" t="str" cm="1">
        <f t="array" ref="AB29:AC29">_xlfn.TEXTSPLIT(MID(mnist_1_sorted_merged[[#This Row],[kan_width 2]],2,LEN(mnist_1_sorted_merged[[#This Row],[kan_width 2]])-2),", ")</f>
        <v>60</v>
      </c>
      <c r="AC29" t="str">
        <v>10</v>
      </c>
      <c r="AD29">
        <f t="shared" si="0"/>
        <v>188830</v>
      </c>
    </row>
    <row r="30" spans="1:30" x14ac:dyDescent="0.25">
      <c r="A30" s="1" t="s">
        <v>14</v>
      </c>
      <c r="B30">
        <v>3</v>
      </c>
      <c r="C30">
        <v>5</v>
      </c>
      <c r="D30">
        <v>0</v>
      </c>
      <c r="E30" s="1" t="s">
        <v>23</v>
      </c>
      <c r="F30">
        <v>3</v>
      </c>
      <c r="G30">
        <v>5</v>
      </c>
      <c r="H30">
        <v>0</v>
      </c>
      <c r="I30" s="1" t="s">
        <v>24</v>
      </c>
      <c r="J30">
        <v>41258927.600000001</v>
      </c>
      <c r="K30">
        <v>2076430</v>
      </c>
      <c r="L30">
        <v>0.94346666666666668</v>
      </c>
      <c r="M30">
        <v>0.97902</v>
      </c>
      <c r="N30">
        <v>3</v>
      </c>
      <c r="Q30">
        <f>mnist_1_sorted_merged[[#This Row],[kan_params]]</f>
        <v>2076430</v>
      </c>
      <c r="R30">
        <f>mnist_1_sorted_merged[[#This Row],[kan_test_acc]]</f>
        <v>0.97902</v>
      </c>
      <c r="S30">
        <f>mnist_1_sorted_merged[[#This Row],[kan_val_acc]]</f>
        <v>0.94346666666666668</v>
      </c>
      <c r="T30">
        <f>mnist_1_sorted_merged[[#This Row],[kan_steps]]</f>
        <v>3</v>
      </c>
      <c r="Z30" t="str" cm="1">
        <f t="array" ref="Z30:AA30">_xlfn.TEXTSPLIT(MID(mnist_1_sorted_merged[[#This Row],[kan_width 1]],2,LEN(mnist_1_sorted_merged[[#This Row],[kan_width 1]])-2),", ")</f>
        <v>3136</v>
      </c>
      <c r="AA30" t="str">
        <v>60</v>
      </c>
      <c r="AB30" t="str" cm="1">
        <f t="array" ref="AB30:AC30">_xlfn.TEXTSPLIT(MID(mnist_1_sorted_merged[[#This Row],[kan_width 2]],2,LEN(mnist_1_sorted_merged[[#This Row],[kan_width 2]])-2),", ")</f>
        <v>60</v>
      </c>
      <c r="AC30" t="str">
        <v>10</v>
      </c>
      <c r="AD30">
        <f t="shared" si="0"/>
        <v>188830</v>
      </c>
    </row>
    <row r="31" spans="1:30" x14ac:dyDescent="0.25">
      <c r="A31" s="1" t="s">
        <v>14</v>
      </c>
      <c r="B31">
        <v>5</v>
      </c>
      <c r="C31">
        <v>3</v>
      </c>
      <c r="D31">
        <v>0</v>
      </c>
      <c r="E31" s="1" t="s">
        <v>23</v>
      </c>
      <c r="F31">
        <v>5</v>
      </c>
      <c r="G31">
        <v>3</v>
      </c>
      <c r="H31">
        <v>0</v>
      </c>
      <c r="I31" s="1" t="s">
        <v>24</v>
      </c>
      <c r="J31">
        <v>40005646.399999999</v>
      </c>
      <c r="K31">
        <v>2076430</v>
      </c>
      <c r="L31">
        <v>0.94496666666666662</v>
      </c>
      <c r="M31">
        <v>0.97953999999999997</v>
      </c>
      <c r="N31">
        <v>3</v>
      </c>
      <c r="Q31">
        <f>mnist_1_sorted_merged[[#This Row],[kan_params]]</f>
        <v>2076430</v>
      </c>
      <c r="R31">
        <f>mnist_1_sorted_merged[[#This Row],[kan_test_acc]]</f>
        <v>0.97953999999999997</v>
      </c>
      <c r="S31">
        <f>mnist_1_sorted_merged[[#This Row],[kan_val_acc]]</f>
        <v>0.94496666666666662</v>
      </c>
      <c r="T31">
        <f>mnist_1_sorted_merged[[#This Row],[kan_steps]]</f>
        <v>3</v>
      </c>
      <c r="Z31" t="str" cm="1">
        <f t="array" ref="Z31:AA31">_xlfn.TEXTSPLIT(MID(mnist_1_sorted_merged[[#This Row],[kan_width 1]],2,LEN(mnist_1_sorted_merged[[#This Row],[kan_width 1]])-2),", ")</f>
        <v>3136</v>
      </c>
      <c r="AA31" t="str">
        <v>60</v>
      </c>
      <c r="AB31" t="str" cm="1">
        <f t="array" ref="AB31:AC31">_xlfn.TEXTSPLIT(MID(mnist_1_sorted_merged[[#This Row],[kan_width 2]],2,LEN(mnist_1_sorted_merged[[#This Row],[kan_width 2]])-2),", ")</f>
        <v>60</v>
      </c>
      <c r="AC31" t="str">
        <v>10</v>
      </c>
      <c r="AD31">
        <f t="shared" si="0"/>
        <v>188830</v>
      </c>
    </row>
    <row r="32" spans="1:30" x14ac:dyDescent="0.25">
      <c r="A32" s="1" t="s">
        <v>14</v>
      </c>
      <c r="B32">
        <v>5</v>
      </c>
      <c r="C32">
        <v>4</v>
      </c>
      <c r="D32">
        <v>0</v>
      </c>
      <c r="E32" s="1" t="s">
        <v>23</v>
      </c>
      <c r="F32">
        <v>5</v>
      </c>
      <c r="G32">
        <v>4</v>
      </c>
      <c r="H32">
        <v>0</v>
      </c>
      <c r="I32" s="1" t="s">
        <v>24</v>
      </c>
      <c r="J32">
        <v>41100038.399999999</v>
      </c>
      <c r="K32">
        <v>2265190</v>
      </c>
      <c r="L32">
        <v>0.94363333333333332</v>
      </c>
      <c r="M32">
        <v>0.98068</v>
      </c>
      <c r="N32">
        <v>3</v>
      </c>
      <c r="Q32">
        <f>mnist_1_sorted_merged[[#This Row],[kan_params]]</f>
        <v>2265190</v>
      </c>
      <c r="R32">
        <f>mnist_1_sorted_merged[[#This Row],[kan_test_acc]]</f>
        <v>0.98068</v>
      </c>
      <c r="S32">
        <f>mnist_1_sorted_merged[[#This Row],[kan_val_acc]]</f>
        <v>0.94363333333333332</v>
      </c>
      <c r="T32">
        <f>mnist_1_sorted_merged[[#This Row],[kan_steps]]</f>
        <v>3</v>
      </c>
      <c r="Z32" t="str" cm="1">
        <f t="array" ref="Z32:AA32">_xlfn.TEXTSPLIT(MID(mnist_1_sorted_merged[[#This Row],[kan_width 1]],2,LEN(mnist_1_sorted_merged[[#This Row],[kan_width 1]])-2),", ")</f>
        <v>3136</v>
      </c>
      <c r="AA32" t="str">
        <v>60</v>
      </c>
      <c r="AB32" t="str" cm="1">
        <f t="array" ref="AB32:AC32">_xlfn.TEXTSPLIT(MID(mnist_1_sorted_merged[[#This Row],[kan_width 2]],2,LEN(mnist_1_sorted_merged[[#This Row],[kan_width 2]])-2),", ")</f>
        <v>60</v>
      </c>
      <c r="AC32" t="str">
        <v>10</v>
      </c>
      <c r="AD32">
        <f t="shared" si="0"/>
        <v>188830</v>
      </c>
    </row>
    <row r="33" spans="1:30" x14ac:dyDescent="0.25">
      <c r="A33" s="1" t="s">
        <v>14</v>
      </c>
      <c r="B33">
        <v>5</v>
      </c>
      <c r="C33">
        <v>5</v>
      </c>
      <c r="D33">
        <v>0</v>
      </c>
      <c r="E33" s="1" t="s">
        <v>23</v>
      </c>
      <c r="F33">
        <v>5</v>
      </c>
      <c r="G33">
        <v>5</v>
      </c>
      <c r="H33">
        <v>0</v>
      </c>
      <c r="I33" s="1" t="s">
        <v>24</v>
      </c>
      <c r="J33">
        <v>43653341.600000001</v>
      </c>
      <c r="K33">
        <v>2453950</v>
      </c>
      <c r="L33">
        <v>0.94491666666666663</v>
      </c>
      <c r="M33">
        <v>0.98029999999999995</v>
      </c>
      <c r="N33">
        <v>3</v>
      </c>
      <c r="Q33">
        <f>mnist_1_sorted_merged[[#This Row],[kan_params]]</f>
        <v>2453950</v>
      </c>
      <c r="R33">
        <f>mnist_1_sorted_merged[[#This Row],[kan_test_acc]]</f>
        <v>0.98029999999999995</v>
      </c>
      <c r="S33">
        <f>mnist_1_sorted_merged[[#This Row],[kan_val_acc]]</f>
        <v>0.94491666666666663</v>
      </c>
      <c r="T33">
        <f>mnist_1_sorted_merged[[#This Row],[kan_steps]]</f>
        <v>3</v>
      </c>
      <c r="Z33" t="str" cm="1">
        <f t="array" ref="Z33:AA33">_xlfn.TEXTSPLIT(MID(mnist_1_sorted_merged[[#This Row],[kan_width 1]],2,LEN(mnist_1_sorted_merged[[#This Row],[kan_width 1]])-2),", ")</f>
        <v>3136</v>
      </c>
      <c r="AA33" t="str">
        <v>60</v>
      </c>
      <c r="AB33" t="str" cm="1">
        <f t="array" ref="AB33:AC33">_xlfn.TEXTSPLIT(MID(mnist_1_sorted_merged[[#This Row],[kan_width 2]],2,LEN(mnist_1_sorted_merged[[#This Row],[kan_width 2]])-2),", ")</f>
        <v>60</v>
      </c>
      <c r="AC33" t="str">
        <v>10</v>
      </c>
      <c r="AD33">
        <f t="shared" si="0"/>
        <v>188830</v>
      </c>
    </row>
    <row r="34" spans="1:30" x14ac:dyDescent="0.25">
      <c r="A34" s="1" t="s">
        <v>14</v>
      </c>
      <c r="B34">
        <v>3</v>
      </c>
      <c r="C34">
        <v>2</v>
      </c>
      <c r="D34">
        <v>0</v>
      </c>
      <c r="E34" s="1" t="s">
        <v>15</v>
      </c>
      <c r="F34">
        <v>3</v>
      </c>
      <c r="G34">
        <v>2</v>
      </c>
      <c r="H34">
        <v>0</v>
      </c>
      <c r="I34" s="1" t="s">
        <v>16</v>
      </c>
      <c r="J34">
        <v>863464127.20000005</v>
      </c>
      <c r="K34">
        <v>2516910</v>
      </c>
      <c r="L34">
        <v>0.94983333333333331</v>
      </c>
      <c r="M34">
        <v>0.98075999999999997</v>
      </c>
      <c r="N34">
        <v>3</v>
      </c>
      <c r="Q34">
        <f>mnist_1_sorted_merged[[#This Row],[kan_params]]</f>
        <v>2516910</v>
      </c>
      <c r="R34">
        <f>mnist_1_sorted_merged[[#This Row],[kan_test_acc]]</f>
        <v>0.98075999999999997</v>
      </c>
      <c r="S34">
        <f>mnist_1_sorted_merged[[#This Row],[kan_val_acc]]</f>
        <v>0.94983333333333331</v>
      </c>
      <c r="T34">
        <f>mnist_1_sorted_merged[[#This Row],[kan_steps]]</f>
        <v>3</v>
      </c>
      <c r="Z34" t="str" cm="1">
        <f t="array" ref="Z34:AA34">_xlfn.TEXTSPLIT(MID(mnist_1_sorted_merged[[#This Row],[kan_width 1]],2,LEN(mnist_1_sorted_merged[[#This Row],[kan_width 1]])-2),", ")</f>
        <v>3136</v>
      </c>
      <c r="AA34" t="str">
        <v>100</v>
      </c>
      <c r="AB34" t="str" cm="1">
        <f t="array" ref="AB34:AC34">_xlfn.TEXTSPLIT(MID(mnist_1_sorted_merged[[#This Row],[kan_width 2]],2,LEN(mnist_1_sorted_merged[[#This Row],[kan_width 2]])-2),", ")</f>
        <v>100</v>
      </c>
      <c r="AC34" t="str">
        <v>10</v>
      </c>
      <c r="AD34">
        <f t="shared" si="0"/>
        <v>314710</v>
      </c>
    </row>
    <row r="35" spans="1:30" x14ac:dyDescent="0.25">
      <c r="A35" s="1" t="s">
        <v>14</v>
      </c>
      <c r="B35">
        <v>9</v>
      </c>
      <c r="C35">
        <v>2</v>
      </c>
      <c r="D35">
        <v>0</v>
      </c>
      <c r="E35" s="1" t="s">
        <v>23</v>
      </c>
      <c r="F35">
        <v>9</v>
      </c>
      <c r="G35">
        <v>2</v>
      </c>
      <c r="H35">
        <v>0</v>
      </c>
      <c r="I35" s="1" t="s">
        <v>24</v>
      </c>
      <c r="J35">
        <v>39467535.200000003</v>
      </c>
      <c r="K35">
        <v>2642710</v>
      </c>
      <c r="L35">
        <v>0.9425</v>
      </c>
      <c r="M35">
        <v>0.97946</v>
      </c>
      <c r="N35">
        <v>3</v>
      </c>
      <c r="Q35">
        <f>mnist_1_sorted_merged[[#This Row],[kan_params]]</f>
        <v>2642710</v>
      </c>
      <c r="R35">
        <f>mnist_1_sorted_merged[[#This Row],[kan_test_acc]]</f>
        <v>0.97946</v>
      </c>
      <c r="S35">
        <f>mnist_1_sorted_merged[[#This Row],[kan_val_acc]]</f>
        <v>0.9425</v>
      </c>
      <c r="T35">
        <f>mnist_1_sorted_merged[[#This Row],[kan_steps]]</f>
        <v>3</v>
      </c>
      <c r="Z35" t="str" cm="1">
        <f t="array" ref="Z35:AA35">_xlfn.TEXTSPLIT(MID(mnist_1_sorted_merged[[#This Row],[kan_width 1]],2,LEN(mnist_1_sorted_merged[[#This Row],[kan_width 1]])-2),", ")</f>
        <v>3136</v>
      </c>
      <c r="AA35" t="str">
        <v>60</v>
      </c>
      <c r="AB35" t="str" cm="1">
        <f t="array" ref="AB35:AC35">_xlfn.TEXTSPLIT(MID(mnist_1_sorted_merged[[#This Row],[kan_width 2]],2,LEN(mnist_1_sorted_merged[[#This Row],[kan_width 2]])-2),", ")</f>
        <v>60</v>
      </c>
      <c r="AC35" t="str">
        <v>10</v>
      </c>
      <c r="AD35">
        <f t="shared" si="0"/>
        <v>188830</v>
      </c>
    </row>
    <row r="36" spans="1:30" x14ac:dyDescent="0.25">
      <c r="A36" s="1" t="s">
        <v>14</v>
      </c>
      <c r="B36">
        <v>9</v>
      </c>
      <c r="C36">
        <v>3</v>
      </c>
      <c r="D36">
        <v>0</v>
      </c>
      <c r="E36" s="1" t="s">
        <v>23</v>
      </c>
      <c r="F36">
        <v>9</v>
      </c>
      <c r="G36">
        <v>3</v>
      </c>
      <c r="H36">
        <v>0</v>
      </c>
      <c r="I36" s="1" t="s">
        <v>24</v>
      </c>
      <c r="J36">
        <v>40636289.200000003</v>
      </c>
      <c r="K36">
        <v>2831470</v>
      </c>
      <c r="L36">
        <v>0.94638333333333335</v>
      </c>
      <c r="M36">
        <v>0.98082000000000003</v>
      </c>
      <c r="N36">
        <v>3</v>
      </c>
      <c r="Q36">
        <f>mnist_1_sorted_merged[[#This Row],[kan_params]]</f>
        <v>2831470</v>
      </c>
      <c r="R36">
        <f>mnist_1_sorted_merged[[#This Row],[kan_test_acc]]</f>
        <v>0.98082000000000003</v>
      </c>
      <c r="S36">
        <f>mnist_1_sorted_merged[[#This Row],[kan_val_acc]]</f>
        <v>0.94638333333333335</v>
      </c>
      <c r="T36">
        <f>mnist_1_sorted_merged[[#This Row],[kan_steps]]</f>
        <v>3</v>
      </c>
      <c r="Z36" t="str" cm="1">
        <f t="array" ref="Z36:AA36">_xlfn.TEXTSPLIT(MID(mnist_1_sorted_merged[[#This Row],[kan_width 1]],2,LEN(mnist_1_sorted_merged[[#This Row],[kan_width 1]])-2),", ")</f>
        <v>3136</v>
      </c>
      <c r="AA36" t="str">
        <v>60</v>
      </c>
      <c r="AB36" t="str" cm="1">
        <f t="array" ref="AB36:AC36">_xlfn.TEXTSPLIT(MID(mnist_1_sorted_merged[[#This Row],[kan_width 2]],2,LEN(mnist_1_sorted_merged[[#This Row],[kan_width 2]])-2),", ")</f>
        <v>60</v>
      </c>
      <c r="AC36" t="str">
        <v>10</v>
      </c>
      <c r="AD36">
        <f t="shared" si="0"/>
        <v>188830</v>
      </c>
    </row>
    <row r="37" spans="1:30" x14ac:dyDescent="0.25">
      <c r="A37" s="1" t="s">
        <v>14</v>
      </c>
      <c r="B37">
        <v>3</v>
      </c>
      <c r="C37">
        <v>3</v>
      </c>
      <c r="D37">
        <v>0</v>
      </c>
      <c r="E37" s="1" t="s">
        <v>15</v>
      </c>
      <c r="F37">
        <v>3</v>
      </c>
      <c r="G37">
        <v>3</v>
      </c>
      <c r="H37">
        <v>0</v>
      </c>
      <c r="I37" s="1" t="s">
        <v>16</v>
      </c>
      <c r="J37">
        <v>1256423441.4000001</v>
      </c>
      <c r="K37">
        <v>2831510</v>
      </c>
      <c r="L37">
        <v>0.95028333333333337</v>
      </c>
      <c r="M37">
        <v>0.98141999999999996</v>
      </c>
      <c r="N37">
        <v>3</v>
      </c>
      <c r="Q37">
        <f>mnist_1_sorted_merged[[#This Row],[kan_params]]</f>
        <v>2831510</v>
      </c>
      <c r="R37">
        <f>mnist_1_sorted_merged[[#This Row],[kan_test_acc]]</f>
        <v>0.98141999999999996</v>
      </c>
      <c r="S37">
        <f>mnist_1_sorted_merged[[#This Row],[kan_val_acc]]</f>
        <v>0.95028333333333337</v>
      </c>
      <c r="T37">
        <f>mnist_1_sorted_merged[[#This Row],[kan_steps]]</f>
        <v>3</v>
      </c>
      <c r="Z37" t="str" cm="1">
        <f t="array" ref="Z37:AA37">_xlfn.TEXTSPLIT(MID(mnist_1_sorted_merged[[#This Row],[kan_width 1]],2,LEN(mnist_1_sorted_merged[[#This Row],[kan_width 1]])-2),", ")</f>
        <v>3136</v>
      </c>
      <c r="AA37" t="str">
        <v>100</v>
      </c>
      <c r="AB37" t="str" cm="1">
        <f t="array" ref="AB37:AC37">_xlfn.TEXTSPLIT(MID(mnist_1_sorted_merged[[#This Row],[kan_width 2]],2,LEN(mnist_1_sorted_merged[[#This Row],[kan_width 2]])-2),", ")</f>
        <v>100</v>
      </c>
      <c r="AC37" t="str">
        <v>10</v>
      </c>
      <c r="AD37">
        <f t="shared" si="0"/>
        <v>314710</v>
      </c>
    </row>
    <row r="38" spans="1:30" x14ac:dyDescent="0.25">
      <c r="A38" s="1" t="s">
        <v>14</v>
      </c>
      <c r="B38">
        <v>9</v>
      </c>
      <c r="C38">
        <v>4</v>
      </c>
      <c r="D38">
        <v>0</v>
      </c>
      <c r="E38" s="1" t="s">
        <v>23</v>
      </c>
      <c r="F38">
        <v>9</v>
      </c>
      <c r="G38">
        <v>4</v>
      </c>
      <c r="H38">
        <v>0</v>
      </c>
      <c r="I38" s="1" t="s">
        <v>24</v>
      </c>
      <c r="J38">
        <v>42022535.399999999</v>
      </c>
      <c r="K38">
        <v>3020230</v>
      </c>
      <c r="L38">
        <v>0.94455</v>
      </c>
      <c r="M38">
        <v>0.97938000000000003</v>
      </c>
      <c r="N38">
        <v>3</v>
      </c>
      <c r="Q38">
        <f>mnist_1_sorted_merged[[#This Row],[kan_params]]</f>
        <v>3020230</v>
      </c>
      <c r="R38">
        <f>mnist_1_sorted_merged[[#This Row],[kan_test_acc]]</f>
        <v>0.97938000000000003</v>
      </c>
      <c r="S38">
        <f>mnist_1_sorted_merged[[#This Row],[kan_val_acc]]</f>
        <v>0.94455</v>
      </c>
      <c r="T38">
        <f>mnist_1_sorted_merged[[#This Row],[kan_steps]]</f>
        <v>3</v>
      </c>
      <c r="Z38" t="str" cm="1">
        <f t="array" ref="Z38:AA38">_xlfn.TEXTSPLIT(MID(mnist_1_sorted_merged[[#This Row],[kan_width 1]],2,LEN(mnist_1_sorted_merged[[#This Row],[kan_width 1]])-2),", ")</f>
        <v>3136</v>
      </c>
      <c r="AA38" t="str">
        <v>60</v>
      </c>
      <c r="AB38" t="str" cm="1">
        <f t="array" ref="AB38:AC38">_xlfn.TEXTSPLIT(MID(mnist_1_sorted_merged[[#This Row],[kan_width 2]],2,LEN(mnist_1_sorted_merged[[#This Row],[kan_width 2]])-2),", ")</f>
        <v>60</v>
      </c>
      <c r="AC38" t="str">
        <v>10</v>
      </c>
      <c r="AD38">
        <f t="shared" si="0"/>
        <v>188830</v>
      </c>
    </row>
    <row r="39" spans="1:30" x14ac:dyDescent="0.25">
      <c r="A39" s="1" t="s">
        <v>14</v>
      </c>
      <c r="B39">
        <v>3</v>
      </c>
      <c r="C39">
        <v>4</v>
      </c>
      <c r="D39">
        <v>0</v>
      </c>
      <c r="E39" s="1" t="s">
        <v>15</v>
      </c>
      <c r="F39">
        <v>3</v>
      </c>
      <c r="G39">
        <v>4</v>
      </c>
      <c r="H39">
        <v>0</v>
      </c>
      <c r="I39" s="1" t="s">
        <v>16</v>
      </c>
      <c r="J39">
        <v>1739432150.2</v>
      </c>
      <c r="K39">
        <v>3146110</v>
      </c>
      <c r="L39">
        <v>0.94708333333333328</v>
      </c>
      <c r="M39">
        <v>0.98087999999999997</v>
      </c>
      <c r="N39">
        <v>3</v>
      </c>
      <c r="Q39">
        <f>mnist_1_sorted_merged[[#This Row],[kan_params]]</f>
        <v>3146110</v>
      </c>
      <c r="R39">
        <f>mnist_1_sorted_merged[[#This Row],[kan_test_acc]]</f>
        <v>0.98087999999999997</v>
      </c>
      <c r="S39">
        <f>mnist_1_sorted_merged[[#This Row],[kan_val_acc]]</f>
        <v>0.94708333333333328</v>
      </c>
      <c r="T39">
        <f>mnist_1_sorted_merged[[#This Row],[kan_steps]]</f>
        <v>3</v>
      </c>
      <c r="Z39" t="str" cm="1">
        <f t="array" ref="Z39:AA39">_xlfn.TEXTSPLIT(MID(mnist_1_sorted_merged[[#This Row],[kan_width 1]],2,LEN(mnist_1_sorted_merged[[#This Row],[kan_width 1]])-2),", ")</f>
        <v>3136</v>
      </c>
      <c r="AA39" t="str">
        <v>100</v>
      </c>
      <c r="AB39" t="str" cm="1">
        <f t="array" ref="AB39:AC39">_xlfn.TEXTSPLIT(MID(mnist_1_sorted_merged[[#This Row],[kan_width 2]],2,LEN(mnist_1_sorted_merged[[#This Row],[kan_width 2]])-2),", ")</f>
        <v>100</v>
      </c>
      <c r="AC39" t="str">
        <v>10</v>
      </c>
      <c r="AD39">
        <f t="shared" si="0"/>
        <v>314710</v>
      </c>
    </row>
    <row r="40" spans="1:30" x14ac:dyDescent="0.25">
      <c r="A40" s="1" t="s">
        <v>14</v>
      </c>
      <c r="B40">
        <v>5</v>
      </c>
      <c r="C40">
        <v>2</v>
      </c>
      <c r="D40">
        <v>0</v>
      </c>
      <c r="E40" s="1" t="s">
        <v>15</v>
      </c>
      <c r="F40">
        <v>5</v>
      </c>
      <c r="G40">
        <v>2</v>
      </c>
      <c r="H40">
        <v>0</v>
      </c>
      <c r="I40" s="1" t="s">
        <v>16</v>
      </c>
      <c r="J40">
        <v>947413444.79999995</v>
      </c>
      <c r="K40">
        <v>3146110</v>
      </c>
      <c r="L40">
        <v>0.95036666666666669</v>
      </c>
      <c r="M40">
        <v>0.98170000000000002</v>
      </c>
      <c r="N40">
        <v>3</v>
      </c>
      <c r="Q40">
        <f>mnist_1_sorted_merged[[#This Row],[kan_params]]</f>
        <v>3146110</v>
      </c>
      <c r="R40">
        <f>mnist_1_sorted_merged[[#This Row],[kan_test_acc]]</f>
        <v>0.98170000000000002</v>
      </c>
      <c r="S40">
        <f>mnist_1_sorted_merged[[#This Row],[kan_val_acc]]</f>
        <v>0.95036666666666669</v>
      </c>
      <c r="T40">
        <f>mnist_1_sorted_merged[[#This Row],[kan_steps]]</f>
        <v>3</v>
      </c>
      <c r="Z40" t="str" cm="1">
        <f t="array" ref="Z40:AA40">_xlfn.TEXTSPLIT(MID(mnist_1_sorted_merged[[#This Row],[kan_width 1]],2,LEN(mnist_1_sorted_merged[[#This Row],[kan_width 1]])-2),", ")</f>
        <v>3136</v>
      </c>
      <c r="AA40" t="str">
        <v>100</v>
      </c>
      <c r="AB40" t="str" cm="1">
        <f t="array" ref="AB40:AC40">_xlfn.TEXTSPLIT(MID(mnist_1_sorted_merged[[#This Row],[kan_width 2]],2,LEN(mnist_1_sorted_merged[[#This Row],[kan_width 2]])-2),", ")</f>
        <v>100</v>
      </c>
      <c r="AC40" t="str">
        <v>10</v>
      </c>
      <c r="AD40">
        <f t="shared" si="0"/>
        <v>314710</v>
      </c>
    </row>
    <row r="41" spans="1:30" x14ac:dyDescent="0.25">
      <c r="A41" s="1" t="s">
        <v>14</v>
      </c>
      <c r="B41">
        <v>9</v>
      </c>
      <c r="C41">
        <v>5</v>
      </c>
      <c r="D41">
        <v>0</v>
      </c>
      <c r="E41" s="1" t="s">
        <v>23</v>
      </c>
      <c r="F41">
        <v>9</v>
      </c>
      <c r="G41">
        <v>5</v>
      </c>
      <c r="H41">
        <v>0</v>
      </c>
      <c r="I41" s="1" t="s">
        <v>24</v>
      </c>
      <c r="J41">
        <v>50902635.600000001</v>
      </c>
      <c r="K41">
        <v>3208990</v>
      </c>
      <c r="L41">
        <v>0.94766666666666666</v>
      </c>
      <c r="M41">
        <v>0.98027999999999993</v>
      </c>
      <c r="N41">
        <v>3</v>
      </c>
      <c r="Q41">
        <f>mnist_1_sorted_merged[[#This Row],[kan_params]]</f>
        <v>3208990</v>
      </c>
      <c r="R41">
        <f>mnist_1_sorted_merged[[#This Row],[kan_test_acc]]</f>
        <v>0.98027999999999993</v>
      </c>
      <c r="S41">
        <f>mnist_1_sorted_merged[[#This Row],[kan_val_acc]]</f>
        <v>0.94766666666666666</v>
      </c>
      <c r="T41">
        <f>mnist_1_sorted_merged[[#This Row],[kan_steps]]</f>
        <v>3</v>
      </c>
      <c r="Z41" t="str" cm="1">
        <f t="array" ref="Z41:AA41">_xlfn.TEXTSPLIT(MID(mnist_1_sorted_merged[[#This Row],[kan_width 1]],2,LEN(mnist_1_sorted_merged[[#This Row],[kan_width 1]])-2),", ")</f>
        <v>3136</v>
      </c>
      <c r="AA41" t="str">
        <v>60</v>
      </c>
      <c r="AB41" t="str" cm="1">
        <f t="array" ref="AB41:AC41">_xlfn.TEXTSPLIT(MID(mnist_1_sorted_merged[[#This Row],[kan_width 2]],2,LEN(mnist_1_sorted_merged[[#This Row],[kan_width 2]])-2),", ")</f>
        <v>60</v>
      </c>
      <c r="AC41" t="str">
        <v>10</v>
      </c>
      <c r="AD41">
        <f t="shared" si="0"/>
        <v>188830</v>
      </c>
    </row>
    <row r="42" spans="1:30" x14ac:dyDescent="0.25">
      <c r="A42" s="1" t="s">
        <v>14</v>
      </c>
      <c r="B42">
        <v>3</v>
      </c>
      <c r="C42">
        <v>5</v>
      </c>
      <c r="D42">
        <v>0</v>
      </c>
      <c r="E42" s="1" t="s">
        <v>15</v>
      </c>
      <c r="F42">
        <v>3</v>
      </c>
      <c r="G42">
        <v>5</v>
      </c>
      <c r="H42">
        <v>0</v>
      </c>
      <c r="I42" s="1" t="s">
        <v>16</v>
      </c>
      <c r="J42">
        <v>2330970462.8000002</v>
      </c>
      <c r="K42">
        <v>3460710</v>
      </c>
      <c r="L42">
        <v>0.9516</v>
      </c>
      <c r="M42">
        <v>0.98228000000000004</v>
      </c>
      <c r="N42">
        <v>3</v>
      </c>
      <c r="Q42">
        <f>mnist_1_sorted_merged[[#This Row],[kan_params]]</f>
        <v>3460710</v>
      </c>
      <c r="R42">
        <f>mnist_1_sorted_merged[[#This Row],[kan_test_acc]]</f>
        <v>0.98228000000000004</v>
      </c>
      <c r="S42">
        <f>mnist_1_sorted_merged[[#This Row],[kan_val_acc]]</f>
        <v>0.9516</v>
      </c>
      <c r="T42">
        <f>mnist_1_sorted_merged[[#This Row],[kan_steps]]</f>
        <v>3</v>
      </c>
      <c r="Z42" t="str" cm="1">
        <f t="array" ref="Z42:AA42">_xlfn.TEXTSPLIT(MID(mnist_1_sorted_merged[[#This Row],[kan_width 1]],2,LEN(mnist_1_sorted_merged[[#This Row],[kan_width 1]])-2),", ")</f>
        <v>3136</v>
      </c>
      <c r="AA42" t="str">
        <v>100</v>
      </c>
      <c r="AB42" t="str" cm="1">
        <f t="array" ref="AB42:AC42">_xlfn.TEXTSPLIT(MID(mnist_1_sorted_merged[[#This Row],[kan_width 2]],2,LEN(mnist_1_sorted_merged[[#This Row],[kan_width 2]])-2),", ")</f>
        <v>100</v>
      </c>
      <c r="AC42" t="str">
        <v>10</v>
      </c>
      <c r="AD42">
        <f t="shared" si="0"/>
        <v>314710</v>
      </c>
    </row>
    <row r="43" spans="1:30" x14ac:dyDescent="0.25">
      <c r="A43" s="1" t="s">
        <v>14</v>
      </c>
      <c r="B43">
        <v>5</v>
      </c>
      <c r="C43">
        <v>3</v>
      </c>
      <c r="D43">
        <v>0</v>
      </c>
      <c r="E43" s="1" t="s">
        <v>15</v>
      </c>
      <c r="F43">
        <v>5</v>
      </c>
      <c r="G43">
        <v>3</v>
      </c>
      <c r="H43">
        <v>0</v>
      </c>
      <c r="I43" s="1" t="s">
        <v>16</v>
      </c>
      <c r="J43">
        <v>1481367365.4000001</v>
      </c>
      <c r="K43">
        <v>3460710</v>
      </c>
      <c r="L43">
        <v>0.94901666666666662</v>
      </c>
      <c r="M43">
        <v>0.98177999999999999</v>
      </c>
      <c r="N43">
        <v>3</v>
      </c>
      <c r="Q43">
        <f>mnist_1_sorted_merged[[#This Row],[kan_params]]</f>
        <v>3460710</v>
      </c>
      <c r="R43">
        <f>mnist_1_sorted_merged[[#This Row],[kan_test_acc]]</f>
        <v>0.98177999999999999</v>
      </c>
      <c r="S43">
        <f>mnist_1_sorted_merged[[#This Row],[kan_val_acc]]</f>
        <v>0.94901666666666662</v>
      </c>
      <c r="T43">
        <f>mnist_1_sorted_merged[[#This Row],[kan_steps]]</f>
        <v>3</v>
      </c>
      <c r="Z43" t="str" cm="1">
        <f t="array" ref="Z43:AA43">_xlfn.TEXTSPLIT(MID(mnist_1_sorted_merged[[#This Row],[kan_width 1]],2,LEN(mnist_1_sorted_merged[[#This Row],[kan_width 1]])-2),", ")</f>
        <v>3136</v>
      </c>
      <c r="AA43" t="str">
        <v>100</v>
      </c>
      <c r="AB43" t="str" cm="1">
        <f t="array" ref="AB43:AC43">_xlfn.TEXTSPLIT(MID(mnist_1_sorted_merged[[#This Row],[kan_width 2]],2,LEN(mnist_1_sorted_merged[[#This Row],[kan_width 2]])-2),", ")</f>
        <v>100</v>
      </c>
      <c r="AC43" t="str">
        <v>10</v>
      </c>
      <c r="AD43">
        <f t="shared" si="0"/>
        <v>314710</v>
      </c>
    </row>
    <row r="44" spans="1:30" x14ac:dyDescent="0.25">
      <c r="A44" s="1" t="s">
        <v>14</v>
      </c>
      <c r="B44">
        <v>5</v>
      </c>
      <c r="C44">
        <v>4</v>
      </c>
      <c r="D44">
        <v>0</v>
      </c>
      <c r="E44" s="1" t="s">
        <v>15</v>
      </c>
      <c r="F44">
        <v>5</v>
      </c>
      <c r="G44">
        <v>4</v>
      </c>
      <c r="H44">
        <v>0</v>
      </c>
      <c r="I44" s="1" t="s">
        <v>16</v>
      </c>
      <c r="J44">
        <v>2064853464.2</v>
      </c>
      <c r="K44">
        <v>3775310</v>
      </c>
      <c r="L44">
        <v>0.94653333333333334</v>
      </c>
      <c r="M44">
        <v>0.98075999999999997</v>
      </c>
      <c r="N44">
        <v>3</v>
      </c>
      <c r="Q44">
        <f>mnist_1_sorted_merged[[#This Row],[kan_params]]</f>
        <v>3775310</v>
      </c>
      <c r="R44">
        <f>mnist_1_sorted_merged[[#This Row],[kan_test_acc]]</f>
        <v>0.98075999999999997</v>
      </c>
      <c r="S44">
        <f>mnist_1_sorted_merged[[#This Row],[kan_val_acc]]</f>
        <v>0.94653333333333334</v>
      </c>
      <c r="T44">
        <f>mnist_1_sorted_merged[[#This Row],[kan_steps]]</f>
        <v>3</v>
      </c>
      <c r="Z44" t="str" cm="1">
        <f t="array" ref="Z44:AA44">_xlfn.TEXTSPLIT(MID(mnist_1_sorted_merged[[#This Row],[kan_width 1]],2,LEN(mnist_1_sorted_merged[[#This Row],[kan_width 1]])-2),", ")</f>
        <v>3136</v>
      </c>
      <c r="AA44" t="str">
        <v>100</v>
      </c>
      <c r="AB44" t="str" cm="1">
        <f t="array" ref="AB44:AC44">_xlfn.TEXTSPLIT(MID(mnist_1_sorted_merged[[#This Row],[kan_width 2]],2,LEN(mnist_1_sorted_merged[[#This Row],[kan_width 2]])-2),", ")</f>
        <v>100</v>
      </c>
      <c r="AC44" t="str">
        <v>10</v>
      </c>
      <c r="AD44">
        <f t="shared" si="0"/>
        <v>314710</v>
      </c>
    </row>
    <row r="45" spans="1:30" x14ac:dyDescent="0.25">
      <c r="A45" s="1" t="s">
        <v>14</v>
      </c>
      <c r="B45">
        <v>5</v>
      </c>
      <c r="C45">
        <v>5</v>
      </c>
      <c r="D45">
        <v>0</v>
      </c>
      <c r="E45" s="1" t="s">
        <v>15</v>
      </c>
      <c r="F45">
        <v>5</v>
      </c>
      <c r="G45">
        <v>5</v>
      </c>
      <c r="H45">
        <v>0</v>
      </c>
      <c r="I45" s="1" t="s">
        <v>16</v>
      </c>
      <c r="J45">
        <v>2519490765.1999998</v>
      </c>
      <c r="K45">
        <v>4089910</v>
      </c>
      <c r="L45">
        <v>0.94969999999999999</v>
      </c>
      <c r="M45">
        <v>0.98151999999999995</v>
      </c>
      <c r="N45">
        <v>3</v>
      </c>
      <c r="Q45">
        <f>mnist_1_sorted_merged[[#This Row],[kan_params]]</f>
        <v>4089910</v>
      </c>
      <c r="R45">
        <f>mnist_1_sorted_merged[[#This Row],[kan_test_acc]]</f>
        <v>0.98151999999999995</v>
      </c>
      <c r="S45">
        <f>mnist_1_sorted_merged[[#This Row],[kan_val_acc]]</f>
        <v>0.94969999999999999</v>
      </c>
      <c r="T45">
        <f>mnist_1_sorted_merged[[#This Row],[kan_steps]]</f>
        <v>3</v>
      </c>
      <c r="Z45" t="str" cm="1">
        <f t="array" ref="Z45:AA45">_xlfn.TEXTSPLIT(MID(mnist_1_sorted_merged[[#This Row],[kan_width 1]],2,LEN(mnist_1_sorted_merged[[#This Row],[kan_width 1]])-2),", ")</f>
        <v>3136</v>
      </c>
      <c r="AA45" t="str">
        <v>100</v>
      </c>
      <c r="AB45" t="str" cm="1">
        <f t="array" ref="AB45:AC45">_xlfn.TEXTSPLIT(MID(mnist_1_sorted_merged[[#This Row],[kan_width 2]],2,LEN(mnist_1_sorted_merged[[#This Row],[kan_width 2]])-2),", ")</f>
        <v>100</v>
      </c>
      <c r="AC45" t="str">
        <v>10</v>
      </c>
      <c r="AD45">
        <f t="shared" si="0"/>
        <v>314710</v>
      </c>
    </row>
    <row r="46" spans="1:30" x14ac:dyDescent="0.25">
      <c r="A46" s="1" t="s">
        <v>14</v>
      </c>
      <c r="B46">
        <v>9</v>
      </c>
      <c r="C46">
        <v>2</v>
      </c>
      <c r="D46">
        <v>0</v>
      </c>
      <c r="E46" s="1" t="s">
        <v>15</v>
      </c>
      <c r="F46">
        <v>9</v>
      </c>
      <c r="G46">
        <v>2</v>
      </c>
      <c r="H46">
        <v>0</v>
      </c>
      <c r="I46" s="1" t="s">
        <v>16</v>
      </c>
      <c r="J46">
        <v>1195809126</v>
      </c>
      <c r="K46">
        <v>4404510</v>
      </c>
      <c r="L46">
        <v>0.94951666666666668</v>
      </c>
      <c r="M46">
        <v>0.98265999999999998</v>
      </c>
      <c r="N46">
        <v>3</v>
      </c>
      <c r="Q46">
        <f>mnist_1_sorted_merged[[#This Row],[kan_params]]</f>
        <v>4404510</v>
      </c>
      <c r="R46">
        <f>mnist_1_sorted_merged[[#This Row],[kan_test_acc]]</f>
        <v>0.98265999999999998</v>
      </c>
      <c r="S46">
        <f>mnist_1_sorted_merged[[#This Row],[kan_val_acc]]</f>
        <v>0.94951666666666668</v>
      </c>
      <c r="T46">
        <f>mnist_1_sorted_merged[[#This Row],[kan_steps]]</f>
        <v>3</v>
      </c>
      <c r="Z46" t="str" cm="1">
        <f t="array" ref="Z46:AA46">_xlfn.TEXTSPLIT(MID(mnist_1_sorted_merged[[#This Row],[kan_width 1]],2,LEN(mnist_1_sorted_merged[[#This Row],[kan_width 1]])-2),", ")</f>
        <v>3136</v>
      </c>
      <c r="AA46" t="str">
        <v>100</v>
      </c>
      <c r="AB46" t="str" cm="1">
        <f t="array" ref="AB46:AC46">_xlfn.TEXTSPLIT(MID(mnist_1_sorted_merged[[#This Row],[kan_width 2]],2,LEN(mnist_1_sorted_merged[[#This Row],[kan_width 2]])-2),", ")</f>
        <v>100</v>
      </c>
      <c r="AC46" t="str">
        <v>10</v>
      </c>
      <c r="AD46">
        <f t="shared" si="0"/>
        <v>314710</v>
      </c>
    </row>
    <row r="47" spans="1:30" x14ac:dyDescent="0.25">
      <c r="A47" s="1" t="s">
        <v>14</v>
      </c>
      <c r="B47">
        <v>9</v>
      </c>
      <c r="C47">
        <v>3</v>
      </c>
      <c r="D47">
        <v>0</v>
      </c>
      <c r="E47" s="1" t="s">
        <v>15</v>
      </c>
      <c r="F47">
        <v>9</v>
      </c>
      <c r="G47">
        <v>3</v>
      </c>
      <c r="H47">
        <v>0</v>
      </c>
      <c r="I47" s="1" t="s">
        <v>16</v>
      </c>
      <c r="J47">
        <v>1784525204.2</v>
      </c>
      <c r="K47">
        <v>4719110</v>
      </c>
      <c r="L47">
        <v>0.95313333333333339</v>
      </c>
      <c r="M47">
        <v>0.98228000000000004</v>
      </c>
      <c r="N47">
        <v>3</v>
      </c>
      <c r="Q47">
        <f>mnist_1_sorted_merged[[#This Row],[kan_params]]</f>
        <v>4719110</v>
      </c>
      <c r="R47">
        <f>mnist_1_sorted_merged[[#This Row],[kan_test_acc]]</f>
        <v>0.98228000000000004</v>
      </c>
      <c r="S47">
        <f>mnist_1_sorted_merged[[#This Row],[kan_val_acc]]</f>
        <v>0.95313333333333339</v>
      </c>
      <c r="T47">
        <f>mnist_1_sorted_merged[[#This Row],[kan_steps]]</f>
        <v>3</v>
      </c>
      <c r="Z47" t="str" cm="1">
        <f t="array" ref="Z47:AA47">_xlfn.TEXTSPLIT(MID(mnist_1_sorted_merged[[#This Row],[kan_width 1]],2,LEN(mnist_1_sorted_merged[[#This Row],[kan_width 1]])-2),", ")</f>
        <v>3136</v>
      </c>
      <c r="AA47" t="str">
        <v>100</v>
      </c>
      <c r="AB47" t="str" cm="1">
        <f t="array" ref="AB47:AC47">_xlfn.TEXTSPLIT(MID(mnist_1_sorted_merged[[#This Row],[kan_width 2]],2,LEN(mnist_1_sorted_merged[[#This Row],[kan_width 2]])-2),", ")</f>
        <v>100</v>
      </c>
      <c r="AC47" t="str">
        <v>10</v>
      </c>
      <c r="AD47">
        <f t="shared" si="0"/>
        <v>314710</v>
      </c>
    </row>
    <row r="48" spans="1:30" x14ac:dyDescent="0.25">
      <c r="A48" s="1" t="s">
        <v>14</v>
      </c>
      <c r="B48">
        <v>9</v>
      </c>
      <c r="C48">
        <v>4</v>
      </c>
      <c r="D48">
        <v>0</v>
      </c>
      <c r="E48" s="1" t="s">
        <v>15</v>
      </c>
      <c r="F48">
        <v>9</v>
      </c>
      <c r="G48">
        <v>4</v>
      </c>
      <c r="H48">
        <v>0</v>
      </c>
      <c r="I48" s="1" t="s">
        <v>16</v>
      </c>
      <c r="J48">
        <v>1584271569.8</v>
      </c>
      <c r="K48">
        <v>5033710</v>
      </c>
      <c r="L48">
        <v>0.94986666666666664</v>
      </c>
      <c r="M48">
        <v>0.98207999999999995</v>
      </c>
      <c r="N48">
        <v>3</v>
      </c>
      <c r="Q48">
        <f>mnist_1_sorted_merged[[#This Row],[kan_params]]</f>
        <v>5033710</v>
      </c>
      <c r="R48">
        <f>mnist_1_sorted_merged[[#This Row],[kan_test_acc]]</f>
        <v>0.98207999999999995</v>
      </c>
      <c r="S48">
        <f>mnist_1_sorted_merged[[#This Row],[kan_val_acc]]</f>
        <v>0.94986666666666664</v>
      </c>
      <c r="T48">
        <f>mnist_1_sorted_merged[[#This Row],[kan_steps]]</f>
        <v>3</v>
      </c>
      <c r="Z48" t="str" cm="1">
        <f t="array" ref="Z48:AA48">_xlfn.TEXTSPLIT(MID(mnist_1_sorted_merged[[#This Row],[kan_width 1]],2,LEN(mnist_1_sorted_merged[[#This Row],[kan_width 1]])-2),", ")</f>
        <v>3136</v>
      </c>
      <c r="AA48" t="str">
        <v>100</v>
      </c>
      <c r="AB48" t="str" cm="1">
        <f t="array" ref="AB48:AC48">_xlfn.TEXTSPLIT(MID(mnist_1_sorted_merged[[#This Row],[kan_width 2]],2,LEN(mnist_1_sorted_merged[[#This Row],[kan_width 2]])-2),", ")</f>
        <v>100</v>
      </c>
      <c r="AC48" t="str">
        <v>10</v>
      </c>
      <c r="AD48">
        <f t="shared" si="0"/>
        <v>314710</v>
      </c>
    </row>
    <row r="49" spans="1:30" x14ac:dyDescent="0.25">
      <c r="A49" s="1" t="s">
        <v>14</v>
      </c>
      <c r="B49">
        <v>9</v>
      </c>
      <c r="C49">
        <v>5</v>
      </c>
      <c r="D49">
        <v>0</v>
      </c>
      <c r="E49" s="1" t="s">
        <v>15</v>
      </c>
      <c r="F49">
        <v>9</v>
      </c>
      <c r="G49">
        <v>5</v>
      </c>
      <c r="H49">
        <v>0</v>
      </c>
      <c r="I49" s="1" t="s">
        <v>16</v>
      </c>
      <c r="J49">
        <v>1748283307</v>
      </c>
      <c r="K49">
        <v>5348310</v>
      </c>
      <c r="L49">
        <v>0.94783333333333331</v>
      </c>
      <c r="M49">
        <v>0.98121999999999998</v>
      </c>
      <c r="N49">
        <v>3</v>
      </c>
      <c r="Q49">
        <f>mnist_1_sorted_merged[[#This Row],[kan_params]]</f>
        <v>5348310</v>
      </c>
      <c r="R49">
        <f>mnist_1_sorted_merged[[#This Row],[kan_test_acc]]</f>
        <v>0.98121999999999998</v>
      </c>
      <c r="S49">
        <f>mnist_1_sorted_merged[[#This Row],[kan_val_acc]]</f>
        <v>0.94783333333333331</v>
      </c>
      <c r="T49">
        <f>mnist_1_sorted_merged[[#This Row],[kan_steps]]</f>
        <v>3</v>
      </c>
      <c r="Z49" t="str" cm="1">
        <f t="array" ref="Z49:AA49">_xlfn.TEXTSPLIT(MID(mnist_1_sorted_merged[[#This Row],[kan_width 1]],2,LEN(mnist_1_sorted_merged[[#This Row],[kan_width 1]])-2),", ")</f>
        <v>3136</v>
      </c>
      <c r="AA49" t="str">
        <v>100</v>
      </c>
      <c r="AB49" t="str" cm="1">
        <f t="array" ref="AB49:AC49">_xlfn.TEXTSPLIT(MID(mnist_1_sorted_merged[[#This Row],[kan_width 2]],2,LEN(mnist_1_sorted_merged[[#This Row],[kan_width 2]])-2),", ")</f>
        <v>100</v>
      </c>
      <c r="AC49" t="str">
        <v>10</v>
      </c>
      <c r="AD49">
        <f t="shared" si="0"/>
        <v>314710</v>
      </c>
    </row>
    <row r="50" spans="1:30" x14ac:dyDescent="0.25">
      <c r="A50" s="1" t="s">
        <v>14</v>
      </c>
      <c r="B50">
        <v>3</v>
      </c>
      <c r="C50">
        <v>3</v>
      </c>
      <c r="D50">
        <v>0</v>
      </c>
      <c r="E50" s="1" t="s">
        <v>25</v>
      </c>
      <c r="F50">
        <v>3</v>
      </c>
      <c r="G50">
        <v>3</v>
      </c>
      <c r="H50">
        <v>0</v>
      </c>
      <c r="I50" s="1" t="s">
        <v>26</v>
      </c>
      <c r="J50">
        <v>1075006626.7272727</v>
      </c>
      <c r="K50">
        <v>7248650</v>
      </c>
      <c r="L50">
        <v>0.95553787878787877</v>
      </c>
      <c r="M50">
        <v>0.98374545454545459</v>
      </c>
      <c r="N50">
        <v>3</v>
      </c>
      <c r="Q50">
        <f>mnist_1_sorted_merged[[#This Row],[kan_params]]</f>
        <v>7248650</v>
      </c>
      <c r="R50">
        <f>mnist_1_sorted_merged[[#This Row],[kan_test_acc]]</f>
        <v>0.98374545454545459</v>
      </c>
      <c r="S50">
        <f>mnist_1_sorted_merged[[#This Row],[kan_val_acc]]</f>
        <v>0.95553787878787877</v>
      </c>
      <c r="T50">
        <f>mnist_1_sorted_merged[[#This Row],[kan_steps]]</f>
        <v>3</v>
      </c>
      <c r="Z50" t="str" cm="1">
        <f t="array" ref="Z50:AA50">_xlfn.TEXTSPLIT(MID(mnist_1_sorted_merged[[#This Row],[kan_width 1]],2,LEN(mnist_1_sorted_merged[[#This Row],[kan_width 1]])-2),", ")</f>
        <v>3136</v>
      </c>
      <c r="AA50" t="str">
        <v>256</v>
      </c>
      <c r="AB50" t="str" cm="1">
        <f t="array" ref="AB50:AC50">_xlfn.TEXTSPLIT(MID(mnist_1_sorted_merged[[#This Row],[kan_width 2]],2,LEN(mnist_1_sorted_merged[[#This Row],[kan_width 2]])-2),", ")</f>
        <v>256</v>
      </c>
      <c r="AC50" t="str">
        <v>10</v>
      </c>
      <c r="AD50">
        <f t="shared" si="0"/>
        <v>805642</v>
      </c>
    </row>
    <row r="51" spans="1:30" x14ac:dyDescent="0.25">
      <c r="A51" s="1" t="s">
        <v>14</v>
      </c>
      <c r="B51">
        <v>3</v>
      </c>
      <c r="C51">
        <v>4</v>
      </c>
      <c r="D51">
        <v>0</v>
      </c>
      <c r="E51" s="1" t="s">
        <v>25</v>
      </c>
      <c r="F51">
        <v>3</v>
      </c>
      <c r="G51">
        <v>4</v>
      </c>
      <c r="H51">
        <v>0</v>
      </c>
      <c r="I51" s="1" t="s">
        <v>26</v>
      </c>
      <c r="J51">
        <v>1606026507.5999999</v>
      </c>
      <c r="K51">
        <v>8054026</v>
      </c>
      <c r="L51">
        <v>0.95662500000000006</v>
      </c>
      <c r="M51">
        <v>0.98338000000000003</v>
      </c>
      <c r="N51">
        <v>3</v>
      </c>
      <c r="Q51">
        <f>mnist_1_sorted_merged[[#This Row],[kan_params]]</f>
        <v>8054026</v>
      </c>
      <c r="R51">
        <f>mnist_1_sorted_merged[[#This Row],[kan_test_acc]]</f>
        <v>0.98338000000000003</v>
      </c>
      <c r="S51">
        <f>mnist_1_sorted_merged[[#This Row],[kan_val_acc]]</f>
        <v>0.95662500000000006</v>
      </c>
      <c r="T51">
        <f>mnist_1_sorted_merged[[#This Row],[kan_steps]]</f>
        <v>3</v>
      </c>
      <c r="Z51" t="str" cm="1">
        <f t="array" ref="Z51:AA51">_xlfn.TEXTSPLIT(MID(mnist_1_sorted_merged[[#This Row],[kan_width 1]],2,LEN(mnist_1_sorted_merged[[#This Row],[kan_width 1]])-2),", ")</f>
        <v>3136</v>
      </c>
      <c r="AA51" t="str">
        <v>256</v>
      </c>
      <c r="AB51" t="str" cm="1">
        <f t="array" ref="AB51:AC51">_xlfn.TEXTSPLIT(MID(mnist_1_sorted_merged[[#This Row],[kan_width 2]],2,LEN(mnist_1_sorted_merged[[#This Row],[kan_width 2]])-2),", ")</f>
        <v>256</v>
      </c>
      <c r="AC51" t="str">
        <v>10</v>
      </c>
      <c r="AD51">
        <f t="shared" si="0"/>
        <v>805642</v>
      </c>
    </row>
    <row r="52" spans="1:30" x14ac:dyDescent="0.25">
      <c r="A52" s="1" t="s">
        <v>14</v>
      </c>
      <c r="B52">
        <v>5</v>
      </c>
      <c r="C52">
        <v>2</v>
      </c>
      <c r="D52">
        <v>0</v>
      </c>
      <c r="E52" s="1" t="s">
        <v>25</v>
      </c>
      <c r="F52">
        <v>5</v>
      </c>
      <c r="G52">
        <v>2</v>
      </c>
      <c r="H52">
        <v>0</v>
      </c>
      <c r="I52" s="1" t="s">
        <v>26</v>
      </c>
      <c r="J52">
        <v>915983776.77777779</v>
      </c>
      <c r="K52">
        <v>8054026</v>
      </c>
      <c r="L52">
        <v>0.95643518518518522</v>
      </c>
      <c r="M52">
        <v>0.98324444444444448</v>
      </c>
      <c r="N52">
        <v>3</v>
      </c>
      <c r="Q52">
        <f>mnist_1_sorted_merged[[#This Row],[kan_params]]</f>
        <v>8054026</v>
      </c>
      <c r="R52">
        <f>mnist_1_sorted_merged[[#This Row],[kan_test_acc]]</f>
        <v>0.98324444444444448</v>
      </c>
      <c r="S52">
        <f>mnist_1_sorted_merged[[#This Row],[kan_val_acc]]</f>
        <v>0.95643518518518522</v>
      </c>
      <c r="T52">
        <f>mnist_1_sorted_merged[[#This Row],[kan_steps]]</f>
        <v>3</v>
      </c>
      <c r="Z52" t="str" cm="1">
        <f t="array" ref="Z52:AA52">_xlfn.TEXTSPLIT(MID(mnist_1_sorted_merged[[#This Row],[kan_width 1]],2,LEN(mnist_1_sorted_merged[[#This Row],[kan_width 1]])-2),", ")</f>
        <v>3136</v>
      </c>
      <c r="AA52" t="str">
        <v>256</v>
      </c>
      <c r="AB52" t="str" cm="1">
        <f t="array" ref="AB52:AC52">_xlfn.TEXTSPLIT(MID(mnist_1_sorted_merged[[#This Row],[kan_width 2]],2,LEN(mnist_1_sorted_merged[[#This Row],[kan_width 2]])-2),", ")</f>
        <v>256</v>
      </c>
      <c r="AC52" t="str">
        <v>10</v>
      </c>
      <c r="AD52">
        <f t="shared" si="0"/>
        <v>805642</v>
      </c>
    </row>
    <row r="53" spans="1:30" x14ac:dyDescent="0.25">
      <c r="A53" s="1" t="s">
        <v>14</v>
      </c>
      <c r="B53">
        <v>3</v>
      </c>
      <c r="C53">
        <v>5</v>
      </c>
      <c r="D53">
        <v>0</v>
      </c>
      <c r="E53" s="1" t="s">
        <v>25</v>
      </c>
      <c r="F53">
        <v>3</v>
      </c>
      <c r="G53">
        <v>5</v>
      </c>
      <c r="H53">
        <v>0</v>
      </c>
      <c r="I53" s="1" t="s">
        <v>26</v>
      </c>
      <c r="J53">
        <v>2118315628.5</v>
      </c>
      <c r="K53">
        <v>8859402</v>
      </c>
      <c r="L53">
        <v>0.9553166666666667</v>
      </c>
      <c r="M53">
        <v>0.98290999999999995</v>
      </c>
      <c r="N53">
        <v>3</v>
      </c>
      <c r="Q53">
        <f>mnist_1_sorted_merged[[#This Row],[kan_params]]</f>
        <v>8859402</v>
      </c>
      <c r="R53">
        <f>mnist_1_sorted_merged[[#This Row],[kan_test_acc]]</f>
        <v>0.98290999999999995</v>
      </c>
      <c r="S53">
        <f>mnist_1_sorted_merged[[#This Row],[kan_val_acc]]</f>
        <v>0.9553166666666667</v>
      </c>
      <c r="T53">
        <f>mnist_1_sorted_merged[[#This Row],[kan_steps]]</f>
        <v>3</v>
      </c>
      <c r="Z53" t="str" cm="1">
        <f t="array" ref="Z53:AA53">_xlfn.TEXTSPLIT(MID(mnist_1_sorted_merged[[#This Row],[kan_width 1]],2,LEN(mnist_1_sorted_merged[[#This Row],[kan_width 1]])-2),", ")</f>
        <v>3136</v>
      </c>
      <c r="AA53" t="str">
        <v>256</v>
      </c>
      <c r="AB53" t="str" cm="1">
        <f t="array" ref="AB53:AC53">_xlfn.TEXTSPLIT(MID(mnist_1_sorted_merged[[#This Row],[kan_width 2]],2,LEN(mnist_1_sorted_merged[[#This Row],[kan_width 2]])-2),", ")</f>
        <v>256</v>
      </c>
      <c r="AC53" t="str">
        <v>10</v>
      </c>
      <c r="AD53">
        <f t="shared" si="0"/>
        <v>805642</v>
      </c>
    </row>
    <row r="54" spans="1:30" x14ac:dyDescent="0.25">
      <c r="A54" s="1" t="s">
        <v>14</v>
      </c>
      <c r="B54">
        <v>5</v>
      </c>
      <c r="C54">
        <v>3</v>
      </c>
      <c r="D54">
        <v>0</v>
      </c>
      <c r="E54" s="1" t="s">
        <v>25</v>
      </c>
      <c r="F54">
        <v>5</v>
      </c>
      <c r="G54">
        <v>3</v>
      </c>
      <c r="H54">
        <v>0</v>
      </c>
      <c r="I54" s="1" t="s">
        <v>26</v>
      </c>
      <c r="J54">
        <v>1282308791</v>
      </c>
      <c r="K54">
        <v>8859402</v>
      </c>
      <c r="L54">
        <v>0.9590833333333334</v>
      </c>
      <c r="M54">
        <v>0.98424</v>
      </c>
      <c r="N54">
        <v>3</v>
      </c>
      <c r="Q54">
        <f>mnist_1_sorted_merged[[#This Row],[kan_params]]</f>
        <v>8859402</v>
      </c>
      <c r="R54">
        <f>mnist_1_sorted_merged[[#This Row],[kan_test_acc]]</f>
        <v>0.98424</v>
      </c>
      <c r="S54">
        <f>mnist_1_sorted_merged[[#This Row],[kan_val_acc]]</f>
        <v>0.9590833333333334</v>
      </c>
      <c r="T54">
        <f>mnist_1_sorted_merged[[#This Row],[kan_steps]]</f>
        <v>3</v>
      </c>
      <c r="Z54" t="str" cm="1">
        <f t="array" ref="Z54:AA54">_xlfn.TEXTSPLIT(MID(mnist_1_sorted_merged[[#This Row],[kan_width 1]],2,LEN(mnist_1_sorted_merged[[#This Row],[kan_width 1]])-2),", ")</f>
        <v>3136</v>
      </c>
      <c r="AA54" t="str">
        <v>256</v>
      </c>
      <c r="AB54" t="str" cm="1">
        <f t="array" ref="AB54:AC54">_xlfn.TEXTSPLIT(MID(mnist_1_sorted_merged[[#This Row],[kan_width 2]],2,LEN(mnist_1_sorted_merged[[#This Row],[kan_width 2]])-2),", ")</f>
        <v>256</v>
      </c>
      <c r="AC54" t="str">
        <v>10</v>
      </c>
      <c r="AD54">
        <f t="shared" si="0"/>
        <v>805642</v>
      </c>
    </row>
    <row r="55" spans="1:30" x14ac:dyDescent="0.25">
      <c r="A55" s="1" t="s">
        <v>14</v>
      </c>
      <c r="B55">
        <v>5</v>
      </c>
      <c r="C55">
        <v>4</v>
      </c>
      <c r="D55">
        <v>0</v>
      </c>
      <c r="E55" s="1" t="s">
        <v>25</v>
      </c>
      <c r="F55">
        <v>5</v>
      </c>
      <c r="G55">
        <v>4</v>
      </c>
      <c r="H55">
        <v>0</v>
      </c>
      <c r="I55" s="1" t="s">
        <v>26</v>
      </c>
      <c r="J55">
        <v>1787763953.8</v>
      </c>
      <c r="K55">
        <v>9664778</v>
      </c>
      <c r="L55">
        <v>0.95756666666666668</v>
      </c>
      <c r="M55">
        <v>0.98346</v>
      </c>
      <c r="N55">
        <v>3</v>
      </c>
      <c r="Q55">
        <f>mnist_1_sorted_merged[[#This Row],[kan_params]]</f>
        <v>9664778</v>
      </c>
      <c r="R55">
        <f>mnist_1_sorted_merged[[#This Row],[kan_test_acc]]</f>
        <v>0.98346</v>
      </c>
      <c r="S55">
        <f>mnist_1_sorted_merged[[#This Row],[kan_val_acc]]</f>
        <v>0.95756666666666668</v>
      </c>
      <c r="T55">
        <f>mnist_1_sorted_merged[[#This Row],[kan_steps]]</f>
        <v>3</v>
      </c>
      <c r="Z55" t="str" cm="1">
        <f t="array" ref="Z55:AA55">_xlfn.TEXTSPLIT(MID(mnist_1_sorted_merged[[#This Row],[kan_width 1]],2,LEN(mnist_1_sorted_merged[[#This Row],[kan_width 1]])-2),", ")</f>
        <v>3136</v>
      </c>
      <c r="AA55" t="str">
        <v>256</v>
      </c>
      <c r="AB55" t="str" cm="1">
        <f t="array" ref="AB55:AC55">_xlfn.TEXTSPLIT(MID(mnist_1_sorted_merged[[#This Row],[kan_width 2]],2,LEN(mnist_1_sorted_merged[[#This Row],[kan_width 2]])-2),", ")</f>
        <v>256</v>
      </c>
      <c r="AC55" t="str">
        <v>10</v>
      </c>
      <c r="AD55">
        <f t="shared" si="0"/>
        <v>805642</v>
      </c>
    </row>
    <row r="56" spans="1:30" x14ac:dyDescent="0.25">
      <c r="A56" s="1" t="s">
        <v>14</v>
      </c>
      <c r="B56">
        <v>5</v>
      </c>
      <c r="C56">
        <v>5</v>
      </c>
      <c r="D56">
        <v>0</v>
      </c>
      <c r="E56" s="1" t="s">
        <v>25</v>
      </c>
      <c r="F56">
        <v>5</v>
      </c>
      <c r="G56">
        <v>5</v>
      </c>
      <c r="H56">
        <v>0</v>
      </c>
      <c r="I56" s="1" t="s">
        <v>26</v>
      </c>
      <c r="J56">
        <v>2470422507</v>
      </c>
      <c r="K56">
        <v>10470154</v>
      </c>
      <c r="L56">
        <v>0.95545000000000002</v>
      </c>
      <c r="M56">
        <v>0.98409999999999997</v>
      </c>
      <c r="N56">
        <v>3</v>
      </c>
      <c r="Q56">
        <f>mnist_1_sorted_merged[[#This Row],[kan_params]]</f>
        <v>10470154</v>
      </c>
      <c r="R56">
        <f>mnist_1_sorted_merged[[#This Row],[kan_test_acc]]</f>
        <v>0.98409999999999997</v>
      </c>
      <c r="S56">
        <f>mnist_1_sorted_merged[[#This Row],[kan_val_acc]]</f>
        <v>0.95545000000000002</v>
      </c>
      <c r="T56">
        <f>mnist_1_sorted_merged[[#This Row],[kan_steps]]</f>
        <v>3</v>
      </c>
      <c r="Z56" t="str" cm="1">
        <f t="array" ref="Z56:AA56">_xlfn.TEXTSPLIT(MID(mnist_1_sorted_merged[[#This Row],[kan_width 1]],2,LEN(mnist_1_sorted_merged[[#This Row],[kan_width 1]])-2),", ")</f>
        <v>3136</v>
      </c>
      <c r="AA56" t="str">
        <v>256</v>
      </c>
      <c r="AB56" t="str" cm="1">
        <f t="array" ref="AB56:AC56">_xlfn.TEXTSPLIT(MID(mnist_1_sorted_merged[[#This Row],[kan_width 2]],2,LEN(mnist_1_sorted_merged[[#This Row],[kan_width 2]])-2),", ")</f>
        <v>256</v>
      </c>
      <c r="AC56" t="str">
        <v>10</v>
      </c>
      <c r="AD56">
        <f t="shared" si="0"/>
        <v>805642</v>
      </c>
    </row>
    <row r="57" spans="1:30" x14ac:dyDescent="0.25">
      <c r="A57" s="1" t="s">
        <v>14</v>
      </c>
      <c r="B57">
        <v>9</v>
      </c>
      <c r="C57">
        <v>2</v>
      </c>
      <c r="D57">
        <v>0</v>
      </c>
      <c r="E57" s="1" t="s">
        <v>25</v>
      </c>
      <c r="F57">
        <v>9</v>
      </c>
      <c r="G57">
        <v>2</v>
      </c>
      <c r="H57">
        <v>0</v>
      </c>
      <c r="I57" s="1" t="s">
        <v>26</v>
      </c>
      <c r="J57">
        <v>622413793.20000005</v>
      </c>
      <c r="K57">
        <v>11275530</v>
      </c>
      <c r="L57">
        <v>0.95664166666666661</v>
      </c>
      <c r="M57">
        <v>0.98353000000000002</v>
      </c>
      <c r="N57">
        <v>3</v>
      </c>
      <c r="Q57">
        <f>mnist_1_sorted_merged[[#This Row],[kan_params]]</f>
        <v>11275530</v>
      </c>
      <c r="R57">
        <f>mnist_1_sorted_merged[[#This Row],[kan_test_acc]]</f>
        <v>0.98353000000000002</v>
      </c>
      <c r="S57">
        <f>mnist_1_sorted_merged[[#This Row],[kan_val_acc]]</f>
        <v>0.95664166666666661</v>
      </c>
      <c r="T57">
        <f>mnist_1_sorted_merged[[#This Row],[kan_steps]]</f>
        <v>3</v>
      </c>
      <c r="Z57" t="str" cm="1">
        <f t="array" ref="Z57:AA57">_xlfn.TEXTSPLIT(MID(mnist_1_sorted_merged[[#This Row],[kan_width 1]],2,LEN(mnist_1_sorted_merged[[#This Row],[kan_width 1]])-2),", ")</f>
        <v>3136</v>
      </c>
      <c r="AA57" t="str">
        <v>256</v>
      </c>
      <c r="AB57" t="str" cm="1">
        <f t="array" ref="AB57:AC57">_xlfn.TEXTSPLIT(MID(mnist_1_sorted_merged[[#This Row],[kan_width 2]],2,LEN(mnist_1_sorted_merged[[#This Row],[kan_width 2]])-2),", ")</f>
        <v>256</v>
      </c>
      <c r="AC57" t="str">
        <v>10</v>
      </c>
      <c r="AD57">
        <f t="shared" si="0"/>
        <v>805642</v>
      </c>
    </row>
    <row r="58" spans="1:30" x14ac:dyDescent="0.25">
      <c r="A58" s="1" t="s">
        <v>14</v>
      </c>
      <c r="B58">
        <v>9</v>
      </c>
      <c r="C58">
        <v>3</v>
      </c>
      <c r="D58">
        <v>0</v>
      </c>
      <c r="E58" s="1" t="s">
        <v>25</v>
      </c>
      <c r="F58">
        <v>9</v>
      </c>
      <c r="G58">
        <v>3</v>
      </c>
      <c r="H58">
        <v>0</v>
      </c>
      <c r="I58" s="1" t="s">
        <v>26</v>
      </c>
      <c r="J58">
        <v>898157088.10000002</v>
      </c>
      <c r="K58">
        <v>12080906</v>
      </c>
      <c r="L58">
        <v>0.95540000000000003</v>
      </c>
      <c r="M58">
        <v>0.98392000000000002</v>
      </c>
      <c r="N58">
        <v>3</v>
      </c>
      <c r="Q58">
        <f>mnist_1_sorted_merged[[#This Row],[kan_params]]</f>
        <v>12080906</v>
      </c>
      <c r="R58">
        <f>mnist_1_sorted_merged[[#This Row],[kan_test_acc]]</f>
        <v>0.98392000000000002</v>
      </c>
      <c r="S58">
        <f>mnist_1_sorted_merged[[#This Row],[kan_val_acc]]</f>
        <v>0.95540000000000003</v>
      </c>
      <c r="T58">
        <f>mnist_1_sorted_merged[[#This Row],[kan_steps]]</f>
        <v>3</v>
      </c>
      <c r="Z58" t="str" cm="1">
        <f t="array" ref="Z58:AA58">_xlfn.TEXTSPLIT(MID(mnist_1_sorted_merged[[#This Row],[kan_width 1]],2,LEN(mnist_1_sorted_merged[[#This Row],[kan_width 1]])-2),", ")</f>
        <v>3136</v>
      </c>
      <c r="AA58" t="str">
        <v>256</v>
      </c>
      <c r="AB58" t="str" cm="1">
        <f t="array" ref="AB58:AC58">_xlfn.TEXTSPLIT(MID(mnist_1_sorted_merged[[#This Row],[kan_width 2]],2,LEN(mnist_1_sorted_merged[[#This Row],[kan_width 2]])-2),", ")</f>
        <v>256</v>
      </c>
      <c r="AC58" t="str">
        <v>10</v>
      </c>
      <c r="AD58">
        <f t="shared" si="0"/>
        <v>805642</v>
      </c>
    </row>
    <row r="59" spans="1:30" x14ac:dyDescent="0.25">
      <c r="A59" s="1" t="s">
        <v>14</v>
      </c>
      <c r="B59">
        <v>9</v>
      </c>
      <c r="C59">
        <v>4</v>
      </c>
      <c r="D59">
        <v>0</v>
      </c>
      <c r="E59" s="1" t="s">
        <v>25</v>
      </c>
      <c r="F59">
        <v>9</v>
      </c>
      <c r="G59">
        <v>4</v>
      </c>
      <c r="H59">
        <v>0</v>
      </c>
      <c r="I59" s="1" t="s">
        <v>26</v>
      </c>
      <c r="J59">
        <v>1228111198.5</v>
      </c>
      <c r="K59">
        <v>12886282</v>
      </c>
      <c r="L59">
        <v>0.95560833333333339</v>
      </c>
      <c r="M59">
        <v>0.98311999999999999</v>
      </c>
      <c r="N59">
        <v>3</v>
      </c>
      <c r="Q59">
        <f>mnist_1_sorted_merged[[#This Row],[kan_params]]</f>
        <v>12886282</v>
      </c>
      <c r="R59">
        <f>mnist_1_sorted_merged[[#This Row],[kan_test_acc]]</f>
        <v>0.98311999999999999</v>
      </c>
      <c r="S59">
        <f>mnist_1_sorted_merged[[#This Row],[kan_val_acc]]</f>
        <v>0.95560833333333339</v>
      </c>
      <c r="T59">
        <f>mnist_1_sorted_merged[[#This Row],[kan_steps]]</f>
        <v>3</v>
      </c>
      <c r="Z59" t="str" cm="1">
        <f t="array" ref="Z59:AA59">_xlfn.TEXTSPLIT(MID(mnist_1_sorted_merged[[#This Row],[kan_width 1]],2,LEN(mnist_1_sorted_merged[[#This Row],[kan_width 1]])-2),", ")</f>
        <v>3136</v>
      </c>
      <c r="AA59" t="str">
        <v>256</v>
      </c>
      <c r="AB59" t="str" cm="1">
        <f t="array" ref="AB59:AC59">_xlfn.TEXTSPLIT(MID(mnist_1_sorted_merged[[#This Row],[kan_width 2]],2,LEN(mnist_1_sorted_merged[[#This Row],[kan_width 2]])-2),", ")</f>
        <v>256</v>
      </c>
      <c r="AC59" t="str">
        <v>10</v>
      </c>
      <c r="AD59">
        <f t="shared" si="0"/>
        <v>805642</v>
      </c>
    </row>
    <row r="60" spans="1:30" x14ac:dyDescent="0.25">
      <c r="A60" s="1" t="s">
        <v>14</v>
      </c>
      <c r="B60">
        <v>9</v>
      </c>
      <c r="C60">
        <v>5</v>
      </c>
      <c r="D60">
        <v>0</v>
      </c>
      <c r="E60" s="1" t="s">
        <v>25</v>
      </c>
      <c r="F60">
        <v>9</v>
      </c>
      <c r="G60">
        <v>5</v>
      </c>
      <c r="H60">
        <v>0</v>
      </c>
      <c r="I60" s="1" t="s">
        <v>26</v>
      </c>
      <c r="J60">
        <v>1514026317.7</v>
      </c>
      <c r="K60">
        <v>13691658</v>
      </c>
      <c r="L60">
        <v>0.95761666666666667</v>
      </c>
      <c r="M60">
        <v>0.98324</v>
      </c>
      <c r="N60">
        <v>3</v>
      </c>
      <c r="Q60">
        <f>mnist_1_sorted_merged[[#This Row],[kan_params]]</f>
        <v>13691658</v>
      </c>
      <c r="R60">
        <f>mnist_1_sorted_merged[[#This Row],[kan_test_acc]]</f>
        <v>0.98324</v>
      </c>
      <c r="S60">
        <f>mnist_1_sorted_merged[[#This Row],[kan_val_acc]]</f>
        <v>0.95761666666666667</v>
      </c>
      <c r="T60">
        <f>mnist_1_sorted_merged[[#This Row],[kan_steps]]</f>
        <v>3</v>
      </c>
      <c r="Z60" t="str" cm="1">
        <f t="array" ref="Z60:AA60">_xlfn.TEXTSPLIT(MID(mnist_1_sorted_merged[[#This Row],[kan_width 1]],2,LEN(mnist_1_sorted_merged[[#This Row],[kan_width 1]])-2),", ")</f>
        <v>3136</v>
      </c>
      <c r="AA60" t="str">
        <v>256</v>
      </c>
      <c r="AB60" t="str" cm="1">
        <f t="array" ref="AB60:AC60">_xlfn.TEXTSPLIT(MID(mnist_1_sorted_merged[[#This Row],[kan_width 2]],2,LEN(mnist_1_sorted_merged[[#This Row],[kan_width 2]])-2),", ")</f>
        <v>256</v>
      </c>
      <c r="AC60" t="str">
        <v>10</v>
      </c>
      <c r="AD60">
        <f t="shared" si="0"/>
        <v>805642</v>
      </c>
    </row>
    <row r="61" spans="1:30" x14ac:dyDescent="0.25">
      <c r="A61" s="1" t="s">
        <v>14</v>
      </c>
      <c r="B61">
        <v>3</v>
      </c>
      <c r="C61">
        <v>2</v>
      </c>
      <c r="D61">
        <v>0</v>
      </c>
      <c r="E61" s="1" t="s">
        <v>17</v>
      </c>
      <c r="F61">
        <v>3</v>
      </c>
      <c r="G61">
        <v>2</v>
      </c>
      <c r="H61">
        <v>0</v>
      </c>
      <c r="I61" s="1" t="s">
        <v>18</v>
      </c>
      <c r="J61">
        <v>48370685.799999997</v>
      </c>
      <c r="K61">
        <v>25169010</v>
      </c>
      <c r="L61">
        <v>0.96006666666666662</v>
      </c>
      <c r="M61">
        <v>0.98616000000000004</v>
      </c>
      <c r="N61">
        <v>3</v>
      </c>
      <c r="Q61">
        <f>mnist_1_sorted_merged[[#This Row],[kan_params]]</f>
        <v>25169010</v>
      </c>
      <c r="R61">
        <f>mnist_1_sorted_merged[[#This Row],[kan_test_acc]]</f>
        <v>0.98616000000000004</v>
      </c>
      <c r="S61">
        <f>mnist_1_sorted_merged[[#This Row],[kan_val_acc]]</f>
        <v>0.96006666666666662</v>
      </c>
      <c r="T61">
        <f>mnist_1_sorted_merged[[#This Row],[kan_steps]]</f>
        <v>3</v>
      </c>
      <c r="Z61" t="str" cm="1">
        <f t="array" ref="Z61:AA61">_xlfn.TEXTSPLIT(MID(mnist_1_sorted_merged[[#This Row],[kan_width 1]],2,LEN(mnist_1_sorted_merged[[#This Row],[kan_width 1]])-2),", ")</f>
        <v>3136</v>
      </c>
      <c r="AA61" t="str">
        <v>1000</v>
      </c>
      <c r="AB61" t="str" cm="1">
        <f t="array" ref="AB61:AC61">_xlfn.TEXTSPLIT(MID(mnist_1_sorted_merged[[#This Row],[kan_width 2]],2,LEN(mnist_1_sorted_merged[[#This Row],[kan_width 2]])-2),", ")</f>
        <v>1000</v>
      </c>
      <c r="AC61" t="str">
        <v>10</v>
      </c>
      <c r="AD61">
        <f t="shared" si="0"/>
        <v>3147010</v>
      </c>
    </row>
    <row r="62" spans="1:30" x14ac:dyDescent="0.25">
      <c r="A62" s="1" t="s">
        <v>14</v>
      </c>
      <c r="B62">
        <v>3</v>
      </c>
      <c r="C62">
        <v>3</v>
      </c>
      <c r="D62">
        <v>0</v>
      </c>
      <c r="E62" s="1" t="s">
        <v>17</v>
      </c>
      <c r="F62">
        <v>3</v>
      </c>
      <c r="G62">
        <v>3</v>
      </c>
      <c r="H62">
        <v>0</v>
      </c>
      <c r="I62" s="1" t="s">
        <v>18</v>
      </c>
      <c r="J62">
        <v>48813763.799999997</v>
      </c>
      <c r="K62">
        <v>28315010</v>
      </c>
      <c r="L62">
        <v>0.96031666666666671</v>
      </c>
      <c r="M62">
        <v>0.98455999999999999</v>
      </c>
      <c r="N62">
        <v>3</v>
      </c>
      <c r="Q62">
        <f>mnist_1_sorted_merged[[#This Row],[kan_params]]</f>
        <v>28315010</v>
      </c>
      <c r="R62">
        <f>mnist_1_sorted_merged[[#This Row],[kan_test_acc]]</f>
        <v>0.98455999999999999</v>
      </c>
      <c r="S62">
        <f>mnist_1_sorted_merged[[#This Row],[kan_val_acc]]</f>
        <v>0.96031666666666671</v>
      </c>
      <c r="T62">
        <f>mnist_1_sorted_merged[[#This Row],[kan_steps]]</f>
        <v>3</v>
      </c>
      <c r="Z62" t="str" cm="1">
        <f t="array" ref="Z62:AA62">_xlfn.TEXTSPLIT(MID(mnist_1_sorted_merged[[#This Row],[kan_width 1]],2,LEN(mnist_1_sorted_merged[[#This Row],[kan_width 1]])-2),", ")</f>
        <v>3136</v>
      </c>
      <c r="AA62" t="str">
        <v>1000</v>
      </c>
      <c r="AB62" t="str" cm="1">
        <f t="array" ref="AB62:AC62">_xlfn.TEXTSPLIT(MID(mnist_1_sorted_merged[[#This Row],[kan_width 2]],2,LEN(mnist_1_sorted_merged[[#This Row],[kan_width 2]])-2),", ")</f>
        <v>1000</v>
      </c>
      <c r="AC62" t="str">
        <v>10</v>
      </c>
      <c r="AD62">
        <f t="shared" si="0"/>
        <v>3147010</v>
      </c>
    </row>
    <row r="63" spans="1:30" x14ac:dyDescent="0.25">
      <c r="A63" s="1" t="s">
        <v>14</v>
      </c>
      <c r="B63">
        <v>3</v>
      </c>
      <c r="C63">
        <v>4</v>
      </c>
      <c r="D63">
        <v>0</v>
      </c>
      <c r="E63" s="1" t="s">
        <v>17</v>
      </c>
      <c r="F63">
        <v>3</v>
      </c>
      <c r="G63">
        <v>4</v>
      </c>
      <c r="H63">
        <v>0</v>
      </c>
      <c r="I63" s="1" t="s">
        <v>18</v>
      </c>
      <c r="J63">
        <v>50052928.399999999</v>
      </c>
      <c r="K63">
        <v>31461010</v>
      </c>
      <c r="L63">
        <v>0.9613666666666667</v>
      </c>
      <c r="M63">
        <v>0.98555999999999999</v>
      </c>
      <c r="N63">
        <v>3</v>
      </c>
      <c r="Q63">
        <f>mnist_1_sorted_merged[[#This Row],[kan_params]]</f>
        <v>31461010</v>
      </c>
      <c r="R63">
        <f>mnist_1_sorted_merged[[#This Row],[kan_test_acc]]</f>
        <v>0.98555999999999999</v>
      </c>
      <c r="S63">
        <f>mnist_1_sorted_merged[[#This Row],[kan_val_acc]]</f>
        <v>0.9613666666666667</v>
      </c>
      <c r="T63">
        <f>mnist_1_sorted_merged[[#This Row],[kan_steps]]</f>
        <v>3</v>
      </c>
      <c r="Z63" t="str" cm="1">
        <f t="array" ref="Z63:AA63">_xlfn.TEXTSPLIT(MID(mnist_1_sorted_merged[[#This Row],[kan_width 1]],2,LEN(mnist_1_sorted_merged[[#This Row],[kan_width 1]])-2),", ")</f>
        <v>3136</v>
      </c>
      <c r="AA63" t="str">
        <v>1000</v>
      </c>
      <c r="AB63" t="str" cm="1">
        <f t="array" ref="AB63:AC63">_xlfn.TEXTSPLIT(MID(mnist_1_sorted_merged[[#This Row],[kan_width 2]],2,LEN(mnist_1_sorted_merged[[#This Row],[kan_width 2]])-2),", ")</f>
        <v>1000</v>
      </c>
      <c r="AC63" t="str">
        <v>10</v>
      </c>
      <c r="AD63">
        <f t="shared" si="0"/>
        <v>3147010</v>
      </c>
    </row>
    <row r="64" spans="1:30" x14ac:dyDescent="0.25">
      <c r="A64" s="1" t="s">
        <v>14</v>
      </c>
      <c r="B64">
        <v>5</v>
      </c>
      <c r="C64">
        <v>2</v>
      </c>
      <c r="D64">
        <v>0</v>
      </c>
      <c r="E64" s="1" t="s">
        <v>17</v>
      </c>
      <c r="F64">
        <v>5</v>
      </c>
      <c r="G64">
        <v>2</v>
      </c>
      <c r="H64">
        <v>0</v>
      </c>
      <c r="I64" s="1" t="s">
        <v>18</v>
      </c>
      <c r="J64">
        <v>48803488.399999999</v>
      </c>
      <c r="K64">
        <v>31461010</v>
      </c>
      <c r="L64">
        <v>0.96116666666666661</v>
      </c>
      <c r="M64">
        <v>0.98570000000000002</v>
      </c>
      <c r="N64">
        <v>3</v>
      </c>
      <c r="Q64">
        <f>mnist_1_sorted_merged[[#This Row],[kan_params]]</f>
        <v>31461010</v>
      </c>
      <c r="R64">
        <f>mnist_1_sorted_merged[[#This Row],[kan_test_acc]]</f>
        <v>0.98570000000000002</v>
      </c>
      <c r="S64">
        <f>mnist_1_sorted_merged[[#This Row],[kan_val_acc]]</f>
        <v>0.96116666666666661</v>
      </c>
      <c r="T64">
        <f>mnist_1_sorted_merged[[#This Row],[kan_steps]]</f>
        <v>3</v>
      </c>
      <c r="Z64" t="str" cm="1">
        <f t="array" ref="Z64:AA64">_xlfn.TEXTSPLIT(MID(mnist_1_sorted_merged[[#This Row],[kan_width 1]],2,LEN(mnist_1_sorted_merged[[#This Row],[kan_width 1]])-2),", ")</f>
        <v>3136</v>
      </c>
      <c r="AA64" t="str">
        <v>1000</v>
      </c>
      <c r="AB64" t="str" cm="1">
        <f t="array" ref="AB64:AC64">_xlfn.TEXTSPLIT(MID(mnist_1_sorted_merged[[#This Row],[kan_width 2]],2,LEN(mnist_1_sorted_merged[[#This Row],[kan_width 2]])-2),", ")</f>
        <v>1000</v>
      </c>
      <c r="AC64" t="str">
        <v>10</v>
      </c>
      <c r="AD64">
        <f t="shared" si="0"/>
        <v>3147010</v>
      </c>
    </row>
    <row r="65" spans="1:30" x14ac:dyDescent="0.25">
      <c r="A65" s="1" t="s">
        <v>14</v>
      </c>
      <c r="B65">
        <v>3</v>
      </c>
      <c r="C65">
        <v>5</v>
      </c>
      <c r="D65">
        <v>0</v>
      </c>
      <c r="E65" s="1" t="s">
        <v>17</v>
      </c>
      <c r="F65">
        <v>3</v>
      </c>
      <c r="G65">
        <v>5</v>
      </c>
      <c r="H65">
        <v>0</v>
      </c>
      <c r="I65" s="1" t="s">
        <v>18</v>
      </c>
      <c r="J65">
        <v>55957043.200000003</v>
      </c>
      <c r="K65">
        <v>34607010</v>
      </c>
      <c r="L65">
        <v>0.95923333333333338</v>
      </c>
      <c r="M65">
        <v>0.98480000000000001</v>
      </c>
      <c r="N65">
        <v>3</v>
      </c>
      <c r="Q65">
        <f>mnist_1_sorted_merged[[#This Row],[kan_params]]</f>
        <v>34607010</v>
      </c>
      <c r="R65">
        <f>mnist_1_sorted_merged[[#This Row],[kan_test_acc]]</f>
        <v>0.98480000000000001</v>
      </c>
      <c r="S65">
        <f>mnist_1_sorted_merged[[#This Row],[kan_val_acc]]</f>
        <v>0.95923333333333338</v>
      </c>
      <c r="T65">
        <f>mnist_1_sorted_merged[[#This Row],[kan_steps]]</f>
        <v>3</v>
      </c>
      <c r="Z65" t="str" cm="1">
        <f t="array" ref="Z65:AA65">_xlfn.TEXTSPLIT(MID(mnist_1_sorted_merged[[#This Row],[kan_width 1]],2,LEN(mnist_1_sorted_merged[[#This Row],[kan_width 1]])-2),", ")</f>
        <v>3136</v>
      </c>
      <c r="AA65" t="str">
        <v>1000</v>
      </c>
      <c r="AB65" t="str" cm="1">
        <f t="array" ref="AB65:AC65">_xlfn.TEXTSPLIT(MID(mnist_1_sorted_merged[[#This Row],[kan_width 2]],2,LEN(mnist_1_sorted_merged[[#This Row],[kan_width 2]])-2),", ")</f>
        <v>1000</v>
      </c>
      <c r="AC65" t="str">
        <v>10</v>
      </c>
      <c r="AD65">
        <f t="shared" si="0"/>
        <v>3147010</v>
      </c>
    </row>
    <row r="66" spans="1:30" x14ac:dyDescent="0.25">
      <c r="A66" s="1" t="s">
        <v>14</v>
      </c>
      <c r="B66">
        <v>5</v>
      </c>
      <c r="C66">
        <v>3</v>
      </c>
      <c r="D66">
        <v>0</v>
      </c>
      <c r="E66" s="1" t="s">
        <v>17</v>
      </c>
      <c r="F66">
        <v>5</v>
      </c>
      <c r="G66">
        <v>3</v>
      </c>
      <c r="H66">
        <v>0</v>
      </c>
      <c r="I66" s="1" t="s">
        <v>18</v>
      </c>
      <c r="J66">
        <v>49618359.600000001</v>
      </c>
      <c r="K66">
        <v>34607010</v>
      </c>
      <c r="L66">
        <v>0.96248333333333336</v>
      </c>
      <c r="M66">
        <v>0.98461999999999994</v>
      </c>
      <c r="N66">
        <v>3</v>
      </c>
      <c r="Q66">
        <f>mnist_1_sorted_merged[[#This Row],[kan_params]]</f>
        <v>34607010</v>
      </c>
      <c r="R66">
        <f>mnist_1_sorted_merged[[#This Row],[kan_test_acc]]</f>
        <v>0.98461999999999994</v>
      </c>
      <c r="S66">
        <f>mnist_1_sorted_merged[[#This Row],[kan_val_acc]]</f>
        <v>0.96248333333333336</v>
      </c>
      <c r="T66">
        <f>mnist_1_sorted_merged[[#This Row],[kan_steps]]</f>
        <v>3</v>
      </c>
      <c r="Z66" t="str" cm="1">
        <f t="array" ref="Z66:AA66">_xlfn.TEXTSPLIT(MID(mnist_1_sorted_merged[[#This Row],[kan_width 1]],2,LEN(mnist_1_sorted_merged[[#This Row],[kan_width 1]])-2),", ")</f>
        <v>3136</v>
      </c>
      <c r="AA66" t="str">
        <v>1000</v>
      </c>
      <c r="AB66" t="str" cm="1">
        <f t="array" ref="AB66:AC66">_xlfn.TEXTSPLIT(MID(mnist_1_sorted_merged[[#This Row],[kan_width 2]],2,LEN(mnist_1_sorted_merged[[#This Row],[kan_width 2]])-2),", ")</f>
        <v>1000</v>
      </c>
      <c r="AC66" t="str">
        <v>10</v>
      </c>
      <c r="AD66">
        <f t="shared" si="0"/>
        <v>3147010</v>
      </c>
    </row>
    <row r="67" spans="1:30" x14ac:dyDescent="0.25">
      <c r="A67" s="1" t="s">
        <v>14</v>
      </c>
      <c r="B67">
        <v>5</v>
      </c>
      <c r="C67">
        <v>4</v>
      </c>
      <c r="D67">
        <v>0</v>
      </c>
      <c r="E67" s="1" t="s">
        <v>17</v>
      </c>
      <c r="F67">
        <v>5</v>
      </c>
      <c r="G67">
        <v>4</v>
      </c>
      <c r="H67">
        <v>0</v>
      </c>
      <c r="I67" s="1" t="s">
        <v>18</v>
      </c>
      <c r="J67">
        <v>52507819.399999999</v>
      </c>
      <c r="K67">
        <v>37753010</v>
      </c>
      <c r="L67">
        <v>0.96094999999999997</v>
      </c>
      <c r="M67">
        <v>0.98640000000000005</v>
      </c>
      <c r="N67">
        <v>3</v>
      </c>
      <c r="Q67">
        <f>mnist_1_sorted_merged[[#This Row],[kan_params]]</f>
        <v>37753010</v>
      </c>
      <c r="R67">
        <f>mnist_1_sorted_merged[[#This Row],[kan_test_acc]]</f>
        <v>0.98640000000000005</v>
      </c>
      <c r="S67">
        <f>mnist_1_sorted_merged[[#This Row],[kan_val_acc]]</f>
        <v>0.96094999999999997</v>
      </c>
      <c r="T67">
        <f>mnist_1_sorted_merged[[#This Row],[kan_steps]]</f>
        <v>3</v>
      </c>
      <c r="Z67" t="str" cm="1">
        <f t="array" ref="Z67:AA67">_xlfn.TEXTSPLIT(MID(mnist_1_sorted_merged[[#This Row],[kan_width 1]],2,LEN(mnist_1_sorted_merged[[#This Row],[kan_width 1]])-2),", ")</f>
        <v>3136</v>
      </c>
      <c r="AA67" t="str">
        <v>1000</v>
      </c>
      <c r="AB67" t="str" cm="1">
        <f t="array" ref="AB67:AC67">_xlfn.TEXTSPLIT(MID(mnist_1_sorted_merged[[#This Row],[kan_width 2]],2,LEN(mnist_1_sorted_merged[[#This Row],[kan_width 2]])-2),", ")</f>
        <v>1000</v>
      </c>
      <c r="AC67" t="str">
        <v>10</v>
      </c>
      <c r="AD67">
        <f t="shared" ref="AD67:AD72" si="1">(Z67*AA67)+AA67+(AB67*AC67)+AC67</f>
        <v>3147010</v>
      </c>
    </row>
    <row r="68" spans="1:30" x14ac:dyDescent="0.25">
      <c r="A68" s="1" t="s">
        <v>14</v>
      </c>
      <c r="B68">
        <v>5</v>
      </c>
      <c r="C68">
        <v>5</v>
      </c>
      <c r="D68">
        <v>0</v>
      </c>
      <c r="E68" s="1" t="s">
        <v>17</v>
      </c>
      <c r="F68">
        <v>5</v>
      </c>
      <c r="G68">
        <v>5</v>
      </c>
      <c r="H68">
        <v>0</v>
      </c>
      <c r="I68" s="1" t="s">
        <v>18</v>
      </c>
      <c r="J68">
        <v>61852384.799999997</v>
      </c>
      <c r="K68">
        <v>40899010</v>
      </c>
      <c r="L68">
        <v>0.96091666666666664</v>
      </c>
      <c r="M68">
        <v>0.98539999999999994</v>
      </c>
      <c r="N68">
        <v>3</v>
      </c>
      <c r="Q68">
        <f>mnist_1_sorted_merged[[#This Row],[kan_params]]</f>
        <v>40899010</v>
      </c>
      <c r="R68">
        <f>mnist_1_sorted_merged[[#This Row],[kan_test_acc]]</f>
        <v>0.98539999999999994</v>
      </c>
      <c r="S68">
        <f>mnist_1_sorted_merged[[#This Row],[kan_val_acc]]</f>
        <v>0.96091666666666664</v>
      </c>
      <c r="T68">
        <f>mnist_1_sorted_merged[[#This Row],[kan_steps]]</f>
        <v>3</v>
      </c>
      <c r="Z68" t="str" cm="1">
        <f t="array" ref="Z68:AA68">_xlfn.TEXTSPLIT(MID(mnist_1_sorted_merged[[#This Row],[kan_width 1]],2,LEN(mnist_1_sorted_merged[[#This Row],[kan_width 1]])-2),", ")</f>
        <v>3136</v>
      </c>
      <c r="AA68" t="str">
        <v>1000</v>
      </c>
      <c r="AB68" t="str" cm="1">
        <f t="array" ref="AB68:AC68">_xlfn.TEXTSPLIT(MID(mnist_1_sorted_merged[[#This Row],[kan_width 2]],2,LEN(mnist_1_sorted_merged[[#This Row],[kan_width 2]])-2),", ")</f>
        <v>1000</v>
      </c>
      <c r="AC68" t="str">
        <v>10</v>
      </c>
      <c r="AD68">
        <f t="shared" si="1"/>
        <v>3147010</v>
      </c>
    </row>
    <row r="69" spans="1:30" x14ac:dyDescent="0.25">
      <c r="A69" s="1" t="s">
        <v>14</v>
      </c>
      <c r="B69">
        <v>9</v>
      </c>
      <c r="C69">
        <v>2</v>
      </c>
      <c r="D69">
        <v>0</v>
      </c>
      <c r="E69" s="1" t="s">
        <v>17</v>
      </c>
      <c r="F69">
        <v>9</v>
      </c>
      <c r="G69">
        <v>2</v>
      </c>
      <c r="H69">
        <v>0</v>
      </c>
      <c r="I69" s="1" t="s">
        <v>18</v>
      </c>
      <c r="J69">
        <v>992100615.10000002</v>
      </c>
      <c r="K69">
        <v>44045010</v>
      </c>
      <c r="L69">
        <v>0.96200833333333335</v>
      </c>
      <c r="M69">
        <v>0.98516999999999999</v>
      </c>
      <c r="N69">
        <v>3</v>
      </c>
      <c r="Q69">
        <f>mnist_1_sorted_merged[[#This Row],[kan_params]]</f>
        <v>44045010</v>
      </c>
      <c r="R69">
        <f>mnist_1_sorted_merged[[#This Row],[kan_test_acc]]</f>
        <v>0.98516999999999999</v>
      </c>
      <c r="S69">
        <f>mnist_1_sorted_merged[[#This Row],[kan_val_acc]]</f>
        <v>0.96200833333333335</v>
      </c>
      <c r="T69">
        <f>mnist_1_sorted_merged[[#This Row],[kan_steps]]</f>
        <v>3</v>
      </c>
      <c r="Z69" t="str" cm="1">
        <f t="array" ref="Z69:AA69">_xlfn.TEXTSPLIT(MID(mnist_1_sorted_merged[[#This Row],[kan_width 1]],2,LEN(mnist_1_sorted_merged[[#This Row],[kan_width 1]])-2),", ")</f>
        <v>3136</v>
      </c>
      <c r="AA69" t="str">
        <v>1000</v>
      </c>
      <c r="AB69" t="str" cm="1">
        <f t="array" ref="AB69:AC69">_xlfn.TEXTSPLIT(MID(mnist_1_sorted_merged[[#This Row],[kan_width 2]],2,LEN(mnist_1_sorted_merged[[#This Row],[kan_width 2]])-2),", ")</f>
        <v>1000</v>
      </c>
      <c r="AC69" t="str">
        <v>10</v>
      </c>
      <c r="AD69">
        <f t="shared" si="1"/>
        <v>3147010</v>
      </c>
    </row>
    <row r="70" spans="1:30" x14ac:dyDescent="0.25">
      <c r="A70" s="1" t="s">
        <v>14</v>
      </c>
      <c r="B70">
        <v>9</v>
      </c>
      <c r="C70">
        <v>3</v>
      </c>
      <c r="D70">
        <v>0</v>
      </c>
      <c r="E70" s="1" t="s">
        <v>17</v>
      </c>
      <c r="F70">
        <v>9</v>
      </c>
      <c r="G70">
        <v>3</v>
      </c>
      <c r="H70">
        <v>0</v>
      </c>
      <c r="I70" s="1" t="s">
        <v>18</v>
      </c>
      <c r="J70">
        <v>1348038428.3</v>
      </c>
      <c r="K70">
        <v>47191010</v>
      </c>
      <c r="L70">
        <v>0.96123333333333327</v>
      </c>
      <c r="M70">
        <v>0.98553999999999997</v>
      </c>
      <c r="N70">
        <v>3</v>
      </c>
      <c r="Q70">
        <f>mnist_1_sorted_merged[[#This Row],[kan_params]]</f>
        <v>47191010</v>
      </c>
      <c r="R70">
        <f>mnist_1_sorted_merged[[#This Row],[kan_test_acc]]</f>
        <v>0.98553999999999997</v>
      </c>
      <c r="S70">
        <f>mnist_1_sorted_merged[[#This Row],[kan_val_acc]]</f>
        <v>0.96123333333333327</v>
      </c>
      <c r="T70">
        <f>mnist_1_sorted_merged[[#This Row],[kan_steps]]</f>
        <v>3</v>
      </c>
      <c r="Z70" t="str" cm="1">
        <f t="array" ref="Z70:AA70">_xlfn.TEXTSPLIT(MID(mnist_1_sorted_merged[[#This Row],[kan_width 1]],2,LEN(mnist_1_sorted_merged[[#This Row],[kan_width 1]])-2),", ")</f>
        <v>3136</v>
      </c>
      <c r="AA70" t="str">
        <v>1000</v>
      </c>
      <c r="AB70" t="str" cm="1">
        <f t="array" ref="AB70:AC70">_xlfn.TEXTSPLIT(MID(mnist_1_sorted_merged[[#This Row],[kan_width 2]],2,LEN(mnist_1_sorted_merged[[#This Row],[kan_width 2]])-2),", ")</f>
        <v>1000</v>
      </c>
      <c r="AC70" t="str">
        <v>10</v>
      </c>
      <c r="AD70">
        <f t="shared" si="1"/>
        <v>3147010</v>
      </c>
    </row>
    <row r="71" spans="1:30" x14ac:dyDescent="0.25">
      <c r="A71" s="1" t="s">
        <v>14</v>
      </c>
      <c r="B71">
        <v>9</v>
      </c>
      <c r="C71">
        <v>4</v>
      </c>
      <c r="D71">
        <v>0</v>
      </c>
      <c r="E71" s="1" t="s">
        <v>17</v>
      </c>
      <c r="F71">
        <v>9</v>
      </c>
      <c r="G71">
        <v>4</v>
      </c>
      <c r="H71">
        <v>0</v>
      </c>
      <c r="I71" s="1" t="s">
        <v>18</v>
      </c>
      <c r="J71">
        <v>1773993043.2</v>
      </c>
      <c r="K71">
        <v>50337010</v>
      </c>
      <c r="L71">
        <v>0.96066666666666667</v>
      </c>
      <c r="M71">
        <v>0.98465000000000003</v>
      </c>
      <c r="N71">
        <v>3</v>
      </c>
      <c r="Q71">
        <f>mnist_1_sorted_merged[[#This Row],[kan_params]]</f>
        <v>50337010</v>
      </c>
      <c r="R71">
        <f>mnist_1_sorted_merged[[#This Row],[kan_test_acc]]</f>
        <v>0.98465000000000003</v>
      </c>
      <c r="S71">
        <f>mnist_1_sorted_merged[[#This Row],[kan_val_acc]]</f>
        <v>0.96066666666666667</v>
      </c>
      <c r="T71">
        <f>mnist_1_sorted_merged[[#This Row],[kan_steps]]</f>
        <v>3</v>
      </c>
      <c r="Z71" t="str" cm="1">
        <f t="array" ref="Z71:AA71">_xlfn.TEXTSPLIT(MID(mnist_1_sorted_merged[[#This Row],[kan_width 1]],2,LEN(mnist_1_sorted_merged[[#This Row],[kan_width 1]])-2),", ")</f>
        <v>3136</v>
      </c>
      <c r="AA71" t="str">
        <v>1000</v>
      </c>
      <c r="AB71" t="str" cm="1">
        <f t="array" ref="AB71:AC71">_xlfn.TEXTSPLIT(MID(mnist_1_sorted_merged[[#This Row],[kan_width 2]],2,LEN(mnist_1_sorted_merged[[#This Row],[kan_width 2]])-2),", ")</f>
        <v>1000</v>
      </c>
      <c r="AC71" t="str">
        <v>10</v>
      </c>
      <c r="AD71">
        <f t="shared" si="1"/>
        <v>3147010</v>
      </c>
    </row>
    <row r="72" spans="1:30" x14ac:dyDescent="0.25">
      <c r="A72" s="1" t="s">
        <v>14</v>
      </c>
      <c r="B72">
        <v>9</v>
      </c>
      <c r="C72">
        <v>5</v>
      </c>
      <c r="D72">
        <v>0</v>
      </c>
      <c r="E72" s="1" t="s">
        <v>17</v>
      </c>
      <c r="F72">
        <v>9</v>
      </c>
      <c r="G72">
        <v>5</v>
      </c>
      <c r="H72">
        <v>0</v>
      </c>
      <c r="I72" s="1" t="s">
        <v>18</v>
      </c>
      <c r="J72">
        <v>2218985194.9000001</v>
      </c>
      <c r="K72">
        <v>53483010</v>
      </c>
      <c r="L72">
        <v>0.96343333333333336</v>
      </c>
      <c r="M72">
        <v>0.98561999999999994</v>
      </c>
      <c r="N72">
        <v>3</v>
      </c>
      <c r="Q72">
        <f>mnist_1_sorted_merged[[#This Row],[kan_params]]</f>
        <v>53483010</v>
      </c>
      <c r="R72">
        <f>mnist_1_sorted_merged[[#This Row],[kan_test_acc]]</f>
        <v>0.98561999999999994</v>
      </c>
      <c r="S72">
        <f>mnist_1_sorted_merged[[#This Row],[kan_val_acc]]</f>
        <v>0.96343333333333336</v>
      </c>
      <c r="T72">
        <f>mnist_1_sorted_merged[[#This Row],[kan_steps]]</f>
        <v>3</v>
      </c>
      <c r="Z72" t="str" cm="1">
        <f t="array" ref="Z72:AA72">_xlfn.TEXTSPLIT(MID(mnist_1_sorted_merged[[#This Row],[kan_width 1]],2,LEN(mnist_1_sorted_merged[[#This Row],[kan_width 1]])-2),", ")</f>
        <v>3136</v>
      </c>
      <c r="AA72" t="str">
        <v>1000</v>
      </c>
      <c r="AB72" t="str" cm="1">
        <f t="array" ref="AB72:AC72">_xlfn.TEXTSPLIT(MID(mnist_1_sorted_merged[[#This Row],[kan_width 2]],2,LEN(mnist_1_sorted_merged[[#This Row],[kan_width 2]])-2),", ")</f>
        <v>1000</v>
      </c>
      <c r="AC72" t="str">
        <v>10</v>
      </c>
      <c r="AD72">
        <f t="shared" si="1"/>
        <v>3147010</v>
      </c>
    </row>
  </sheetData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7206-DA60-4CCA-A7C4-48206FB45F25}"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E788B2-538E-497B-B92B-C4698B3CBE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mnist 1 sorted merged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Chadała</dc:creator>
  <cp:lastModifiedBy>Marta Chadała</cp:lastModifiedBy>
  <dcterms:created xsi:type="dcterms:W3CDTF">2025-06-02T14:49:32Z</dcterms:created>
  <dcterms:modified xsi:type="dcterms:W3CDTF">2025-06-12T07:34:59Z</dcterms:modified>
</cp:coreProperties>
</file>